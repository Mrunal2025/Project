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b3f8d4858ce55f1/Desktop/Issc/"/>
    </mc:Choice>
  </mc:AlternateContent>
  <xr:revisionPtr revIDLastSave="401" documentId="13_ncr:1_{790E7C5B-E079-4296-9213-F6D9A8C11A88}" xr6:coauthVersionLast="47" xr6:coauthVersionMax="47" xr10:uidLastSave="{6DC5A820-BBB0-4161-AB80-9BA7E9335938}"/>
  <bookViews>
    <workbookView xWindow="-110" yWindow="-110" windowWidth="19420" windowHeight="10300" xr2:uid="{EFB3F2D8-52FA-4E46-B640-E45F85F9F161}"/>
  </bookViews>
  <sheets>
    <sheet name="SSC Recharge Summary" sheetId="1" r:id="rId1"/>
    <sheet name="ISSC spend kpi" sheetId="8" r:id="rId2"/>
    <sheet name="P&amp; L budget 2025" sheetId="9" r:id="rId3"/>
  </sheets>
  <externalReferences>
    <externalReference r:id="rId4"/>
  </externalReferences>
  <definedNames>
    <definedName name="_xlnm._FilterDatabase" localSheetId="1" hidden="1">'ISSC spend kpi'!$A$1:$V$1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D3" i="8"/>
  <c r="F3" i="8"/>
  <c r="I3" i="8"/>
  <c r="L3" i="8" a="1"/>
  <c r="L3" i="8" s="1"/>
  <c r="N3" i="8"/>
  <c r="O3" i="8" s="1"/>
  <c r="R3" i="8"/>
  <c r="T3" i="8"/>
  <c r="U3" i="8"/>
  <c r="V3" i="8"/>
  <c r="G3" i="8" l="1"/>
  <c r="P3" i="8"/>
  <c r="D4" i="8" l="1"/>
  <c r="L4" i="8" s="1" a="1"/>
  <c r="L4" i="8" s="1"/>
  <c r="KW258" i="9"/>
  <c r="KV258" i="9"/>
  <c r="KU258" i="9"/>
  <c r="KT258" i="9"/>
  <c r="KS258" i="9"/>
  <c r="KR258" i="9"/>
  <c r="KQ258" i="9"/>
  <c r="KP258" i="9"/>
  <c r="KO258" i="9"/>
  <c r="KN258" i="9"/>
  <c r="KM258" i="9"/>
  <c r="KL258" i="9"/>
  <c r="HC258" i="9"/>
  <c r="HB258" i="9"/>
  <c r="HA258" i="9"/>
  <c r="GZ258" i="9"/>
  <c r="GY258" i="9"/>
  <c r="GX258" i="9"/>
  <c r="GW258" i="9"/>
  <c r="GV258" i="9"/>
  <c r="GU258" i="9"/>
  <c r="GT258" i="9"/>
  <c r="GS258" i="9"/>
  <c r="GR258" i="9"/>
  <c r="LY255" i="9"/>
  <c r="LX255" i="9"/>
  <c r="LW255" i="9"/>
  <c r="LV255" i="9"/>
  <c r="LU255" i="9"/>
  <c r="LT255" i="9"/>
  <c r="LS255" i="9"/>
  <c r="LR255" i="9"/>
  <c r="LQ255" i="9"/>
  <c r="LP255" i="9"/>
  <c r="LO255" i="9"/>
  <c r="LN255" i="9"/>
  <c r="HD254" i="9"/>
  <c r="LZ253" i="9"/>
  <c r="LK253" i="9"/>
  <c r="LJ253" i="9"/>
  <c r="LI253" i="9"/>
  <c r="LH253" i="9"/>
  <c r="LG253" i="9"/>
  <c r="LF253" i="9"/>
  <c r="LE253" i="9"/>
  <c r="LD253" i="9"/>
  <c r="LC253" i="9"/>
  <c r="LB253" i="9"/>
  <c r="LA253" i="9"/>
  <c r="KZ253" i="9"/>
  <c r="KW253" i="9"/>
  <c r="KV253" i="9"/>
  <c r="KU253" i="9"/>
  <c r="KT253" i="9"/>
  <c r="KS253" i="9"/>
  <c r="KR253" i="9"/>
  <c r="KQ253" i="9"/>
  <c r="KP253" i="9"/>
  <c r="KO253" i="9"/>
  <c r="KN253" i="9"/>
  <c r="KM253" i="9"/>
  <c r="KL253" i="9"/>
  <c r="KI253" i="9"/>
  <c r="KH253" i="9"/>
  <c r="KG253" i="9"/>
  <c r="KF253" i="9"/>
  <c r="KE253" i="9"/>
  <c r="KD253" i="9"/>
  <c r="KC253" i="9"/>
  <c r="KB253" i="9"/>
  <c r="KA253" i="9"/>
  <c r="JZ253" i="9"/>
  <c r="JY253" i="9"/>
  <c r="JX253" i="9"/>
  <c r="JU253" i="9"/>
  <c r="JT253" i="9"/>
  <c r="JS253" i="9"/>
  <c r="JR253" i="9"/>
  <c r="JQ253" i="9"/>
  <c r="JP253" i="9"/>
  <c r="JO253" i="9"/>
  <c r="JN253" i="9"/>
  <c r="JM253" i="9"/>
  <c r="JL253" i="9"/>
  <c r="JK253" i="9"/>
  <c r="JJ253" i="9"/>
  <c r="JG253" i="9"/>
  <c r="JF253" i="9"/>
  <c r="JE253" i="9"/>
  <c r="JD253" i="9"/>
  <c r="JC253" i="9"/>
  <c r="JB253" i="9"/>
  <c r="JA253" i="9"/>
  <c r="IZ253" i="9"/>
  <c r="IY253" i="9"/>
  <c r="IX253" i="9"/>
  <c r="IW253" i="9"/>
  <c r="IV253" i="9"/>
  <c r="IS253" i="9"/>
  <c r="IR253" i="9"/>
  <c r="IQ253" i="9"/>
  <c r="IP253" i="9"/>
  <c r="IO253" i="9"/>
  <c r="IN253" i="9"/>
  <c r="IM253" i="9"/>
  <c r="IL253" i="9"/>
  <c r="IK253" i="9"/>
  <c r="IJ253" i="9"/>
  <c r="II253" i="9"/>
  <c r="IH253" i="9"/>
  <c r="IE253" i="9"/>
  <c r="ID253" i="9"/>
  <c r="IC253" i="9"/>
  <c r="IB253" i="9"/>
  <c r="IA253" i="9"/>
  <c r="HZ253" i="9"/>
  <c r="HY253" i="9"/>
  <c r="HX253" i="9"/>
  <c r="HW253" i="9"/>
  <c r="HV253" i="9"/>
  <c r="HU253" i="9"/>
  <c r="HT253" i="9"/>
  <c r="HQ253" i="9"/>
  <c r="HP253" i="9"/>
  <c r="HO253" i="9"/>
  <c r="HN253" i="9"/>
  <c r="HM253" i="9"/>
  <c r="HL253" i="9"/>
  <c r="HK253" i="9"/>
  <c r="HJ253" i="9"/>
  <c r="HI253" i="9"/>
  <c r="HH253" i="9"/>
  <c r="HG253" i="9"/>
  <c r="HF253" i="9"/>
  <c r="HC253" i="9"/>
  <c r="HB253" i="9"/>
  <c r="HA253" i="9"/>
  <c r="GZ253" i="9"/>
  <c r="GY253" i="9"/>
  <c r="GX253" i="9"/>
  <c r="GW253" i="9"/>
  <c r="GV253" i="9"/>
  <c r="GU253" i="9"/>
  <c r="GT253" i="9"/>
  <c r="GS253" i="9"/>
  <c r="GR253" i="9"/>
  <c r="GO253" i="9"/>
  <c r="GN253" i="9"/>
  <c r="GM253" i="9"/>
  <c r="GL253" i="9"/>
  <c r="GK253" i="9"/>
  <c r="GJ253" i="9"/>
  <c r="GI253" i="9"/>
  <c r="GH253" i="9"/>
  <c r="GG253" i="9"/>
  <c r="GF253" i="9"/>
  <c r="GE253" i="9"/>
  <c r="GD253" i="9"/>
  <c r="GA253" i="9"/>
  <c r="FZ253" i="9"/>
  <c r="FY253" i="9"/>
  <c r="FX253" i="9"/>
  <c r="FW253" i="9"/>
  <c r="FV253" i="9"/>
  <c r="FU253" i="9"/>
  <c r="FT253" i="9"/>
  <c r="FS253" i="9"/>
  <c r="FR253" i="9"/>
  <c r="FQ253" i="9"/>
  <c r="FP253" i="9"/>
  <c r="FM253" i="9"/>
  <c r="FL253" i="9"/>
  <c r="FK253" i="9"/>
  <c r="FJ253" i="9"/>
  <c r="FI253" i="9"/>
  <c r="FH253" i="9"/>
  <c r="FG253" i="9"/>
  <c r="FF253" i="9"/>
  <c r="FE253" i="9"/>
  <c r="FD253" i="9"/>
  <c r="FC253" i="9"/>
  <c r="FB253" i="9"/>
  <c r="EY253" i="9"/>
  <c r="EX253" i="9"/>
  <c r="EW253" i="9"/>
  <c r="EV253" i="9"/>
  <c r="EU253" i="9"/>
  <c r="ET253" i="9"/>
  <c r="ES253" i="9"/>
  <c r="ER253" i="9"/>
  <c r="EQ253" i="9"/>
  <c r="EP253" i="9"/>
  <c r="EO253" i="9"/>
  <c r="EN253" i="9"/>
  <c r="EK253" i="9"/>
  <c r="EJ253" i="9"/>
  <c r="EI253" i="9"/>
  <c r="EH253" i="9"/>
  <c r="EG253" i="9"/>
  <c r="EF253" i="9"/>
  <c r="EE253" i="9"/>
  <c r="ED253" i="9"/>
  <c r="EC253" i="9"/>
  <c r="EB253" i="9"/>
  <c r="EA253" i="9"/>
  <c r="DZ253" i="9"/>
  <c r="DW253" i="9"/>
  <c r="DV253" i="9"/>
  <c r="DU253" i="9"/>
  <c r="DT253" i="9"/>
  <c r="DS253" i="9"/>
  <c r="DR253" i="9"/>
  <c r="DQ253" i="9"/>
  <c r="DP253" i="9"/>
  <c r="DO253" i="9"/>
  <c r="DN253" i="9"/>
  <c r="DM253" i="9"/>
  <c r="DL253" i="9"/>
  <c r="DI253" i="9"/>
  <c r="DH253" i="9"/>
  <c r="DG253" i="9"/>
  <c r="DF253" i="9"/>
  <c r="DE253" i="9"/>
  <c r="DD253" i="9"/>
  <c r="DC253" i="9"/>
  <c r="DB253" i="9"/>
  <c r="DA253" i="9"/>
  <c r="CZ253" i="9"/>
  <c r="CY253" i="9"/>
  <c r="CX253" i="9"/>
  <c r="CU253" i="9"/>
  <c r="CT253" i="9"/>
  <c r="CS253" i="9"/>
  <c r="CR253" i="9"/>
  <c r="CQ253" i="9"/>
  <c r="CP253" i="9"/>
  <c r="CO253" i="9"/>
  <c r="CN253" i="9"/>
  <c r="CM253" i="9"/>
  <c r="CL253" i="9"/>
  <c r="CK253" i="9"/>
  <c r="CJ253" i="9"/>
  <c r="CG253" i="9"/>
  <c r="CF253" i="9"/>
  <c r="CE253" i="9"/>
  <c r="CD253" i="9"/>
  <c r="CC253" i="9"/>
  <c r="CB253" i="9"/>
  <c r="CA253" i="9"/>
  <c r="BZ253" i="9"/>
  <c r="BY253" i="9"/>
  <c r="BX253" i="9"/>
  <c r="BW253" i="9"/>
  <c r="BV253" i="9"/>
  <c r="BS253" i="9"/>
  <c r="BR253" i="9"/>
  <c r="BQ253" i="9"/>
  <c r="BP253" i="9"/>
  <c r="BO253" i="9"/>
  <c r="BN253" i="9"/>
  <c r="BM253" i="9"/>
  <c r="BL253" i="9"/>
  <c r="BK253" i="9"/>
  <c r="BJ253" i="9"/>
  <c r="BI253" i="9"/>
  <c r="BH253" i="9"/>
  <c r="BE253" i="9"/>
  <c r="BD253" i="9"/>
  <c r="BC253" i="9"/>
  <c r="BB253" i="9"/>
  <c r="BA253" i="9"/>
  <c r="AZ253" i="9"/>
  <c r="AY253" i="9"/>
  <c r="AX253" i="9"/>
  <c r="AW253" i="9"/>
  <c r="AV253" i="9"/>
  <c r="AU253" i="9"/>
  <c r="AT253" i="9"/>
  <c r="AQ253" i="9"/>
  <c r="AP253" i="9"/>
  <c r="AO253" i="9"/>
  <c r="AN253" i="9"/>
  <c r="AM253" i="9"/>
  <c r="AL253" i="9"/>
  <c r="AK253" i="9"/>
  <c r="AJ253" i="9"/>
  <c r="AI253" i="9"/>
  <c r="AH253" i="9"/>
  <c r="AG253" i="9"/>
  <c r="AF253" i="9"/>
  <c r="AC253" i="9"/>
  <c r="AB253" i="9"/>
  <c r="AA253" i="9"/>
  <c r="Z253" i="9"/>
  <c r="Y253" i="9"/>
  <c r="X253" i="9"/>
  <c r="W253" i="9"/>
  <c r="V253" i="9"/>
  <c r="U253" i="9"/>
  <c r="T253" i="9"/>
  <c r="S253" i="9"/>
  <c r="R253" i="9"/>
  <c r="O253" i="9"/>
  <c r="N253" i="9"/>
  <c r="M253" i="9"/>
  <c r="L253" i="9"/>
  <c r="K253" i="9"/>
  <c r="J253" i="9"/>
  <c r="I253" i="9"/>
  <c r="H253" i="9"/>
  <c r="G253" i="9"/>
  <c r="F253" i="9"/>
  <c r="E253" i="9"/>
  <c r="D253" i="9"/>
  <c r="LZ252" i="9"/>
  <c r="LK252" i="9"/>
  <c r="LJ252" i="9"/>
  <c r="LI252" i="9"/>
  <c r="LH252" i="9"/>
  <c r="LG252" i="9"/>
  <c r="LF252" i="9"/>
  <c r="LE252" i="9"/>
  <c r="LD252" i="9"/>
  <c r="LC252" i="9"/>
  <c r="LB252" i="9"/>
  <c r="LA252" i="9"/>
  <c r="KZ252" i="9"/>
  <c r="KW252" i="9"/>
  <c r="KV252" i="9"/>
  <c r="KU252" i="9"/>
  <c r="KT252" i="9"/>
  <c r="KS252" i="9"/>
  <c r="KR252" i="9"/>
  <c r="KQ252" i="9"/>
  <c r="KP252" i="9"/>
  <c r="KO252" i="9"/>
  <c r="KN252" i="9"/>
  <c r="KM252" i="9"/>
  <c r="KL252" i="9"/>
  <c r="KI252" i="9"/>
  <c r="KH252" i="9"/>
  <c r="KG252" i="9"/>
  <c r="KF252" i="9"/>
  <c r="KE252" i="9"/>
  <c r="KD252" i="9"/>
  <c r="KC252" i="9"/>
  <c r="KB252" i="9"/>
  <c r="KA252" i="9"/>
  <c r="JZ252" i="9"/>
  <c r="JY252" i="9"/>
  <c r="JX252" i="9"/>
  <c r="JU252" i="9"/>
  <c r="JT252" i="9"/>
  <c r="JS252" i="9"/>
  <c r="JR252" i="9"/>
  <c r="JQ252" i="9"/>
  <c r="JP252" i="9"/>
  <c r="JO252" i="9"/>
  <c r="JN252" i="9"/>
  <c r="JM252" i="9"/>
  <c r="JL252" i="9"/>
  <c r="JK252" i="9"/>
  <c r="JJ252" i="9"/>
  <c r="JG252" i="9"/>
  <c r="JF252" i="9"/>
  <c r="JE252" i="9"/>
  <c r="JD252" i="9"/>
  <c r="JC252" i="9"/>
  <c r="JB252" i="9"/>
  <c r="JA252" i="9"/>
  <c r="IZ252" i="9"/>
  <c r="IY252" i="9"/>
  <c r="IX252" i="9"/>
  <c r="IW252" i="9"/>
  <c r="IV252" i="9"/>
  <c r="IS252" i="9"/>
  <c r="IR252" i="9"/>
  <c r="IQ252" i="9"/>
  <c r="IP252" i="9"/>
  <c r="IO252" i="9"/>
  <c r="IN252" i="9"/>
  <c r="IM252" i="9"/>
  <c r="IL252" i="9"/>
  <c r="IK252" i="9"/>
  <c r="IJ252" i="9"/>
  <c r="II252" i="9"/>
  <c r="IH252" i="9"/>
  <c r="IE252" i="9"/>
  <c r="ID252" i="9"/>
  <c r="IC252" i="9"/>
  <c r="IB252" i="9"/>
  <c r="IA252" i="9"/>
  <c r="HZ252" i="9"/>
  <c r="HY252" i="9"/>
  <c r="HX252" i="9"/>
  <c r="HW252" i="9"/>
  <c r="HV252" i="9"/>
  <c r="HU252" i="9"/>
  <c r="HT252" i="9"/>
  <c r="HQ252" i="9"/>
  <c r="HP252" i="9"/>
  <c r="HO252" i="9"/>
  <c r="HN252" i="9"/>
  <c r="HM252" i="9"/>
  <c r="HL252" i="9"/>
  <c r="HK252" i="9"/>
  <c r="HJ252" i="9"/>
  <c r="HI252" i="9"/>
  <c r="HH252" i="9"/>
  <c r="HG252" i="9"/>
  <c r="HF252" i="9"/>
  <c r="HC252" i="9"/>
  <c r="HB252" i="9"/>
  <c r="HA252" i="9"/>
  <c r="GZ252" i="9"/>
  <c r="GY252" i="9"/>
  <c r="GX252" i="9"/>
  <c r="GW252" i="9"/>
  <c r="GV252" i="9"/>
  <c r="GU252" i="9"/>
  <c r="GT252" i="9"/>
  <c r="GS252" i="9"/>
  <c r="GR252" i="9"/>
  <c r="GO252" i="9"/>
  <c r="GN252" i="9"/>
  <c r="GM252" i="9"/>
  <c r="GL252" i="9"/>
  <c r="GK252" i="9"/>
  <c r="GJ252" i="9"/>
  <c r="GI252" i="9"/>
  <c r="GH252" i="9"/>
  <c r="GG252" i="9"/>
  <c r="GF252" i="9"/>
  <c r="GE252" i="9"/>
  <c r="GD252" i="9"/>
  <c r="GA252" i="9"/>
  <c r="FZ252" i="9"/>
  <c r="FY252" i="9"/>
  <c r="FX252" i="9"/>
  <c r="FW252" i="9"/>
  <c r="FV252" i="9"/>
  <c r="FU252" i="9"/>
  <c r="FT252" i="9"/>
  <c r="FS252" i="9"/>
  <c r="FR252" i="9"/>
  <c r="FQ252" i="9"/>
  <c r="FP252" i="9"/>
  <c r="FM252" i="9"/>
  <c r="FL252" i="9"/>
  <c r="FK252" i="9"/>
  <c r="FJ252" i="9"/>
  <c r="FI252" i="9"/>
  <c r="FH252" i="9"/>
  <c r="FG252" i="9"/>
  <c r="FF252" i="9"/>
  <c r="FE252" i="9"/>
  <c r="FD252" i="9"/>
  <c r="FC252" i="9"/>
  <c r="FB252" i="9"/>
  <c r="EY252" i="9"/>
  <c r="EX252" i="9"/>
  <c r="EW252" i="9"/>
  <c r="EV252" i="9"/>
  <c r="EU252" i="9"/>
  <c r="ET252" i="9"/>
  <c r="ES252" i="9"/>
  <c r="ER252" i="9"/>
  <c r="EQ252" i="9"/>
  <c r="EP252" i="9"/>
  <c r="EO252" i="9"/>
  <c r="EN252" i="9"/>
  <c r="EK252" i="9"/>
  <c r="EJ252" i="9"/>
  <c r="EI252" i="9"/>
  <c r="EH252" i="9"/>
  <c r="EG252" i="9"/>
  <c r="EF252" i="9"/>
  <c r="EE252" i="9"/>
  <c r="ED252" i="9"/>
  <c r="EC252" i="9"/>
  <c r="EB252" i="9"/>
  <c r="EA252" i="9"/>
  <c r="DZ252" i="9"/>
  <c r="DW252" i="9"/>
  <c r="DV252" i="9"/>
  <c r="DU252" i="9"/>
  <c r="DT252" i="9"/>
  <c r="DS252" i="9"/>
  <c r="DR252" i="9"/>
  <c r="DQ252" i="9"/>
  <c r="DP252" i="9"/>
  <c r="DO252" i="9"/>
  <c r="DN252" i="9"/>
  <c r="DM252" i="9"/>
  <c r="DL252" i="9"/>
  <c r="DI252" i="9"/>
  <c r="DH252" i="9"/>
  <c r="DG252" i="9"/>
  <c r="DF252" i="9"/>
  <c r="DE252" i="9"/>
  <c r="DD252" i="9"/>
  <c r="DC252" i="9"/>
  <c r="DB252" i="9"/>
  <c r="DA252" i="9"/>
  <c r="CZ252" i="9"/>
  <c r="CY252" i="9"/>
  <c r="CX252" i="9"/>
  <c r="CU252" i="9"/>
  <c r="CT252" i="9"/>
  <c r="CS252" i="9"/>
  <c r="CR252" i="9"/>
  <c r="CQ252" i="9"/>
  <c r="CP252" i="9"/>
  <c r="CO252" i="9"/>
  <c r="CN252" i="9"/>
  <c r="CM252" i="9"/>
  <c r="CL252" i="9"/>
  <c r="CK252" i="9"/>
  <c r="CJ252" i="9"/>
  <c r="CG252" i="9"/>
  <c r="CF252" i="9"/>
  <c r="CE252" i="9"/>
  <c r="CD252" i="9"/>
  <c r="CC252" i="9"/>
  <c r="CB252" i="9"/>
  <c r="CA252" i="9"/>
  <c r="BZ252" i="9"/>
  <c r="BY252" i="9"/>
  <c r="BX252" i="9"/>
  <c r="BW252" i="9"/>
  <c r="BV252" i="9"/>
  <c r="BS252" i="9"/>
  <c r="BR252" i="9"/>
  <c r="BQ252" i="9"/>
  <c r="BP252" i="9"/>
  <c r="BO252" i="9"/>
  <c r="BN252" i="9"/>
  <c r="BM252" i="9"/>
  <c r="BL252" i="9"/>
  <c r="BK252" i="9"/>
  <c r="BJ252" i="9"/>
  <c r="BI252" i="9"/>
  <c r="BH252" i="9"/>
  <c r="BE252" i="9"/>
  <c r="BD252" i="9"/>
  <c r="BC252" i="9"/>
  <c r="BB252" i="9"/>
  <c r="BA252" i="9"/>
  <c r="AZ252" i="9"/>
  <c r="AY252" i="9"/>
  <c r="AX252" i="9"/>
  <c r="AW252" i="9"/>
  <c r="AV252" i="9"/>
  <c r="AU252" i="9"/>
  <c r="AT252" i="9"/>
  <c r="AQ252" i="9"/>
  <c r="AP252" i="9"/>
  <c r="AO252" i="9"/>
  <c r="AN252" i="9"/>
  <c r="AM252" i="9"/>
  <c r="AL252" i="9"/>
  <c r="AK252" i="9"/>
  <c r="AJ252" i="9"/>
  <c r="AI252" i="9"/>
  <c r="AH252" i="9"/>
  <c r="AG252" i="9"/>
  <c r="AF252" i="9"/>
  <c r="AC252" i="9"/>
  <c r="AB252" i="9"/>
  <c r="AA252" i="9"/>
  <c r="Z252" i="9"/>
  <c r="Y252" i="9"/>
  <c r="X252" i="9"/>
  <c r="W252" i="9"/>
  <c r="V252" i="9"/>
  <c r="U252" i="9"/>
  <c r="T252" i="9"/>
  <c r="S252" i="9"/>
  <c r="R252" i="9"/>
  <c r="O252" i="9"/>
  <c r="N252" i="9"/>
  <c r="M252" i="9"/>
  <c r="L252" i="9"/>
  <c r="K252" i="9"/>
  <c r="J252" i="9"/>
  <c r="I252" i="9"/>
  <c r="H252" i="9"/>
  <c r="G252" i="9"/>
  <c r="F252" i="9"/>
  <c r="E252" i="9"/>
  <c r="D252" i="9"/>
  <c r="LZ251" i="9"/>
  <c r="LK251" i="9"/>
  <c r="LJ251" i="9"/>
  <c r="LI251" i="9"/>
  <c r="LH251" i="9"/>
  <c r="LG251" i="9"/>
  <c r="LF251" i="9"/>
  <c r="LE251" i="9"/>
  <c r="LD251" i="9"/>
  <c r="LC251" i="9"/>
  <c r="LB251" i="9"/>
  <c r="LA251" i="9"/>
  <c r="KZ251" i="9"/>
  <c r="KW251" i="9"/>
  <c r="KV251" i="9"/>
  <c r="KU251" i="9"/>
  <c r="KT251" i="9"/>
  <c r="KS251" i="9"/>
  <c r="KR251" i="9"/>
  <c r="KQ251" i="9"/>
  <c r="KP251" i="9"/>
  <c r="KO251" i="9"/>
  <c r="KN251" i="9"/>
  <c r="KM251" i="9"/>
  <c r="KL251" i="9"/>
  <c r="KI251" i="9"/>
  <c r="KH251" i="9"/>
  <c r="KG251" i="9"/>
  <c r="KF251" i="9"/>
  <c r="KE251" i="9"/>
  <c r="KD251" i="9"/>
  <c r="KC251" i="9"/>
  <c r="KB251" i="9"/>
  <c r="KA251" i="9"/>
  <c r="JZ251" i="9"/>
  <c r="JY251" i="9"/>
  <c r="JX251" i="9"/>
  <c r="JU251" i="9"/>
  <c r="JT251" i="9"/>
  <c r="JS251" i="9"/>
  <c r="JR251" i="9"/>
  <c r="JQ251" i="9"/>
  <c r="JP251" i="9"/>
  <c r="JO251" i="9"/>
  <c r="JN251" i="9"/>
  <c r="JM251" i="9"/>
  <c r="JL251" i="9"/>
  <c r="JK251" i="9"/>
  <c r="JJ251" i="9"/>
  <c r="JG251" i="9"/>
  <c r="JF251" i="9"/>
  <c r="JE251" i="9"/>
  <c r="JD251" i="9"/>
  <c r="JC251" i="9"/>
  <c r="JB251" i="9"/>
  <c r="JA251" i="9"/>
  <c r="IZ251" i="9"/>
  <c r="IY251" i="9"/>
  <c r="IX251" i="9"/>
  <c r="IW251" i="9"/>
  <c r="IV251" i="9"/>
  <c r="IS251" i="9"/>
  <c r="IR251" i="9"/>
  <c r="IQ251" i="9"/>
  <c r="IP251" i="9"/>
  <c r="IO251" i="9"/>
  <c r="IN251" i="9"/>
  <c r="IM251" i="9"/>
  <c r="IL251" i="9"/>
  <c r="IK251" i="9"/>
  <c r="IJ251" i="9"/>
  <c r="II251" i="9"/>
  <c r="IH251" i="9"/>
  <c r="IE251" i="9"/>
  <c r="ID251" i="9"/>
  <c r="IC251" i="9"/>
  <c r="IB251" i="9"/>
  <c r="IA251" i="9"/>
  <c r="HZ251" i="9"/>
  <c r="HY251" i="9"/>
  <c r="HX251" i="9"/>
  <c r="HW251" i="9"/>
  <c r="HV251" i="9"/>
  <c r="HU251" i="9"/>
  <c r="HT251" i="9"/>
  <c r="HQ251" i="9"/>
  <c r="HP251" i="9"/>
  <c r="HO251" i="9"/>
  <c r="HN251" i="9"/>
  <c r="HM251" i="9"/>
  <c r="HL251" i="9"/>
  <c r="HK251" i="9"/>
  <c r="HJ251" i="9"/>
  <c r="HI251" i="9"/>
  <c r="HH251" i="9"/>
  <c r="HG251" i="9"/>
  <c r="HF251" i="9"/>
  <c r="HC251" i="9"/>
  <c r="HB251" i="9"/>
  <c r="HA251" i="9"/>
  <c r="GZ251" i="9"/>
  <c r="GY251" i="9"/>
  <c r="GX251" i="9"/>
  <c r="GW251" i="9"/>
  <c r="GV251" i="9"/>
  <c r="GU251" i="9"/>
  <c r="GT251" i="9"/>
  <c r="GS251" i="9"/>
  <c r="GR251" i="9"/>
  <c r="GO251" i="9"/>
  <c r="GN251" i="9"/>
  <c r="GM251" i="9"/>
  <c r="GL251" i="9"/>
  <c r="GK251" i="9"/>
  <c r="GJ251" i="9"/>
  <c r="GI251" i="9"/>
  <c r="GH251" i="9"/>
  <c r="GG251" i="9"/>
  <c r="GF251" i="9"/>
  <c r="GE251" i="9"/>
  <c r="GD251" i="9"/>
  <c r="GA251" i="9"/>
  <c r="FZ251" i="9"/>
  <c r="FY251" i="9"/>
  <c r="FX251" i="9"/>
  <c r="FW251" i="9"/>
  <c r="FV251" i="9"/>
  <c r="FU251" i="9"/>
  <c r="FT251" i="9"/>
  <c r="FS251" i="9"/>
  <c r="FR251" i="9"/>
  <c r="FQ251" i="9"/>
  <c r="FP251" i="9"/>
  <c r="FM251" i="9"/>
  <c r="FL251" i="9"/>
  <c r="FK251" i="9"/>
  <c r="FJ251" i="9"/>
  <c r="FI251" i="9"/>
  <c r="FH251" i="9"/>
  <c r="FG251" i="9"/>
  <c r="FF251" i="9"/>
  <c r="FE251" i="9"/>
  <c r="FD251" i="9"/>
  <c r="FC251" i="9"/>
  <c r="FB251" i="9"/>
  <c r="EY251" i="9"/>
  <c r="EX251" i="9"/>
  <c r="EW251" i="9"/>
  <c r="EV251" i="9"/>
  <c r="EU251" i="9"/>
  <c r="ET251" i="9"/>
  <c r="ES251" i="9"/>
  <c r="ER251" i="9"/>
  <c r="EQ251" i="9"/>
  <c r="EP251" i="9"/>
  <c r="EO251" i="9"/>
  <c r="EN251" i="9"/>
  <c r="EK251" i="9"/>
  <c r="EJ251" i="9"/>
  <c r="EI251" i="9"/>
  <c r="EH251" i="9"/>
  <c r="EG251" i="9"/>
  <c r="EF251" i="9"/>
  <c r="EE251" i="9"/>
  <c r="ED251" i="9"/>
  <c r="EC251" i="9"/>
  <c r="EB251" i="9"/>
  <c r="EA251" i="9"/>
  <c r="DZ251" i="9"/>
  <c r="DW251" i="9"/>
  <c r="DV251" i="9"/>
  <c r="DU251" i="9"/>
  <c r="DT251" i="9"/>
  <c r="DS251" i="9"/>
  <c r="DR251" i="9"/>
  <c r="DQ251" i="9"/>
  <c r="DP251" i="9"/>
  <c r="DO251" i="9"/>
  <c r="DN251" i="9"/>
  <c r="DM251" i="9"/>
  <c r="DL251" i="9"/>
  <c r="DI251" i="9"/>
  <c r="DH251" i="9"/>
  <c r="DG251" i="9"/>
  <c r="DF251" i="9"/>
  <c r="DE251" i="9"/>
  <c r="DD251" i="9"/>
  <c r="DC251" i="9"/>
  <c r="DB251" i="9"/>
  <c r="DA251" i="9"/>
  <c r="CZ251" i="9"/>
  <c r="CY251" i="9"/>
  <c r="CX251" i="9"/>
  <c r="CU251" i="9"/>
  <c r="CT251" i="9"/>
  <c r="CS251" i="9"/>
  <c r="CR251" i="9"/>
  <c r="CQ251" i="9"/>
  <c r="CP251" i="9"/>
  <c r="CO251" i="9"/>
  <c r="CN251" i="9"/>
  <c r="CM251" i="9"/>
  <c r="CL251" i="9"/>
  <c r="CK251" i="9"/>
  <c r="CJ251" i="9"/>
  <c r="CG251" i="9"/>
  <c r="CF251" i="9"/>
  <c r="CE251" i="9"/>
  <c r="CD251" i="9"/>
  <c r="CC251" i="9"/>
  <c r="CB251" i="9"/>
  <c r="CA251" i="9"/>
  <c r="BZ251" i="9"/>
  <c r="BY251" i="9"/>
  <c r="BX251" i="9"/>
  <c r="BW251" i="9"/>
  <c r="BV251" i="9"/>
  <c r="BS251" i="9"/>
  <c r="BR251" i="9"/>
  <c r="BQ251" i="9"/>
  <c r="BP251" i="9"/>
  <c r="BO251" i="9"/>
  <c r="BN251" i="9"/>
  <c r="BM251" i="9"/>
  <c r="BL251" i="9"/>
  <c r="BK251" i="9"/>
  <c r="BJ251" i="9"/>
  <c r="BI251" i="9"/>
  <c r="BH251" i="9"/>
  <c r="BE251" i="9"/>
  <c r="BD251" i="9"/>
  <c r="BC251" i="9"/>
  <c r="BB251" i="9"/>
  <c r="BA251" i="9"/>
  <c r="AZ251" i="9"/>
  <c r="AY251" i="9"/>
  <c r="AX251" i="9"/>
  <c r="AW251" i="9"/>
  <c r="AV251" i="9"/>
  <c r="AU251" i="9"/>
  <c r="AT251" i="9"/>
  <c r="AQ251" i="9"/>
  <c r="AP251" i="9"/>
  <c r="AO251" i="9"/>
  <c r="AN251" i="9"/>
  <c r="AM251" i="9"/>
  <c r="AL251" i="9"/>
  <c r="AK251" i="9"/>
  <c r="AJ251" i="9"/>
  <c r="AI251" i="9"/>
  <c r="AH251" i="9"/>
  <c r="AG251" i="9"/>
  <c r="AF251" i="9"/>
  <c r="AC251" i="9"/>
  <c r="AB251" i="9"/>
  <c r="AA251" i="9"/>
  <c r="Z251" i="9"/>
  <c r="Y251" i="9"/>
  <c r="X251" i="9"/>
  <c r="W251" i="9"/>
  <c r="V251" i="9"/>
  <c r="U251" i="9"/>
  <c r="T251" i="9"/>
  <c r="S251" i="9"/>
  <c r="R251" i="9"/>
  <c r="O251" i="9"/>
  <c r="N251" i="9"/>
  <c r="M251" i="9"/>
  <c r="L251" i="9"/>
  <c r="K251" i="9"/>
  <c r="J251" i="9"/>
  <c r="I251" i="9"/>
  <c r="H251" i="9"/>
  <c r="G251" i="9"/>
  <c r="F251" i="9"/>
  <c r="E251" i="9"/>
  <c r="D251" i="9"/>
  <c r="LZ250" i="9"/>
  <c r="LK250" i="9"/>
  <c r="LJ250" i="9"/>
  <c r="LI250" i="9"/>
  <c r="LH250" i="9"/>
  <c r="LG250" i="9"/>
  <c r="LF250" i="9"/>
  <c r="LE250" i="9"/>
  <c r="LD250" i="9"/>
  <c r="LC250" i="9"/>
  <c r="LB250" i="9"/>
  <c r="LA250" i="9"/>
  <c r="KZ250" i="9"/>
  <c r="KW250" i="9"/>
  <c r="KV250" i="9"/>
  <c r="KU250" i="9"/>
  <c r="KT250" i="9"/>
  <c r="KS250" i="9"/>
  <c r="KR250" i="9"/>
  <c r="KQ250" i="9"/>
  <c r="KP250" i="9"/>
  <c r="KO250" i="9"/>
  <c r="KN250" i="9"/>
  <c r="KM250" i="9"/>
  <c r="KL250" i="9"/>
  <c r="KI250" i="9"/>
  <c r="KH250" i="9"/>
  <c r="KG250" i="9"/>
  <c r="KF250" i="9"/>
  <c r="KE250" i="9"/>
  <c r="KD250" i="9"/>
  <c r="KC250" i="9"/>
  <c r="KB250" i="9"/>
  <c r="KA250" i="9"/>
  <c r="JZ250" i="9"/>
  <c r="JY250" i="9"/>
  <c r="JX250" i="9"/>
  <c r="JU250" i="9"/>
  <c r="JT250" i="9"/>
  <c r="JS250" i="9"/>
  <c r="JR250" i="9"/>
  <c r="JQ250" i="9"/>
  <c r="JP250" i="9"/>
  <c r="JO250" i="9"/>
  <c r="JN250" i="9"/>
  <c r="JM250" i="9"/>
  <c r="JL250" i="9"/>
  <c r="JK250" i="9"/>
  <c r="JJ250" i="9"/>
  <c r="JG250" i="9"/>
  <c r="JF250" i="9"/>
  <c r="JE250" i="9"/>
  <c r="JD250" i="9"/>
  <c r="JC250" i="9"/>
  <c r="JB250" i="9"/>
  <c r="JA250" i="9"/>
  <c r="IZ250" i="9"/>
  <c r="IY250" i="9"/>
  <c r="IX250" i="9"/>
  <c r="IW250" i="9"/>
  <c r="IV250" i="9"/>
  <c r="IS250" i="9"/>
  <c r="IR250" i="9"/>
  <c r="IQ250" i="9"/>
  <c r="IP250" i="9"/>
  <c r="IO250" i="9"/>
  <c r="IN250" i="9"/>
  <c r="IM250" i="9"/>
  <c r="IL250" i="9"/>
  <c r="IK250" i="9"/>
  <c r="IJ250" i="9"/>
  <c r="II250" i="9"/>
  <c r="IH250" i="9"/>
  <c r="IE250" i="9"/>
  <c r="ID250" i="9"/>
  <c r="IC250" i="9"/>
  <c r="IB250" i="9"/>
  <c r="IA250" i="9"/>
  <c r="HZ250" i="9"/>
  <c r="HY250" i="9"/>
  <c r="HX250" i="9"/>
  <c r="HW250" i="9"/>
  <c r="HV250" i="9"/>
  <c r="HU250" i="9"/>
  <c r="HT250" i="9"/>
  <c r="HQ250" i="9"/>
  <c r="HP250" i="9"/>
  <c r="HO250" i="9"/>
  <c r="HN250" i="9"/>
  <c r="HM250" i="9"/>
  <c r="HL250" i="9"/>
  <c r="HK250" i="9"/>
  <c r="HJ250" i="9"/>
  <c r="HI250" i="9"/>
  <c r="HH250" i="9"/>
  <c r="HG250" i="9"/>
  <c r="HF250" i="9"/>
  <c r="HC250" i="9"/>
  <c r="HB250" i="9"/>
  <c r="HA250" i="9"/>
  <c r="GZ250" i="9"/>
  <c r="GY250" i="9"/>
  <c r="GX250" i="9"/>
  <c r="GW250" i="9"/>
  <c r="GV250" i="9"/>
  <c r="GU250" i="9"/>
  <c r="GT250" i="9"/>
  <c r="GS250" i="9"/>
  <c r="GR250" i="9"/>
  <c r="GO250" i="9"/>
  <c r="GN250" i="9"/>
  <c r="GM250" i="9"/>
  <c r="GL250" i="9"/>
  <c r="GK250" i="9"/>
  <c r="GJ250" i="9"/>
  <c r="GI250" i="9"/>
  <c r="GH250" i="9"/>
  <c r="GG250" i="9"/>
  <c r="GF250" i="9"/>
  <c r="GE250" i="9"/>
  <c r="GD250" i="9"/>
  <c r="GA250" i="9"/>
  <c r="FZ250" i="9"/>
  <c r="FY250" i="9"/>
  <c r="FX250" i="9"/>
  <c r="FW250" i="9"/>
  <c r="FV250" i="9"/>
  <c r="FU250" i="9"/>
  <c r="FT250" i="9"/>
  <c r="FS250" i="9"/>
  <c r="FR250" i="9"/>
  <c r="FQ250" i="9"/>
  <c r="FP250" i="9"/>
  <c r="FM250" i="9"/>
  <c r="FL250" i="9"/>
  <c r="FK250" i="9"/>
  <c r="FJ250" i="9"/>
  <c r="FI250" i="9"/>
  <c r="FH250" i="9"/>
  <c r="FG250" i="9"/>
  <c r="FF250" i="9"/>
  <c r="FE250" i="9"/>
  <c r="FD250" i="9"/>
  <c r="FC250" i="9"/>
  <c r="FB250" i="9"/>
  <c r="EY250" i="9"/>
  <c r="EX250" i="9"/>
  <c r="EW250" i="9"/>
  <c r="EV250" i="9"/>
  <c r="EU250" i="9"/>
  <c r="ET250" i="9"/>
  <c r="ES250" i="9"/>
  <c r="ER250" i="9"/>
  <c r="EQ250" i="9"/>
  <c r="EP250" i="9"/>
  <c r="EO250" i="9"/>
  <c r="EN250" i="9"/>
  <c r="EK250" i="9"/>
  <c r="EJ250" i="9"/>
  <c r="EI250" i="9"/>
  <c r="EH250" i="9"/>
  <c r="EG250" i="9"/>
  <c r="EF250" i="9"/>
  <c r="EE250" i="9"/>
  <c r="ED250" i="9"/>
  <c r="EC250" i="9"/>
  <c r="EB250" i="9"/>
  <c r="EA250" i="9"/>
  <c r="DZ250" i="9"/>
  <c r="DW250" i="9"/>
  <c r="DV250" i="9"/>
  <c r="DU250" i="9"/>
  <c r="DT250" i="9"/>
  <c r="DS250" i="9"/>
  <c r="DR250" i="9"/>
  <c r="DQ250" i="9"/>
  <c r="DP250" i="9"/>
  <c r="DO250" i="9"/>
  <c r="DN250" i="9"/>
  <c r="DM250" i="9"/>
  <c r="DL250" i="9"/>
  <c r="DI250" i="9"/>
  <c r="DH250" i="9"/>
  <c r="DG250" i="9"/>
  <c r="DF250" i="9"/>
  <c r="DE250" i="9"/>
  <c r="DD250" i="9"/>
  <c r="DC250" i="9"/>
  <c r="DB250" i="9"/>
  <c r="DA250" i="9"/>
  <c r="CZ250" i="9"/>
  <c r="CY250" i="9"/>
  <c r="CX250" i="9"/>
  <c r="CU250" i="9"/>
  <c r="CT250" i="9"/>
  <c r="CS250" i="9"/>
  <c r="CR250" i="9"/>
  <c r="CQ250" i="9"/>
  <c r="CP250" i="9"/>
  <c r="CO250" i="9"/>
  <c r="CN250" i="9"/>
  <c r="CM250" i="9"/>
  <c r="CL250" i="9"/>
  <c r="CK250" i="9"/>
  <c r="CJ250" i="9"/>
  <c r="CG250" i="9"/>
  <c r="CF250" i="9"/>
  <c r="CE250" i="9"/>
  <c r="CD250" i="9"/>
  <c r="CC250" i="9"/>
  <c r="CB250" i="9"/>
  <c r="CA250" i="9"/>
  <c r="BZ250" i="9"/>
  <c r="BY250" i="9"/>
  <c r="BX250" i="9"/>
  <c r="BW250" i="9"/>
  <c r="BV250" i="9"/>
  <c r="BS250" i="9"/>
  <c r="BR250" i="9"/>
  <c r="BQ250" i="9"/>
  <c r="BP250" i="9"/>
  <c r="BO250" i="9"/>
  <c r="BN250" i="9"/>
  <c r="BM250" i="9"/>
  <c r="BL250" i="9"/>
  <c r="BK250" i="9"/>
  <c r="BJ250" i="9"/>
  <c r="BI250" i="9"/>
  <c r="BH250" i="9"/>
  <c r="BE250" i="9"/>
  <c r="BD250" i="9"/>
  <c r="BC250" i="9"/>
  <c r="BB250" i="9"/>
  <c r="BA250" i="9"/>
  <c r="AZ250" i="9"/>
  <c r="AY250" i="9"/>
  <c r="AX250" i="9"/>
  <c r="AW250" i="9"/>
  <c r="AV250" i="9"/>
  <c r="AU250" i="9"/>
  <c r="AT250" i="9"/>
  <c r="AQ250" i="9"/>
  <c r="AP250" i="9"/>
  <c r="AO250" i="9"/>
  <c r="AN250" i="9"/>
  <c r="AM250" i="9"/>
  <c r="AL250" i="9"/>
  <c r="AK250" i="9"/>
  <c r="AJ250" i="9"/>
  <c r="AI250" i="9"/>
  <c r="AH250" i="9"/>
  <c r="AG250" i="9"/>
  <c r="AF250" i="9"/>
  <c r="AC250" i="9"/>
  <c r="AB250" i="9"/>
  <c r="AA250" i="9"/>
  <c r="Z250" i="9"/>
  <c r="Y250" i="9"/>
  <c r="X250" i="9"/>
  <c r="W250" i="9"/>
  <c r="V250" i="9"/>
  <c r="U250" i="9"/>
  <c r="T250" i="9"/>
  <c r="S250" i="9"/>
  <c r="R250" i="9"/>
  <c r="O250" i="9"/>
  <c r="N250" i="9"/>
  <c r="M250" i="9"/>
  <c r="L250" i="9"/>
  <c r="K250" i="9"/>
  <c r="J250" i="9"/>
  <c r="I250" i="9"/>
  <c r="H250" i="9"/>
  <c r="G250" i="9"/>
  <c r="F250" i="9"/>
  <c r="E250" i="9"/>
  <c r="D250" i="9"/>
  <c r="LZ249" i="9"/>
  <c r="LK249" i="9"/>
  <c r="LJ249" i="9"/>
  <c r="LI249" i="9"/>
  <c r="LH249" i="9"/>
  <c r="LG249" i="9"/>
  <c r="LF249" i="9"/>
  <c r="LE249" i="9"/>
  <c r="LD249" i="9"/>
  <c r="LC249" i="9"/>
  <c r="LB249" i="9"/>
  <c r="LA249" i="9"/>
  <c r="KZ249" i="9"/>
  <c r="KW249" i="9"/>
  <c r="KV249" i="9"/>
  <c r="KU249" i="9"/>
  <c r="KT249" i="9"/>
  <c r="KS249" i="9"/>
  <c r="KR249" i="9"/>
  <c r="KQ249" i="9"/>
  <c r="KP249" i="9"/>
  <c r="KO249" i="9"/>
  <c r="KN249" i="9"/>
  <c r="KM249" i="9"/>
  <c r="KL249" i="9"/>
  <c r="KI249" i="9"/>
  <c r="KH249" i="9"/>
  <c r="KG249" i="9"/>
  <c r="KF249" i="9"/>
  <c r="KE249" i="9"/>
  <c r="KD249" i="9"/>
  <c r="KC249" i="9"/>
  <c r="KB249" i="9"/>
  <c r="KA249" i="9"/>
  <c r="JZ249" i="9"/>
  <c r="JY249" i="9"/>
  <c r="JX249" i="9"/>
  <c r="JU249" i="9"/>
  <c r="JT249" i="9"/>
  <c r="JS249" i="9"/>
  <c r="JR249" i="9"/>
  <c r="JQ249" i="9"/>
  <c r="JP249" i="9"/>
  <c r="JO249" i="9"/>
  <c r="JN249" i="9"/>
  <c r="JM249" i="9"/>
  <c r="JL249" i="9"/>
  <c r="JK249" i="9"/>
  <c r="JJ249" i="9"/>
  <c r="JG249" i="9"/>
  <c r="JF249" i="9"/>
  <c r="JE249" i="9"/>
  <c r="JD249" i="9"/>
  <c r="JC249" i="9"/>
  <c r="JB249" i="9"/>
  <c r="JA249" i="9"/>
  <c r="IZ249" i="9"/>
  <c r="IY249" i="9"/>
  <c r="IX249" i="9"/>
  <c r="IW249" i="9"/>
  <c r="IV249" i="9"/>
  <c r="IS249" i="9"/>
  <c r="IR249" i="9"/>
  <c r="IQ249" i="9"/>
  <c r="IP249" i="9"/>
  <c r="IO249" i="9"/>
  <c r="IN249" i="9"/>
  <c r="IM249" i="9"/>
  <c r="IL249" i="9"/>
  <c r="IK249" i="9"/>
  <c r="IJ249" i="9"/>
  <c r="II249" i="9"/>
  <c r="IH249" i="9"/>
  <c r="IE249" i="9"/>
  <c r="ID249" i="9"/>
  <c r="IC249" i="9"/>
  <c r="IB249" i="9"/>
  <c r="IA249" i="9"/>
  <c r="HZ249" i="9"/>
  <c r="HY249" i="9"/>
  <c r="HX249" i="9"/>
  <c r="HW249" i="9"/>
  <c r="HV249" i="9"/>
  <c r="HU249" i="9"/>
  <c r="HT249" i="9"/>
  <c r="HQ249" i="9"/>
  <c r="HP249" i="9"/>
  <c r="HO249" i="9"/>
  <c r="HN249" i="9"/>
  <c r="HM249" i="9"/>
  <c r="HL249" i="9"/>
  <c r="HK249" i="9"/>
  <c r="HJ249" i="9"/>
  <c r="HI249" i="9"/>
  <c r="HH249" i="9"/>
  <c r="HG249" i="9"/>
  <c r="HF249" i="9"/>
  <c r="HC249" i="9"/>
  <c r="HB249" i="9"/>
  <c r="HA249" i="9"/>
  <c r="GZ249" i="9"/>
  <c r="GY249" i="9"/>
  <c r="GX249" i="9"/>
  <c r="GW249" i="9"/>
  <c r="GV249" i="9"/>
  <c r="GU249" i="9"/>
  <c r="GT249" i="9"/>
  <c r="GS249" i="9"/>
  <c r="GR249" i="9"/>
  <c r="GO249" i="9"/>
  <c r="GN249" i="9"/>
  <c r="GM249" i="9"/>
  <c r="GL249" i="9"/>
  <c r="GK249" i="9"/>
  <c r="GJ249" i="9"/>
  <c r="GI249" i="9"/>
  <c r="GH249" i="9"/>
  <c r="GG249" i="9"/>
  <c r="GF249" i="9"/>
  <c r="GE249" i="9"/>
  <c r="GD249" i="9"/>
  <c r="GA249" i="9"/>
  <c r="FZ249" i="9"/>
  <c r="FY249" i="9"/>
  <c r="FX249" i="9"/>
  <c r="FW249" i="9"/>
  <c r="FV249" i="9"/>
  <c r="FU249" i="9"/>
  <c r="FT249" i="9"/>
  <c r="FS249" i="9"/>
  <c r="FR249" i="9"/>
  <c r="FQ249" i="9"/>
  <c r="FP249" i="9"/>
  <c r="FM249" i="9"/>
  <c r="FL249" i="9"/>
  <c r="FK249" i="9"/>
  <c r="FJ249" i="9"/>
  <c r="FI249" i="9"/>
  <c r="FH249" i="9"/>
  <c r="FG249" i="9"/>
  <c r="FF249" i="9"/>
  <c r="FE249" i="9"/>
  <c r="FD249" i="9"/>
  <c r="FC249" i="9"/>
  <c r="FB249" i="9"/>
  <c r="EY249" i="9"/>
  <c r="EX249" i="9"/>
  <c r="EW249" i="9"/>
  <c r="EV249" i="9"/>
  <c r="EU249" i="9"/>
  <c r="ET249" i="9"/>
  <c r="ES249" i="9"/>
  <c r="ER249" i="9"/>
  <c r="EQ249" i="9"/>
  <c r="EP249" i="9"/>
  <c r="EO249" i="9"/>
  <c r="EN249" i="9"/>
  <c r="EK249" i="9"/>
  <c r="EJ249" i="9"/>
  <c r="EI249" i="9"/>
  <c r="EH249" i="9"/>
  <c r="EG249" i="9"/>
  <c r="EF249" i="9"/>
  <c r="EE249" i="9"/>
  <c r="ED249" i="9"/>
  <c r="EC249" i="9"/>
  <c r="EB249" i="9"/>
  <c r="EA249" i="9"/>
  <c r="DZ249" i="9"/>
  <c r="DW249" i="9"/>
  <c r="DV249" i="9"/>
  <c r="DU249" i="9"/>
  <c r="DT249" i="9"/>
  <c r="DS249" i="9"/>
  <c r="DR249" i="9"/>
  <c r="DQ249" i="9"/>
  <c r="DP249" i="9"/>
  <c r="DO249" i="9"/>
  <c r="DN249" i="9"/>
  <c r="DM249" i="9"/>
  <c r="DL249" i="9"/>
  <c r="DI249" i="9"/>
  <c r="DH249" i="9"/>
  <c r="DG249" i="9"/>
  <c r="DF249" i="9"/>
  <c r="DE249" i="9"/>
  <c r="DD249" i="9"/>
  <c r="DC249" i="9"/>
  <c r="DB249" i="9"/>
  <c r="DA249" i="9"/>
  <c r="CZ249" i="9"/>
  <c r="CY249" i="9"/>
  <c r="CX249" i="9"/>
  <c r="CU249" i="9"/>
  <c r="CT249" i="9"/>
  <c r="CS249" i="9"/>
  <c r="CR249" i="9"/>
  <c r="CQ249" i="9"/>
  <c r="CP249" i="9"/>
  <c r="CO249" i="9"/>
  <c r="CN249" i="9"/>
  <c r="CM249" i="9"/>
  <c r="CL249" i="9"/>
  <c r="CK249" i="9"/>
  <c r="CJ249" i="9"/>
  <c r="CG249" i="9"/>
  <c r="CF249" i="9"/>
  <c r="CE249" i="9"/>
  <c r="CD249" i="9"/>
  <c r="CC249" i="9"/>
  <c r="CB249" i="9"/>
  <c r="CA249" i="9"/>
  <c r="BZ249" i="9"/>
  <c r="BY249" i="9"/>
  <c r="BX249" i="9"/>
  <c r="BW249" i="9"/>
  <c r="BV249" i="9"/>
  <c r="BS249" i="9"/>
  <c r="BR249" i="9"/>
  <c r="BQ249" i="9"/>
  <c r="BP249" i="9"/>
  <c r="BO249" i="9"/>
  <c r="BN249" i="9"/>
  <c r="BM249" i="9"/>
  <c r="BL249" i="9"/>
  <c r="BK249" i="9"/>
  <c r="BJ249" i="9"/>
  <c r="BI249" i="9"/>
  <c r="BH249" i="9"/>
  <c r="BE249" i="9"/>
  <c r="BD249" i="9"/>
  <c r="BC249" i="9"/>
  <c r="BB249" i="9"/>
  <c r="BA249" i="9"/>
  <c r="AZ249" i="9"/>
  <c r="AY249" i="9"/>
  <c r="AX249" i="9"/>
  <c r="AW249" i="9"/>
  <c r="AV249" i="9"/>
  <c r="AU249" i="9"/>
  <c r="AT249" i="9"/>
  <c r="AQ249" i="9"/>
  <c r="AP249" i="9"/>
  <c r="AO249" i="9"/>
  <c r="AN249" i="9"/>
  <c r="AM249" i="9"/>
  <c r="AL249" i="9"/>
  <c r="AK249" i="9"/>
  <c r="AJ249" i="9"/>
  <c r="AI249" i="9"/>
  <c r="AH249" i="9"/>
  <c r="AG249" i="9"/>
  <c r="AF249" i="9"/>
  <c r="AC249" i="9"/>
  <c r="AB249" i="9"/>
  <c r="AA249" i="9"/>
  <c r="Z249" i="9"/>
  <c r="Y249" i="9"/>
  <c r="X249" i="9"/>
  <c r="W249" i="9"/>
  <c r="V249" i="9"/>
  <c r="U249" i="9"/>
  <c r="T249" i="9"/>
  <c r="S249" i="9"/>
  <c r="R249" i="9"/>
  <c r="O249" i="9"/>
  <c r="N249" i="9"/>
  <c r="M249" i="9"/>
  <c r="L249" i="9"/>
  <c r="K249" i="9"/>
  <c r="J249" i="9"/>
  <c r="I249" i="9"/>
  <c r="H249" i="9"/>
  <c r="G249" i="9"/>
  <c r="F249" i="9"/>
  <c r="E249" i="9"/>
  <c r="D249" i="9"/>
  <c r="HD248" i="9"/>
  <c r="HD247" i="9"/>
  <c r="LZ246" i="9"/>
  <c r="LL246" i="9"/>
  <c r="KX246" i="9"/>
  <c r="KJ246" i="9"/>
  <c r="JV246" i="9"/>
  <c r="JH246" i="9"/>
  <c r="IT246" i="9"/>
  <c r="IF246" i="9"/>
  <c r="HR246" i="9"/>
  <c r="HD246" i="9"/>
  <c r="GP246" i="9"/>
  <c r="GB246" i="9"/>
  <c r="FN246" i="9"/>
  <c r="EZ246" i="9"/>
  <c r="EL246" i="9"/>
  <c r="DX246" i="9"/>
  <c r="DJ246" i="9"/>
  <c r="CV246" i="9"/>
  <c r="CH246" i="9"/>
  <c r="BT246" i="9"/>
  <c r="BF246" i="9"/>
  <c r="AR246" i="9"/>
  <c r="AD246" i="9"/>
  <c r="O246" i="9"/>
  <c r="N246" i="9"/>
  <c r="M246" i="9"/>
  <c r="L246" i="9"/>
  <c r="K246" i="9"/>
  <c r="J246" i="9"/>
  <c r="I246" i="9"/>
  <c r="H246" i="9"/>
  <c r="G246" i="9"/>
  <c r="F246" i="9"/>
  <c r="E246" i="9"/>
  <c r="D246" i="9"/>
  <c r="HD245" i="9"/>
  <c r="HD244" i="9"/>
  <c r="HD242" i="9"/>
  <c r="HD240" i="9"/>
  <c r="LZ239" i="9"/>
  <c r="LL239" i="9"/>
  <c r="KX239" i="9"/>
  <c r="KJ239" i="9"/>
  <c r="JV239" i="9"/>
  <c r="JH239" i="9"/>
  <c r="IT239" i="9"/>
  <c r="IF239" i="9"/>
  <c r="HR239" i="9"/>
  <c r="HD239" i="9"/>
  <c r="GP239" i="9"/>
  <c r="GB239" i="9"/>
  <c r="FN239" i="9"/>
  <c r="EZ239" i="9"/>
  <c r="EL239" i="9"/>
  <c r="DX239" i="9"/>
  <c r="DJ239" i="9"/>
  <c r="CV239" i="9"/>
  <c r="CH239" i="9"/>
  <c r="BT239" i="9"/>
  <c r="BF239" i="9"/>
  <c r="AR239" i="9"/>
  <c r="AD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HD238" i="9"/>
  <c r="LY237" i="9"/>
  <c r="LX237" i="9"/>
  <c r="LW237" i="9"/>
  <c r="LV237" i="9"/>
  <c r="LU237" i="9"/>
  <c r="LT237" i="9"/>
  <c r="LS237" i="9"/>
  <c r="LR237" i="9"/>
  <c r="LQ237" i="9"/>
  <c r="LP237" i="9"/>
  <c r="LO237" i="9"/>
  <c r="LN237" i="9"/>
  <c r="HD236" i="9"/>
  <c r="LZ235" i="9"/>
  <c r="LK235" i="9"/>
  <c r="LJ235" i="9"/>
  <c r="LI235" i="9"/>
  <c r="LH235" i="9"/>
  <c r="LG235" i="9"/>
  <c r="LF235" i="9"/>
  <c r="LE235" i="9"/>
  <c r="LD235" i="9"/>
  <c r="LC235" i="9"/>
  <c r="LB235" i="9"/>
  <c r="LA235" i="9"/>
  <c r="KZ235" i="9"/>
  <c r="KW235" i="9"/>
  <c r="KV235" i="9"/>
  <c r="KU235" i="9"/>
  <c r="KT235" i="9"/>
  <c r="KS235" i="9"/>
  <c r="KR235" i="9"/>
  <c r="KQ235" i="9"/>
  <c r="KP235" i="9"/>
  <c r="KO235" i="9"/>
  <c r="KN235" i="9"/>
  <c r="KM235" i="9"/>
  <c r="KL235" i="9"/>
  <c r="KI235" i="9"/>
  <c r="KH235" i="9"/>
  <c r="KG235" i="9"/>
  <c r="KF235" i="9"/>
  <c r="KE235" i="9"/>
  <c r="KD235" i="9"/>
  <c r="KC235" i="9"/>
  <c r="KB235" i="9"/>
  <c r="KA235" i="9"/>
  <c r="JZ235" i="9"/>
  <c r="JY235" i="9"/>
  <c r="JX235" i="9"/>
  <c r="JU235" i="9"/>
  <c r="JT235" i="9"/>
  <c r="JS235" i="9"/>
  <c r="JR235" i="9"/>
  <c r="JQ235" i="9"/>
  <c r="JP235" i="9"/>
  <c r="JO235" i="9"/>
  <c r="JN235" i="9"/>
  <c r="JM235" i="9"/>
  <c r="JL235" i="9"/>
  <c r="JK235" i="9"/>
  <c r="JJ235" i="9"/>
  <c r="JG235" i="9"/>
  <c r="JF235" i="9"/>
  <c r="JE235" i="9"/>
  <c r="JD235" i="9"/>
  <c r="JC235" i="9"/>
  <c r="JB235" i="9"/>
  <c r="JA235" i="9"/>
  <c r="IZ235" i="9"/>
  <c r="IY235" i="9"/>
  <c r="IX235" i="9"/>
  <c r="IW235" i="9"/>
  <c r="IV235" i="9"/>
  <c r="IS235" i="9"/>
  <c r="IR235" i="9"/>
  <c r="IQ235" i="9"/>
  <c r="IP235" i="9"/>
  <c r="IO235" i="9"/>
  <c r="IN235" i="9"/>
  <c r="IM235" i="9"/>
  <c r="IL235" i="9"/>
  <c r="IK235" i="9"/>
  <c r="IJ235" i="9"/>
  <c r="II235" i="9"/>
  <c r="IH235" i="9"/>
  <c r="IE235" i="9"/>
  <c r="ID235" i="9"/>
  <c r="IC235" i="9"/>
  <c r="IB235" i="9"/>
  <c r="IA235" i="9"/>
  <c r="HZ235" i="9"/>
  <c r="HY235" i="9"/>
  <c r="HX235" i="9"/>
  <c r="HW235" i="9"/>
  <c r="HV235" i="9"/>
  <c r="HU235" i="9"/>
  <c r="HT235" i="9"/>
  <c r="HQ235" i="9"/>
  <c r="HP235" i="9"/>
  <c r="HO235" i="9"/>
  <c r="HN235" i="9"/>
  <c r="HM235" i="9"/>
  <c r="HL235" i="9"/>
  <c r="HK235" i="9"/>
  <c r="HJ235" i="9"/>
  <c r="HI235" i="9"/>
  <c r="HH235" i="9"/>
  <c r="HG235" i="9"/>
  <c r="HF235" i="9"/>
  <c r="HC235" i="9"/>
  <c r="HB235" i="9"/>
  <c r="HA235" i="9"/>
  <c r="GZ235" i="9"/>
  <c r="GY235" i="9"/>
  <c r="GX235" i="9"/>
  <c r="GW235" i="9"/>
  <c r="GV235" i="9"/>
  <c r="GU235" i="9"/>
  <c r="GT235" i="9"/>
  <c r="GS235" i="9"/>
  <c r="GR235" i="9"/>
  <c r="GO235" i="9"/>
  <c r="GN235" i="9"/>
  <c r="GM235" i="9"/>
  <c r="GL235" i="9"/>
  <c r="GK235" i="9"/>
  <c r="GJ235" i="9"/>
  <c r="GI235" i="9"/>
  <c r="GH235" i="9"/>
  <c r="GG235" i="9"/>
  <c r="GF235" i="9"/>
  <c r="GE235" i="9"/>
  <c r="GD235" i="9"/>
  <c r="GA235" i="9"/>
  <c r="FZ235" i="9"/>
  <c r="FY235" i="9"/>
  <c r="FX235" i="9"/>
  <c r="FW235" i="9"/>
  <c r="FV235" i="9"/>
  <c r="FU235" i="9"/>
  <c r="FT235" i="9"/>
  <c r="FS235" i="9"/>
  <c r="FR235" i="9"/>
  <c r="FQ235" i="9"/>
  <c r="FP235" i="9"/>
  <c r="FM235" i="9"/>
  <c r="FL235" i="9"/>
  <c r="FK235" i="9"/>
  <c r="FJ235" i="9"/>
  <c r="FI235" i="9"/>
  <c r="FH235" i="9"/>
  <c r="FG235" i="9"/>
  <c r="FF235" i="9"/>
  <c r="FE235" i="9"/>
  <c r="FD235" i="9"/>
  <c r="FC235" i="9"/>
  <c r="FB235" i="9"/>
  <c r="EY235" i="9"/>
  <c r="EX235" i="9"/>
  <c r="EW235" i="9"/>
  <c r="EV235" i="9"/>
  <c r="EU235" i="9"/>
  <c r="ET235" i="9"/>
  <c r="ES235" i="9"/>
  <c r="ER235" i="9"/>
  <c r="EQ235" i="9"/>
  <c r="EP235" i="9"/>
  <c r="EO235" i="9"/>
  <c r="EN235" i="9"/>
  <c r="EK235" i="9"/>
  <c r="EJ235" i="9"/>
  <c r="EI235" i="9"/>
  <c r="EH235" i="9"/>
  <c r="EG235" i="9"/>
  <c r="EF235" i="9"/>
  <c r="EE235" i="9"/>
  <c r="ED235" i="9"/>
  <c r="EC235" i="9"/>
  <c r="EB235" i="9"/>
  <c r="EA235" i="9"/>
  <c r="DZ235" i="9"/>
  <c r="DW235" i="9"/>
  <c r="DV235" i="9"/>
  <c r="DU235" i="9"/>
  <c r="DT235" i="9"/>
  <c r="DS235" i="9"/>
  <c r="DR235" i="9"/>
  <c r="DQ235" i="9"/>
  <c r="DP235" i="9"/>
  <c r="DO235" i="9"/>
  <c r="DN235" i="9"/>
  <c r="DM235" i="9"/>
  <c r="DL235" i="9"/>
  <c r="DI235" i="9"/>
  <c r="DH235" i="9"/>
  <c r="DG235" i="9"/>
  <c r="DF235" i="9"/>
  <c r="DE235" i="9"/>
  <c r="DD235" i="9"/>
  <c r="DC235" i="9"/>
  <c r="DB235" i="9"/>
  <c r="DA235" i="9"/>
  <c r="CZ235" i="9"/>
  <c r="CY235" i="9"/>
  <c r="CX235" i="9"/>
  <c r="CU235" i="9"/>
  <c r="CT235" i="9"/>
  <c r="CS235" i="9"/>
  <c r="CR235" i="9"/>
  <c r="CQ235" i="9"/>
  <c r="CP235" i="9"/>
  <c r="CO235" i="9"/>
  <c r="CN235" i="9"/>
  <c r="CM235" i="9"/>
  <c r="CL235" i="9"/>
  <c r="CK235" i="9"/>
  <c r="CJ235" i="9"/>
  <c r="CG235" i="9"/>
  <c r="CF235" i="9"/>
  <c r="CE235" i="9"/>
  <c r="CD235" i="9"/>
  <c r="CC235" i="9"/>
  <c r="CB235" i="9"/>
  <c r="CA235" i="9"/>
  <c r="BZ235" i="9"/>
  <c r="BY235" i="9"/>
  <c r="BX235" i="9"/>
  <c r="BW235" i="9"/>
  <c r="BV235" i="9"/>
  <c r="BS235" i="9"/>
  <c r="BR235" i="9"/>
  <c r="BQ235" i="9"/>
  <c r="BP235" i="9"/>
  <c r="BO235" i="9"/>
  <c r="BN235" i="9"/>
  <c r="BM235" i="9"/>
  <c r="BL235" i="9"/>
  <c r="BK235" i="9"/>
  <c r="BJ235" i="9"/>
  <c r="BI235" i="9"/>
  <c r="BH235" i="9"/>
  <c r="BE235" i="9"/>
  <c r="BD235" i="9"/>
  <c r="BC235" i="9"/>
  <c r="BB235" i="9"/>
  <c r="BA235" i="9"/>
  <c r="AZ235" i="9"/>
  <c r="AY235" i="9"/>
  <c r="AX235" i="9"/>
  <c r="AW235" i="9"/>
  <c r="AV235" i="9"/>
  <c r="AU235" i="9"/>
  <c r="AT235" i="9"/>
  <c r="AQ235" i="9"/>
  <c r="AP235" i="9"/>
  <c r="AO235" i="9"/>
  <c r="AN235" i="9"/>
  <c r="AM235" i="9"/>
  <c r="AL235" i="9"/>
  <c r="AK235" i="9"/>
  <c r="AJ235" i="9"/>
  <c r="AI235" i="9"/>
  <c r="AH235" i="9"/>
  <c r="AG235" i="9"/>
  <c r="AF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LZ234" i="9"/>
  <c r="LK234" i="9"/>
  <c r="LJ234" i="9"/>
  <c r="LI234" i="9"/>
  <c r="LH234" i="9"/>
  <c r="LG234" i="9"/>
  <c r="LF234" i="9"/>
  <c r="LE234" i="9"/>
  <c r="LD234" i="9"/>
  <c r="LC234" i="9"/>
  <c r="LB234" i="9"/>
  <c r="LA234" i="9"/>
  <c r="KZ234" i="9"/>
  <c r="KW234" i="9"/>
  <c r="KV234" i="9"/>
  <c r="KU234" i="9"/>
  <c r="KT234" i="9"/>
  <c r="KS234" i="9"/>
  <c r="KR234" i="9"/>
  <c r="KQ234" i="9"/>
  <c r="KP234" i="9"/>
  <c r="KO234" i="9"/>
  <c r="KN234" i="9"/>
  <c r="KM234" i="9"/>
  <c r="KL234" i="9"/>
  <c r="KI234" i="9"/>
  <c r="KH234" i="9"/>
  <c r="KG234" i="9"/>
  <c r="KF234" i="9"/>
  <c r="KE234" i="9"/>
  <c r="KD234" i="9"/>
  <c r="KC234" i="9"/>
  <c r="KB234" i="9"/>
  <c r="KA234" i="9"/>
  <c r="JZ234" i="9"/>
  <c r="JY234" i="9"/>
  <c r="JX234" i="9"/>
  <c r="JU234" i="9"/>
  <c r="JT234" i="9"/>
  <c r="JS234" i="9"/>
  <c r="JR234" i="9"/>
  <c r="JQ234" i="9"/>
  <c r="JP234" i="9"/>
  <c r="JO234" i="9"/>
  <c r="JN234" i="9"/>
  <c r="JM234" i="9"/>
  <c r="JL234" i="9"/>
  <c r="JK234" i="9"/>
  <c r="JJ234" i="9"/>
  <c r="JG234" i="9"/>
  <c r="JF234" i="9"/>
  <c r="JE234" i="9"/>
  <c r="JD234" i="9"/>
  <c r="JC234" i="9"/>
  <c r="JB234" i="9"/>
  <c r="JA234" i="9"/>
  <c r="IZ234" i="9"/>
  <c r="IY234" i="9"/>
  <c r="IX234" i="9"/>
  <c r="IW234" i="9"/>
  <c r="IV234" i="9"/>
  <c r="IS234" i="9"/>
  <c r="IR234" i="9"/>
  <c r="IQ234" i="9"/>
  <c r="IP234" i="9"/>
  <c r="IO234" i="9"/>
  <c r="IN234" i="9"/>
  <c r="IM234" i="9"/>
  <c r="IL234" i="9"/>
  <c r="IK234" i="9"/>
  <c r="IJ234" i="9"/>
  <c r="II234" i="9"/>
  <c r="IH234" i="9"/>
  <c r="IE234" i="9"/>
  <c r="ID234" i="9"/>
  <c r="IC234" i="9"/>
  <c r="IB234" i="9"/>
  <c r="IA234" i="9"/>
  <c r="HZ234" i="9"/>
  <c r="HY234" i="9"/>
  <c r="HX234" i="9"/>
  <c r="HW234" i="9"/>
  <c r="HV234" i="9"/>
  <c r="HU234" i="9"/>
  <c r="HT234" i="9"/>
  <c r="HQ234" i="9"/>
  <c r="HP234" i="9"/>
  <c r="HO234" i="9"/>
  <c r="HN234" i="9"/>
  <c r="HM234" i="9"/>
  <c r="HL234" i="9"/>
  <c r="HK234" i="9"/>
  <c r="HJ234" i="9"/>
  <c r="HI234" i="9"/>
  <c r="HH234" i="9"/>
  <c r="HG234" i="9"/>
  <c r="HF234" i="9"/>
  <c r="HC234" i="9"/>
  <c r="HB234" i="9"/>
  <c r="HA234" i="9"/>
  <c r="GZ234" i="9"/>
  <c r="GY234" i="9"/>
  <c r="GX234" i="9"/>
  <c r="GW234" i="9"/>
  <c r="GV234" i="9"/>
  <c r="GU234" i="9"/>
  <c r="GT234" i="9"/>
  <c r="GS234" i="9"/>
  <c r="GR234" i="9"/>
  <c r="GO234" i="9"/>
  <c r="GN234" i="9"/>
  <c r="GM234" i="9"/>
  <c r="GL234" i="9"/>
  <c r="GK234" i="9"/>
  <c r="GJ234" i="9"/>
  <c r="GI234" i="9"/>
  <c r="GH234" i="9"/>
  <c r="GG234" i="9"/>
  <c r="GF234" i="9"/>
  <c r="GE234" i="9"/>
  <c r="GD234" i="9"/>
  <c r="GA234" i="9"/>
  <c r="FZ234" i="9"/>
  <c r="FY234" i="9"/>
  <c r="FX234" i="9"/>
  <c r="FW234" i="9"/>
  <c r="FV234" i="9"/>
  <c r="FU234" i="9"/>
  <c r="FT234" i="9"/>
  <c r="FS234" i="9"/>
  <c r="FR234" i="9"/>
  <c r="FQ234" i="9"/>
  <c r="FP234" i="9"/>
  <c r="FM234" i="9"/>
  <c r="FL234" i="9"/>
  <c r="FK234" i="9"/>
  <c r="FJ234" i="9"/>
  <c r="FI234" i="9"/>
  <c r="FH234" i="9"/>
  <c r="FG234" i="9"/>
  <c r="FF234" i="9"/>
  <c r="FE234" i="9"/>
  <c r="FD234" i="9"/>
  <c r="FC234" i="9"/>
  <c r="FB234" i="9"/>
  <c r="EY234" i="9"/>
  <c r="EX234" i="9"/>
  <c r="EW234" i="9"/>
  <c r="EV234" i="9"/>
  <c r="EU234" i="9"/>
  <c r="ET234" i="9"/>
  <c r="ES234" i="9"/>
  <c r="ER234" i="9"/>
  <c r="EQ234" i="9"/>
  <c r="EP234" i="9"/>
  <c r="EO234" i="9"/>
  <c r="EN234" i="9"/>
  <c r="EK234" i="9"/>
  <c r="EJ234" i="9"/>
  <c r="EI234" i="9"/>
  <c r="EH234" i="9"/>
  <c r="EG234" i="9"/>
  <c r="EF234" i="9"/>
  <c r="EE234" i="9"/>
  <c r="ED234" i="9"/>
  <c r="EC234" i="9"/>
  <c r="EB234" i="9"/>
  <c r="EA234" i="9"/>
  <c r="DZ234" i="9"/>
  <c r="DW234" i="9"/>
  <c r="DV234" i="9"/>
  <c r="DU234" i="9"/>
  <c r="DT234" i="9"/>
  <c r="DS234" i="9"/>
  <c r="DR234" i="9"/>
  <c r="DQ234" i="9"/>
  <c r="DP234" i="9"/>
  <c r="DO234" i="9"/>
  <c r="DN234" i="9"/>
  <c r="DM234" i="9"/>
  <c r="DL234" i="9"/>
  <c r="DI234" i="9"/>
  <c r="DH234" i="9"/>
  <c r="DG234" i="9"/>
  <c r="DF234" i="9"/>
  <c r="DE234" i="9"/>
  <c r="DD234" i="9"/>
  <c r="DC234" i="9"/>
  <c r="DB234" i="9"/>
  <c r="DA234" i="9"/>
  <c r="CZ234" i="9"/>
  <c r="CY234" i="9"/>
  <c r="CX234" i="9"/>
  <c r="CU234" i="9"/>
  <c r="CT234" i="9"/>
  <c r="CS234" i="9"/>
  <c r="CR234" i="9"/>
  <c r="CQ234" i="9"/>
  <c r="CP234" i="9"/>
  <c r="CO234" i="9"/>
  <c r="CN234" i="9"/>
  <c r="CM234" i="9"/>
  <c r="CL234" i="9"/>
  <c r="CK234" i="9"/>
  <c r="CJ234" i="9"/>
  <c r="CG234" i="9"/>
  <c r="CF234" i="9"/>
  <c r="CE234" i="9"/>
  <c r="CD234" i="9"/>
  <c r="CC234" i="9"/>
  <c r="CB234" i="9"/>
  <c r="CA234" i="9"/>
  <c r="BZ234" i="9"/>
  <c r="BY234" i="9"/>
  <c r="BX234" i="9"/>
  <c r="BW234" i="9"/>
  <c r="BV234" i="9"/>
  <c r="BS234" i="9"/>
  <c r="BR234" i="9"/>
  <c r="BQ234" i="9"/>
  <c r="BP234" i="9"/>
  <c r="BO234" i="9"/>
  <c r="BN234" i="9"/>
  <c r="BM234" i="9"/>
  <c r="BL234" i="9"/>
  <c r="BK234" i="9"/>
  <c r="BJ234" i="9"/>
  <c r="BI234" i="9"/>
  <c r="BH234" i="9"/>
  <c r="BE234" i="9"/>
  <c r="BD234" i="9"/>
  <c r="BC234" i="9"/>
  <c r="BB234" i="9"/>
  <c r="BA234" i="9"/>
  <c r="AZ234" i="9"/>
  <c r="AY234" i="9"/>
  <c r="AX234" i="9"/>
  <c r="AW234" i="9"/>
  <c r="AV234" i="9"/>
  <c r="AU234" i="9"/>
  <c r="AT234" i="9"/>
  <c r="AQ234" i="9"/>
  <c r="AP234" i="9"/>
  <c r="AO234" i="9"/>
  <c r="AN234" i="9"/>
  <c r="AM234" i="9"/>
  <c r="AL234" i="9"/>
  <c r="AK234" i="9"/>
  <c r="AJ234" i="9"/>
  <c r="AI234" i="9"/>
  <c r="AH234" i="9"/>
  <c r="AG234" i="9"/>
  <c r="AF234" i="9"/>
  <c r="AC234" i="9"/>
  <c r="AB234" i="9"/>
  <c r="AA234" i="9"/>
  <c r="Z234" i="9"/>
  <c r="Y234" i="9"/>
  <c r="X234" i="9"/>
  <c r="W234" i="9"/>
  <c r="V234" i="9"/>
  <c r="U234" i="9"/>
  <c r="T234" i="9"/>
  <c r="S234" i="9"/>
  <c r="R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LZ233" i="9"/>
  <c r="LK233" i="9"/>
  <c r="LJ233" i="9"/>
  <c r="LI233" i="9"/>
  <c r="LH233" i="9"/>
  <c r="LG233" i="9"/>
  <c r="LF233" i="9"/>
  <c r="LE233" i="9"/>
  <c r="LD233" i="9"/>
  <c r="LC233" i="9"/>
  <c r="LB233" i="9"/>
  <c r="LA233" i="9"/>
  <c r="KZ233" i="9"/>
  <c r="KW233" i="9"/>
  <c r="KV233" i="9"/>
  <c r="KU233" i="9"/>
  <c r="KT233" i="9"/>
  <c r="KS233" i="9"/>
  <c r="KR233" i="9"/>
  <c r="KQ233" i="9"/>
  <c r="KP233" i="9"/>
  <c r="KO233" i="9"/>
  <c r="KN233" i="9"/>
  <c r="KM233" i="9"/>
  <c r="KL233" i="9"/>
  <c r="KI233" i="9"/>
  <c r="KH233" i="9"/>
  <c r="KG233" i="9"/>
  <c r="KF233" i="9"/>
  <c r="KE233" i="9"/>
  <c r="KD233" i="9"/>
  <c r="KC233" i="9"/>
  <c r="KB233" i="9"/>
  <c r="KA233" i="9"/>
  <c r="JZ233" i="9"/>
  <c r="JY233" i="9"/>
  <c r="JX233" i="9"/>
  <c r="JU233" i="9"/>
  <c r="JT233" i="9"/>
  <c r="JS233" i="9"/>
  <c r="JR233" i="9"/>
  <c r="JQ233" i="9"/>
  <c r="JP233" i="9"/>
  <c r="JO233" i="9"/>
  <c r="JN233" i="9"/>
  <c r="JM233" i="9"/>
  <c r="JL233" i="9"/>
  <c r="JK233" i="9"/>
  <c r="JJ233" i="9"/>
  <c r="JG233" i="9"/>
  <c r="JF233" i="9"/>
  <c r="JE233" i="9"/>
  <c r="JD233" i="9"/>
  <c r="JC233" i="9"/>
  <c r="JB233" i="9"/>
  <c r="JA233" i="9"/>
  <c r="IZ233" i="9"/>
  <c r="IY233" i="9"/>
  <c r="IX233" i="9"/>
  <c r="IW233" i="9"/>
  <c r="IV233" i="9"/>
  <c r="IS233" i="9"/>
  <c r="IR233" i="9"/>
  <c r="IQ233" i="9"/>
  <c r="IP233" i="9"/>
  <c r="IO233" i="9"/>
  <c r="IN233" i="9"/>
  <c r="IM233" i="9"/>
  <c r="IL233" i="9"/>
  <c r="IK233" i="9"/>
  <c r="IJ233" i="9"/>
  <c r="II233" i="9"/>
  <c r="IH233" i="9"/>
  <c r="IE233" i="9"/>
  <c r="ID233" i="9"/>
  <c r="IC233" i="9"/>
  <c r="IB233" i="9"/>
  <c r="IA233" i="9"/>
  <c r="HZ233" i="9"/>
  <c r="HY233" i="9"/>
  <c r="HX233" i="9"/>
  <c r="HW233" i="9"/>
  <c r="HV233" i="9"/>
  <c r="HU233" i="9"/>
  <c r="HT233" i="9"/>
  <c r="HQ233" i="9"/>
  <c r="HP233" i="9"/>
  <c r="HO233" i="9"/>
  <c r="HN233" i="9"/>
  <c r="HM233" i="9"/>
  <c r="HL233" i="9"/>
  <c r="HK233" i="9"/>
  <c r="HJ233" i="9"/>
  <c r="HI233" i="9"/>
  <c r="HH233" i="9"/>
  <c r="HG233" i="9"/>
  <c r="HF233" i="9"/>
  <c r="HC233" i="9"/>
  <c r="HB233" i="9"/>
  <c r="HA233" i="9"/>
  <c r="GZ233" i="9"/>
  <c r="GY233" i="9"/>
  <c r="GX233" i="9"/>
  <c r="GW233" i="9"/>
  <c r="GV233" i="9"/>
  <c r="GU233" i="9"/>
  <c r="GT233" i="9"/>
  <c r="GS233" i="9"/>
  <c r="GR233" i="9"/>
  <c r="GO233" i="9"/>
  <c r="GN233" i="9"/>
  <c r="GM233" i="9"/>
  <c r="GL233" i="9"/>
  <c r="GK233" i="9"/>
  <c r="GJ233" i="9"/>
  <c r="GI233" i="9"/>
  <c r="GH233" i="9"/>
  <c r="GG233" i="9"/>
  <c r="GF233" i="9"/>
  <c r="GE233" i="9"/>
  <c r="GD233" i="9"/>
  <c r="GA233" i="9"/>
  <c r="FZ233" i="9"/>
  <c r="FY233" i="9"/>
  <c r="FX233" i="9"/>
  <c r="FW233" i="9"/>
  <c r="FV233" i="9"/>
  <c r="FU233" i="9"/>
  <c r="FT233" i="9"/>
  <c r="FS233" i="9"/>
  <c r="FR233" i="9"/>
  <c r="FQ233" i="9"/>
  <c r="FP233" i="9"/>
  <c r="FM233" i="9"/>
  <c r="FL233" i="9"/>
  <c r="FK233" i="9"/>
  <c r="FJ233" i="9"/>
  <c r="FI233" i="9"/>
  <c r="FH233" i="9"/>
  <c r="FG233" i="9"/>
  <c r="FF233" i="9"/>
  <c r="FE233" i="9"/>
  <c r="FD233" i="9"/>
  <c r="FC233" i="9"/>
  <c r="FB233" i="9"/>
  <c r="EY233" i="9"/>
  <c r="EX233" i="9"/>
  <c r="EW233" i="9"/>
  <c r="EV233" i="9"/>
  <c r="EU233" i="9"/>
  <c r="ET233" i="9"/>
  <c r="ES233" i="9"/>
  <c r="ER233" i="9"/>
  <c r="EQ233" i="9"/>
  <c r="EP233" i="9"/>
  <c r="EO233" i="9"/>
  <c r="EN233" i="9"/>
  <c r="EK233" i="9"/>
  <c r="EJ233" i="9"/>
  <c r="EI233" i="9"/>
  <c r="EH233" i="9"/>
  <c r="EG233" i="9"/>
  <c r="EF233" i="9"/>
  <c r="EE233" i="9"/>
  <c r="ED233" i="9"/>
  <c r="EC233" i="9"/>
  <c r="EB233" i="9"/>
  <c r="EA233" i="9"/>
  <c r="DZ233" i="9"/>
  <c r="DW233" i="9"/>
  <c r="DV233" i="9"/>
  <c r="DU233" i="9"/>
  <c r="DT233" i="9"/>
  <c r="DS233" i="9"/>
  <c r="DR233" i="9"/>
  <c r="DQ233" i="9"/>
  <c r="DP233" i="9"/>
  <c r="DO233" i="9"/>
  <c r="DN233" i="9"/>
  <c r="DM233" i="9"/>
  <c r="DL233" i="9"/>
  <c r="DI233" i="9"/>
  <c r="DH233" i="9"/>
  <c r="DG233" i="9"/>
  <c r="DF233" i="9"/>
  <c r="DE233" i="9"/>
  <c r="DD233" i="9"/>
  <c r="DC233" i="9"/>
  <c r="DB233" i="9"/>
  <c r="DA233" i="9"/>
  <c r="CZ233" i="9"/>
  <c r="CY233" i="9"/>
  <c r="CX233" i="9"/>
  <c r="CU233" i="9"/>
  <c r="CT233" i="9"/>
  <c r="CS233" i="9"/>
  <c r="CR233" i="9"/>
  <c r="CQ233" i="9"/>
  <c r="CP233" i="9"/>
  <c r="CO233" i="9"/>
  <c r="CN233" i="9"/>
  <c r="CM233" i="9"/>
  <c r="CL233" i="9"/>
  <c r="CK233" i="9"/>
  <c r="CJ233" i="9"/>
  <c r="CG233" i="9"/>
  <c r="CF233" i="9"/>
  <c r="CE233" i="9"/>
  <c r="CD233" i="9"/>
  <c r="CC233" i="9"/>
  <c r="CB233" i="9"/>
  <c r="CA233" i="9"/>
  <c r="BZ233" i="9"/>
  <c r="BY233" i="9"/>
  <c r="BX233" i="9"/>
  <c r="BW233" i="9"/>
  <c r="BV233" i="9"/>
  <c r="BS233" i="9"/>
  <c r="BR233" i="9"/>
  <c r="BQ233" i="9"/>
  <c r="BP233" i="9"/>
  <c r="BO233" i="9"/>
  <c r="BN233" i="9"/>
  <c r="BM233" i="9"/>
  <c r="BL233" i="9"/>
  <c r="BK233" i="9"/>
  <c r="BJ233" i="9"/>
  <c r="BI233" i="9"/>
  <c r="BH233" i="9"/>
  <c r="BE233" i="9"/>
  <c r="BD233" i="9"/>
  <c r="BC233" i="9"/>
  <c r="BB233" i="9"/>
  <c r="BA233" i="9"/>
  <c r="AZ233" i="9"/>
  <c r="AY233" i="9"/>
  <c r="AX233" i="9"/>
  <c r="AW233" i="9"/>
  <c r="AV233" i="9"/>
  <c r="AU233" i="9"/>
  <c r="AT233" i="9"/>
  <c r="AQ233" i="9"/>
  <c r="AP233" i="9"/>
  <c r="AO233" i="9"/>
  <c r="AN233" i="9"/>
  <c r="AM233" i="9"/>
  <c r="AL233" i="9"/>
  <c r="AK233" i="9"/>
  <c r="AJ233" i="9"/>
  <c r="AI233" i="9"/>
  <c r="AH233" i="9"/>
  <c r="AG233" i="9"/>
  <c r="AF233" i="9"/>
  <c r="AC233" i="9"/>
  <c r="AB233" i="9"/>
  <c r="AA233" i="9"/>
  <c r="Z233" i="9"/>
  <c r="Y233" i="9"/>
  <c r="X233" i="9"/>
  <c r="W233" i="9"/>
  <c r="V233" i="9"/>
  <c r="U233" i="9"/>
  <c r="T233" i="9"/>
  <c r="S233" i="9"/>
  <c r="R233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LZ232" i="9"/>
  <c r="LK232" i="9"/>
  <c r="LJ232" i="9"/>
  <c r="LI232" i="9"/>
  <c r="LH232" i="9"/>
  <c r="LG232" i="9"/>
  <c r="LF232" i="9"/>
  <c r="LE232" i="9"/>
  <c r="LD232" i="9"/>
  <c r="LC232" i="9"/>
  <c r="LB232" i="9"/>
  <c r="LA232" i="9"/>
  <c r="KZ232" i="9"/>
  <c r="KW232" i="9"/>
  <c r="KV232" i="9"/>
  <c r="KU232" i="9"/>
  <c r="KT232" i="9"/>
  <c r="KS232" i="9"/>
  <c r="KR232" i="9"/>
  <c r="KQ232" i="9"/>
  <c r="KP232" i="9"/>
  <c r="KO232" i="9"/>
  <c r="KN232" i="9"/>
  <c r="KM232" i="9"/>
  <c r="KL232" i="9"/>
  <c r="KI232" i="9"/>
  <c r="KH232" i="9"/>
  <c r="KG232" i="9"/>
  <c r="KF232" i="9"/>
  <c r="KE232" i="9"/>
  <c r="KD232" i="9"/>
  <c r="KC232" i="9"/>
  <c r="KB232" i="9"/>
  <c r="KA232" i="9"/>
  <c r="JZ232" i="9"/>
  <c r="JY232" i="9"/>
  <c r="JX232" i="9"/>
  <c r="JU232" i="9"/>
  <c r="JT232" i="9"/>
  <c r="JS232" i="9"/>
  <c r="JR232" i="9"/>
  <c r="JQ232" i="9"/>
  <c r="JP232" i="9"/>
  <c r="JO232" i="9"/>
  <c r="JN232" i="9"/>
  <c r="JM232" i="9"/>
  <c r="JL232" i="9"/>
  <c r="JK232" i="9"/>
  <c r="JJ232" i="9"/>
  <c r="JG232" i="9"/>
  <c r="JF232" i="9"/>
  <c r="JE232" i="9"/>
  <c r="JD232" i="9"/>
  <c r="JC232" i="9"/>
  <c r="JB232" i="9"/>
  <c r="JA232" i="9"/>
  <c r="IZ232" i="9"/>
  <c r="IY232" i="9"/>
  <c r="IX232" i="9"/>
  <c r="IW232" i="9"/>
  <c r="IV232" i="9"/>
  <c r="IS232" i="9"/>
  <c r="IR232" i="9"/>
  <c r="IQ232" i="9"/>
  <c r="IP232" i="9"/>
  <c r="IO232" i="9"/>
  <c r="IN232" i="9"/>
  <c r="IM232" i="9"/>
  <c r="IL232" i="9"/>
  <c r="IK232" i="9"/>
  <c r="IJ232" i="9"/>
  <c r="II232" i="9"/>
  <c r="IH232" i="9"/>
  <c r="IE232" i="9"/>
  <c r="ID232" i="9"/>
  <c r="IC232" i="9"/>
  <c r="IB232" i="9"/>
  <c r="IA232" i="9"/>
  <c r="HZ232" i="9"/>
  <c r="HY232" i="9"/>
  <c r="HX232" i="9"/>
  <c r="HW232" i="9"/>
  <c r="HV232" i="9"/>
  <c r="HU232" i="9"/>
  <c r="HT232" i="9"/>
  <c r="HQ232" i="9"/>
  <c r="HP232" i="9"/>
  <c r="HO232" i="9"/>
  <c r="HN232" i="9"/>
  <c r="HM232" i="9"/>
  <c r="HL232" i="9"/>
  <c r="HK232" i="9"/>
  <c r="HJ232" i="9"/>
  <c r="HI232" i="9"/>
  <c r="HH232" i="9"/>
  <c r="HG232" i="9"/>
  <c r="HF232" i="9"/>
  <c r="HC232" i="9"/>
  <c r="HB232" i="9"/>
  <c r="HA232" i="9"/>
  <c r="GZ232" i="9"/>
  <c r="GY232" i="9"/>
  <c r="GX232" i="9"/>
  <c r="GW232" i="9"/>
  <c r="GV232" i="9"/>
  <c r="GU232" i="9"/>
  <c r="GT232" i="9"/>
  <c r="GS232" i="9"/>
  <c r="GR232" i="9"/>
  <c r="GO232" i="9"/>
  <c r="GN232" i="9"/>
  <c r="GM232" i="9"/>
  <c r="GL232" i="9"/>
  <c r="GK232" i="9"/>
  <c r="GJ232" i="9"/>
  <c r="GI232" i="9"/>
  <c r="GH232" i="9"/>
  <c r="GG232" i="9"/>
  <c r="GF232" i="9"/>
  <c r="GE232" i="9"/>
  <c r="GD232" i="9"/>
  <c r="GA232" i="9"/>
  <c r="FZ232" i="9"/>
  <c r="FY232" i="9"/>
  <c r="FX232" i="9"/>
  <c r="FW232" i="9"/>
  <c r="FV232" i="9"/>
  <c r="FU232" i="9"/>
  <c r="FT232" i="9"/>
  <c r="FS232" i="9"/>
  <c r="FR232" i="9"/>
  <c r="FQ232" i="9"/>
  <c r="FP232" i="9"/>
  <c r="FM232" i="9"/>
  <c r="FL232" i="9"/>
  <c r="FK232" i="9"/>
  <c r="FJ232" i="9"/>
  <c r="FI232" i="9"/>
  <c r="FH232" i="9"/>
  <c r="FG232" i="9"/>
  <c r="FF232" i="9"/>
  <c r="FE232" i="9"/>
  <c r="FD232" i="9"/>
  <c r="FC232" i="9"/>
  <c r="FB232" i="9"/>
  <c r="EY232" i="9"/>
  <c r="EX232" i="9"/>
  <c r="EW232" i="9"/>
  <c r="EV232" i="9"/>
  <c r="EU232" i="9"/>
  <c r="ET232" i="9"/>
  <c r="ES232" i="9"/>
  <c r="ER232" i="9"/>
  <c r="EQ232" i="9"/>
  <c r="EP232" i="9"/>
  <c r="EO232" i="9"/>
  <c r="EN232" i="9"/>
  <c r="EK232" i="9"/>
  <c r="EJ232" i="9"/>
  <c r="EI232" i="9"/>
  <c r="EH232" i="9"/>
  <c r="EG232" i="9"/>
  <c r="EF232" i="9"/>
  <c r="EE232" i="9"/>
  <c r="ED232" i="9"/>
  <c r="EC232" i="9"/>
  <c r="EB232" i="9"/>
  <c r="EA232" i="9"/>
  <c r="DZ232" i="9"/>
  <c r="DW232" i="9"/>
  <c r="DV232" i="9"/>
  <c r="DU232" i="9"/>
  <c r="DT232" i="9"/>
  <c r="DS232" i="9"/>
  <c r="DR232" i="9"/>
  <c r="DQ232" i="9"/>
  <c r="DP232" i="9"/>
  <c r="DO232" i="9"/>
  <c r="DN232" i="9"/>
  <c r="DM232" i="9"/>
  <c r="DL232" i="9"/>
  <c r="DI232" i="9"/>
  <c r="DH232" i="9"/>
  <c r="DG232" i="9"/>
  <c r="DF232" i="9"/>
  <c r="DE232" i="9"/>
  <c r="DD232" i="9"/>
  <c r="DC232" i="9"/>
  <c r="DB232" i="9"/>
  <c r="DA232" i="9"/>
  <c r="CZ232" i="9"/>
  <c r="CY232" i="9"/>
  <c r="CX232" i="9"/>
  <c r="CU232" i="9"/>
  <c r="CT232" i="9"/>
  <c r="CS232" i="9"/>
  <c r="CR232" i="9"/>
  <c r="CQ232" i="9"/>
  <c r="CP232" i="9"/>
  <c r="CO232" i="9"/>
  <c r="CN232" i="9"/>
  <c r="CM232" i="9"/>
  <c r="CL232" i="9"/>
  <c r="CK232" i="9"/>
  <c r="CJ232" i="9"/>
  <c r="CG232" i="9"/>
  <c r="CF232" i="9"/>
  <c r="CE232" i="9"/>
  <c r="CD232" i="9"/>
  <c r="CC232" i="9"/>
  <c r="CB232" i="9"/>
  <c r="CA232" i="9"/>
  <c r="BZ232" i="9"/>
  <c r="BY232" i="9"/>
  <c r="BX232" i="9"/>
  <c r="BW232" i="9"/>
  <c r="BV232" i="9"/>
  <c r="BS232" i="9"/>
  <c r="BR232" i="9"/>
  <c r="BQ232" i="9"/>
  <c r="BP232" i="9"/>
  <c r="BO232" i="9"/>
  <c r="BN232" i="9"/>
  <c r="BM232" i="9"/>
  <c r="BL232" i="9"/>
  <c r="BK232" i="9"/>
  <c r="BJ232" i="9"/>
  <c r="BI232" i="9"/>
  <c r="BH232" i="9"/>
  <c r="BE232" i="9"/>
  <c r="BD232" i="9"/>
  <c r="BC232" i="9"/>
  <c r="BB232" i="9"/>
  <c r="BA232" i="9"/>
  <c r="AZ232" i="9"/>
  <c r="AY232" i="9"/>
  <c r="AX232" i="9"/>
  <c r="AW232" i="9"/>
  <c r="AV232" i="9"/>
  <c r="AU232" i="9"/>
  <c r="AT232" i="9"/>
  <c r="AQ232" i="9"/>
  <c r="AP232" i="9"/>
  <c r="AO232" i="9"/>
  <c r="AN232" i="9"/>
  <c r="AM232" i="9"/>
  <c r="AL232" i="9"/>
  <c r="AK232" i="9"/>
  <c r="AJ232" i="9"/>
  <c r="AI232" i="9"/>
  <c r="AH232" i="9"/>
  <c r="AG232" i="9"/>
  <c r="AF232" i="9"/>
  <c r="AC232" i="9"/>
  <c r="AB232" i="9"/>
  <c r="AA232" i="9"/>
  <c r="Z232" i="9"/>
  <c r="Y232" i="9"/>
  <c r="X232" i="9"/>
  <c r="W232" i="9"/>
  <c r="V232" i="9"/>
  <c r="U232" i="9"/>
  <c r="T232" i="9"/>
  <c r="S232" i="9"/>
  <c r="R232" i="9"/>
  <c r="O232" i="9"/>
  <c r="N232" i="9"/>
  <c r="M232" i="9"/>
  <c r="L232" i="9"/>
  <c r="K232" i="9"/>
  <c r="J232" i="9"/>
  <c r="I232" i="9"/>
  <c r="H232" i="9"/>
  <c r="G232" i="9"/>
  <c r="F232" i="9"/>
  <c r="E232" i="9"/>
  <c r="D232" i="9"/>
  <c r="LZ231" i="9"/>
  <c r="LK231" i="9"/>
  <c r="LJ231" i="9"/>
  <c r="LI231" i="9"/>
  <c r="LH231" i="9"/>
  <c r="LG231" i="9"/>
  <c r="LF231" i="9"/>
  <c r="LE231" i="9"/>
  <c r="LD231" i="9"/>
  <c r="LC231" i="9"/>
  <c r="LB231" i="9"/>
  <c r="LA231" i="9"/>
  <c r="KZ231" i="9"/>
  <c r="KW231" i="9"/>
  <c r="KV231" i="9"/>
  <c r="KU231" i="9"/>
  <c r="KT231" i="9"/>
  <c r="KS231" i="9"/>
  <c r="KR231" i="9"/>
  <c r="KQ231" i="9"/>
  <c r="KP231" i="9"/>
  <c r="KO231" i="9"/>
  <c r="KN231" i="9"/>
  <c r="KM231" i="9"/>
  <c r="KL231" i="9"/>
  <c r="KI231" i="9"/>
  <c r="KH231" i="9"/>
  <c r="KG231" i="9"/>
  <c r="KF231" i="9"/>
  <c r="KE231" i="9"/>
  <c r="KD231" i="9"/>
  <c r="KC231" i="9"/>
  <c r="KB231" i="9"/>
  <c r="KA231" i="9"/>
  <c r="JZ231" i="9"/>
  <c r="JY231" i="9"/>
  <c r="JX231" i="9"/>
  <c r="JU231" i="9"/>
  <c r="JT231" i="9"/>
  <c r="JS231" i="9"/>
  <c r="JR231" i="9"/>
  <c r="JQ231" i="9"/>
  <c r="JP231" i="9"/>
  <c r="JO231" i="9"/>
  <c r="JN231" i="9"/>
  <c r="JM231" i="9"/>
  <c r="JL231" i="9"/>
  <c r="JK231" i="9"/>
  <c r="JJ231" i="9"/>
  <c r="JG231" i="9"/>
  <c r="JF231" i="9"/>
  <c r="JE231" i="9"/>
  <c r="JD231" i="9"/>
  <c r="JC231" i="9"/>
  <c r="JB231" i="9"/>
  <c r="JA231" i="9"/>
  <c r="IZ231" i="9"/>
  <c r="IY231" i="9"/>
  <c r="IX231" i="9"/>
  <c r="IW231" i="9"/>
  <c r="IV231" i="9"/>
  <c r="IS231" i="9"/>
  <c r="IR231" i="9"/>
  <c r="IQ231" i="9"/>
  <c r="IP231" i="9"/>
  <c r="IO231" i="9"/>
  <c r="IN231" i="9"/>
  <c r="IM231" i="9"/>
  <c r="IL231" i="9"/>
  <c r="IK231" i="9"/>
  <c r="IJ231" i="9"/>
  <c r="II231" i="9"/>
  <c r="IH231" i="9"/>
  <c r="IE231" i="9"/>
  <c r="ID231" i="9"/>
  <c r="IC231" i="9"/>
  <c r="IB231" i="9"/>
  <c r="IA231" i="9"/>
  <c r="HZ231" i="9"/>
  <c r="HY231" i="9"/>
  <c r="HX231" i="9"/>
  <c r="HW231" i="9"/>
  <c r="HV231" i="9"/>
  <c r="HU231" i="9"/>
  <c r="HT231" i="9"/>
  <c r="HQ231" i="9"/>
  <c r="HP231" i="9"/>
  <c r="HO231" i="9"/>
  <c r="HN231" i="9"/>
  <c r="HM231" i="9"/>
  <c r="HL231" i="9"/>
  <c r="HK231" i="9"/>
  <c r="HJ231" i="9"/>
  <c r="HI231" i="9"/>
  <c r="HH231" i="9"/>
  <c r="HG231" i="9"/>
  <c r="HF231" i="9"/>
  <c r="HC231" i="9"/>
  <c r="HB231" i="9"/>
  <c r="HA231" i="9"/>
  <c r="GZ231" i="9"/>
  <c r="GY231" i="9"/>
  <c r="GX231" i="9"/>
  <c r="GW231" i="9"/>
  <c r="GV231" i="9"/>
  <c r="GU231" i="9"/>
  <c r="GT231" i="9"/>
  <c r="GS231" i="9"/>
  <c r="GR231" i="9"/>
  <c r="GO231" i="9"/>
  <c r="GN231" i="9"/>
  <c r="GM231" i="9"/>
  <c r="GL231" i="9"/>
  <c r="GK231" i="9"/>
  <c r="GJ231" i="9"/>
  <c r="GI231" i="9"/>
  <c r="GH231" i="9"/>
  <c r="GG231" i="9"/>
  <c r="GF231" i="9"/>
  <c r="GE231" i="9"/>
  <c r="GD231" i="9"/>
  <c r="GA231" i="9"/>
  <c r="FZ231" i="9"/>
  <c r="FY231" i="9"/>
  <c r="FX231" i="9"/>
  <c r="FW231" i="9"/>
  <c r="FV231" i="9"/>
  <c r="FU231" i="9"/>
  <c r="FT231" i="9"/>
  <c r="FS231" i="9"/>
  <c r="FR231" i="9"/>
  <c r="FQ231" i="9"/>
  <c r="FP231" i="9"/>
  <c r="FM231" i="9"/>
  <c r="FL231" i="9"/>
  <c r="FK231" i="9"/>
  <c r="FJ231" i="9"/>
  <c r="FI231" i="9"/>
  <c r="FH231" i="9"/>
  <c r="FG231" i="9"/>
  <c r="FF231" i="9"/>
  <c r="FE231" i="9"/>
  <c r="FD231" i="9"/>
  <c r="FC231" i="9"/>
  <c r="FB231" i="9"/>
  <c r="EY231" i="9"/>
  <c r="EX231" i="9"/>
  <c r="EW231" i="9"/>
  <c r="EV231" i="9"/>
  <c r="EU231" i="9"/>
  <c r="ET231" i="9"/>
  <c r="ES231" i="9"/>
  <c r="ER231" i="9"/>
  <c r="EQ231" i="9"/>
  <c r="EP231" i="9"/>
  <c r="EO231" i="9"/>
  <c r="EN231" i="9"/>
  <c r="EK231" i="9"/>
  <c r="EJ231" i="9"/>
  <c r="EI231" i="9"/>
  <c r="EH231" i="9"/>
  <c r="EG231" i="9"/>
  <c r="EF231" i="9"/>
  <c r="EE231" i="9"/>
  <c r="ED231" i="9"/>
  <c r="EC231" i="9"/>
  <c r="EB231" i="9"/>
  <c r="EA231" i="9"/>
  <c r="DZ231" i="9"/>
  <c r="DW231" i="9"/>
  <c r="DV231" i="9"/>
  <c r="DU231" i="9"/>
  <c r="DT231" i="9"/>
  <c r="DS231" i="9"/>
  <c r="DR231" i="9"/>
  <c r="DQ231" i="9"/>
  <c r="DP231" i="9"/>
  <c r="DO231" i="9"/>
  <c r="DN231" i="9"/>
  <c r="DM231" i="9"/>
  <c r="DL231" i="9"/>
  <c r="DI231" i="9"/>
  <c r="DH231" i="9"/>
  <c r="DG231" i="9"/>
  <c r="DF231" i="9"/>
  <c r="DE231" i="9"/>
  <c r="DD231" i="9"/>
  <c r="DC231" i="9"/>
  <c r="DB231" i="9"/>
  <c r="DA231" i="9"/>
  <c r="CZ231" i="9"/>
  <c r="CY231" i="9"/>
  <c r="CX231" i="9"/>
  <c r="CU231" i="9"/>
  <c r="CT231" i="9"/>
  <c r="CS231" i="9"/>
  <c r="CR231" i="9"/>
  <c r="CQ231" i="9"/>
  <c r="CP231" i="9"/>
  <c r="CO231" i="9"/>
  <c r="CN231" i="9"/>
  <c r="CM231" i="9"/>
  <c r="CL231" i="9"/>
  <c r="CK231" i="9"/>
  <c r="CJ231" i="9"/>
  <c r="CG231" i="9"/>
  <c r="CF231" i="9"/>
  <c r="CE231" i="9"/>
  <c r="CD231" i="9"/>
  <c r="CC231" i="9"/>
  <c r="CB231" i="9"/>
  <c r="CA231" i="9"/>
  <c r="BZ231" i="9"/>
  <c r="BY231" i="9"/>
  <c r="BX231" i="9"/>
  <c r="BW231" i="9"/>
  <c r="BV231" i="9"/>
  <c r="BS231" i="9"/>
  <c r="BR231" i="9"/>
  <c r="BQ231" i="9"/>
  <c r="BP231" i="9"/>
  <c r="BO231" i="9"/>
  <c r="BN231" i="9"/>
  <c r="BM231" i="9"/>
  <c r="BL231" i="9"/>
  <c r="BK231" i="9"/>
  <c r="BJ231" i="9"/>
  <c r="BI231" i="9"/>
  <c r="BH231" i="9"/>
  <c r="BE231" i="9"/>
  <c r="BD231" i="9"/>
  <c r="BC231" i="9"/>
  <c r="BB231" i="9"/>
  <c r="BA231" i="9"/>
  <c r="AZ231" i="9"/>
  <c r="AY231" i="9"/>
  <c r="AX231" i="9"/>
  <c r="AW231" i="9"/>
  <c r="AV231" i="9"/>
  <c r="AU231" i="9"/>
  <c r="AT231" i="9"/>
  <c r="AQ231" i="9"/>
  <c r="AP231" i="9"/>
  <c r="AO231" i="9"/>
  <c r="AN231" i="9"/>
  <c r="AM231" i="9"/>
  <c r="AL231" i="9"/>
  <c r="AK231" i="9"/>
  <c r="AJ231" i="9"/>
  <c r="AI231" i="9"/>
  <c r="AH231" i="9"/>
  <c r="AG231" i="9"/>
  <c r="AF231" i="9"/>
  <c r="AC231" i="9"/>
  <c r="AB231" i="9"/>
  <c r="AA231" i="9"/>
  <c r="Z231" i="9"/>
  <c r="Y231" i="9"/>
  <c r="X231" i="9"/>
  <c r="W231" i="9"/>
  <c r="V231" i="9"/>
  <c r="U231" i="9"/>
  <c r="T231" i="9"/>
  <c r="S231" i="9"/>
  <c r="R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LZ230" i="9"/>
  <c r="LK230" i="9"/>
  <c r="LJ230" i="9"/>
  <c r="LI230" i="9"/>
  <c r="LH230" i="9"/>
  <c r="LG230" i="9"/>
  <c r="LF230" i="9"/>
  <c r="LE230" i="9"/>
  <c r="LD230" i="9"/>
  <c r="LC230" i="9"/>
  <c r="LB230" i="9"/>
  <c r="LA230" i="9"/>
  <c r="KZ230" i="9"/>
  <c r="KW230" i="9"/>
  <c r="KV230" i="9"/>
  <c r="KU230" i="9"/>
  <c r="KT230" i="9"/>
  <c r="KS230" i="9"/>
  <c r="KR230" i="9"/>
  <c r="KQ230" i="9"/>
  <c r="KP230" i="9"/>
  <c r="KO230" i="9"/>
  <c r="KN230" i="9"/>
  <c r="KM230" i="9"/>
  <c r="KL230" i="9"/>
  <c r="KI230" i="9"/>
  <c r="KH230" i="9"/>
  <c r="KG230" i="9"/>
  <c r="KF230" i="9"/>
  <c r="KE230" i="9"/>
  <c r="KD230" i="9"/>
  <c r="KC230" i="9"/>
  <c r="KB230" i="9"/>
  <c r="KA230" i="9"/>
  <c r="JZ230" i="9"/>
  <c r="JY230" i="9"/>
  <c r="JX230" i="9"/>
  <c r="JU230" i="9"/>
  <c r="JT230" i="9"/>
  <c r="JS230" i="9"/>
  <c r="JR230" i="9"/>
  <c r="JQ230" i="9"/>
  <c r="JP230" i="9"/>
  <c r="JO230" i="9"/>
  <c r="JN230" i="9"/>
  <c r="JM230" i="9"/>
  <c r="JL230" i="9"/>
  <c r="JK230" i="9"/>
  <c r="JJ230" i="9"/>
  <c r="JG230" i="9"/>
  <c r="JF230" i="9"/>
  <c r="JE230" i="9"/>
  <c r="JD230" i="9"/>
  <c r="JC230" i="9"/>
  <c r="JB230" i="9"/>
  <c r="JA230" i="9"/>
  <c r="IZ230" i="9"/>
  <c r="IY230" i="9"/>
  <c r="IX230" i="9"/>
  <c r="IW230" i="9"/>
  <c r="IV230" i="9"/>
  <c r="IS230" i="9"/>
  <c r="IR230" i="9"/>
  <c r="IQ230" i="9"/>
  <c r="IP230" i="9"/>
  <c r="IO230" i="9"/>
  <c r="IN230" i="9"/>
  <c r="IM230" i="9"/>
  <c r="IL230" i="9"/>
  <c r="IK230" i="9"/>
  <c r="IJ230" i="9"/>
  <c r="II230" i="9"/>
  <c r="IH230" i="9"/>
  <c r="IE230" i="9"/>
  <c r="ID230" i="9"/>
  <c r="IC230" i="9"/>
  <c r="IB230" i="9"/>
  <c r="IA230" i="9"/>
  <c r="HZ230" i="9"/>
  <c r="HY230" i="9"/>
  <c r="HX230" i="9"/>
  <c r="HW230" i="9"/>
  <c r="HV230" i="9"/>
  <c r="HU230" i="9"/>
  <c r="HT230" i="9"/>
  <c r="HQ230" i="9"/>
  <c r="HP230" i="9"/>
  <c r="HO230" i="9"/>
  <c r="HN230" i="9"/>
  <c r="HM230" i="9"/>
  <c r="HL230" i="9"/>
  <c r="HK230" i="9"/>
  <c r="HJ230" i="9"/>
  <c r="HI230" i="9"/>
  <c r="HH230" i="9"/>
  <c r="HG230" i="9"/>
  <c r="HF230" i="9"/>
  <c r="HC230" i="9"/>
  <c r="HB230" i="9"/>
  <c r="HA230" i="9"/>
  <c r="GZ230" i="9"/>
  <c r="GY230" i="9"/>
  <c r="GX230" i="9"/>
  <c r="GW230" i="9"/>
  <c r="GV230" i="9"/>
  <c r="GU230" i="9"/>
  <c r="GT230" i="9"/>
  <c r="GS230" i="9"/>
  <c r="GR230" i="9"/>
  <c r="GO230" i="9"/>
  <c r="GN230" i="9"/>
  <c r="GM230" i="9"/>
  <c r="GL230" i="9"/>
  <c r="GK230" i="9"/>
  <c r="GJ230" i="9"/>
  <c r="GI230" i="9"/>
  <c r="GH230" i="9"/>
  <c r="GG230" i="9"/>
  <c r="GF230" i="9"/>
  <c r="GE230" i="9"/>
  <c r="GD230" i="9"/>
  <c r="GA230" i="9"/>
  <c r="FZ230" i="9"/>
  <c r="FY230" i="9"/>
  <c r="FX230" i="9"/>
  <c r="FW230" i="9"/>
  <c r="FV230" i="9"/>
  <c r="FU230" i="9"/>
  <c r="FT230" i="9"/>
  <c r="FS230" i="9"/>
  <c r="FR230" i="9"/>
  <c r="FQ230" i="9"/>
  <c r="FP230" i="9"/>
  <c r="FM230" i="9"/>
  <c r="FL230" i="9"/>
  <c r="FK230" i="9"/>
  <c r="FJ230" i="9"/>
  <c r="FI230" i="9"/>
  <c r="FH230" i="9"/>
  <c r="FG230" i="9"/>
  <c r="FF230" i="9"/>
  <c r="FE230" i="9"/>
  <c r="FD230" i="9"/>
  <c r="FC230" i="9"/>
  <c r="FB230" i="9"/>
  <c r="EY230" i="9"/>
  <c r="EX230" i="9"/>
  <c r="EW230" i="9"/>
  <c r="EV230" i="9"/>
  <c r="EU230" i="9"/>
  <c r="ET230" i="9"/>
  <c r="ES230" i="9"/>
  <c r="ER230" i="9"/>
  <c r="EQ230" i="9"/>
  <c r="EP230" i="9"/>
  <c r="EO230" i="9"/>
  <c r="EN230" i="9"/>
  <c r="EK230" i="9"/>
  <c r="EJ230" i="9"/>
  <c r="EI230" i="9"/>
  <c r="EH230" i="9"/>
  <c r="EG230" i="9"/>
  <c r="EF230" i="9"/>
  <c r="EE230" i="9"/>
  <c r="ED230" i="9"/>
  <c r="EC230" i="9"/>
  <c r="EB230" i="9"/>
  <c r="EA230" i="9"/>
  <c r="DZ230" i="9"/>
  <c r="DW230" i="9"/>
  <c r="DV230" i="9"/>
  <c r="DU230" i="9"/>
  <c r="DT230" i="9"/>
  <c r="DS230" i="9"/>
  <c r="DR230" i="9"/>
  <c r="DQ230" i="9"/>
  <c r="DP230" i="9"/>
  <c r="DO230" i="9"/>
  <c r="DN230" i="9"/>
  <c r="DM230" i="9"/>
  <c r="DL230" i="9"/>
  <c r="DI230" i="9"/>
  <c r="DH230" i="9"/>
  <c r="DG230" i="9"/>
  <c r="DF230" i="9"/>
  <c r="DE230" i="9"/>
  <c r="DD230" i="9"/>
  <c r="DC230" i="9"/>
  <c r="DB230" i="9"/>
  <c r="DA230" i="9"/>
  <c r="CZ230" i="9"/>
  <c r="CY230" i="9"/>
  <c r="CX230" i="9"/>
  <c r="CU230" i="9"/>
  <c r="CT230" i="9"/>
  <c r="CS230" i="9"/>
  <c r="CR230" i="9"/>
  <c r="CQ230" i="9"/>
  <c r="CP230" i="9"/>
  <c r="CO230" i="9"/>
  <c r="CN230" i="9"/>
  <c r="CM230" i="9"/>
  <c r="CL230" i="9"/>
  <c r="CK230" i="9"/>
  <c r="CJ230" i="9"/>
  <c r="CG230" i="9"/>
  <c r="CF230" i="9"/>
  <c r="CE230" i="9"/>
  <c r="CD230" i="9"/>
  <c r="CC230" i="9"/>
  <c r="CB230" i="9"/>
  <c r="CA230" i="9"/>
  <c r="BZ230" i="9"/>
  <c r="BY230" i="9"/>
  <c r="BX230" i="9"/>
  <c r="BW230" i="9"/>
  <c r="BV230" i="9"/>
  <c r="BS230" i="9"/>
  <c r="BR230" i="9"/>
  <c r="BQ230" i="9"/>
  <c r="BP230" i="9"/>
  <c r="BO230" i="9"/>
  <c r="BN230" i="9"/>
  <c r="BM230" i="9"/>
  <c r="BL230" i="9"/>
  <c r="BK230" i="9"/>
  <c r="BJ230" i="9"/>
  <c r="BI230" i="9"/>
  <c r="BH230" i="9"/>
  <c r="BE230" i="9"/>
  <c r="BD230" i="9"/>
  <c r="BC230" i="9"/>
  <c r="BB230" i="9"/>
  <c r="BA230" i="9"/>
  <c r="AZ230" i="9"/>
  <c r="AY230" i="9"/>
  <c r="AX230" i="9"/>
  <c r="AW230" i="9"/>
  <c r="AV230" i="9"/>
  <c r="AU230" i="9"/>
  <c r="AT230" i="9"/>
  <c r="AQ230" i="9"/>
  <c r="AP230" i="9"/>
  <c r="AO230" i="9"/>
  <c r="AN230" i="9"/>
  <c r="AM230" i="9"/>
  <c r="AL230" i="9"/>
  <c r="AK230" i="9"/>
  <c r="AJ230" i="9"/>
  <c r="AI230" i="9"/>
  <c r="AH230" i="9"/>
  <c r="AG230" i="9"/>
  <c r="AF230" i="9"/>
  <c r="AC230" i="9"/>
  <c r="AB230" i="9"/>
  <c r="AA230" i="9"/>
  <c r="Z230" i="9"/>
  <c r="Y230" i="9"/>
  <c r="X230" i="9"/>
  <c r="W230" i="9"/>
  <c r="V230" i="9"/>
  <c r="U230" i="9"/>
  <c r="T230" i="9"/>
  <c r="S230" i="9"/>
  <c r="R230" i="9"/>
  <c r="O230" i="9"/>
  <c r="N230" i="9"/>
  <c r="M230" i="9"/>
  <c r="L230" i="9"/>
  <c r="K230" i="9"/>
  <c r="J230" i="9"/>
  <c r="I230" i="9"/>
  <c r="H230" i="9"/>
  <c r="G230" i="9"/>
  <c r="F230" i="9"/>
  <c r="E230" i="9"/>
  <c r="D230" i="9"/>
  <c r="LZ229" i="9"/>
  <c r="LK229" i="9"/>
  <c r="LJ229" i="9"/>
  <c r="LI229" i="9"/>
  <c r="LH229" i="9"/>
  <c r="LG229" i="9"/>
  <c r="LF229" i="9"/>
  <c r="LE229" i="9"/>
  <c r="LD229" i="9"/>
  <c r="LC229" i="9"/>
  <c r="LB229" i="9"/>
  <c r="LA229" i="9"/>
  <c r="KZ229" i="9"/>
  <c r="KW229" i="9"/>
  <c r="KV229" i="9"/>
  <c r="KU229" i="9"/>
  <c r="KT229" i="9"/>
  <c r="KS229" i="9"/>
  <c r="KR229" i="9"/>
  <c r="KQ229" i="9"/>
  <c r="KP229" i="9"/>
  <c r="KO229" i="9"/>
  <c r="KN229" i="9"/>
  <c r="KM229" i="9"/>
  <c r="KL229" i="9"/>
  <c r="KI229" i="9"/>
  <c r="KH229" i="9"/>
  <c r="KG229" i="9"/>
  <c r="KF229" i="9"/>
  <c r="KE229" i="9"/>
  <c r="KD229" i="9"/>
  <c r="KC229" i="9"/>
  <c r="KB229" i="9"/>
  <c r="KA229" i="9"/>
  <c r="JZ229" i="9"/>
  <c r="JY229" i="9"/>
  <c r="JX229" i="9"/>
  <c r="JU229" i="9"/>
  <c r="JT229" i="9"/>
  <c r="JS229" i="9"/>
  <c r="JR229" i="9"/>
  <c r="JQ229" i="9"/>
  <c r="JP229" i="9"/>
  <c r="JO229" i="9"/>
  <c r="JN229" i="9"/>
  <c r="JM229" i="9"/>
  <c r="JL229" i="9"/>
  <c r="JK229" i="9"/>
  <c r="JJ229" i="9"/>
  <c r="JG229" i="9"/>
  <c r="JF229" i="9"/>
  <c r="JE229" i="9"/>
  <c r="JD229" i="9"/>
  <c r="JC229" i="9"/>
  <c r="JB229" i="9"/>
  <c r="JA229" i="9"/>
  <c r="IZ229" i="9"/>
  <c r="IY229" i="9"/>
  <c r="IX229" i="9"/>
  <c r="IW229" i="9"/>
  <c r="IV229" i="9"/>
  <c r="IS229" i="9"/>
  <c r="IR229" i="9"/>
  <c r="IQ229" i="9"/>
  <c r="IP229" i="9"/>
  <c r="IO229" i="9"/>
  <c r="IN229" i="9"/>
  <c r="IM229" i="9"/>
  <c r="IL229" i="9"/>
  <c r="IK229" i="9"/>
  <c r="IJ229" i="9"/>
  <c r="II229" i="9"/>
  <c r="IH229" i="9"/>
  <c r="IE229" i="9"/>
  <c r="ID229" i="9"/>
  <c r="IC229" i="9"/>
  <c r="IB229" i="9"/>
  <c r="IA229" i="9"/>
  <c r="HZ229" i="9"/>
  <c r="HY229" i="9"/>
  <c r="HX229" i="9"/>
  <c r="HW229" i="9"/>
  <c r="HV229" i="9"/>
  <c r="HU229" i="9"/>
  <c r="HT229" i="9"/>
  <c r="HQ229" i="9"/>
  <c r="HP229" i="9"/>
  <c r="HO229" i="9"/>
  <c r="HN229" i="9"/>
  <c r="HM229" i="9"/>
  <c r="HL229" i="9"/>
  <c r="HK229" i="9"/>
  <c r="HJ229" i="9"/>
  <c r="HI229" i="9"/>
  <c r="HH229" i="9"/>
  <c r="HG229" i="9"/>
  <c r="HF229" i="9"/>
  <c r="HC229" i="9"/>
  <c r="HB229" i="9"/>
  <c r="HA229" i="9"/>
  <c r="GZ229" i="9"/>
  <c r="GY229" i="9"/>
  <c r="GX229" i="9"/>
  <c r="GW229" i="9"/>
  <c r="GV229" i="9"/>
  <c r="GU229" i="9"/>
  <c r="GT229" i="9"/>
  <c r="GS229" i="9"/>
  <c r="GR229" i="9"/>
  <c r="GO229" i="9"/>
  <c r="GN229" i="9"/>
  <c r="GM229" i="9"/>
  <c r="GL229" i="9"/>
  <c r="GK229" i="9"/>
  <c r="GJ229" i="9"/>
  <c r="GI229" i="9"/>
  <c r="GH229" i="9"/>
  <c r="GG229" i="9"/>
  <c r="GF229" i="9"/>
  <c r="GE229" i="9"/>
  <c r="GD229" i="9"/>
  <c r="GA229" i="9"/>
  <c r="FZ229" i="9"/>
  <c r="FY229" i="9"/>
  <c r="FX229" i="9"/>
  <c r="FW229" i="9"/>
  <c r="FV229" i="9"/>
  <c r="FU229" i="9"/>
  <c r="FT229" i="9"/>
  <c r="FS229" i="9"/>
  <c r="FR229" i="9"/>
  <c r="FQ229" i="9"/>
  <c r="FP229" i="9"/>
  <c r="FM229" i="9"/>
  <c r="FL229" i="9"/>
  <c r="FK229" i="9"/>
  <c r="FJ229" i="9"/>
  <c r="FI229" i="9"/>
  <c r="FH229" i="9"/>
  <c r="FG229" i="9"/>
  <c r="FF229" i="9"/>
  <c r="FE229" i="9"/>
  <c r="FD229" i="9"/>
  <c r="FC229" i="9"/>
  <c r="FB229" i="9"/>
  <c r="EY229" i="9"/>
  <c r="EX229" i="9"/>
  <c r="EW229" i="9"/>
  <c r="EV229" i="9"/>
  <c r="EU229" i="9"/>
  <c r="ET229" i="9"/>
  <c r="ES229" i="9"/>
  <c r="ER229" i="9"/>
  <c r="EQ229" i="9"/>
  <c r="EP229" i="9"/>
  <c r="EO229" i="9"/>
  <c r="EN229" i="9"/>
  <c r="EK229" i="9"/>
  <c r="EJ229" i="9"/>
  <c r="EI229" i="9"/>
  <c r="EH229" i="9"/>
  <c r="EG229" i="9"/>
  <c r="EF229" i="9"/>
  <c r="EE229" i="9"/>
  <c r="ED229" i="9"/>
  <c r="EC229" i="9"/>
  <c r="EB229" i="9"/>
  <c r="EA229" i="9"/>
  <c r="DZ229" i="9"/>
  <c r="DW229" i="9"/>
  <c r="DV229" i="9"/>
  <c r="DU229" i="9"/>
  <c r="DT229" i="9"/>
  <c r="DS229" i="9"/>
  <c r="DR229" i="9"/>
  <c r="DQ229" i="9"/>
  <c r="DP229" i="9"/>
  <c r="DO229" i="9"/>
  <c r="DN229" i="9"/>
  <c r="DM229" i="9"/>
  <c r="DL229" i="9"/>
  <c r="DI229" i="9"/>
  <c r="DH229" i="9"/>
  <c r="DG229" i="9"/>
  <c r="DF229" i="9"/>
  <c r="DE229" i="9"/>
  <c r="DD229" i="9"/>
  <c r="DC229" i="9"/>
  <c r="DB229" i="9"/>
  <c r="DA229" i="9"/>
  <c r="CZ229" i="9"/>
  <c r="CY229" i="9"/>
  <c r="CX229" i="9"/>
  <c r="CU229" i="9"/>
  <c r="CT229" i="9"/>
  <c r="CS229" i="9"/>
  <c r="CR229" i="9"/>
  <c r="CQ229" i="9"/>
  <c r="CP229" i="9"/>
  <c r="CO229" i="9"/>
  <c r="CN229" i="9"/>
  <c r="CM229" i="9"/>
  <c r="CL229" i="9"/>
  <c r="CK229" i="9"/>
  <c r="CJ229" i="9"/>
  <c r="CG229" i="9"/>
  <c r="CF229" i="9"/>
  <c r="CE229" i="9"/>
  <c r="CD229" i="9"/>
  <c r="CC229" i="9"/>
  <c r="CB229" i="9"/>
  <c r="CA229" i="9"/>
  <c r="BZ229" i="9"/>
  <c r="BY229" i="9"/>
  <c r="BX229" i="9"/>
  <c r="BW229" i="9"/>
  <c r="BV229" i="9"/>
  <c r="BS229" i="9"/>
  <c r="BR229" i="9"/>
  <c r="BQ229" i="9"/>
  <c r="BP229" i="9"/>
  <c r="BO229" i="9"/>
  <c r="BN229" i="9"/>
  <c r="BM229" i="9"/>
  <c r="BL229" i="9"/>
  <c r="BK229" i="9"/>
  <c r="BJ229" i="9"/>
  <c r="BI229" i="9"/>
  <c r="BH229" i="9"/>
  <c r="BE229" i="9"/>
  <c r="BD229" i="9"/>
  <c r="BC229" i="9"/>
  <c r="BB229" i="9"/>
  <c r="BA229" i="9"/>
  <c r="AZ229" i="9"/>
  <c r="AY229" i="9"/>
  <c r="AX229" i="9"/>
  <c r="AW229" i="9"/>
  <c r="AV229" i="9"/>
  <c r="AU229" i="9"/>
  <c r="AT229" i="9"/>
  <c r="AQ229" i="9"/>
  <c r="AP229" i="9"/>
  <c r="AO229" i="9"/>
  <c r="AN229" i="9"/>
  <c r="AM229" i="9"/>
  <c r="AL229" i="9"/>
  <c r="AK229" i="9"/>
  <c r="AJ229" i="9"/>
  <c r="AI229" i="9"/>
  <c r="AH229" i="9"/>
  <c r="AG229" i="9"/>
  <c r="AF229" i="9"/>
  <c r="AC229" i="9"/>
  <c r="AB229" i="9"/>
  <c r="AA229" i="9"/>
  <c r="Z229" i="9"/>
  <c r="Y229" i="9"/>
  <c r="X229" i="9"/>
  <c r="W229" i="9"/>
  <c r="V229" i="9"/>
  <c r="U229" i="9"/>
  <c r="T229" i="9"/>
  <c r="S229" i="9"/>
  <c r="R229" i="9"/>
  <c r="O229" i="9"/>
  <c r="N229" i="9"/>
  <c r="M229" i="9"/>
  <c r="L229" i="9"/>
  <c r="K229" i="9"/>
  <c r="J229" i="9"/>
  <c r="I229" i="9"/>
  <c r="H229" i="9"/>
  <c r="G229" i="9"/>
  <c r="F229" i="9"/>
  <c r="E229" i="9"/>
  <c r="D229" i="9"/>
  <c r="LZ228" i="9"/>
  <c r="LK228" i="9"/>
  <c r="LJ228" i="9"/>
  <c r="LI228" i="9"/>
  <c r="LH228" i="9"/>
  <c r="LG228" i="9"/>
  <c r="LF228" i="9"/>
  <c r="LE228" i="9"/>
  <c r="LD228" i="9"/>
  <c r="LC228" i="9"/>
  <c r="LB228" i="9"/>
  <c r="LA228" i="9"/>
  <c r="KZ228" i="9"/>
  <c r="KW228" i="9"/>
  <c r="KV228" i="9"/>
  <c r="KU228" i="9"/>
  <c r="KT228" i="9"/>
  <c r="KS228" i="9"/>
  <c r="KR228" i="9"/>
  <c r="KQ228" i="9"/>
  <c r="KP228" i="9"/>
  <c r="KO228" i="9"/>
  <c r="KN228" i="9"/>
  <c r="KM228" i="9"/>
  <c r="KL228" i="9"/>
  <c r="KI228" i="9"/>
  <c r="KH228" i="9"/>
  <c r="KG228" i="9"/>
  <c r="KF228" i="9"/>
  <c r="KE228" i="9"/>
  <c r="KD228" i="9"/>
  <c r="KC228" i="9"/>
  <c r="KB228" i="9"/>
  <c r="KA228" i="9"/>
  <c r="JZ228" i="9"/>
  <c r="JY228" i="9"/>
  <c r="JX228" i="9"/>
  <c r="JU228" i="9"/>
  <c r="JT228" i="9"/>
  <c r="JS228" i="9"/>
  <c r="JR228" i="9"/>
  <c r="JQ228" i="9"/>
  <c r="JP228" i="9"/>
  <c r="JO228" i="9"/>
  <c r="JN228" i="9"/>
  <c r="JM228" i="9"/>
  <c r="JL228" i="9"/>
  <c r="JK228" i="9"/>
  <c r="JJ228" i="9"/>
  <c r="JG228" i="9"/>
  <c r="JF228" i="9"/>
  <c r="JE228" i="9"/>
  <c r="JD228" i="9"/>
  <c r="JC228" i="9"/>
  <c r="JB228" i="9"/>
  <c r="JA228" i="9"/>
  <c r="IZ228" i="9"/>
  <c r="IY228" i="9"/>
  <c r="IX228" i="9"/>
  <c r="IW228" i="9"/>
  <c r="IV228" i="9"/>
  <c r="IS228" i="9"/>
  <c r="IR228" i="9"/>
  <c r="IQ228" i="9"/>
  <c r="IP228" i="9"/>
  <c r="IO228" i="9"/>
  <c r="IN228" i="9"/>
  <c r="IM228" i="9"/>
  <c r="IL228" i="9"/>
  <c r="IK228" i="9"/>
  <c r="IJ228" i="9"/>
  <c r="II228" i="9"/>
  <c r="IH228" i="9"/>
  <c r="IE228" i="9"/>
  <c r="ID228" i="9"/>
  <c r="IC228" i="9"/>
  <c r="IB228" i="9"/>
  <c r="IA228" i="9"/>
  <c r="HZ228" i="9"/>
  <c r="HY228" i="9"/>
  <c r="HX228" i="9"/>
  <c r="HW228" i="9"/>
  <c r="HV228" i="9"/>
  <c r="HU228" i="9"/>
  <c r="HT228" i="9"/>
  <c r="HQ228" i="9"/>
  <c r="HP228" i="9"/>
  <c r="HO228" i="9"/>
  <c r="HN228" i="9"/>
  <c r="HM228" i="9"/>
  <c r="HL228" i="9"/>
  <c r="HK228" i="9"/>
  <c r="HJ228" i="9"/>
  <c r="HI228" i="9"/>
  <c r="HH228" i="9"/>
  <c r="HG228" i="9"/>
  <c r="HF228" i="9"/>
  <c r="HC228" i="9"/>
  <c r="HB228" i="9"/>
  <c r="HA228" i="9"/>
  <c r="GZ228" i="9"/>
  <c r="GY228" i="9"/>
  <c r="GX228" i="9"/>
  <c r="GW228" i="9"/>
  <c r="GV228" i="9"/>
  <c r="GU228" i="9"/>
  <c r="GT228" i="9"/>
  <c r="GS228" i="9"/>
  <c r="GR228" i="9"/>
  <c r="GO228" i="9"/>
  <c r="GN228" i="9"/>
  <c r="GM228" i="9"/>
  <c r="GL228" i="9"/>
  <c r="GK228" i="9"/>
  <c r="GJ228" i="9"/>
  <c r="GI228" i="9"/>
  <c r="GH228" i="9"/>
  <c r="GG228" i="9"/>
  <c r="GF228" i="9"/>
  <c r="GE228" i="9"/>
  <c r="GD228" i="9"/>
  <c r="GA228" i="9"/>
  <c r="FZ228" i="9"/>
  <c r="FY228" i="9"/>
  <c r="FX228" i="9"/>
  <c r="FW228" i="9"/>
  <c r="FV228" i="9"/>
  <c r="FU228" i="9"/>
  <c r="FT228" i="9"/>
  <c r="FS228" i="9"/>
  <c r="FR228" i="9"/>
  <c r="FQ228" i="9"/>
  <c r="FP228" i="9"/>
  <c r="FM228" i="9"/>
  <c r="FL228" i="9"/>
  <c r="FK228" i="9"/>
  <c r="FJ228" i="9"/>
  <c r="FI228" i="9"/>
  <c r="FH228" i="9"/>
  <c r="FG228" i="9"/>
  <c r="FF228" i="9"/>
  <c r="FE228" i="9"/>
  <c r="FD228" i="9"/>
  <c r="FC228" i="9"/>
  <c r="FB228" i="9"/>
  <c r="EY228" i="9"/>
  <c r="EX228" i="9"/>
  <c r="EW228" i="9"/>
  <c r="EV228" i="9"/>
  <c r="EU228" i="9"/>
  <c r="ET228" i="9"/>
  <c r="ES228" i="9"/>
  <c r="ER228" i="9"/>
  <c r="EQ228" i="9"/>
  <c r="EP228" i="9"/>
  <c r="EO228" i="9"/>
  <c r="EN228" i="9"/>
  <c r="EK228" i="9"/>
  <c r="EJ228" i="9"/>
  <c r="EI228" i="9"/>
  <c r="EH228" i="9"/>
  <c r="EG228" i="9"/>
  <c r="EF228" i="9"/>
  <c r="EE228" i="9"/>
  <c r="ED228" i="9"/>
  <c r="EC228" i="9"/>
  <c r="EB228" i="9"/>
  <c r="EA228" i="9"/>
  <c r="DZ228" i="9"/>
  <c r="DW228" i="9"/>
  <c r="DV228" i="9"/>
  <c r="DU228" i="9"/>
  <c r="DT228" i="9"/>
  <c r="DS228" i="9"/>
  <c r="DR228" i="9"/>
  <c r="DQ228" i="9"/>
  <c r="DP228" i="9"/>
  <c r="DO228" i="9"/>
  <c r="DN228" i="9"/>
  <c r="DM228" i="9"/>
  <c r="DL228" i="9"/>
  <c r="DI228" i="9"/>
  <c r="DH228" i="9"/>
  <c r="DG228" i="9"/>
  <c r="DF228" i="9"/>
  <c r="DE228" i="9"/>
  <c r="DD228" i="9"/>
  <c r="DC228" i="9"/>
  <c r="DB228" i="9"/>
  <c r="DA228" i="9"/>
  <c r="CZ228" i="9"/>
  <c r="CY228" i="9"/>
  <c r="CX228" i="9"/>
  <c r="CU228" i="9"/>
  <c r="CT228" i="9"/>
  <c r="CS228" i="9"/>
  <c r="CR228" i="9"/>
  <c r="CQ228" i="9"/>
  <c r="CP228" i="9"/>
  <c r="CO228" i="9"/>
  <c r="CN228" i="9"/>
  <c r="CM228" i="9"/>
  <c r="CL228" i="9"/>
  <c r="CK228" i="9"/>
  <c r="CJ228" i="9"/>
  <c r="CG228" i="9"/>
  <c r="CF228" i="9"/>
  <c r="CE228" i="9"/>
  <c r="CD228" i="9"/>
  <c r="CC228" i="9"/>
  <c r="CB228" i="9"/>
  <c r="CA228" i="9"/>
  <c r="BZ228" i="9"/>
  <c r="BY228" i="9"/>
  <c r="BX228" i="9"/>
  <c r="BW228" i="9"/>
  <c r="BV228" i="9"/>
  <c r="BS228" i="9"/>
  <c r="BR228" i="9"/>
  <c r="BQ228" i="9"/>
  <c r="BP228" i="9"/>
  <c r="BO228" i="9"/>
  <c r="BN228" i="9"/>
  <c r="BM228" i="9"/>
  <c r="BL228" i="9"/>
  <c r="BK228" i="9"/>
  <c r="BJ228" i="9"/>
  <c r="BI228" i="9"/>
  <c r="BH228" i="9"/>
  <c r="BE228" i="9"/>
  <c r="BD228" i="9"/>
  <c r="BC228" i="9"/>
  <c r="BB228" i="9"/>
  <c r="BA228" i="9"/>
  <c r="AZ228" i="9"/>
  <c r="AY228" i="9"/>
  <c r="AX228" i="9"/>
  <c r="AW228" i="9"/>
  <c r="AV228" i="9"/>
  <c r="AU228" i="9"/>
  <c r="AT228" i="9"/>
  <c r="AQ228" i="9"/>
  <c r="AP228" i="9"/>
  <c r="AO228" i="9"/>
  <c r="AN228" i="9"/>
  <c r="AM228" i="9"/>
  <c r="AL228" i="9"/>
  <c r="AK228" i="9"/>
  <c r="AJ228" i="9"/>
  <c r="AI228" i="9"/>
  <c r="AH228" i="9"/>
  <c r="AG228" i="9"/>
  <c r="AF228" i="9"/>
  <c r="AC228" i="9"/>
  <c r="AB228" i="9"/>
  <c r="AA228" i="9"/>
  <c r="Z228" i="9"/>
  <c r="Y228" i="9"/>
  <c r="X228" i="9"/>
  <c r="W228" i="9"/>
  <c r="V228" i="9"/>
  <c r="U228" i="9"/>
  <c r="T228" i="9"/>
  <c r="S228" i="9"/>
  <c r="R228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LY225" i="9"/>
  <c r="LX225" i="9"/>
  <c r="LW225" i="9"/>
  <c r="LV225" i="9"/>
  <c r="LU225" i="9"/>
  <c r="LT225" i="9"/>
  <c r="LS225" i="9"/>
  <c r="LR225" i="9"/>
  <c r="LQ225" i="9"/>
  <c r="LP225" i="9"/>
  <c r="LO225" i="9"/>
  <c r="LN225" i="9"/>
  <c r="LZ223" i="9"/>
  <c r="LK223" i="9"/>
  <c r="LJ223" i="9"/>
  <c r="LI223" i="9"/>
  <c r="LH223" i="9"/>
  <c r="LG223" i="9"/>
  <c r="LF223" i="9"/>
  <c r="LE223" i="9"/>
  <c r="LD223" i="9"/>
  <c r="LC223" i="9"/>
  <c r="LB223" i="9"/>
  <c r="LA223" i="9"/>
  <c r="KZ223" i="9"/>
  <c r="KW223" i="9"/>
  <c r="KV223" i="9"/>
  <c r="KU223" i="9"/>
  <c r="KT223" i="9"/>
  <c r="KS223" i="9"/>
  <c r="KR223" i="9"/>
  <c r="KQ223" i="9"/>
  <c r="KP223" i="9"/>
  <c r="KO223" i="9"/>
  <c r="KN223" i="9"/>
  <c r="KM223" i="9"/>
  <c r="KL223" i="9"/>
  <c r="KI223" i="9"/>
  <c r="KH223" i="9"/>
  <c r="KG223" i="9"/>
  <c r="KF223" i="9"/>
  <c r="KE223" i="9"/>
  <c r="KD223" i="9"/>
  <c r="KC223" i="9"/>
  <c r="KB223" i="9"/>
  <c r="KA223" i="9"/>
  <c r="JZ223" i="9"/>
  <c r="JY223" i="9"/>
  <c r="JX223" i="9"/>
  <c r="JU223" i="9"/>
  <c r="JT223" i="9"/>
  <c r="JS223" i="9"/>
  <c r="JR223" i="9"/>
  <c r="JQ223" i="9"/>
  <c r="JP223" i="9"/>
  <c r="JO223" i="9"/>
  <c r="JN223" i="9"/>
  <c r="JM223" i="9"/>
  <c r="JL223" i="9"/>
  <c r="JK223" i="9"/>
  <c r="JJ223" i="9"/>
  <c r="JG223" i="9"/>
  <c r="JF223" i="9"/>
  <c r="JE223" i="9"/>
  <c r="JD223" i="9"/>
  <c r="JC223" i="9"/>
  <c r="JB223" i="9"/>
  <c r="JA223" i="9"/>
  <c r="IZ223" i="9"/>
  <c r="IY223" i="9"/>
  <c r="IX223" i="9"/>
  <c r="IW223" i="9"/>
  <c r="IV223" i="9"/>
  <c r="IS223" i="9"/>
  <c r="IR223" i="9"/>
  <c r="IQ223" i="9"/>
  <c r="IP223" i="9"/>
  <c r="IO223" i="9"/>
  <c r="IN223" i="9"/>
  <c r="IM223" i="9"/>
  <c r="IL223" i="9"/>
  <c r="IK223" i="9"/>
  <c r="IJ223" i="9"/>
  <c r="II223" i="9"/>
  <c r="IH223" i="9"/>
  <c r="IE223" i="9"/>
  <c r="ID223" i="9"/>
  <c r="IC223" i="9"/>
  <c r="IB223" i="9"/>
  <c r="IA223" i="9"/>
  <c r="HZ223" i="9"/>
  <c r="HY223" i="9"/>
  <c r="HX223" i="9"/>
  <c r="HW223" i="9"/>
  <c r="HV223" i="9"/>
  <c r="HU223" i="9"/>
  <c r="HT223" i="9"/>
  <c r="HQ223" i="9"/>
  <c r="HP223" i="9"/>
  <c r="HO223" i="9"/>
  <c r="HN223" i="9"/>
  <c r="HM223" i="9"/>
  <c r="HL223" i="9"/>
  <c r="HK223" i="9"/>
  <c r="HJ223" i="9"/>
  <c r="HI223" i="9"/>
  <c r="HH223" i="9"/>
  <c r="HG223" i="9"/>
  <c r="HF223" i="9"/>
  <c r="HC223" i="9"/>
  <c r="HB223" i="9"/>
  <c r="HA223" i="9"/>
  <c r="GZ223" i="9"/>
  <c r="GY223" i="9"/>
  <c r="GX223" i="9"/>
  <c r="GW223" i="9"/>
  <c r="GV223" i="9"/>
  <c r="GU223" i="9"/>
  <c r="GT223" i="9"/>
  <c r="GS223" i="9"/>
  <c r="GR223" i="9"/>
  <c r="GO223" i="9"/>
  <c r="GN223" i="9"/>
  <c r="GM223" i="9"/>
  <c r="GL223" i="9"/>
  <c r="GK223" i="9"/>
  <c r="GJ223" i="9"/>
  <c r="GI223" i="9"/>
  <c r="GH223" i="9"/>
  <c r="GG223" i="9"/>
  <c r="GF223" i="9"/>
  <c r="GE223" i="9"/>
  <c r="GD223" i="9"/>
  <c r="GA223" i="9"/>
  <c r="FZ223" i="9"/>
  <c r="FY223" i="9"/>
  <c r="FX223" i="9"/>
  <c r="FW223" i="9"/>
  <c r="FV223" i="9"/>
  <c r="FU223" i="9"/>
  <c r="FT223" i="9"/>
  <c r="FS223" i="9"/>
  <c r="FR223" i="9"/>
  <c r="FQ223" i="9"/>
  <c r="FP223" i="9"/>
  <c r="FM223" i="9"/>
  <c r="FL223" i="9"/>
  <c r="FK223" i="9"/>
  <c r="FJ223" i="9"/>
  <c r="FI223" i="9"/>
  <c r="FH223" i="9"/>
  <c r="FG223" i="9"/>
  <c r="FF223" i="9"/>
  <c r="FE223" i="9"/>
  <c r="FD223" i="9"/>
  <c r="FC223" i="9"/>
  <c r="FB223" i="9"/>
  <c r="EY223" i="9"/>
  <c r="EX223" i="9"/>
  <c r="EW223" i="9"/>
  <c r="EV223" i="9"/>
  <c r="EU223" i="9"/>
  <c r="ET223" i="9"/>
  <c r="ES223" i="9"/>
  <c r="ER223" i="9"/>
  <c r="EQ223" i="9"/>
  <c r="EP223" i="9"/>
  <c r="EO223" i="9"/>
  <c r="EN223" i="9"/>
  <c r="EK223" i="9"/>
  <c r="EJ223" i="9"/>
  <c r="EI223" i="9"/>
  <c r="EH223" i="9"/>
  <c r="EG223" i="9"/>
  <c r="EF223" i="9"/>
  <c r="EE223" i="9"/>
  <c r="ED223" i="9"/>
  <c r="EC223" i="9"/>
  <c r="EB223" i="9"/>
  <c r="EA223" i="9"/>
  <c r="DZ223" i="9"/>
  <c r="DW223" i="9"/>
  <c r="DV223" i="9"/>
  <c r="DU223" i="9"/>
  <c r="DT223" i="9"/>
  <c r="DS223" i="9"/>
  <c r="DR223" i="9"/>
  <c r="DQ223" i="9"/>
  <c r="DP223" i="9"/>
  <c r="DO223" i="9"/>
  <c r="DN223" i="9"/>
  <c r="DM223" i="9"/>
  <c r="DL223" i="9"/>
  <c r="DI223" i="9"/>
  <c r="DH223" i="9"/>
  <c r="DG223" i="9"/>
  <c r="DF223" i="9"/>
  <c r="DE223" i="9"/>
  <c r="DD223" i="9"/>
  <c r="DC223" i="9"/>
  <c r="DB223" i="9"/>
  <c r="DA223" i="9"/>
  <c r="CZ223" i="9"/>
  <c r="CY223" i="9"/>
  <c r="CX223" i="9"/>
  <c r="CU223" i="9"/>
  <c r="CT223" i="9"/>
  <c r="CS223" i="9"/>
  <c r="CR223" i="9"/>
  <c r="CQ223" i="9"/>
  <c r="CP223" i="9"/>
  <c r="CO223" i="9"/>
  <c r="CN223" i="9"/>
  <c r="CM223" i="9"/>
  <c r="CL223" i="9"/>
  <c r="CK223" i="9"/>
  <c r="CJ223" i="9"/>
  <c r="CG223" i="9"/>
  <c r="CF223" i="9"/>
  <c r="CE223" i="9"/>
  <c r="CD223" i="9"/>
  <c r="CC223" i="9"/>
  <c r="CB223" i="9"/>
  <c r="CA223" i="9"/>
  <c r="BZ223" i="9"/>
  <c r="BY223" i="9"/>
  <c r="BX223" i="9"/>
  <c r="BW223" i="9"/>
  <c r="BV223" i="9"/>
  <c r="BS223" i="9"/>
  <c r="BR223" i="9"/>
  <c r="BQ223" i="9"/>
  <c r="BP223" i="9"/>
  <c r="BO223" i="9"/>
  <c r="BN223" i="9"/>
  <c r="BM223" i="9"/>
  <c r="BL223" i="9"/>
  <c r="BK223" i="9"/>
  <c r="BJ223" i="9"/>
  <c r="BI223" i="9"/>
  <c r="BH223" i="9"/>
  <c r="BE223" i="9"/>
  <c r="BD223" i="9"/>
  <c r="BC223" i="9"/>
  <c r="BB223" i="9"/>
  <c r="BA223" i="9"/>
  <c r="AZ223" i="9"/>
  <c r="AY223" i="9"/>
  <c r="AX223" i="9"/>
  <c r="AW223" i="9"/>
  <c r="AV223" i="9"/>
  <c r="AU223" i="9"/>
  <c r="AT223" i="9"/>
  <c r="AQ223" i="9"/>
  <c r="AP223" i="9"/>
  <c r="AO223" i="9"/>
  <c r="AN223" i="9"/>
  <c r="AM223" i="9"/>
  <c r="AL223" i="9"/>
  <c r="AK223" i="9"/>
  <c r="AJ223" i="9"/>
  <c r="AI223" i="9"/>
  <c r="AH223" i="9"/>
  <c r="AG223" i="9"/>
  <c r="AF223" i="9"/>
  <c r="AC223" i="9"/>
  <c r="AB223" i="9"/>
  <c r="AA223" i="9"/>
  <c r="Z223" i="9"/>
  <c r="Y223" i="9"/>
  <c r="X223" i="9"/>
  <c r="W223" i="9"/>
  <c r="V223" i="9"/>
  <c r="U223" i="9"/>
  <c r="T223" i="9"/>
  <c r="S223" i="9"/>
  <c r="R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LZ222" i="9"/>
  <c r="LK222" i="9"/>
  <c r="LJ222" i="9"/>
  <c r="LI222" i="9"/>
  <c r="LH222" i="9"/>
  <c r="LG222" i="9"/>
  <c r="LF222" i="9"/>
  <c r="LE222" i="9"/>
  <c r="LD222" i="9"/>
  <c r="LC222" i="9"/>
  <c r="LB222" i="9"/>
  <c r="LA222" i="9"/>
  <c r="KZ222" i="9"/>
  <c r="KW222" i="9"/>
  <c r="KV222" i="9"/>
  <c r="KU222" i="9"/>
  <c r="KT222" i="9"/>
  <c r="KS222" i="9"/>
  <c r="KR222" i="9"/>
  <c r="KQ222" i="9"/>
  <c r="KP222" i="9"/>
  <c r="KO222" i="9"/>
  <c r="KN222" i="9"/>
  <c r="KM222" i="9"/>
  <c r="KL222" i="9"/>
  <c r="KI222" i="9"/>
  <c r="KH222" i="9"/>
  <c r="KG222" i="9"/>
  <c r="KF222" i="9"/>
  <c r="KE222" i="9"/>
  <c r="KD222" i="9"/>
  <c r="KC222" i="9"/>
  <c r="KB222" i="9"/>
  <c r="KA222" i="9"/>
  <c r="JZ222" i="9"/>
  <c r="JY222" i="9"/>
  <c r="JX222" i="9"/>
  <c r="JU222" i="9"/>
  <c r="JT222" i="9"/>
  <c r="JS222" i="9"/>
  <c r="JR222" i="9"/>
  <c r="JQ222" i="9"/>
  <c r="JP222" i="9"/>
  <c r="JO222" i="9"/>
  <c r="JN222" i="9"/>
  <c r="JM222" i="9"/>
  <c r="JL222" i="9"/>
  <c r="JK222" i="9"/>
  <c r="JJ222" i="9"/>
  <c r="JG222" i="9"/>
  <c r="JF222" i="9"/>
  <c r="JE222" i="9"/>
  <c r="JD222" i="9"/>
  <c r="JC222" i="9"/>
  <c r="JB222" i="9"/>
  <c r="JA222" i="9"/>
  <c r="IZ222" i="9"/>
  <c r="IY222" i="9"/>
  <c r="IX222" i="9"/>
  <c r="IW222" i="9"/>
  <c r="IV222" i="9"/>
  <c r="IS222" i="9"/>
  <c r="IR222" i="9"/>
  <c r="IQ222" i="9"/>
  <c r="IP222" i="9"/>
  <c r="IO222" i="9"/>
  <c r="IN222" i="9"/>
  <c r="IM222" i="9"/>
  <c r="IL222" i="9"/>
  <c r="IK222" i="9"/>
  <c r="IJ222" i="9"/>
  <c r="II222" i="9"/>
  <c r="IH222" i="9"/>
  <c r="IE222" i="9"/>
  <c r="ID222" i="9"/>
  <c r="IC222" i="9"/>
  <c r="IB222" i="9"/>
  <c r="IA222" i="9"/>
  <c r="HZ222" i="9"/>
  <c r="HY222" i="9"/>
  <c r="HX222" i="9"/>
  <c r="HW222" i="9"/>
  <c r="HV222" i="9"/>
  <c r="HU222" i="9"/>
  <c r="HT222" i="9"/>
  <c r="HQ222" i="9"/>
  <c r="HP222" i="9"/>
  <c r="HO222" i="9"/>
  <c r="HN222" i="9"/>
  <c r="HM222" i="9"/>
  <c r="HL222" i="9"/>
  <c r="HK222" i="9"/>
  <c r="HJ222" i="9"/>
  <c r="HI222" i="9"/>
  <c r="HH222" i="9"/>
  <c r="HG222" i="9"/>
  <c r="HF222" i="9"/>
  <c r="HC222" i="9"/>
  <c r="HB222" i="9"/>
  <c r="HA222" i="9"/>
  <c r="GZ222" i="9"/>
  <c r="GY222" i="9"/>
  <c r="GX222" i="9"/>
  <c r="GW222" i="9"/>
  <c r="GV222" i="9"/>
  <c r="GU222" i="9"/>
  <c r="GT222" i="9"/>
  <c r="GS222" i="9"/>
  <c r="GR222" i="9"/>
  <c r="GO222" i="9"/>
  <c r="GN222" i="9"/>
  <c r="GM222" i="9"/>
  <c r="GL222" i="9"/>
  <c r="GK222" i="9"/>
  <c r="GJ222" i="9"/>
  <c r="GI222" i="9"/>
  <c r="GH222" i="9"/>
  <c r="GG222" i="9"/>
  <c r="GF222" i="9"/>
  <c r="GE222" i="9"/>
  <c r="GD222" i="9"/>
  <c r="GA222" i="9"/>
  <c r="FZ222" i="9"/>
  <c r="FY222" i="9"/>
  <c r="FX222" i="9"/>
  <c r="FW222" i="9"/>
  <c r="FV222" i="9"/>
  <c r="FU222" i="9"/>
  <c r="FT222" i="9"/>
  <c r="FS222" i="9"/>
  <c r="FR222" i="9"/>
  <c r="FQ222" i="9"/>
  <c r="FP222" i="9"/>
  <c r="FM222" i="9"/>
  <c r="FL222" i="9"/>
  <c r="FK222" i="9"/>
  <c r="FJ222" i="9"/>
  <c r="FI222" i="9"/>
  <c r="FH222" i="9"/>
  <c r="FG222" i="9"/>
  <c r="FF222" i="9"/>
  <c r="FE222" i="9"/>
  <c r="FD222" i="9"/>
  <c r="FC222" i="9"/>
  <c r="FB222" i="9"/>
  <c r="EY222" i="9"/>
  <c r="EX222" i="9"/>
  <c r="EW222" i="9"/>
  <c r="EV222" i="9"/>
  <c r="EU222" i="9"/>
  <c r="ET222" i="9"/>
  <c r="ES222" i="9"/>
  <c r="ER222" i="9"/>
  <c r="EQ222" i="9"/>
  <c r="EP222" i="9"/>
  <c r="EO222" i="9"/>
  <c r="EN222" i="9"/>
  <c r="EK222" i="9"/>
  <c r="EJ222" i="9"/>
  <c r="EI222" i="9"/>
  <c r="EH222" i="9"/>
  <c r="EG222" i="9"/>
  <c r="EF222" i="9"/>
  <c r="EE222" i="9"/>
  <c r="ED222" i="9"/>
  <c r="EC222" i="9"/>
  <c r="EB222" i="9"/>
  <c r="EA222" i="9"/>
  <c r="DZ222" i="9"/>
  <c r="DW222" i="9"/>
  <c r="DV222" i="9"/>
  <c r="DU222" i="9"/>
  <c r="DT222" i="9"/>
  <c r="DS222" i="9"/>
  <c r="DR222" i="9"/>
  <c r="DQ222" i="9"/>
  <c r="DP222" i="9"/>
  <c r="DO222" i="9"/>
  <c r="DN222" i="9"/>
  <c r="DM222" i="9"/>
  <c r="DL222" i="9"/>
  <c r="DI222" i="9"/>
  <c r="DH222" i="9"/>
  <c r="DG222" i="9"/>
  <c r="DF222" i="9"/>
  <c r="DE222" i="9"/>
  <c r="DD222" i="9"/>
  <c r="DC222" i="9"/>
  <c r="DB222" i="9"/>
  <c r="DA222" i="9"/>
  <c r="CZ222" i="9"/>
  <c r="CY222" i="9"/>
  <c r="CX222" i="9"/>
  <c r="CU222" i="9"/>
  <c r="CT222" i="9"/>
  <c r="CS222" i="9"/>
  <c r="CR222" i="9"/>
  <c r="CQ222" i="9"/>
  <c r="CP222" i="9"/>
  <c r="CO222" i="9"/>
  <c r="CN222" i="9"/>
  <c r="CM222" i="9"/>
  <c r="CL222" i="9"/>
  <c r="CK222" i="9"/>
  <c r="CJ222" i="9"/>
  <c r="CG222" i="9"/>
  <c r="CF222" i="9"/>
  <c r="CE222" i="9"/>
  <c r="CD222" i="9"/>
  <c r="CC222" i="9"/>
  <c r="CB222" i="9"/>
  <c r="CA222" i="9"/>
  <c r="BZ222" i="9"/>
  <c r="BY222" i="9"/>
  <c r="BX222" i="9"/>
  <c r="BW222" i="9"/>
  <c r="BV222" i="9"/>
  <c r="BS222" i="9"/>
  <c r="BR222" i="9"/>
  <c r="BQ222" i="9"/>
  <c r="BP222" i="9"/>
  <c r="BO222" i="9"/>
  <c r="BN222" i="9"/>
  <c r="BM222" i="9"/>
  <c r="BL222" i="9"/>
  <c r="BK222" i="9"/>
  <c r="BJ222" i="9"/>
  <c r="BI222" i="9"/>
  <c r="BH222" i="9"/>
  <c r="BE222" i="9"/>
  <c r="BD222" i="9"/>
  <c r="BC222" i="9"/>
  <c r="BB222" i="9"/>
  <c r="BA222" i="9"/>
  <c r="AZ222" i="9"/>
  <c r="AY222" i="9"/>
  <c r="AX222" i="9"/>
  <c r="AW222" i="9"/>
  <c r="AV222" i="9"/>
  <c r="AU222" i="9"/>
  <c r="AT222" i="9"/>
  <c r="AQ222" i="9"/>
  <c r="AP222" i="9"/>
  <c r="AO222" i="9"/>
  <c r="AN222" i="9"/>
  <c r="AM222" i="9"/>
  <c r="AL222" i="9"/>
  <c r="AK222" i="9"/>
  <c r="AJ222" i="9"/>
  <c r="AI222" i="9"/>
  <c r="AH222" i="9"/>
  <c r="AG222" i="9"/>
  <c r="AF222" i="9"/>
  <c r="AC222" i="9"/>
  <c r="AB222" i="9"/>
  <c r="AA222" i="9"/>
  <c r="Z222" i="9"/>
  <c r="Y222" i="9"/>
  <c r="X222" i="9"/>
  <c r="W222" i="9"/>
  <c r="V222" i="9"/>
  <c r="U222" i="9"/>
  <c r="T222" i="9"/>
  <c r="S222" i="9"/>
  <c r="R222" i="9"/>
  <c r="O222" i="9"/>
  <c r="N222" i="9"/>
  <c r="M222" i="9"/>
  <c r="L222" i="9"/>
  <c r="K222" i="9"/>
  <c r="J222" i="9"/>
  <c r="I222" i="9"/>
  <c r="H222" i="9"/>
  <c r="G222" i="9"/>
  <c r="F222" i="9"/>
  <c r="E222" i="9"/>
  <c r="D222" i="9"/>
  <c r="LZ221" i="9"/>
  <c r="LK221" i="9"/>
  <c r="LJ221" i="9"/>
  <c r="LI221" i="9"/>
  <c r="LH221" i="9"/>
  <c r="LG221" i="9"/>
  <c r="LF221" i="9"/>
  <c r="LE221" i="9"/>
  <c r="LD221" i="9"/>
  <c r="LC221" i="9"/>
  <c r="LB221" i="9"/>
  <c r="LA221" i="9"/>
  <c r="KZ221" i="9"/>
  <c r="KW221" i="9"/>
  <c r="KV221" i="9"/>
  <c r="KU221" i="9"/>
  <c r="KT221" i="9"/>
  <c r="KS221" i="9"/>
  <c r="KR221" i="9"/>
  <c r="KQ221" i="9"/>
  <c r="KP221" i="9"/>
  <c r="KO221" i="9"/>
  <c r="KN221" i="9"/>
  <c r="KM221" i="9"/>
  <c r="KL221" i="9"/>
  <c r="KI221" i="9"/>
  <c r="KH221" i="9"/>
  <c r="KG221" i="9"/>
  <c r="KF221" i="9"/>
  <c r="KE221" i="9"/>
  <c r="KD221" i="9"/>
  <c r="KC221" i="9"/>
  <c r="KB221" i="9"/>
  <c r="KA221" i="9"/>
  <c r="JZ221" i="9"/>
  <c r="JY221" i="9"/>
  <c r="JX221" i="9"/>
  <c r="JU221" i="9"/>
  <c r="JT221" i="9"/>
  <c r="JS221" i="9"/>
  <c r="JR221" i="9"/>
  <c r="JQ221" i="9"/>
  <c r="JP221" i="9"/>
  <c r="JO221" i="9"/>
  <c r="JN221" i="9"/>
  <c r="JM221" i="9"/>
  <c r="JL221" i="9"/>
  <c r="JK221" i="9"/>
  <c r="JJ221" i="9"/>
  <c r="JG221" i="9"/>
  <c r="JF221" i="9"/>
  <c r="JE221" i="9"/>
  <c r="JD221" i="9"/>
  <c r="JC221" i="9"/>
  <c r="JB221" i="9"/>
  <c r="JA221" i="9"/>
  <c r="IZ221" i="9"/>
  <c r="IY221" i="9"/>
  <c r="IX221" i="9"/>
  <c r="IW221" i="9"/>
  <c r="IV221" i="9"/>
  <c r="IS221" i="9"/>
  <c r="IR221" i="9"/>
  <c r="IQ221" i="9"/>
  <c r="IP221" i="9"/>
  <c r="IO221" i="9"/>
  <c r="IN221" i="9"/>
  <c r="IM221" i="9"/>
  <c r="IL221" i="9"/>
  <c r="IK221" i="9"/>
  <c r="IJ221" i="9"/>
  <c r="II221" i="9"/>
  <c r="IH221" i="9"/>
  <c r="IE221" i="9"/>
  <c r="ID221" i="9"/>
  <c r="IC221" i="9"/>
  <c r="IB221" i="9"/>
  <c r="IA221" i="9"/>
  <c r="HZ221" i="9"/>
  <c r="HY221" i="9"/>
  <c r="HX221" i="9"/>
  <c r="HW221" i="9"/>
  <c r="HV221" i="9"/>
  <c r="HU221" i="9"/>
  <c r="HT221" i="9"/>
  <c r="HQ221" i="9"/>
  <c r="HP221" i="9"/>
  <c r="HO221" i="9"/>
  <c r="HN221" i="9"/>
  <c r="HM221" i="9"/>
  <c r="HL221" i="9"/>
  <c r="HK221" i="9"/>
  <c r="HJ221" i="9"/>
  <c r="HI221" i="9"/>
  <c r="HH221" i="9"/>
  <c r="HG221" i="9"/>
  <c r="HF221" i="9"/>
  <c r="HC221" i="9"/>
  <c r="HB221" i="9"/>
  <c r="HA221" i="9"/>
  <c r="GZ221" i="9"/>
  <c r="GY221" i="9"/>
  <c r="GX221" i="9"/>
  <c r="GW221" i="9"/>
  <c r="GV221" i="9"/>
  <c r="GU221" i="9"/>
  <c r="GT221" i="9"/>
  <c r="GS221" i="9"/>
  <c r="GR221" i="9"/>
  <c r="GO221" i="9"/>
  <c r="GN221" i="9"/>
  <c r="GM221" i="9"/>
  <c r="GL221" i="9"/>
  <c r="GK221" i="9"/>
  <c r="GJ221" i="9"/>
  <c r="GI221" i="9"/>
  <c r="GH221" i="9"/>
  <c r="GG221" i="9"/>
  <c r="GF221" i="9"/>
  <c r="GE221" i="9"/>
  <c r="GD221" i="9"/>
  <c r="GA221" i="9"/>
  <c r="FZ221" i="9"/>
  <c r="FY221" i="9"/>
  <c r="FX221" i="9"/>
  <c r="FW221" i="9"/>
  <c r="FV221" i="9"/>
  <c r="FU221" i="9"/>
  <c r="FT221" i="9"/>
  <c r="FS221" i="9"/>
  <c r="FR221" i="9"/>
  <c r="FQ221" i="9"/>
  <c r="FP221" i="9"/>
  <c r="FM221" i="9"/>
  <c r="FL221" i="9"/>
  <c r="FK221" i="9"/>
  <c r="FJ221" i="9"/>
  <c r="FI221" i="9"/>
  <c r="FH221" i="9"/>
  <c r="FG221" i="9"/>
  <c r="FF221" i="9"/>
  <c r="FE221" i="9"/>
  <c r="FD221" i="9"/>
  <c r="FC221" i="9"/>
  <c r="FB221" i="9"/>
  <c r="EY221" i="9"/>
  <c r="EX221" i="9"/>
  <c r="EW221" i="9"/>
  <c r="EV221" i="9"/>
  <c r="EU221" i="9"/>
  <c r="ET221" i="9"/>
  <c r="ES221" i="9"/>
  <c r="ER221" i="9"/>
  <c r="EQ221" i="9"/>
  <c r="EP221" i="9"/>
  <c r="EO221" i="9"/>
  <c r="EN221" i="9"/>
  <c r="EK221" i="9"/>
  <c r="EJ221" i="9"/>
  <c r="EI221" i="9"/>
  <c r="EH221" i="9"/>
  <c r="EG221" i="9"/>
  <c r="EF221" i="9"/>
  <c r="EE221" i="9"/>
  <c r="ED221" i="9"/>
  <c r="EC221" i="9"/>
  <c r="EB221" i="9"/>
  <c r="EA221" i="9"/>
  <c r="DZ221" i="9"/>
  <c r="DW221" i="9"/>
  <c r="DV221" i="9"/>
  <c r="DU221" i="9"/>
  <c r="DT221" i="9"/>
  <c r="DS221" i="9"/>
  <c r="DR221" i="9"/>
  <c r="DQ221" i="9"/>
  <c r="DP221" i="9"/>
  <c r="DO221" i="9"/>
  <c r="DN221" i="9"/>
  <c r="DM221" i="9"/>
  <c r="DL221" i="9"/>
  <c r="DI221" i="9"/>
  <c r="DH221" i="9"/>
  <c r="DG221" i="9"/>
  <c r="DF221" i="9"/>
  <c r="DE221" i="9"/>
  <c r="DD221" i="9"/>
  <c r="DC221" i="9"/>
  <c r="DB221" i="9"/>
  <c r="DA221" i="9"/>
  <c r="CZ221" i="9"/>
  <c r="CY221" i="9"/>
  <c r="CX221" i="9"/>
  <c r="CU221" i="9"/>
  <c r="CT221" i="9"/>
  <c r="CS221" i="9"/>
  <c r="CR221" i="9"/>
  <c r="CQ221" i="9"/>
  <c r="CP221" i="9"/>
  <c r="CO221" i="9"/>
  <c r="CN221" i="9"/>
  <c r="CM221" i="9"/>
  <c r="CL221" i="9"/>
  <c r="CK221" i="9"/>
  <c r="CJ221" i="9"/>
  <c r="CG221" i="9"/>
  <c r="CF221" i="9"/>
  <c r="CE221" i="9"/>
  <c r="CD221" i="9"/>
  <c r="CC221" i="9"/>
  <c r="CB221" i="9"/>
  <c r="CA221" i="9"/>
  <c r="BZ221" i="9"/>
  <c r="BY221" i="9"/>
  <c r="BX221" i="9"/>
  <c r="BW221" i="9"/>
  <c r="BV221" i="9"/>
  <c r="BS221" i="9"/>
  <c r="BR221" i="9"/>
  <c r="BQ221" i="9"/>
  <c r="BP221" i="9"/>
  <c r="BO221" i="9"/>
  <c r="BN221" i="9"/>
  <c r="BM221" i="9"/>
  <c r="BL221" i="9"/>
  <c r="BK221" i="9"/>
  <c r="BJ221" i="9"/>
  <c r="BI221" i="9"/>
  <c r="BH221" i="9"/>
  <c r="BE221" i="9"/>
  <c r="BD221" i="9"/>
  <c r="BC221" i="9"/>
  <c r="BB221" i="9"/>
  <c r="BA221" i="9"/>
  <c r="AZ221" i="9"/>
  <c r="AY221" i="9"/>
  <c r="AX221" i="9"/>
  <c r="AW221" i="9"/>
  <c r="AV221" i="9"/>
  <c r="AU221" i="9"/>
  <c r="AT221" i="9"/>
  <c r="AQ221" i="9"/>
  <c r="AP221" i="9"/>
  <c r="AO221" i="9"/>
  <c r="AN221" i="9"/>
  <c r="AM221" i="9"/>
  <c r="AL221" i="9"/>
  <c r="AK221" i="9"/>
  <c r="AJ221" i="9"/>
  <c r="AI221" i="9"/>
  <c r="AH221" i="9"/>
  <c r="AG221" i="9"/>
  <c r="AF221" i="9"/>
  <c r="AC221" i="9"/>
  <c r="AB221" i="9"/>
  <c r="AA221" i="9"/>
  <c r="Z221" i="9"/>
  <c r="Y221" i="9"/>
  <c r="X221" i="9"/>
  <c r="W221" i="9"/>
  <c r="V221" i="9"/>
  <c r="U221" i="9"/>
  <c r="T221" i="9"/>
  <c r="S221" i="9"/>
  <c r="R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LZ220" i="9"/>
  <c r="LK220" i="9"/>
  <c r="LJ220" i="9"/>
  <c r="LI220" i="9"/>
  <c r="LH220" i="9"/>
  <c r="LG220" i="9"/>
  <c r="LF220" i="9"/>
  <c r="LE220" i="9"/>
  <c r="LD220" i="9"/>
  <c r="LC220" i="9"/>
  <c r="LB220" i="9"/>
  <c r="LA220" i="9"/>
  <c r="KZ220" i="9"/>
  <c r="KW220" i="9"/>
  <c r="KV220" i="9"/>
  <c r="KU220" i="9"/>
  <c r="KT220" i="9"/>
  <c r="KS220" i="9"/>
  <c r="KR220" i="9"/>
  <c r="KQ220" i="9"/>
  <c r="KP220" i="9"/>
  <c r="KO220" i="9"/>
  <c r="KN220" i="9"/>
  <c r="KM220" i="9"/>
  <c r="KL220" i="9"/>
  <c r="KI220" i="9"/>
  <c r="KH220" i="9"/>
  <c r="KG220" i="9"/>
  <c r="KF220" i="9"/>
  <c r="KE220" i="9"/>
  <c r="KD220" i="9"/>
  <c r="KC220" i="9"/>
  <c r="KB220" i="9"/>
  <c r="KA220" i="9"/>
  <c r="JZ220" i="9"/>
  <c r="JY220" i="9"/>
  <c r="JX220" i="9"/>
  <c r="JU220" i="9"/>
  <c r="JT220" i="9"/>
  <c r="JS220" i="9"/>
  <c r="JR220" i="9"/>
  <c r="JQ220" i="9"/>
  <c r="JP220" i="9"/>
  <c r="JO220" i="9"/>
  <c r="JN220" i="9"/>
  <c r="JM220" i="9"/>
  <c r="JL220" i="9"/>
  <c r="JK220" i="9"/>
  <c r="JJ220" i="9"/>
  <c r="JG220" i="9"/>
  <c r="JF220" i="9"/>
  <c r="JE220" i="9"/>
  <c r="JD220" i="9"/>
  <c r="JC220" i="9"/>
  <c r="JB220" i="9"/>
  <c r="JA220" i="9"/>
  <c r="IZ220" i="9"/>
  <c r="IY220" i="9"/>
  <c r="IX220" i="9"/>
  <c r="IW220" i="9"/>
  <c r="IV220" i="9"/>
  <c r="IS220" i="9"/>
  <c r="IR220" i="9"/>
  <c r="IQ220" i="9"/>
  <c r="IP220" i="9"/>
  <c r="IO220" i="9"/>
  <c r="IN220" i="9"/>
  <c r="IM220" i="9"/>
  <c r="IL220" i="9"/>
  <c r="IK220" i="9"/>
  <c r="IJ220" i="9"/>
  <c r="II220" i="9"/>
  <c r="IH220" i="9"/>
  <c r="IE220" i="9"/>
  <c r="ID220" i="9"/>
  <c r="IC220" i="9"/>
  <c r="IB220" i="9"/>
  <c r="IA220" i="9"/>
  <c r="HZ220" i="9"/>
  <c r="HY220" i="9"/>
  <c r="HX220" i="9"/>
  <c r="HW220" i="9"/>
  <c r="HV220" i="9"/>
  <c r="HU220" i="9"/>
  <c r="HT220" i="9"/>
  <c r="HQ220" i="9"/>
  <c r="HP220" i="9"/>
  <c r="HO220" i="9"/>
  <c r="HN220" i="9"/>
  <c r="HM220" i="9"/>
  <c r="HL220" i="9"/>
  <c r="HK220" i="9"/>
  <c r="HJ220" i="9"/>
  <c r="HI220" i="9"/>
  <c r="HH220" i="9"/>
  <c r="HG220" i="9"/>
  <c r="HF220" i="9"/>
  <c r="HC220" i="9"/>
  <c r="HB220" i="9"/>
  <c r="HA220" i="9"/>
  <c r="GZ220" i="9"/>
  <c r="GY220" i="9"/>
  <c r="GX220" i="9"/>
  <c r="GW220" i="9"/>
  <c r="GV220" i="9"/>
  <c r="GU220" i="9"/>
  <c r="GT220" i="9"/>
  <c r="GS220" i="9"/>
  <c r="GR220" i="9"/>
  <c r="GO220" i="9"/>
  <c r="GN220" i="9"/>
  <c r="GM220" i="9"/>
  <c r="GL220" i="9"/>
  <c r="GK220" i="9"/>
  <c r="GJ220" i="9"/>
  <c r="GI220" i="9"/>
  <c r="GH220" i="9"/>
  <c r="GG220" i="9"/>
  <c r="GF220" i="9"/>
  <c r="GE220" i="9"/>
  <c r="GD220" i="9"/>
  <c r="GA220" i="9"/>
  <c r="FZ220" i="9"/>
  <c r="FY220" i="9"/>
  <c r="FX220" i="9"/>
  <c r="FW220" i="9"/>
  <c r="FV220" i="9"/>
  <c r="FU220" i="9"/>
  <c r="FT220" i="9"/>
  <c r="FS220" i="9"/>
  <c r="FR220" i="9"/>
  <c r="FQ220" i="9"/>
  <c r="FP220" i="9"/>
  <c r="FM220" i="9"/>
  <c r="FL220" i="9"/>
  <c r="FK220" i="9"/>
  <c r="FJ220" i="9"/>
  <c r="FI220" i="9"/>
  <c r="FH220" i="9"/>
  <c r="FG220" i="9"/>
  <c r="FF220" i="9"/>
  <c r="FE220" i="9"/>
  <c r="FD220" i="9"/>
  <c r="FC220" i="9"/>
  <c r="FB220" i="9"/>
  <c r="EY220" i="9"/>
  <c r="EX220" i="9"/>
  <c r="EW220" i="9"/>
  <c r="EV220" i="9"/>
  <c r="EU220" i="9"/>
  <c r="ET220" i="9"/>
  <c r="ES220" i="9"/>
  <c r="ER220" i="9"/>
  <c r="EQ220" i="9"/>
  <c r="EP220" i="9"/>
  <c r="EO220" i="9"/>
  <c r="EN220" i="9"/>
  <c r="EK220" i="9"/>
  <c r="EJ220" i="9"/>
  <c r="EI220" i="9"/>
  <c r="EH220" i="9"/>
  <c r="EG220" i="9"/>
  <c r="EF220" i="9"/>
  <c r="EE220" i="9"/>
  <c r="ED220" i="9"/>
  <c r="EC220" i="9"/>
  <c r="EB220" i="9"/>
  <c r="EA220" i="9"/>
  <c r="DZ220" i="9"/>
  <c r="DW220" i="9"/>
  <c r="DV220" i="9"/>
  <c r="DU220" i="9"/>
  <c r="DT220" i="9"/>
  <c r="DS220" i="9"/>
  <c r="DR220" i="9"/>
  <c r="DQ220" i="9"/>
  <c r="DP220" i="9"/>
  <c r="DO220" i="9"/>
  <c r="DN220" i="9"/>
  <c r="DM220" i="9"/>
  <c r="DL220" i="9"/>
  <c r="DI220" i="9"/>
  <c r="DH220" i="9"/>
  <c r="DG220" i="9"/>
  <c r="DF220" i="9"/>
  <c r="DE220" i="9"/>
  <c r="DD220" i="9"/>
  <c r="DC220" i="9"/>
  <c r="DB220" i="9"/>
  <c r="DA220" i="9"/>
  <c r="CZ220" i="9"/>
  <c r="CY220" i="9"/>
  <c r="CX220" i="9"/>
  <c r="CU220" i="9"/>
  <c r="CT220" i="9"/>
  <c r="CS220" i="9"/>
  <c r="CR220" i="9"/>
  <c r="CQ220" i="9"/>
  <c r="CP220" i="9"/>
  <c r="CO220" i="9"/>
  <c r="CN220" i="9"/>
  <c r="CM220" i="9"/>
  <c r="CL220" i="9"/>
  <c r="CK220" i="9"/>
  <c r="CJ220" i="9"/>
  <c r="CG220" i="9"/>
  <c r="CF220" i="9"/>
  <c r="CE220" i="9"/>
  <c r="CD220" i="9"/>
  <c r="CC220" i="9"/>
  <c r="CB220" i="9"/>
  <c r="CA220" i="9"/>
  <c r="BZ220" i="9"/>
  <c r="BY220" i="9"/>
  <c r="BX220" i="9"/>
  <c r="BW220" i="9"/>
  <c r="BV220" i="9"/>
  <c r="BS220" i="9"/>
  <c r="BR220" i="9"/>
  <c r="BQ220" i="9"/>
  <c r="BP220" i="9"/>
  <c r="BO220" i="9"/>
  <c r="BN220" i="9"/>
  <c r="BM220" i="9"/>
  <c r="BL220" i="9"/>
  <c r="BK220" i="9"/>
  <c r="BJ220" i="9"/>
  <c r="BI220" i="9"/>
  <c r="BH220" i="9"/>
  <c r="BE220" i="9"/>
  <c r="BD220" i="9"/>
  <c r="BC220" i="9"/>
  <c r="BB220" i="9"/>
  <c r="BA220" i="9"/>
  <c r="AZ220" i="9"/>
  <c r="AY220" i="9"/>
  <c r="AX220" i="9"/>
  <c r="AW220" i="9"/>
  <c r="AV220" i="9"/>
  <c r="AU220" i="9"/>
  <c r="AT220" i="9"/>
  <c r="AQ220" i="9"/>
  <c r="AP220" i="9"/>
  <c r="AO220" i="9"/>
  <c r="AN220" i="9"/>
  <c r="AM220" i="9"/>
  <c r="AL220" i="9"/>
  <c r="AK220" i="9"/>
  <c r="AJ220" i="9"/>
  <c r="AI220" i="9"/>
  <c r="AH220" i="9"/>
  <c r="AG220" i="9"/>
  <c r="AF220" i="9"/>
  <c r="AC220" i="9"/>
  <c r="AB220" i="9"/>
  <c r="AA220" i="9"/>
  <c r="Z220" i="9"/>
  <c r="Y220" i="9"/>
  <c r="X220" i="9"/>
  <c r="W220" i="9"/>
  <c r="V220" i="9"/>
  <c r="U220" i="9"/>
  <c r="T220" i="9"/>
  <c r="S220" i="9"/>
  <c r="R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LZ219" i="9"/>
  <c r="LK219" i="9"/>
  <c r="LJ219" i="9"/>
  <c r="LI219" i="9"/>
  <c r="LH219" i="9"/>
  <c r="LG219" i="9"/>
  <c r="LF219" i="9"/>
  <c r="LE219" i="9"/>
  <c r="LD219" i="9"/>
  <c r="LC219" i="9"/>
  <c r="LB219" i="9"/>
  <c r="LA219" i="9"/>
  <c r="KZ219" i="9"/>
  <c r="KW219" i="9"/>
  <c r="KV219" i="9"/>
  <c r="KU219" i="9"/>
  <c r="KT219" i="9"/>
  <c r="KS219" i="9"/>
  <c r="KR219" i="9"/>
  <c r="KQ219" i="9"/>
  <c r="KP219" i="9"/>
  <c r="KO219" i="9"/>
  <c r="KN219" i="9"/>
  <c r="KM219" i="9"/>
  <c r="KL219" i="9"/>
  <c r="KI219" i="9"/>
  <c r="KH219" i="9"/>
  <c r="KG219" i="9"/>
  <c r="KF219" i="9"/>
  <c r="KE219" i="9"/>
  <c r="KD219" i="9"/>
  <c r="KC219" i="9"/>
  <c r="KB219" i="9"/>
  <c r="KA219" i="9"/>
  <c r="JZ219" i="9"/>
  <c r="JY219" i="9"/>
  <c r="JX219" i="9"/>
  <c r="JU219" i="9"/>
  <c r="JT219" i="9"/>
  <c r="JS219" i="9"/>
  <c r="JR219" i="9"/>
  <c r="JQ219" i="9"/>
  <c r="JP219" i="9"/>
  <c r="JO219" i="9"/>
  <c r="JN219" i="9"/>
  <c r="JM219" i="9"/>
  <c r="JL219" i="9"/>
  <c r="JK219" i="9"/>
  <c r="JJ219" i="9"/>
  <c r="JG219" i="9"/>
  <c r="JF219" i="9"/>
  <c r="JE219" i="9"/>
  <c r="JD219" i="9"/>
  <c r="JC219" i="9"/>
  <c r="JB219" i="9"/>
  <c r="JA219" i="9"/>
  <c r="IZ219" i="9"/>
  <c r="IY219" i="9"/>
  <c r="IX219" i="9"/>
  <c r="IW219" i="9"/>
  <c r="IV219" i="9"/>
  <c r="IS219" i="9"/>
  <c r="IR219" i="9"/>
  <c r="IQ219" i="9"/>
  <c r="IP219" i="9"/>
  <c r="IO219" i="9"/>
  <c r="IN219" i="9"/>
  <c r="IM219" i="9"/>
  <c r="IL219" i="9"/>
  <c r="IK219" i="9"/>
  <c r="IJ219" i="9"/>
  <c r="II219" i="9"/>
  <c r="IH219" i="9"/>
  <c r="IE219" i="9"/>
  <c r="ID219" i="9"/>
  <c r="IC219" i="9"/>
  <c r="IB219" i="9"/>
  <c r="IA219" i="9"/>
  <c r="HZ219" i="9"/>
  <c r="HY219" i="9"/>
  <c r="HX219" i="9"/>
  <c r="HW219" i="9"/>
  <c r="HV219" i="9"/>
  <c r="HU219" i="9"/>
  <c r="HT219" i="9"/>
  <c r="HQ219" i="9"/>
  <c r="HP219" i="9"/>
  <c r="HO219" i="9"/>
  <c r="HN219" i="9"/>
  <c r="HM219" i="9"/>
  <c r="HL219" i="9"/>
  <c r="HK219" i="9"/>
  <c r="HJ219" i="9"/>
  <c r="HI219" i="9"/>
  <c r="HH219" i="9"/>
  <c r="HG219" i="9"/>
  <c r="HF219" i="9"/>
  <c r="HC219" i="9"/>
  <c r="HB219" i="9"/>
  <c r="HA219" i="9"/>
  <c r="GZ219" i="9"/>
  <c r="GY219" i="9"/>
  <c r="GX219" i="9"/>
  <c r="GW219" i="9"/>
  <c r="GV219" i="9"/>
  <c r="GU219" i="9"/>
  <c r="GT219" i="9"/>
  <c r="GS219" i="9"/>
  <c r="GR219" i="9"/>
  <c r="GO219" i="9"/>
  <c r="GN219" i="9"/>
  <c r="GM219" i="9"/>
  <c r="GL219" i="9"/>
  <c r="GK219" i="9"/>
  <c r="GJ219" i="9"/>
  <c r="GI219" i="9"/>
  <c r="GH219" i="9"/>
  <c r="GG219" i="9"/>
  <c r="GF219" i="9"/>
  <c r="GE219" i="9"/>
  <c r="GD219" i="9"/>
  <c r="GA219" i="9"/>
  <c r="FZ219" i="9"/>
  <c r="FY219" i="9"/>
  <c r="FX219" i="9"/>
  <c r="FW219" i="9"/>
  <c r="FV219" i="9"/>
  <c r="FU219" i="9"/>
  <c r="FT219" i="9"/>
  <c r="FS219" i="9"/>
  <c r="FR219" i="9"/>
  <c r="FQ219" i="9"/>
  <c r="FP219" i="9"/>
  <c r="FM219" i="9"/>
  <c r="FL219" i="9"/>
  <c r="FK219" i="9"/>
  <c r="FJ219" i="9"/>
  <c r="FI219" i="9"/>
  <c r="FH219" i="9"/>
  <c r="FG219" i="9"/>
  <c r="FF219" i="9"/>
  <c r="FE219" i="9"/>
  <c r="FD219" i="9"/>
  <c r="FC219" i="9"/>
  <c r="FB219" i="9"/>
  <c r="EY219" i="9"/>
  <c r="EX219" i="9"/>
  <c r="EW219" i="9"/>
  <c r="EV219" i="9"/>
  <c r="EU219" i="9"/>
  <c r="ET219" i="9"/>
  <c r="ES219" i="9"/>
  <c r="ER219" i="9"/>
  <c r="EQ219" i="9"/>
  <c r="EP219" i="9"/>
  <c r="EO219" i="9"/>
  <c r="EN219" i="9"/>
  <c r="EK219" i="9"/>
  <c r="EJ219" i="9"/>
  <c r="EI219" i="9"/>
  <c r="EH219" i="9"/>
  <c r="EG219" i="9"/>
  <c r="EF219" i="9"/>
  <c r="EE219" i="9"/>
  <c r="ED219" i="9"/>
  <c r="EC219" i="9"/>
  <c r="EB219" i="9"/>
  <c r="EA219" i="9"/>
  <c r="DZ219" i="9"/>
  <c r="DW219" i="9"/>
  <c r="DV219" i="9"/>
  <c r="DU219" i="9"/>
  <c r="DT219" i="9"/>
  <c r="DS219" i="9"/>
  <c r="DR219" i="9"/>
  <c r="DQ219" i="9"/>
  <c r="DP219" i="9"/>
  <c r="DO219" i="9"/>
  <c r="DN219" i="9"/>
  <c r="DM219" i="9"/>
  <c r="DL219" i="9"/>
  <c r="DI219" i="9"/>
  <c r="DH219" i="9"/>
  <c r="DG219" i="9"/>
  <c r="DF219" i="9"/>
  <c r="DE219" i="9"/>
  <c r="DD219" i="9"/>
  <c r="DC219" i="9"/>
  <c r="DB219" i="9"/>
  <c r="DA219" i="9"/>
  <c r="CZ219" i="9"/>
  <c r="CY219" i="9"/>
  <c r="CX219" i="9"/>
  <c r="CU219" i="9"/>
  <c r="CT219" i="9"/>
  <c r="CS219" i="9"/>
  <c r="CR219" i="9"/>
  <c r="CQ219" i="9"/>
  <c r="CP219" i="9"/>
  <c r="CO219" i="9"/>
  <c r="CN219" i="9"/>
  <c r="CM219" i="9"/>
  <c r="CL219" i="9"/>
  <c r="CK219" i="9"/>
  <c r="CJ219" i="9"/>
  <c r="CG219" i="9"/>
  <c r="CF219" i="9"/>
  <c r="CE219" i="9"/>
  <c r="CD219" i="9"/>
  <c r="CC219" i="9"/>
  <c r="CB219" i="9"/>
  <c r="CA219" i="9"/>
  <c r="BZ219" i="9"/>
  <c r="BY219" i="9"/>
  <c r="BX219" i="9"/>
  <c r="BW219" i="9"/>
  <c r="BV219" i="9"/>
  <c r="BS219" i="9"/>
  <c r="BR219" i="9"/>
  <c r="BQ219" i="9"/>
  <c r="BP219" i="9"/>
  <c r="BO219" i="9"/>
  <c r="BN219" i="9"/>
  <c r="BM219" i="9"/>
  <c r="BL219" i="9"/>
  <c r="BK219" i="9"/>
  <c r="BJ219" i="9"/>
  <c r="BI219" i="9"/>
  <c r="BH219" i="9"/>
  <c r="BE219" i="9"/>
  <c r="BD219" i="9"/>
  <c r="BC219" i="9"/>
  <c r="BB219" i="9"/>
  <c r="BA219" i="9"/>
  <c r="AZ219" i="9"/>
  <c r="AY219" i="9"/>
  <c r="AX219" i="9"/>
  <c r="AW219" i="9"/>
  <c r="AV219" i="9"/>
  <c r="AU219" i="9"/>
  <c r="AT219" i="9"/>
  <c r="AQ219" i="9"/>
  <c r="AP219" i="9"/>
  <c r="AO219" i="9"/>
  <c r="AN219" i="9"/>
  <c r="AM219" i="9"/>
  <c r="AL219" i="9"/>
  <c r="AK219" i="9"/>
  <c r="AJ219" i="9"/>
  <c r="AI219" i="9"/>
  <c r="AH219" i="9"/>
  <c r="AG219" i="9"/>
  <c r="AF219" i="9"/>
  <c r="AC219" i="9"/>
  <c r="AB219" i="9"/>
  <c r="AA219" i="9"/>
  <c r="Z219" i="9"/>
  <c r="Y219" i="9"/>
  <c r="X219" i="9"/>
  <c r="W219" i="9"/>
  <c r="V219" i="9"/>
  <c r="U219" i="9"/>
  <c r="T219" i="9"/>
  <c r="S219" i="9"/>
  <c r="R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LZ218" i="9"/>
  <c r="LK218" i="9"/>
  <c r="LJ218" i="9"/>
  <c r="LI218" i="9"/>
  <c r="LH218" i="9"/>
  <c r="LG218" i="9"/>
  <c r="LF218" i="9"/>
  <c r="LE218" i="9"/>
  <c r="LD218" i="9"/>
  <c r="LC218" i="9"/>
  <c r="LB218" i="9"/>
  <c r="LA218" i="9"/>
  <c r="KZ218" i="9"/>
  <c r="KW218" i="9"/>
  <c r="KV218" i="9"/>
  <c r="KU218" i="9"/>
  <c r="KT218" i="9"/>
  <c r="KS218" i="9"/>
  <c r="KR218" i="9"/>
  <c r="KQ218" i="9"/>
  <c r="KP218" i="9"/>
  <c r="KO218" i="9"/>
  <c r="KN218" i="9"/>
  <c r="KM218" i="9"/>
  <c r="KL218" i="9"/>
  <c r="KI218" i="9"/>
  <c r="KH218" i="9"/>
  <c r="KG218" i="9"/>
  <c r="KF218" i="9"/>
  <c r="KE218" i="9"/>
  <c r="KD218" i="9"/>
  <c r="KC218" i="9"/>
  <c r="KB218" i="9"/>
  <c r="KA218" i="9"/>
  <c r="JZ218" i="9"/>
  <c r="JY218" i="9"/>
  <c r="JX218" i="9"/>
  <c r="JU218" i="9"/>
  <c r="JT218" i="9"/>
  <c r="JS218" i="9"/>
  <c r="JR218" i="9"/>
  <c r="JQ218" i="9"/>
  <c r="JP218" i="9"/>
  <c r="JO218" i="9"/>
  <c r="JN218" i="9"/>
  <c r="JM218" i="9"/>
  <c r="JL218" i="9"/>
  <c r="JK218" i="9"/>
  <c r="JJ218" i="9"/>
  <c r="JG218" i="9"/>
  <c r="JF218" i="9"/>
  <c r="JE218" i="9"/>
  <c r="JD218" i="9"/>
  <c r="JC218" i="9"/>
  <c r="JB218" i="9"/>
  <c r="JA218" i="9"/>
  <c r="IZ218" i="9"/>
  <c r="IY218" i="9"/>
  <c r="IX218" i="9"/>
  <c r="IW218" i="9"/>
  <c r="IV218" i="9"/>
  <c r="IS218" i="9"/>
  <c r="IR218" i="9"/>
  <c r="IQ218" i="9"/>
  <c r="IP218" i="9"/>
  <c r="IO218" i="9"/>
  <c r="IN218" i="9"/>
  <c r="IM218" i="9"/>
  <c r="IL218" i="9"/>
  <c r="IK218" i="9"/>
  <c r="IJ218" i="9"/>
  <c r="II218" i="9"/>
  <c r="IH218" i="9"/>
  <c r="IE218" i="9"/>
  <c r="ID218" i="9"/>
  <c r="IC218" i="9"/>
  <c r="IB218" i="9"/>
  <c r="IA218" i="9"/>
  <c r="HZ218" i="9"/>
  <c r="HY218" i="9"/>
  <c r="HX218" i="9"/>
  <c r="HW218" i="9"/>
  <c r="HV218" i="9"/>
  <c r="HU218" i="9"/>
  <c r="HT218" i="9"/>
  <c r="HQ218" i="9"/>
  <c r="HP218" i="9"/>
  <c r="HO218" i="9"/>
  <c r="HN218" i="9"/>
  <c r="HM218" i="9"/>
  <c r="HL218" i="9"/>
  <c r="HK218" i="9"/>
  <c r="HJ218" i="9"/>
  <c r="HI218" i="9"/>
  <c r="HH218" i="9"/>
  <c r="HG218" i="9"/>
  <c r="HF218" i="9"/>
  <c r="HC218" i="9"/>
  <c r="HB218" i="9"/>
  <c r="HA218" i="9"/>
  <c r="GZ218" i="9"/>
  <c r="GY218" i="9"/>
  <c r="GX218" i="9"/>
  <c r="GW218" i="9"/>
  <c r="GV218" i="9"/>
  <c r="GU218" i="9"/>
  <c r="GT218" i="9"/>
  <c r="GS218" i="9"/>
  <c r="GR218" i="9"/>
  <c r="GO218" i="9"/>
  <c r="GN218" i="9"/>
  <c r="GM218" i="9"/>
  <c r="GL218" i="9"/>
  <c r="GK218" i="9"/>
  <c r="GJ218" i="9"/>
  <c r="GI218" i="9"/>
  <c r="GH218" i="9"/>
  <c r="GG218" i="9"/>
  <c r="GF218" i="9"/>
  <c r="GE218" i="9"/>
  <c r="GD218" i="9"/>
  <c r="GA218" i="9"/>
  <c r="FZ218" i="9"/>
  <c r="FY218" i="9"/>
  <c r="FX218" i="9"/>
  <c r="FW218" i="9"/>
  <c r="FV218" i="9"/>
  <c r="FU218" i="9"/>
  <c r="FT218" i="9"/>
  <c r="FS218" i="9"/>
  <c r="FR218" i="9"/>
  <c r="FQ218" i="9"/>
  <c r="FP218" i="9"/>
  <c r="FM218" i="9"/>
  <c r="FL218" i="9"/>
  <c r="FK218" i="9"/>
  <c r="FJ218" i="9"/>
  <c r="FI218" i="9"/>
  <c r="FH218" i="9"/>
  <c r="FG218" i="9"/>
  <c r="FF218" i="9"/>
  <c r="FE218" i="9"/>
  <c r="FD218" i="9"/>
  <c r="FC218" i="9"/>
  <c r="FB218" i="9"/>
  <c r="EY218" i="9"/>
  <c r="EX218" i="9"/>
  <c r="EW218" i="9"/>
  <c r="EV218" i="9"/>
  <c r="EU218" i="9"/>
  <c r="ET218" i="9"/>
  <c r="ES218" i="9"/>
  <c r="ER218" i="9"/>
  <c r="EQ218" i="9"/>
  <c r="EP218" i="9"/>
  <c r="EO218" i="9"/>
  <c r="EN218" i="9"/>
  <c r="EK218" i="9"/>
  <c r="EJ218" i="9"/>
  <c r="EI218" i="9"/>
  <c r="EH218" i="9"/>
  <c r="EG218" i="9"/>
  <c r="EF218" i="9"/>
  <c r="EE218" i="9"/>
  <c r="ED218" i="9"/>
  <c r="EC218" i="9"/>
  <c r="EB218" i="9"/>
  <c r="EA218" i="9"/>
  <c r="DZ218" i="9"/>
  <c r="DW218" i="9"/>
  <c r="DV218" i="9"/>
  <c r="DU218" i="9"/>
  <c r="DT218" i="9"/>
  <c r="DS218" i="9"/>
  <c r="DR218" i="9"/>
  <c r="DQ218" i="9"/>
  <c r="DP218" i="9"/>
  <c r="DO218" i="9"/>
  <c r="DN218" i="9"/>
  <c r="DM218" i="9"/>
  <c r="DL218" i="9"/>
  <c r="DI218" i="9"/>
  <c r="DH218" i="9"/>
  <c r="DG218" i="9"/>
  <c r="DF218" i="9"/>
  <c r="DE218" i="9"/>
  <c r="DD218" i="9"/>
  <c r="DC218" i="9"/>
  <c r="DB218" i="9"/>
  <c r="DA218" i="9"/>
  <c r="CZ218" i="9"/>
  <c r="CY218" i="9"/>
  <c r="CX218" i="9"/>
  <c r="CU218" i="9"/>
  <c r="CT218" i="9"/>
  <c r="CS218" i="9"/>
  <c r="CR218" i="9"/>
  <c r="CQ218" i="9"/>
  <c r="CP218" i="9"/>
  <c r="CO218" i="9"/>
  <c r="CN218" i="9"/>
  <c r="CM218" i="9"/>
  <c r="CL218" i="9"/>
  <c r="CK218" i="9"/>
  <c r="CJ218" i="9"/>
  <c r="CG218" i="9"/>
  <c r="CF218" i="9"/>
  <c r="CE218" i="9"/>
  <c r="CD218" i="9"/>
  <c r="CC218" i="9"/>
  <c r="CB218" i="9"/>
  <c r="CA218" i="9"/>
  <c r="BZ218" i="9"/>
  <c r="BY218" i="9"/>
  <c r="BX218" i="9"/>
  <c r="BW218" i="9"/>
  <c r="BV218" i="9"/>
  <c r="BS218" i="9"/>
  <c r="BR218" i="9"/>
  <c r="BQ218" i="9"/>
  <c r="BP218" i="9"/>
  <c r="BO218" i="9"/>
  <c r="BN218" i="9"/>
  <c r="BM218" i="9"/>
  <c r="BL218" i="9"/>
  <c r="BK218" i="9"/>
  <c r="BJ218" i="9"/>
  <c r="BI218" i="9"/>
  <c r="BH218" i="9"/>
  <c r="BE218" i="9"/>
  <c r="BD218" i="9"/>
  <c r="BC218" i="9"/>
  <c r="BB218" i="9"/>
  <c r="BA218" i="9"/>
  <c r="AZ218" i="9"/>
  <c r="AY218" i="9"/>
  <c r="AX218" i="9"/>
  <c r="AW218" i="9"/>
  <c r="AV218" i="9"/>
  <c r="AU218" i="9"/>
  <c r="AT218" i="9"/>
  <c r="AQ218" i="9"/>
  <c r="AP218" i="9"/>
  <c r="AO218" i="9"/>
  <c r="AN218" i="9"/>
  <c r="AM218" i="9"/>
  <c r="AL218" i="9"/>
  <c r="AK218" i="9"/>
  <c r="AJ218" i="9"/>
  <c r="AI218" i="9"/>
  <c r="AH218" i="9"/>
  <c r="AG218" i="9"/>
  <c r="AF218" i="9"/>
  <c r="AC218" i="9"/>
  <c r="AB218" i="9"/>
  <c r="AA218" i="9"/>
  <c r="Z218" i="9"/>
  <c r="Y218" i="9"/>
  <c r="X218" i="9"/>
  <c r="W218" i="9"/>
  <c r="V218" i="9"/>
  <c r="U218" i="9"/>
  <c r="T218" i="9"/>
  <c r="S218" i="9"/>
  <c r="R218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LZ217" i="9"/>
  <c r="LK217" i="9"/>
  <c r="LJ217" i="9"/>
  <c r="LI217" i="9"/>
  <c r="LH217" i="9"/>
  <c r="LG217" i="9"/>
  <c r="LF217" i="9"/>
  <c r="LE217" i="9"/>
  <c r="LD217" i="9"/>
  <c r="LC217" i="9"/>
  <c r="LB217" i="9"/>
  <c r="LA217" i="9"/>
  <c r="KZ217" i="9"/>
  <c r="KW217" i="9"/>
  <c r="KV217" i="9"/>
  <c r="KU217" i="9"/>
  <c r="KT217" i="9"/>
  <c r="KS217" i="9"/>
  <c r="KR217" i="9"/>
  <c r="KQ217" i="9"/>
  <c r="KP217" i="9"/>
  <c r="KO217" i="9"/>
  <c r="KN217" i="9"/>
  <c r="KM217" i="9"/>
  <c r="KL217" i="9"/>
  <c r="KI217" i="9"/>
  <c r="KH217" i="9"/>
  <c r="KG217" i="9"/>
  <c r="KF217" i="9"/>
  <c r="KE217" i="9"/>
  <c r="KD217" i="9"/>
  <c r="KC217" i="9"/>
  <c r="KB217" i="9"/>
  <c r="KA217" i="9"/>
  <c r="JZ217" i="9"/>
  <c r="JY217" i="9"/>
  <c r="JX217" i="9"/>
  <c r="JU217" i="9"/>
  <c r="JT217" i="9"/>
  <c r="JS217" i="9"/>
  <c r="JR217" i="9"/>
  <c r="JQ217" i="9"/>
  <c r="JP217" i="9"/>
  <c r="JO217" i="9"/>
  <c r="JN217" i="9"/>
  <c r="JM217" i="9"/>
  <c r="JL217" i="9"/>
  <c r="JK217" i="9"/>
  <c r="JJ217" i="9"/>
  <c r="JG217" i="9"/>
  <c r="JF217" i="9"/>
  <c r="JE217" i="9"/>
  <c r="JD217" i="9"/>
  <c r="JC217" i="9"/>
  <c r="JB217" i="9"/>
  <c r="JA217" i="9"/>
  <c r="IZ217" i="9"/>
  <c r="IY217" i="9"/>
  <c r="IX217" i="9"/>
  <c r="IW217" i="9"/>
  <c r="IV217" i="9"/>
  <c r="IS217" i="9"/>
  <c r="IR217" i="9"/>
  <c r="IQ217" i="9"/>
  <c r="IP217" i="9"/>
  <c r="IO217" i="9"/>
  <c r="IN217" i="9"/>
  <c r="IM217" i="9"/>
  <c r="IL217" i="9"/>
  <c r="IK217" i="9"/>
  <c r="IJ217" i="9"/>
  <c r="II217" i="9"/>
  <c r="IH217" i="9"/>
  <c r="IE217" i="9"/>
  <c r="ID217" i="9"/>
  <c r="IC217" i="9"/>
  <c r="IB217" i="9"/>
  <c r="IA217" i="9"/>
  <c r="HZ217" i="9"/>
  <c r="HY217" i="9"/>
  <c r="HX217" i="9"/>
  <c r="HW217" i="9"/>
  <c r="HV217" i="9"/>
  <c r="HU217" i="9"/>
  <c r="HT217" i="9"/>
  <c r="HQ217" i="9"/>
  <c r="HP217" i="9"/>
  <c r="HO217" i="9"/>
  <c r="HN217" i="9"/>
  <c r="HM217" i="9"/>
  <c r="HL217" i="9"/>
  <c r="HK217" i="9"/>
  <c r="HJ217" i="9"/>
  <c r="HI217" i="9"/>
  <c r="HH217" i="9"/>
  <c r="HG217" i="9"/>
  <c r="HF217" i="9"/>
  <c r="HC217" i="9"/>
  <c r="HB217" i="9"/>
  <c r="HA217" i="9"/>
  <c r="GZ217" i="9"/>
  <c r="GY217" i="9"/>
  <c r="GX217" i="9"/>
  <c r="GW217" i="9"/>
  <c r="GV217" i="9"/>
  <c r="GU217" i="9"/>
  <c r="GT217" i="9"/>
  <c r="GS217" i="9"/>
  <c r="GR217" i="9"/>
  <c r="GO217" i="9"/>
  <c r="GN217" i="9"/>
  <c r="GM217" i="9"/>
  <c r="GL217" i="9"/>
  <c r="GK217" i="9"/>
  <c r="GJ217" i="9"/>
  <c r="GI217" i="9"/>
  <c r="GH217" i="9"/>
  <c r="GG217" i="9"/>
  <c r="GF217" i="9"/>
  <c r="GE217" i="9"/>
  <c r="GD217" i="9"/>
  <c r="GA217" i="9"/>
  <c r="FZ217" i="9"/>
  <c r="FY217" i="9"/>
  <c r="FX217" i="9"/>
  <c r="FW217" i="9"/>
  <c r="FV217" i="9"/>
  <c r="FU217" i="9"/>
  <c r="FT217" i="9"/>
  <c r="FS217" i="9"/>
  <c r="FR217" i="9"/>
  <c r="FQ217" i="9"/>
  <c r="FP217" i="9"/>
  <c r="FM217" i="9"/>
  <c r="FL217" i="9"/>
  <c r="FK217" i="9"/>
  <c r="FJ217" i="9"/>
  <c r="FI217" i="9"/>
  <c r="FH217" i="9"/>
  <c r="FG217" i="9"/>
  <c r="FF217" i="9"/>
  <c r="FE217" i="9"/>
  <c r="FD217" i="9"/>
  <c r="FC217" i="9"/>
  <c r="FB217" i="9"/>
  <c r="EY217" i="9"/>
  <c r="EX217" i="9"/>
  <c r="EW217" i="9"/>
  <c r="EV217" i="9"/>
  <c r="EU217" i="9"/>
  <c r="ET217" i="9"/>
  <c r="ES217" i="9"/>
  <c r="ER217" i="9"/>
  <c r="EQ217" i="9"/>
  <c r="EP217" i="9"/>
  <c r="EO217" i="9"/>
  <c r="EN217" i="9"/>
  <c r="EK217" i="9"/>
  <c r="EJ217" i="9"/>
  <c r="EI217" i="9"/>
  <c r="EH217" i="9"/>
  <c r="EG217" i="9"/>
  <c r="EF217" i="9"/>
  <c r="EE217" i="9"/>
  <c r="ED217" i="9"/>
  <c r="EC217" i="9"/>
  <c r="EB217" i="9"/>
  <c r="EA217" i="9"/>
  <c r="DZ217" i="9"/>
  <c r="DW217" i="9"/>
  <c r="DV217" i="9"/>
  <c r="DU217" i="9"/>
  <c r="DT217" i="9"/>
  <c r="DS217" i="9"/>
  <c r="DR217" i="9"/>
  <c r="DQ217" i="9"/>
  <c r="DP217" i="9"/>
  <c r="DO217" i="9"/>
  <c r="DN217" i="9"/>
  <c r="DM217" i="9"/>
  <c r="DL217" i="9"/>
  <c r="DI217" i="9"/>
  <c r="DH217" i="9"/>
  <c r="DG217" i="9"/>
  <c r="DF217" i="9"/>
  <c r="DE217" i="9"/>
  <c r="DD217" i="9"/>
  <c r="DC217" i="9"/>
  <c r="DB217" i="9"/>
  <c r="DA217" i="9"/>
  <c r="CZ217" i="9"/>
  <c r="CY217" i="9"/>
  <c r="CX217" i="9"/>
  <c r="CU217" i="9"/>
  <c r="CT217" i="9"/>
  <c r="CS217" i="9"/>
  <c r="CR217" i="9"/>
  <c r="CQ217" i="9"/>
  <c r="CP217" i="9"/>
  <c r="CO217" i="9"/>
  <c r="CN217" i="9"/>
  <c r="CM217" i="9"/>
  <c r="CL217" i="9"/>
  <c r="CK217" i="9"/>
  <c r="CJ217" i="9"/>
  <c r="CG217" i="9"/>
  <c r="CF217" i="9"/>
  <c r="CE217" i="9"/>
  <c r="CD217" i="9"/>
  <c r="CC217" i="9"/>
  <c r="CB217" i="9"/>
  <c r="CA217" i="9"/>
  <c r="BZ217" i="9"/>
  <c r="BY217" i="9"/>
  <c r="BX217" i="9"/>
  <c r="BW217" i="9"/>
  <c r="BV217" i="9"/>
  <c r="BS217" i="9"/>
  <c r="BR217" i="9"/>
  <c r="BQ217" i="9"/>
  <c r="BP217" i="9"/>
  <c r="BO217" i="9"/>
  <c r="BN217" i="9"/>
  <c r="BM217" i="9"/>
  <c r="BL217" i="9"/>
  <c r="BK217" i="9"/>
  <c r="BJ217" i="9"/>
  <c r="BI217" i="9"/>
  <c r="BH217" i="9"/>
  <c r="BE217" i="9"/>
  <c r="BD217" i="9"/>
  <c r="BC217" i="9"/>
  <c r="BB217" i="9"/>
  <c r="BA217" i="9"/>
  <c r="AZ217" i="9"/>
  <c r="AY217" i="9"/>
  <c r="AX217" i="9"/>
  <c r="AW217" i="9"/>
  <c r="AV217" i="9"/>
  <c r="AU217" i="9"/>
  <c r="AT217" i="9"/>
  <c r="AQ217" i="9"/>
  <c r="AP217" i="9"/>
  <c r="AO217" i="9"/>
  <c r="AN217" i="9"/>
  <c r="AM217" i="9"/>
  <c r="AL217" i="9"/>
  <c r="AK217" i="9"/>
  <c r="AJ217" i="9"/>
  <c r="AI217" i="9"/>
  <c r="AH217" i="9"/>
  <c r="AG217" i="9"/>
  <c r="AF217" i="9"/>
  <c r="AC217" i="9"/>
  <c r="AB217" i="9"/>
  <c r="AA217" i="9"/>
  <c r="Z217" i="9"/>
  <c r="Y217" i="9"/>
  <c r="X217" i="9"/>
  <c r="W217" i="9"/>
  <c r="V217" i="9"/>
  <c r="U217" i="9"/>
  <c r="T217" i="9"/>
  <c r="S217" i="9"/>
  <c r="R217" i="9"/>
  <c r="O217" i="9"/>
  <c r="N217" i="9"/>
  <c r="M217" i="9"/>
  <c r="L217" i="9"/>
  <c r="K217" i="9"/>
  <c r="J217" i="9"/>
  <c r="I217" i="9"/>
  <c r="H217" i="9"/>
  <c r="G217" i="9"/>
  <c r="F217" i="9"/>
  <c r="E217" i="9"/>
  <c r="D217" i="9"/>
  <c r="LZ216" i="9"/>
  <c r="LK216" i="9"/>
  <c r="LJ216" i="9"/>
  <c r="LI216" i="9"/>
  <c r="LH216" i="9"/>
  <c r="LG216" i="9"/>
  <c r="LF216" i="9"/>
  <c r="LE216" i="9"/>
  <c r="LD216" i="9"/>
  <c r="LC216" i="9"/>
  <c r="LB216" i="9"/>
  <c r="LA216" i="9"/>
  <c r="KZ216" i="9"/>
  <c r="KW216" i="9"/>
  <c r="KV216" i="9"/>
  <c r="KU216" i="9"/>
  <c r="KT216" i="9"/>
  <c r="KS216" i="9"/>
  <c r="KR216" i="9"/>
  <c r="KQ216" i="9"/>
  <c r="KP216" i="9"/>
  <c r="KO216" i="9"/>
  <c r="KN216" i="9"/>
  <c r="KM216" i="9"/>
  <c r="KL216" i="9"/>
  <c r="KI216" i="9"/>
  <c r="KH216" i="9"/>
  <c r="KG216" i="9"/>
  <c r="KF216" i="9"/>
  <c r="KE216" i="9"/>
  <c r="KD216" i="9"/>
  <c r="KC216" i="9"/>
  <c r="KB216" i="9"/>
  <c r="KA216" i="9"/>
  <c r="JZ216" i="9"/>
  <c r="JY216" i="9"/>
  <c r="JX216" i="9"/>
  <c r="JU216" i="9"/>
  <c r="JT216" i="9"/>
  <c r="JS216" i="9"/>
  <c r="JR216" i="9"/>
  <c r="JQ216" i="9"/>
  <c r="JP216" i="9"/>
  <c r="JO216" i="9"/>
  <c r="JN216" i="9"/>
  <c r="JM216" i="9"/>
  <c r="JL216" i="9"/>
  <c r="JK216" i="9"/>
  <c r="JJ216" i="9"/>
  <c r="JG216" i="9"/>
  <c r="JF216" i="9"/>
  <c r="JE216" i="9"/>
  <c r="JD216" i="9"/>
  <c r="JC216" i="9"/>
  <c r="JB216" i="9"/>
  <c r="JA216" i="9"/>
  <c r="IZ216" i="9"/>
  <c r="IY216" i="9"/>
  <c r="IX216" i="9"/>
  <c r="IW216" i="9"/>
  <c r="IV216" i="9"/>
  <c r="IS216" i="9"/>
  <c r="IR216" i="9"/>
  <c r="IQ216" i="9"/>
  <c r="IP216" i="9"/>
  <c r="IO216" i="9"/>
  <c r="IN216" i="9"/>
  <c r="IM216" i="9"/>
  <c r="IL216" i="9"/>
  <c r="IK216" i="9"/>
  <c r="IJ216" i="9"/>
  <c r="II216" i="9"/>
  <c r="IH216" i="9"/>
  <c r="IE216" i="9"/>
  <c r="ID216" i="9"/>
  <c r="IC216" i="9"/>
  <c r="IB216" i="9"/>
  <c r="IA216" i="9"/>
  <c r="HZ216" i="9"/>
  <c r="HY216" i="9"/>
  <c r="HX216" i="9"/>
  <c r="HW216" i="9"/>
  <c r="HV216" i="9"/>
  <c r="HU216" i="9"/>
  <c r="HT216" i="9"/>
  <c r="HQ216" i="9"/>
  <c r="HP216" i="9"/>
  <c r="HO216" i="9"/>
  <c r="HN216" i="9"/>
  <c r="HM216" i="9"/>
  <c r="HL216" i="9"/>
  <c r="HK216" i="9"/>
  <c r="HJ216" i="9"/>
  <c r="HI216" i="9"/>
  <c r="HH216" i="9"/>
  <c r="HG216" i="9"/>
  <c r="HF216" i="9"/>
  <c r="HC216" i="9"/>
  <c r="HB216" i="9"/>
  <c r="HA216" i="9"/>
  <c r="GZ216" i="9"/>
  <c r="GY216" i="9"/>
  <c r="GX216" i="9"/>
  <c r="GW216" i="9"/>
  <c r="GV216" i="9"/>
  <c r="GU216" i="9"/>
  <c r="GT216" i="9"/>
  <c r="GS216" i="9"/>
  <c r="GR216" i="9"/>
  <c r="GO216" i="9"/>
  <c r="GN216" i="9"/>
  <c r="GM216" i="9"/>
  <c r="GL216" i="9"/>
  <c r="GK216" i="9"/>
  <c r="GJ216" i="9"/>
  <c r="GI216" i="9"/>
  <c r="GH216" i="9"/>
  <c r="GG216" i="9"/>
  <c r="GF216" i="9"/>
  <c r="GE216" i="9"/>
  <c r="GD216" i="9"/>
  <c r="GA216" i="9"/>
  <c r="FZ216" i="9"/>
  <c r="FY216" i="9"/>
  <c r="FX216" i="9"/>
  <c r="FW216" i="9"/>
  <c r="FV216" i="9"/>
  <c r="FU216" i="9"/>
  <c r="FT216" i="9"/>
  <c r="FS216" i="9"/>
  <c r="FR216" i="9"/>
  <c r="FQ216" i="9"/>
  <c r="FP216" i="9"/>
  <c r="FM216" i="9"/>
  <c r="FL216" i="9"/>
  <c r="FK216" i="9"/>
  <c r="FJ216" i="9"/>
  <c r="FI216" i="9"/>
  <c r="FH216" i="9"/>
  <c r="FG216" i="9"/>
  <c r="FF216" i="9"/>
  <c r="FE216" i="9"/>
  <c r="FD216" i="9"/>
  <c r="FC216" i="9"/>
  <c r="FB216" i="9"/>
  <c r="EY216" i="9"/>
  <c r="EX216" i="9"/>
  <c r="EW216" i="9"/>
  <c r="EV216" i="9"/>
  <c r="EU216" i="9"/>
  <c r="ET216" i="9"/>
  <c r="ES216" i="9"/>
  <c r="ER216" i="9"/>
  <c r="EQ216" i="9"/>
  <c r="EP216" i="9"/>
  <c r="EO216" i="9"/>
  <c r="EN216" i="9"/>
  <c r="EK216" i="9"/>
  <c r="EJ216" i="9"/>
  <c r="EI216" i="9"/>
  <c r="EH216" i="9"/>
  <c r="EG216" i="9"/>
  <c r="EF216" i="9"/>
  <c r="EE216" i="9"/>
  <c r="ED216" i="9"/>
  <c r="EC216" i="9"/>
  <c r="EB216" i="9"/>
  <c r="EA216" i="9"/>
  <c r="DZ216" i="9"/>
  <c r="DW216" i="9"/>
  <c r="DV216" i="9"/>
  <c r="DU216" i="9"/>
  <c r="DT216" i="9"/>
  <c r="DS216" i="9"/>
  <c r="DR216" i="9"/>
  <c r="DQ216" i="9"/>
  <c r="DP216" i="9"/>
  <c r="DO216" i="9"/>
  <c r="DN216" i="9"/>
  <c r="DM216" i="9"/>
  <c r="DL216" i="9"/>
  <c r="DI216" i="9"/>
  <c r="DH216" i="9"/>
  <c r="DG216" i="9"/>
  <c r="DF216" i="9"/>
  <c r="DE216" i="9"/>
  <c r="DD216" i="9"/>
  <c r="DC216" i="9"/>
  <c r="DB216" i="9"/>
  <c r="DA216" i="9"/>
  <c r="CZ216" i="9"/>
  <c r="CY216" i="9"/>
  <c r="CX216" i="9"/>
  <c r="CU216" i="9"/>
  <c r="CT216" i="9"/>
  <c r="CS216" i="9"/>
  <c r="CR216" i="9"/>
  <c r="CQ216" i="9"/>
  <c r="CP216" i="9"/>
  <c r="CO216" i="9"/>
  <c r="CN216" i="9"/>
  <c r="CM216" i="9"/>
  <c r="CL216" i="9"/>
  <c r="CK216" i="9"/>
  <c r="CJ216" i="9"/>
  <c r="CG216" i="9"/>
  <c r="CF216" i="9"/>
  <c r="CE216" i="9"/>
  <c r="CD216" i="9"/>
  <c r="CC216" i="9"/>
  <c r="CB216" i="9"/>
  <c r="CA216" i="9"/>
  <c r="BZ216" i="9"/>
  <c r="BY216" i="9"/>
  <c r="BX216" i="9"/>
  <c r="BW216" i="9"/>
  <c r="BV216" i="9"/>
  <c r="BS216" i="9"/>
  <c r="BR216" i="9"/>
  <c r="BQ216" i="9"/>
  <c r="BP216" i="9"/>
  <c r="BO216" i="9"/>
  <c r="BN216" i="9"/>
  <c r="BM216" i="9"/>
  <c r="BL216" i="9"/>
  <c r="BK216" i="9"/>
  <c r="BJ216" i="9"/>
  <c r="BI216" i="9"/>
  <c r="BH216" i="9"/>
  <c r="BE216" i="9"/>
  <c r="BD216" i="9"/>
  <c r="BC216" i="9"/>
  <c r="BB216" i="9"/>
  <c r="BA216" i="9"/>
  <c r="AZ216" i="9"/>
  <c r="AY216" i="9"/>
  <c r="AX216" i="9"/>
  <c r="AW216" i="9"/>
  <c r="AV216" i="9"/>
  <c r="AU216" i="9"/>
  <c r="AT216" i="9"/>
  <c r="AQ216" i="9"/>
  <c r="AP216" i="9"/>
  <c r="AO216" i="9"/>
  <c r="AN216" i="9"/>
  <c r="AM216" i="9"/>
  <c r="AL216" i="9"/>
  <c r="AK216" i="9"/>
  <c r="AJ216" i="9"/>
  <c r="AI216" i="9"/>
  <c r="AH216" i="9"/>
  <c r="AG216" i="9"/>
  <c r="AF216" i="9"/>
  <c r="AC216" i="9"/>
  <c r="AB216" i="9"/>
  <c r="AA216" i="9"/>
  <c r="Z216" i="9"/>
  <c r="Y216" i="9"/>
  <c r="X216" i="9"/>
  <c r="W216" i="9"/>
  <c r="V216" i="9"/>
  <c r="U216" i="9"/>
  <c r="T216" i="9"/>
  <c r="S216" i="9"/>
  <c r="R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LZ215" i="9"/>
  <c r="LK215" i="9"/>
  <c r="LJ215" i="9"/>
  <c r="LI215" i="9"/>
  <c r="LH215" i="9"/>
  <c r="LG215" i="9"/>
  <c r="LF215" i="9"/>
  <c r="LE215" i="9"/>
  <c r="LD215" i="9"/>
  <c r="LC215" i="9"/>
  <c r="LB215" i="9"/>
  <c r="LA215" i="9"/>
  <c r="KZ215" i="9"/>
  <c r="KW215" i="9"/>
  <c r="KV215" i="9"/>
  <c r="KU215" i="9"/>
  <c r="KT215" i="9"/>
  <c r="KS215" i="9"/>
  <c r="KR215" i="9"/>
  <c r="KQ215" i="9"/>
  <c r="KP215" i="9"/>
  <c r="KO215" i="9"/>
  <c r="KN215" i="9"/>
  <c r="KM215" i="9"/>
  <c r="KL215" i="9"/>
  <c r="KI215" i="9"/>
  <c r="KH215" i="9"/>
  <c r="KG215" i="9"/>
  <c r="KF215" i="9"/>
  <c r="KE215" i="9"/>
  <c r="KD215" i="9"/>
  <c r="KC215" i="9"/>
  <c r="KB215" i="9"/>
  <c r="KA215" i="9"/>
  <c r="JZ215" i="9"/>
  <c r="JY215" i="9"/>
  <c r="JX215" i="9"/>
  <c r="JU215" i="9"/>
  <c r="JT215" i="9"/>
  <c r="JS215" i="9"/>
  <c r="JR215" i="9"/>
  <c r="JQ215" i="9"/>
  <c r="JP215" i="9"/>
  <c r="JO215" i="9"/>
  <c r="JN215" i="9"/>
  <c r="JM215" i="9"/>
  <c r="JL215" i="9"/>
  <c r="JK215" i="9"/>
  <c r="JJ215" i="9"/>
  <c r="JG215" i="9"/>
  <c r="JF215" i="9"/>
  <c r="JE215" i="9"/>
  <c r="JD215" i="9"/>
  <c r="JC215" i="9"/>
  <c r="JB215" i="9"/>
  <c r="JA215" i="9"/>
  <c r="IZ215" i="9"/>
  <c r="IY215" i="9"/>
  <c r="IX215" i="9"/>
  <c r="IW215" i="9"/>
  <c r="IV215" i="9"/>
  <c r="IS215" i="9"/>
  <c r="IR215" i="9"/>
  <c r="IQ215" i="9"/>
  <c r="IP215" i="9"/>
  <c r="IO215" i="9"/>
  <c r="IN215" i="9"/>
  <c r="IM215" i="9"/>
  <c r="IL215" i="9"/>
  <c r="IK215" i="9"/>
  <c r="IJ215" i="9"/>
  <c r="II215" i="9"/>
  <c r="IH215" i="9"/>
  <c r="IE215" i="9"/>
  <c r="ID215" i="9"/>
  <c r="IC215" i="9"/>
  <c r="IB215" i="9"/>
  <c r="IA215" i="9"/>
  <c r="HZ215" i="9"/>
  <c r="HY215" i="9"/>
  <c r="HX215" i="9"/>
  <c r="HW215" i="9"/>
  <c r="HV215" i="9"/>
  <c r="HU215" i="9"/>
  <c r="HT215" i="9"/>
  <c r="HQ215" i="9"/>
  <c r="HP215" i="9"/>
  <c r="HO215" i="9"/>
  <c r="HN215" i="9"/>
  <c r="HM215" i="9"/>
  <c r="HL215" i="9"/>
  <c r="HK215" i="9"/>
  <c r="HJ215" i="9"/>
  <c r="HI215" i="9"/>
  <c r="HH215" i="9"/>
  <c r="HG215" i="9"/>
  <c r="HF215" i="9"/>
  <c r="HC215" i="9"/>
  <c r="HB215" i="9"/>
  <c r="HA215" i="9"/>
  <c r="GZ215" i="9"/>
  <c r="GY215" i="9"/>
  <c r="GX215" i="9"/>
  <c r="GW215" i="9"/>
  <c r="GV215" i="9"/>
  <c r="GU215" i="9"/>
  <c r="GT215" i="9"/>
  <c r="GS215" i="9"/>
  <c r="GR215" i="9"/>
  <c r="GO215" i="9"/>
  <c r="GN215" i="9"/>
  <c r="GM215" i="9"/>
  <c r="GL215" i="9"/>
  <c r="GK215" i="9"/>
  <c r="GJ215" i="9"/>
  <c r="GI215" i="9"/>
  <c r="GH215" i="9"/>
  <c r="GG215" i="9"/>
  <c r="GF215" i="9"/>
  <c r="GE215" i="9"/>
  <c r="GD215" i="9"/>
  <c r="GA215" i="9"/>
  <c r="FZ215" i="9"/>
  <c r="FY215" i="9"/>
  <c r="FX215" i="9"/>
  <c r="FW215" i="9"/>
  <c r="FV215" i="9"/>
  <c r="FU215" i="9"/>
  <c r="FT215" i="9"/>
  <c r="FS215" i="9"/>
  <c r="FR215" i="9"/>
  <c r="FQ215" i="9"/>
  <c r="FP215" i="9"/>
  <c r="FM215" i="9"/>
  <c r="FL215" i="9"/>
  <c r="FK215" i="9"/>
  <c r="FJ215" i="9"/>
  <c r="FI215" i="9"/>
  <c r="FH215" i="9"/>
  <c r="FG215" i="9"/>
  <c r="FF215" i="9"/>
  <c r="FE215" i="9"/>
  <c r="FD215" i="9"/>
  <c r="FC215" i="9"/>
  <c r="FB215" i="9"/>
  <c r="EY215" i="9"/>
  <c r="EX215" i="9"/>
  <c r="EW215" i="9"/>
  <c r="EV215" i="9"/>
  <c r="EU215" i="9"/>
  <c r="ET215" i="9"/>
  <c r="ES215" i="9"/>
  <c r="ER215" i="9"/>
  <c r="EQ215" i="9"/>
  <c r="EP215" i="9"/>
  <c r="EO215" i="9"/>
  <c r="EN215" i="9"/>
  <c r="EK215" i="9"/>
  <c r="EJ215" i="9"/>
  <c r="EI215" i="9"/>
  <c r="EH215" i="9"/>
  <c r="EG215" i="9"/>
  <c r="EF215" i="9"/>
  <c r="EE215" i="9"/>
  <c r="ED215" i="9"/>
  <c r="EC215" i="9"/>
  <c r="EB215" i="9"/>
  <c r="EA215" i="9"/>
  <c r="DZ215" i="9"/>
  <c r="DW215" i="9"/>
  <c r="DV215" i="9"/>
  <c r="DU215" i="9"/>
  <c r="DT215" i="9"/>
  <c r="DS215" i="9"/>
  <c r="DR215" i="9"/>
  <c r="DQ215" i="9"/>
  <c r="DP215" i="9"/>
  <c r="DO215" i="9"/>
  <c r="DN215" i="9"/>
  <c r="DM215" i="9"/>
  <c r="DL215" i="9"/>
  <c r="DI215" i="9"/>
  <c r="DH215" i="9"/>
  <c r="DG215" i="9"/>
  <c r="DF215" i="9"/>
  <c r="DE215" i="9"/>
  <c r="DD215" i="9"/>
  <c r="DC215" i="9"/>
  <c r="DB215" i="9"/>
  <c r="DA215" i="9"/>
  <c r="CZ215" i="9"/>
  <c r="CY215" i="9"/>
  <c r="CX215" i="9"/>
  <c r="CU215" i="9"/>
  <c r="CT215" i="9"/>
  <c r="CS215" i="9"/>
  <c r="CR215" i="9"/>
  <c r="CQ215" i="9"/>
  <c r="CP215" i="9"/>
  <c r="CO215" i="9"/>
  <c r="CN215" i="9"/>
  <c r="CM215" i="9"/>
  <c r="CL215" i="9"/>
  <c r="CK215" i="9"/>
  <c r="CJ215" i="9"/>
  <c r="CG215" i="9"/>
  <c r="CF215" i="9"/>
  <c r="CE215" i="9"/>
  <c r="CD215" i="9"/>
  <c r="CC215" i="9"/>
  <c r="CB215" i="9"/>
  <c r="CA215" i="9"/>
  <c r="BZ215" i="9"/>
  <c r="BY215" i="9"/>
  <c r="BX215" i="9"/>
  <c r="BW215" i="9"/>
  <c r="BV215" i="9"/>
  <c r="BS215" i="9"/>
  <c r="BR215" i="9"/>
  <c r="BQ215" i="9"/>
  <c r="BP215" i="9"/>
  <c r="BO215" i="9"/>
  <c r="BN215" i="9"/>
  <c r="BM215" i="9"/>
  <c r="BL215" i="9"/>
  <c r="BK215" i="9"/>
  <c r="BJ215" i="9"/>
  <c r="BI215" i="9"/>
  <c r="BH215" i="9"/>
  <c r="BE215" i="9"/>
  <c r="BD215" i="9"/>
  <c r="BC215" i="9"/>
  <c r="BB215" i="9"/>
  <c r="BA215" i="9"/>
  <c r="AZ215" i="9"/>
  <c r="AY215" i="9"/>
  <c r="AX215" i="9"/>
  <c r="AW215" i="9"/>
  <c r="AV215" i="9"/>
  <c r="AU215" i="9"/>
  <c r="AT215" i="9"/>
  <c r="AQ215" i="9"/>
  <c r="AP215" i="9"/>
  <c r="AO215" i="9"/>
  <c r="AN215" i="9"/>
  <c r="AM215" i="9"/>
  <c r="AL215" i="9"/>
  <c r="AK215" i="9"/>
  <c r="AJ215" i="9"/>
  <c r="AI215" i="9"/>
  <c r="AH215" i="9"/>
  <c r="AG215" i="9"/>
  <c r="AF215" i="9"/>
  <c r="AC215" i="9"/>
  <c r="AB215" i="9"/>
  <c r="AA215" i="9"/>
  <c r="Z215" i="9"/>
  <c r="Y215" i="9"/>
  <c r="X215" i="9"/>
  <c r="W215" i="9"/>
  <c r="V215" i="9"/>
  <c r="U215" i="9"/>
  <c r="T215" i="9"/>
  <c r="S215" i="9"/>
  <c r="R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LZ214" i="9"/>
  <c r="LK214" i="9"/>
  <c r="LJ214" i="9"/>
  <c r="LI214" i="9"/>
  <c r="LH214" i="9"/>
  <c r="LG214" i="9"/>
  <c r="LF214" i="9"/>
  <c r="LE214" i="9"/>
  <c r="LD214" i="9"/>
  <c r="LC214" i="9"/>
  <c r="LB214" i="9"/>
  <c r="LA214" i="9"/>
  <c r="KZ214" i="9"/>
  <c r="KW214" i="9"/>
  <c r="KV214" i="9"/>
  <c r="KU214" i="9"/>
  <c r="KT214" i="9"/>
  <c r="KS214" i="9"/>
  <c r="KR214" i="9"/>
  <c r="KQ214" i="9"/>
  <c r="KP214" i="9"/>
  <c r="KO214" i="9"/>
  <c r="KN214" i="9"/>
  <c r="KM214" i="9"/>
  <c r="KL214" i="9"/>
  <c r="KI214" i="9"/>
  <c r="KH214" i="9"/>
  <c r="KG214" i="9"/>
  <c r="KF214" i="9"/>
  <c r="KE214" i="9"/>
  <c r="KD214" i="9"/>
  <c r="KC214" i="9"/>
  <c r="KB214" i="9"/>
  <c r="KA214" i="9"/>
  <c r="JZ214" i="9"/>
  <c r="JY214" i="9"/>
  <c r="JX214" i="9"/>
  <c r="JU214" i="9"/>
  <c r="JT214" i="9"/>
  <c r="JS214" i="9"/>
  <c r="JR214" i="9"/>
  <c r="JQ214" i="9"/>
  <c r="JP214" i="9"/>
  <c r="JO214" i="9"/>
  <c r="JN214" i="9"/>
  <c r="JM214" i="9"/>
  <c r="JL214" i="9"/>
  <c r="JK214" i="9"/>
  <c r="JJ214" i="9"/>
  <c r="JG214" i="9"/>
  <c r="JF214" i="9"/>
  <c r="JE214" i="9"/>
  <c r="JD214" i="9"/>
  <c r="JC214" i="9"/>
  <c r="JB214" i="9"/>
  <c r="JA214" i="9"/>
  <c r="IZ214" i="9"/>
  <c r="IY214" i="9"/>
  <c r="IX214" i="9"/>
  <c r="IW214" i="9"/>
  <c r="IV214" i="9"/>
  <c r="IS214" i="9"/>
  <c r="IR214" i="9"/>
  <c r="IQ214" i="9"/>
  <c r="IP214" i="9"/>
  <c r="IO214" i="9"/>
  <c r="IN214" i="9"/>
  <c r="IM214" i="9"/>
  <c r="IL214" i="9"/>
  <c r="IK214" i="9"/>
  <c r="IJ214" i="9"/>
  <c r="II214" i="9"/>
  <c r="IH214" i="9"/>
  <c r="IE214" i="9"/>
  <c r="ID214" i="9"/>
  <c r="IC214" i="9"/>
  <c r="IB214" i="9"/>
  <c r="IA214" i="9"/>
  <c r="HZ214" i="9"/>
  <c r="HY214" i="9"/>
  <c r="HX214" i="9"/>
  <c r="HW214" i="9"/>
  <c r="HV214" i="9"/>
  <c r="HU214" i="9"/>
  <c r="HT214" i="9"/>
  <c r="HQ214" i="9"/>
  <c r="HP214" i="9"/>
  <c r="HO214" i="9"/>
  <c r="HN214" i="9"/>
  <c r="HM214" i="9"/>
  <c r="HL214" i="9"/>
  <c r="HK214" i="9"/>
  <c r="HJ214" i="9"/>
  <c r="HI214" i="9"/>
  <c r="HH214" i="9"/>
  <c r="HG214" i="9"/>
  <c r="HF214" i="9"/>
  <c r="HC214" i="9"/>
  <c r="HB214" i="9"/>
  <c r="HA214" i="9"/>
  <c r="GZ214" i="9"/>
  <c r="GY214" i="9"/>
  <c r="GX214" i="9"/>
  <c r="GW214" i="9"/>
  <c r="GV214" i="9"/>
  <c r="GU214" i="9"/>
  <c r="GT214" i="9"/>
  <c r="GS214" i="9"/>
  <c r="GR214" i="9"/>
  <c r="GO214" i="9"/>
  <c r="GN214" i="9"/>
  <c r="GM214" i="9"/>
  <c r="GL214" i="9"/>
  <c r="GK214" i="9"/>
  <c r="GJ214" i="9"/>
  <c r="GI214" i="9"/>
  <c r="GH214" i="9"/>
  <c r="GG214" i="9"/>
  <c r="GF214" i="9"/>
  <c r="GE214" i="9"/>
  <c r="GD214" i="9"/>
  <c r="GA214" i="9"/>
  <c r="FZ214" i="9"/>
  <c r="FY214" i="9"/>
  <c r="FX214" i="9"/>
  <c r="FW214" i="9"/>
  <c r="FV214" i="9"/>
  <c r="FU214" i="9"/>
  <c r="FT214" i="9"/>
  <c r="FS214" i="9"/>
  <c r="FR214" i="9"/>
  <c r="FQ214" i="9"/>
  <c r="FP214" i="9"/>
  <c r="FM214" i="9"/>
  <c r="FL214" i="9"/>
  <c r="FK214" i="9"/>
  <c r="FJ214" i="9"/>
  <c r="FI214" i="9"/>
  <c r="FH214" i="9"/>
  <c r="FG214" i="9"/>
  <c r="FF214" i="9"/>
  <c r="FE214" i="9"/>
  <c r="FD214" i="9"/>
  <c r="FC214" i="9"/>
  <c r="FB214" i="9"/>
  <c r="EY214" i="9"/>
  <c r="EX214" i="9"/>
  <c r="EW214" i="9"/>
  <c r="EV214" i="9"/>
  <c r="EU214" i="9"/>
  <c r="ET214" i="9"/>
  <c r="ES214" i="9"/>
  <c r="ER214" i="9"/>
  <c r="EQ214" i="9"/>
  <c r="EP214" i="9"/>
  <c r="EO214" i="9"/>
  <c r="EN214" i="9"/>
  <c r="EK214" i="9"/>
  <c r="EJ214" i="9"/>
  <c r="EI214" i="9"/>
  <c r="EH214" i="9"/>
  <c r="EG214" i="9"/>
  <c r="EF214" i="9"/>
  <c r="EE214" i="9"/>
  <c r="ED214" i="9"/>
  <c r="EC214" i="9"/>
  <c r="EB214" i="9"/>
  <c r="EA214" i="9"/>
  <c r="DZ214" i="9"/>
  <c r="DW214" i="9"/>
  <c r="DV214" i="9"/>
  <c r="DU214" i="9"/>
  <c r="DT214" i="9"/>
  <c r="DS214" i="9"/>
  <c r="DR214" i="9"/>
  <c r="DQ214" i="9"/>
  <c r="DP214" i="9"/>
  <c r="DO214" i="9"/>
  <c r="DN214" i="9"/>
  <c r="DM214" i="9"/>
  <c r="DL214" i="9"/>
  <c r="DI214" i="9"/>
  <c r="DH214" i="9"/>
  <c r="DG214" i="9"/>
  <c r="DF214" i="9"/>
  <c r="DE214" i="9"/>
  <c r="DD214" i="9"/>
  <c r="DC214" i="9"/>
  <c r="DB214" i="9"/>
  <c r="DA214" i="9"/>
  <c r="CZ214" i="9"/>
  <c r="CY214" i="9"/>
  <c r="CX214" i="9"/>
  <c r="CU214" i="9"/>
  <c r="CT214" i="9"/>
  <c r="CS214" i="9"/>
  <c r="CR214" i="9"/>
  <c r="CQ214" i="9"/>
  <c r="CP214" i="9"/>
  <c r="CO214" i="9"/>
  <c r="CN214" i="9"/>
  <c r="CM214" i="9"/>
  <c r="CL214" i="9"/>
  <c r="CK214" i="9"/>
  <c r="CJ214" i="9"/>
  <c r="CG214" i="9"/>
  <c r="CF214" i="9"/>
  <c r="CE214" i="9"/>
  <c r="CD214" i="9"/>
  <c r="CC214" i="9"/>
  <c r="CB214" i="9"/>
  <c r="CA214" i="9"/>
  <c r="BZ214" i="9"/>
  <c r="BY214" i="9"/>
  <c r="BX214" i="9"/>
  <c r="BW214" i="9"/>
  <c r="BV214" i="9"/>
  <c r="BS214" i="9"/>
  <c r="BR214" i="9"/>
  <c r="BQ214" i="9"/>
  <c r="BP214" i="9"/>
  <c r="BO214" i="9"/>
  <c r="BN214" i="9"/>
  <c r="BM214" i="9"/>
  <c r="BL214" i="9"/>
  <c r="BK214" i="9"/>
  <c r="BJ214" i="9"/>
  <c r="BI214" i="9"/>
  <c r="BH214" i="9"/>
  <c r="BE214" i="9"/>
  <c r="BD214" i="9"/>
  <c r="BC214" i="9"/>
  <c r="BB214" i="9"/>
  <c r="BA214" i="9"/>
  <c r="AZ214" i="9"/>
  <c r="AY214" i="9"/>
  <c r="AX214" i="9"/>
  <c r="AW214" i="9"/>
  <c r="AV214" i="9"/>
  <c r="AU214" i="9"/>
  <c r="AT214" i="9"/>
  <c r="AQ214" i="9"/>
  <c r="AP214" i="9"/>
  <c r="AO214" i="9"/>
  <c r="AN214" i="9"/>
  <c r="AM214" i="9"/>
  <c r="AL214" i="9"/>
  <c r="AK214" i="9"/>
  <c r="AJ214" i="9"/>
  <c r="AI214" i="9"/>
  <c r="AH214" i="9"/>
  <c r="AG214" i="9"/>
  <c r="AF214" i="9"/>
  <c r="AC214" i="9"/>
  <c r="AB214" i="9"/>
  <c r="AA214" i="9"/>
  <c r="Z214" i="9"/>
  <c r="Y214" i="9"/>
  <c r="X214" i="9"/>
  <c r="W214" i="9"/>
  <c r="V214" i="9"/>
  <c r="U214" i="9"/>
  <c r="T214" i="9"/>
  <c r="S214" i="9"/>
  <c r="R214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LZ213" i="9"/>
  <c r="LK213" i="9"/>
  <c r="LJ213" i="9"/>
  <c r="LI213" i="9"/>
  <c r="LH213" i="9"/>
  <c r="LG213" i="9"/>
  <c r="LF213" i="9"/>
  <c r="LE213" i="9"/>
  <c r="LD213" i="9"/>
  <c r="LC213" i="9"/>
  <c r="LB213" i="9"/>
  <c r="LA213" i="9"/>
  <c r="KZ213" i="9"/>
  <c r="KW213" i="9"/>
  <c r="KV213" i="9"/>
  <c r="KU213" i="9"/>
  <c r="KT213" i="9"/>
  <c r="KS213" i="9"/>
  <c r="KR213" i="9"/>
  <c r="KQ213" i="9"/>
  <c r="KP213" i="9"/>
  <c r="KO213" i="9"/>
  <c r="KN213" i="9"/>
  <c r="KM213" i="9"/>
  <c r="KL213" i="9"/>
  <c r="KI213" i="9"/>
  <c r="KH213" i="9"/>
  <c r="KG213" i="9"/>
  <c r="KF213" i="9"/>
  <c r="KE213" i="9"/>
  <c r="KD213" i="9"/>
  <c r="KC213" i="9"/>
  <c r="KB213" i="9"/>
  <c r="KA213" i="9"/>
  <c r="JZ213" i="9"/>
  <c r="JY213" i="9"/>
  <c r="JX213" i="9"/>
  <c r="JU213" i="9"/>
  <c r="JT213" i="9"/>
  <c r="JS213" i="9"/>
  <c r="JR213" i="9"/>
  <c r="JQ213" i="9"/>
  <c r="JP213" i="9"/>
  <c r="JO213" i="9"/>
  <c r="JN213" i="9"/>
  <c r="JM213" i="9"/>
  <c r="JL213" i="9"/>
  <c r="JK213" i="9"/>
  <c r="JJ213" i="9"/>
  <c r="JG213" i="9"/>
  <c r="JF213" i="9"/>
  <c r="JE213" i="9"/>
  <c r="JD213" i="9"/>
  <c r="JC213" i="9"/>
  <c r="JB213" i="9"/>
  <c r="JA213" i="9"/>
  <c r="IZ213" i="9"/>
  <c r="IY213" i="9"/>
  <c r="IX213" i="9"/>
  <c r="IW213" i="9"/>
  <c r="IV213" i="9"/>
  <c r="IS213" i="9"/>
  <c r="IR213" i="9"/>
  <c r="IQ213" i="9"/>
  <c r="IP213" i="9"/>
  <c r="IO213" i="9"/>
  <c r="IN213" i="9"/>
  <c r="IM213" i="9"/>
  <c r="IL213" i="9"/>
  <c r="IK213" i="9"/>
  <c r="IJ213" i="9"/>
  <c r="II213" i="9"/>
  <c r="IH213" i="9"/>
  <c r="IE213" i="9"/>
  <c r="ID213" i="9"/>
  <c r="IC213" i="9"/>
  <c r="IB213" i="9"/>
  <c r="IA213" i="9"/>
  <c r="HZ213" i="9"/>
  <c r="HY213" i="9"/>
  <c r="HX213" i="9"/>
  <c r="HW213" i="9"/>
  <c r="HV213" i="9"/>
  <c r="HU213" i="9"/>
  <c r="HT213" i="9"/>
  <c r="HQ213" i="9"/>
  <c r="HP213" i="9"/>
  <c r="HO213" i="9"/>
  <c r="HN213" i="9"/>
  <c r="HM213" i="9"/>
  <c r="HL213" i="9"/>
  <c r="HK213" i="9"/>
  <c r="HJ213" i="9"/>
  <c r="HI213" i="9"/>
  <c r="HH213" i="9"/>
  <c r="HG213" i="9"/>
  <c r="HF213" i="9"/>
  <c r="HC213" i="9"/>
  <c r="HB213" i="9"/>
  <c r="HA213" i="9"/>
  <c r="GZ213" i="9"/>
  <c r="GY213" i="9"/>
  <c r="GX213" i="9"/>
  <c r="GW213" i="9"/>
  <c r="GV213" i="9"/>
  <c r="GU213" i="9"/>
  <c r="GT213" i="9"/>
  <c r="GS213" i="9"/>
  <c r="GR213" i="9"/>
  <c r="GO213" i="9"/>
  <c r="GN213" i="9"/>
  <c r="GM213" i="9"/>
  <c r="GL213" i="9"/>
  <c r="GK213" i="9"/>
  <c r="GJ213" i="9"/>
  <c r="GI213" i="9"/>
  <c r="GH213" i="9"/>
  <c r="GG213" i="9"/>
  <c r="GF213" i="9"/>
  <c r="GE213" i="9"/>
  <c r="GD213" i="9"/>
  <c r="GA213" i="9"/>
  <c r="FZ213" i="9"/>
  <c r="FY213" i="9"/>
  <c r="FX213" i="9"/>
  <c r="FW213" i="9"/>
  <c r="FV213" i="9"/>
  <c r="FU213" i="9"/>
  <c r="FT213" i="9"/>
  <c r="FS213" i="9"/>
  <c r="FR213" i="9"/>
  <c r="FQ213" i="9"/>
  <c r="FP213" i="9"/>
  <c r="FM213" i="9"/>
  <c r="FL213" i="9"/>
  <c r="FK213" i="9"/>
  <c r="FJ213" i="9"/>
  <c r="FI213" i="9"/>
  <c r="FH213" i="9"/>
  <c r="FG213" i="9"/>
  <c r="FF213" i="9"/>
  <c r="FE213" i="9"/>
  <c r="FD213" i="9"/>
  <c r="FC213" i="9"/>
  <c r="FB213" i="9"/>
  <c r="EY213" i="9"/>
  <c r="EX213" i="9"/>
  <c r="EW213" i="9"/>
  <c r="EV213" i="9"/>
  <c r="EU213" i="9"/>
  <c r="ET213" i="9"/>
  <c r="ES213" i="9"/>
  <c r="ER213" i="9"/>
  <c r="EQ213" i="9"/>
  <c r="EP213" i="9"/>
  <c r="EO213" i="9"/>
  <c r="EN213" i="9"/>
  <c r="EK213" i="9"/>
  <c r="EJ213" i="9"/>
  <c r="EI213" i="9"/>
  <c r="EH213" i="9"/>
  <c r="EG213" i="9"/>
  <c r="EF213" i="9"/>
  <c r="EE213" i="9"/>
  <c r="ED213" i="9"/>
  <c r="EC213" i="9"/>
  <c r="EB213" i="9"/>
  <c r="EA213" i="9"/>
  <c r="DZ213" i="9"/>
  <c r="DW213" i="9"/>
  <c r="DV213" i="9"/>
  <c r="DU213" i="9"/>
  <c r="DT213" i="9"/>
  <c r="DS213" i="9"/>
  <c r="DR213" i="9"/>
  <c r="DQ213" i="9"/>
  <c r="DP213" i="9"/>
  <c r="DO213" i="9"/>
  <c r="DN213" i="9"/>
  <c r="DM213" i="9"/>
  <c r="DL213" i="9"/>
  <c r="DI213" i="9"/>
  <c r="DH213" i="9"/>
  <c r="DG213" i="9"/>
  <c r="DF213" i="9"/>
  <c r="DE213" i="9"/>
  <c r="DD213" i="9"/>
  <c r="DC213" i="9"/>
  <c r="DB213" i="9"/>
  <c r="DA213" i="9"/>
  <c r="CZ213" i="9"/>
  <c r="CY213" i="9"/>
  <c r="CX213" i="9"/>
  <c r="CU213" i="9"/>
  <c r="CT213" i="9"/>
  <c r="CS213" i="9"/>
  <c r="CR213" i="9"/>
  <c r="CQ213" i="9"/>
  <c r="CP213" i="9"/>
  <c r="CO213" i="9"/>
  <c r="CN213" i="9"/>
  <c r="CM213" i="9"/>
  <c r="CL213" i="9"/>
  <c r="CK213" i="9"/>
  <c r="CJ213" i="9"/>
  <c r="CG213" i="9"/>
  <c r="CF213" i="9"/>
  <c r="CE213" i="9"/>
  <c r="CD213" i="9"/>
  <c r="CC213" i="9"/>
  <c r="CB213" i="9"/>
  <c r="CA213" i="9"/>
  <c r="BZ213" i="9"/>
  <c r="BY213" i="9"/>
  <c r="BX213" i="9"/>
  <c r="BW213" i="9"/>
  <c r="BV213" i="9"/>
  <c r="BS213" i="9"/>
  <c r="BR213" i="9"/>
  <c r="BQ213" i="9"/>
  <c r="BP213" i="9"/>
  <c r="BO213" i="9"/>
  <c r="BN213" i="9"/>
  <c r="BM213" i="9"/>
  <c r="BL213" i="9"/>
  <c r="BK213" i="9"/>
  <c r="BJ213" i="9"/>
  <c r="BI213" i="9"/>
  <c r="BH213" i="9"/>
  <c r="BE213" i="9"/>
  <c r="BD213" i="9"/>
  <c r="BC213" i="9"/>
  <c r="BB213" i="9"/>
  <c r="BA213" i="9"/>
  <c r="AZ213" i="9"/>
  <c r="AY213" i="9"/>
  <c r="AX213" i="9"/>
  <c r="AW213" i="9"/>
  <c r="AV213" i="9"/>
  <c r="AU213" i="9"/>
  <c r="AT213" i="9"/>
  <c r="AQ213" i="9"/>
  <c r="AP213" i="9"/>
  <c r="AO213" i="9"/>
  <c r="AN213" i="9"/>
  <c r="AM213" i="9"/>
  <c r="AL213" i="9"/>
  <c r="AK213" i="9"/>
  <c r="AJ213" i="9"/>
  <c r="AI213" i="9"/>
  <c r="AH213" i="9"/>
  <c r="AG213" i="9"/>
  <c r="AF213" i="9"/>
  <c r="AC213" i="9"/>
  <c r="AB213" i="9"/>
  <c r="AA213" i="9"/>
  <c r="Z213" i="9"/>
  <c r="Y213" i="9"/>
  <c r="X213" i="9"/>
  <c r="W213" i="9"/>
  <c r="V213" i="9"/>
  <c r="U213" i="9"/>
  <c r="T213" i="9"/>
  <c r="S213" i="9"/>
  <c r="R213" i="9"/>
  <c r="O213" i="9"/>
  <c r="N213" i="9"/>
  <c r="M213" i="9"/>
  <c r="L213" i="9"/>
  <c r="K213" i="9"/>
  <c r="J213" i="9"/>
  <c r="I213" i="9"/>
  <c r="H213" i="9"/>
  <c r="G213" i="9"/>
  <c r="F213" i="9"/>
  <c r="E213" i="9"/>
  <c r="D213" i="9"/>
  <c r="LZ212" i="9"/>
  <c r="LK212" i="9"/>
  <c r="LJ212" i="9"/>
  <c r="LI212" i="9"/>
  <c r="LH212" i="9"/>
  <c r="LG212" i="9"/>
  <c r="LF212" i="9"/>
  <c r="LE212" i="9"/>
  <c r="LD212" i="9"/>
  <c r="LC212" i="9"/>
  <c r="LB212" i="9"/>
  <c r="LA212" i="9"/>
  <c r="KZ212" i="9"/>
  <c r="KW212" i="9"/>
  <c r="KV212" i="9"/>
  <c r="KU212" i="9"/>
  <c r="KT212" i="9"/>
  <c r="KS212" i="9"/>
  <c r="KR212" i="9"/>
  <c r="KQ212" i="9"/>
  <c r="KP212" i="9"/>
  <c r="KO212" i="9"/>
  <c r="KN212" i="9"/>
  <c r="KM212" i="9"/>
  <c r="KL212" i="9"/>
  <c r="KI212" i="9"/>
  <c r="KH212" i="9"/>
  <c r="KG212" i="9"/>
  <c r="KF212" i="9"/>
  <c r="KE212" i="9"/>
  <c r="KD212" i="9"/>
  <c r="KC212" i="9"/>
  <c r="KB212" i="9"/>
  <c r="KA212" i="9"/>
  <c r="JZ212" i="9"/>
  <c r="JY212" i="9"/>
  <c r="JX212" i="9"/>
  <c r="JU212" i="9"/>
  <c r="JT212" i="9"/>
  <c r="JS212" i="9"/>
  <c r="JR212" i="9"/>
  <c r="JQ212" i="9"/>
  <c r="JP212" i="9"/>
  <c r="JO212" i="9"/>
  <c r="JN212" i="9"/>
  <c r="JM212" i="9"/>
  <c r="JL212" i="9"/>
  <c r="JK212" i="9"/>
  <c r="JJ212" i="9"/>
  <c r="JG212" i="9"/>
  <c r="JF212" i="9"/>
  <c r="JE212" i="9"/>
  <c r="JD212" i="9"/>
  <c r="JC212" i="9"/>
  <c r="JB212" i="9"/>
  <c r="JA212" i="9"/>
  <c r="IZ212" i="9"/>
  <c r="IY212" i="9"/>
  <c r="IX212" i="9"/>
  <c r="IW212" i="9"/>
  <c r="IV212" i="9"/>
  <c r="IS212" i="9"/>
  <c r="IR212" i="9"/>
  <c r="IQ212" i="9"/>
  <c r="IP212" i="9"/>
  <c r="IO212" i="9"/>
  <c r="IN212" i="9"/>
  <c r="IM212" i="9"/>
  <c r="IL212" i="9"/>
  <c r="IK212" i="9"/>
  <c r="IJ212" i="9"/>
  <c r="II212" i="9"/>
  <c r="IH212" i="9"/>
  <c r="IE212" i="9"/>
  <c r="ID212" i="9"/>
  <c r="IC212" i="9"/>
  <c r="IB212" i="9"/>
  <c r="IA212" i="9"/>
  <c r="HZ212" i="9"/>
  <c r="HY212" i="9"/>
  <c r="HX212" i="9"/>
  <c r="HW212" i="9"/>
  <c r="HV212" i="9"/>
  <c r="HU212" i="9"/>
  <c r="HT212" i="9"/>
  <c r="HQ212" i="9"/>
  <c r="HP212" i="9"/>
  <c r="HO212" i="9"/>
  <c r="HN212" i="9"/>
  <c r="HM212" i="9"/>
  <c r="HL212" i="9"/>
  <c r="HK212" i="9"/>
  <c r="HJ212" i="9"/>
  <c r="HI212" i="9"/>
  <c r="HH212" i="9"/>
  <c r="HG212" i="9"/>
  <c r="HF212" i="9"/>
  <c r="HC212" i="9"/>
  <c r="HB212" i="9"/>
  <c r="HA212" i="9"/>
  <c r="GZ212" i="9"/>
  <c r="GY212" i="9"/>
  <c r="GX212" i="9"/>
  <c r="GW212" i="9"/>
  <c r="GV212" i="9"/>
  <c r="GU212" i="9"/>
  <c r="GT212" i="9"/>
  <c r="GS212" i="9"/>
  <c r="GR212" i="9"/>
  <c r="GO212" i="9"/>
  <c r="GN212" i="9"/>
  <c r="GM212" i="9"/>
  <c r="GL212" i="9"/>
  <c r="GK212" i="9"/>
  <c r="GJ212" i="9"/>
  <c r="GI212" i="9"/>
  <c r="GH212" i="9"/>
  <c r="GG212" i="9"/>
  <c r="GF212" i="9"/>
  <c r="GE212" i="9"/>
  <c r="GD212" i="9"/>
  <c r="GA212" i="9"/>
  <c r="FZ212" i="9"/>
  <c r="FY212" i="9"/>
  <c r="FX212" i="9"/>
  <c r="FW212" i="9"/>
  <c r="FV212" i="9"/>
  <c r="FU212" i="9"/>
  <c r="FT212" i="9"/>
  <c r="FS212" i="9"/>
  <c r="FR212" i="9"/>
  <c r="FQ212" i="9"/>
  <c r="FP212" i="9"/>
  <c r="FM212" i="9"/>
  <c r="FL212" i="9"/>
  <c r="FK212" i="9"/>
  <c r="FJ212" i="9"/>
  <c r="FI212" i="9"/>
  <c r="FH212" i="9"/>
  <c r="FG212" i="9"/>
  <c r="FF212" i="9"/>
  <c r="FE212" i="9"/>
  <c r="FD212" i="9"/>
  <c r="FC212" i="9"/>
  <c r="FB212" i="9"/>
  <c r="EY212" i="9"/>
  <c r="EX212" i="9"/>
  <c r="EW212" i="9"/>
  <c r="EV212" i="9"/>
  <c r="EU212" i="9"/>
  <c r="ET212" i="9"/>
  <c r="ES212" i="9"/>
  <c r="ER212" i="9"/>
  <c r="EQ212" i="9"/>
  <c r="EP212" i="9"/>
  <c r="EO212" i="9"/>
  <c r="EN212" i="9"/>
  <c r="EK212" i="9"/>
  <c r="EJ212" i="9"/>
  <c r="EI212" i="9"/>
  <c r="EH212" i="9"/>
  <c r="EG212" i="9"/>
  <c r="EF212" i="9"/>
  <c r="EE212" i="9"/>
  <c r="ED212" i="9"/>
  <c r="EC212" i="9"/>
  <c r="EB212" i="9"/>
  <c r="EA212" i="9"/>
  <c r="DZ212" i="9"/>
  <c r="DW212" i="9"/>
  <c r="DV212" i="9"/>
  <c r="DU212" i="9"/>
  <c r="DT212" i="9"/>
  <c r="DS212" i="9"/>
  <c r="DR212" i="9"/>
  <c r="DQ212" i="9"/>
  <c r="DP212" i="9"/>
  <c r="DO212" i="9"/>
  <c r="DN212" i="9"/>
  <c r="DM212" i="9"/>
  <c r="DL212" i="9"/>
  <c r="DI212" i="9"/>
  <c r="DH212" i="9"/>
  <c r="DG212" i="9"/>
  <c r="DF212" i="9"/>
  <c r="DE212" i="9"/>
  <c r="DD212" i="9"/>
  <c r="DC212" i="9"/>
  <c r="DB212" i="9"/>
  <c r="DA212" i="9"/>
  <c r="CZ212" i="9"/>
  <c r="CY212" i="9"/>
  <c r="CX212" i="9"/>
  <c r="CU212" i="9"/>
  <c r="CT212" i="9"/>
  <c r="CS212" i="9"/>
  <c r="CR212" i="9"/>
  <c r="CQ212" i="9"/>
  <c r="CP212" i="9"/>
  <c r="CO212" i="9"/>
  <c r="CN212" i="9"/>
  <c r="CM212" i="9"/>
  <c r="CL212" i="9"/>
  <c r="CK212" i="9"/>
  <c r="CJ212" i="9"/>
  <c r="CG212" i="9"/>
  <c r="CF212" i="9"/>
  <c r="CE212" i="9"/>
  <c r="CD212" i="9"/>
  <c r="CC212" i="9"/>
  <c r="CB212" i="9"/>
  <c r="CA212" i="9"/>
  <c r="BZ212" i="9"/>
  <c r="BY212" i="9"/>
  <c r="BX212" i="9"/>
  <c r="BW212" i="9"/>
  <c r="BV212" i="9"/>
  <c r="BS212" i="9"/>
  <c r="BR212" i="9"/>
  <c r="BQ212" i="9"/>
  <c r="BP212" i="9"/>
  <c r="BO212" i="9"/>
  <c r="BN212" i="9"/>
  <c r="BM212" i="9"/>
  <c r="BL212" i="9"/>
  <c r="BK212" i="9"/>
  <c r="BJ212" i="9"/>
  <c r="BI212" i="9"/>
  <c r="BH212" i="9"/>
  <c r="BE212" i="9"/>
  <c r="BD212" i="9"/>
  <c r="BC212" i="9"/>
  <c r="BB212" i="9"/>
  <c r="BA212" i="9"/>
  <c r="AZ212" i="9"/>
  <c r="AY212" i="9"/>
  <c r="AX212" i="9"/>
  <c r="AW212" i="9"/>
  <c r="AV212" i="9"/>
  <c r="AU212" i="9"/>
  <c r="AT212" i="9"/>
  <c r="AQ212" i="9"/>
  <c r="AP212" i="9"/>
  <c r="AO212" i="9"/>
  <c r="AN212" i="9"/>
  <c r="AM212" i="9"/>
  <c r="AL212" i="9"/>
  <c r="AK212" i="9"/>
  <c r="AJ212" i="9"/>
  <c r="AI212" i="9"/>
  <c r="AH212" i="9"/>
  <c r="AG212" i="9"/>
  <c r="AF212" i="9"/>
  <c r="AC212" i="9"/>
  <c r="AB212" i="9"/>
  <c r="AA212" i="9"/>
  <c r="Z212" i="9"/>
  <c r="Y212" i="9"/>
  <c r="X212" i="9"/>
  <c r="W212" i="9"/>
  <c r="V212" i="9"/>
  <c r="U212" i="9"/>
  <c r="T212" i="9"/>
  <c r="S212" i="9"/>
  <c r="R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LZ211" i="9"/>
  <c r="LK211" i="9"/>
  <c r="LJ211" i="9"/>
  <c r="LI211" i="9"/>
  <c r="LH211" i="9"/>
  <c r="LG211" i="9"/>
  <c r="LF211" i="9"/>
  <c r="LE211" i="9"/>
  <c r="LD211" i="9"/>
  <c r="LC211" i="9"/>
  <c r="LB211" i="9"/>
  <c r="LA211" i="9"/>
  <c r="KZ211" i="9"/>
  <c r="KW211" i="9"/>
  <c r="KV211" i="9"/>
  <c r="KU211" i="9"/>
  <c r="KT211" i="9"/>
  <c r="KS211" i="9"/>
  <c r="KR211" i="9"/>
  <c r="KQ211" i="9"/>
  <c r="KP211" i="9"/>
  <c r="KO211" i="9"/>
  <c r="KN211" i="9"/>
  <c r="KM211" i="9"/>
  <c r="KL211" i="9"/>
  <c r="KI211" i="9"/>
  <c r="KH211" i="9"/>
  <c r="KG211" i="9"/>
  <c r="KF211" i="9"/>
  <c r="KE211" i="9"/>
  <c r="KD211" i="9"/>
  <c r="KC211" i="9"/>
  <c r="KB211" i="9"/>
  <c r="KA211" i="9"/>
  <c r="JZ211" i="9"/>
  <c r="JY211" i="9"/>
  <c r="JX211" i="9"/>
  <c r="JU211" i="9"/>
  <c r="JT211" i="9"/>
  <c r="JS211" i="9"/>
  <c r="JR211" i="9"/>
  <c r="JQ211" i="9"/>
  <c r="JP211" i="9"/>
  <c r="JO211" i="9"/>
  <c r="JN211" i="9"/>
  <c r="JM211" i="9"/>
  <c r="JL211" i="9"/>
  <c r="JK211" i="9"/>
  <c r="JJ211" i="9"/>
  <c r="JG211" i="9"/>
  <c r="JF211" i="9"/>
  <c r="JE211" i="9"/>
  <c r="JD211" i="9"/>
  <c r="JC211" i="9"/>
  <c r="JB211" i="9"/>
  <c r="JA211" i="9"/>
  <c r="IZ211" i="9"/>
  <c r="IY211" i="9"/>
  <c r="IX211" i="9"/>
  <c r="IW211" i="9"/>
  <c r="IV211" i="9"/>
  <c r="IS211" i="9"/>
  <c r="IR211" i="9"/>
  <c r="IQ211" i="9"/>
  <c r="IP211" i="9"/>
  <c r="IO211" i="9"/>
  <c r="IN211" i="9"/>
  <c r="IM211" i="9"/>
  <c r="IL211" i="9"/>
  <c r="IK211" i="9"/>
  <c r="IJ211" i="9"/>
  <c r="II211" i="9"/>
  <c r="IH211" i="9"/>
  <c r="IE211" i="9"/>
  <c r="ID211" i="9"/>
  <c r="IC211" i="9"/>
  <c r="IB211" i="9"/>
  <c r="IA211" i="9"/>
  <c r="HZ211" i="9"/>
  <c r="HY211" i="9"/>
  <c r="HX211" i="9"/>
  <c r="HW211" i="9"/>
  <c r="HV211" i="9"/>
  <c r="HU211" i="9"/>
  <c r="HT211" i="9"/>
  <c r="HQ211" i="9"/>
  <c r="HP211" i="9"/>
  <c r="HO211" i="9"/>
  <c r="HN211" i="9"/>
  <c r="HM211" i="9"/>
  <c r="HL211" i="9"/>
  <c r="HK211" i="9"/>
  <c r="HJ211" i="9"/>
  <c r="HI211" i="9"/>
  <c r="HH211" i="9"/>
  <c r="HG211" i="9"/>
  <c r="HF211" i="9"/>
  <c r="HC211" i="9"/>
  <c r="HB211" i="9"/>
  <c r="HA211" i="9"/>
  <c r="GZ211" i="9"/>
  <c r="GY211" i="9"/>
  <c r="GX211" i="9"/>
  <c r="GW211" i="9"/>
  <c r="GV211" i="9"/>
  <c r="GU211" i="9"/>
  <c r="GT211" i="9"/>
  <c r="GS211" i="9"/>
  <c r="GR211" i="9"/>
  <c r="GO211" i="9"/>
  <c r="GN211" i="9"/>
  <c r="GM211" i="9"/>
  <c r="GL211" i="9"/>
  <c r="GK211" i="9"/>
  <c r="GJ211" i="9"/>
  <c r="GI211" i="9"/>
  <c r="GH211" i="9"/>
  <c r="GG211" i="9"/>
  <c r="GF211" i="9"/>
  <c r="GE211" i="9"/>
  <c r="GD211" i="9"/>
  <c r="GA211" i="9"/>
  <c r="FZ211" i="9"/>
  <c r="FY211" i="9"/>
  <c r="FX211" i="9"/>
  <c r="FW211" i="9"/>
  <c r="FV211" i="9"/>
  <c r="FU211" i="9"/>
  <c r="FT211" i="9"/>
  <c r="FS211" i="9"/>
  <c r="FR211" i="9"/>
  <c r="FQ211" i="9"/>
  <c r="FP211" i="9"/>
  <c r="FM211" i="9"/>
  <c r="FL211" i="9"/>
  <c r="FK211" i="9"/>
  <c r="FJ211" i="9"/>
  <c r="FI211" i="9"/>
  <c r="FH211" i="9"/>
  <c r="FG211" i="9"/>
  <c r="FF211" i="9"/>
  <c r="FE211" i="9"/>
  <c r="FD211" i="9"/>
  <c r="FC211" i="9"/>
  <c r="FB211" i="9"/>
  <c r="EY211" i="9"/>
  <c r="EX211" i="9"/>
  <c r="EW211" i="9"/>
  <c r="EV211" i="9"/>
  <c r="EU211" i="9"/>
  <c r="ET211" i="9"/>
  <c r="ES211" i="9"/>
  <c r="ER211" i="9"/>
  <c r="EQ211" i="9"/>
  <c r="EP211" i="9"/>
  <c r="EO211" i="9"/>
  <c r="EN211" i="9"/>
  <c r="EK211" i="9"/>
  <c r="EJ211" i="9"/>
  <c r="EI211" i="9"/>
  <c r="EH211" i="9"/>
  <c r="EG211" i="9"/>
  <c r="EF211" i="9"/>
  <c r="EE211" i="9"/>
  <c r="ED211" i="9"/>
  <c r="EC211" i="9"/>
  <c r="EB211" i="9"/>
  <c r="EA211" i="9"/>
  <c r="DZ211" i="9"/>
  <c r="DW211" i="9"/>
  <c r="DV211" i="9"/>
  <c r="DU211" i="9"/>
  <c r="DT211" i="9"/>
  <c r="DS211" i="9"/>
  <c r="DR211" i="9"/>
  <c r="DQ211" i="9"/>
  <c r="DP211" i="9"/>
  <c r="DO211" i="9"/>
  <c r="DN211" i="9"/>
  <c r="DM211" i="9"/>
  <c r="DL211" i="9"/>
  <c r="DI211" i="9"/>
  <c r="DH211" i="9"/>
  <c r="DG211" i="9"/>
  <c r="DF211" i="9"/>
  <c r="DE211" i="9"/>
  <c r="DD211" i="9"/>
  <c r="DC211" i="9"/>
  <c r="DB211" i="9"/>
  <c r="DA211" i="9"/>
  <c r="CZ211" i="9"/>
  <c r="CY211" i="9"/>
  <c r="CX211" i="9"/>
  <c r="CU211" i="9"/>
  <c r="CT211" i="9"/>
  <c r="CS211" i="9"/>
  <c r="CR211" i="9"/>
  <c r="CQ211" i="9"/>
  <c r="CP211" i="9"/>
  <c r="CO211" i="9"/>
  <c r="CN211" i="9"/>
  <c r="CM211" i="9"/>
  <c r="CL211" i="9"/>
  <c r="CK211" i="9"/>
  <c r="CJ211" i="9"/>
  <c r="CG211" i="9"/>
  <c r="CF211" i="9"/>
  <c r="CE211" i="9"/>
  <c r="CD211" i="9"/>
  <c r="CC211" i="9"/>
  <c r="CB211" i="9"/>
  <c r="CA211" i="9"/>
  <c r="BZ211" i="9"/>
  <c r="BY211" i="9"/>
  <c r="BX211" i="9"/>
  <c r="BW211" i="9"/>
  <c r="BV211" i="9"/>
  <c r="BS211" i="9"/>
  <c r="BR211" i="9"/>
  <c r="BQ211" i="9"/>
  <c r="BP211" i="9"/>
  <c r="BO211" i="9"/>
  <c r="BN211" i="9"/>
  <c r="BM211" i="9"/>
  <c r="BL211" i="9"/>
  <c r="BK211" i="9"/>
  <c r="BJ211" i="9"/>
  <c r="BI211" i="9"/>
  <c r="BH211" i="9"/>
  <c r="BE211" i="9"/>
  <c r="BD211" i="9"/>
  <c r="BC211" i="9"/>
  <c r="BB211" i="9"/>
  <c r="BA211" i="9"/>
  <c r="AZ211" i="9"/>
  <c r="AY211" i="9"/>
  <c r="AX211" i="9"/>
  <c r="AW211" i="9"/>
  <c r="AV211" i="9"/>
  <c r="AU211" i="9"/>
  <c r="AT211" i="9"/>
  <c r="AQ211" i="9"/>
  <c r="AP211" i="9"/>
  <c r="AO211" i="9"/>
  <c r="AN211" i="9"/>
  <c r="AM211" i="9"/>
  <c r="AL211" i="9"/>
  <c r="AK211" i="9"/>
  <c r="AJ211" i="9"/>
  <c r="AI211" i="9"/>
  <c r="AH211" i="9"/>
  <c r="AG211" i="9"/>
  <c r="AF211" i="9"/>
  <c r="AC211" i="9"/>
  <c r="AB211" i="9"/>
  <c r="AA211" i="9"/>
  <c r="Z211" i="9"/>
  <c r="Y211" i="9"/>
  <c r="X211" i="9"/>
  <c r="W211" i="9"/>
  <c r="V211" i="9"/>
  <c r="U211" i="9"/>
  <c r="T211" i="9"/>
  <c r="S211" i="9"/>
  <c r="R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LZ210" i="9"/>
  <c r="LK210" i="9"/>
  <c r="LJ210" i="9"/>
  <c r="LI210" i="9"/>
  <c r="LH210" i="9"/>
  <c r="LG210" i="9"/>
  <c r="LF210" i="9"/>
  <c r="LE210" i="9"/>
  <c r="LD210" i="9"/>
  <c r="LC210" i="9"/>
  <c r="LB210" i="9"/>
  <c r="LA210" i="9"/>
  <c r="KZ210" i="9"/>
  <c r="KW210" i="9"/>
  <c r="KV210" i="9"/>
  <c r="KU210" i="9"/>
  <c r="KT210" i="9"/>
  <c r="KS210" i="9"/>
  <c r="KR210" i="9"/>
  <c r="KQ210" i="9"/>
  <c r="KP210" i="9"/>
  <c r="KO210" i="9"/>
  <c r="KN210" i="9"/>
  <c r="KM210" i="9"/>
  <c r="KL210" i="9"/>
  <c r="KI210" i="9"/>
  <c r="KH210" i="9"/>
  <c r="KG210" i="9"/>
  <c r="KF210" i="9"/>
  <c r="KE210" i="9"/>
  <c r="KD210" i="9"/>
  <c r="KC210" i="9"/>
  <c r="KB210" i="9"/>
  <c r="KA210" i="9"/>
  <c r="JZ210" i="9"/>
  <c r="JY210" i="9"/>
  <c r="JX210" i="9"/>
  <c r="JU210" i="9"/>
  <c r="JT210" i="9"/>
  <c r="JS210" i="9"/>
  <c r="JR210" i="9"/>
  <c r="JQ210" i="9"/>
  <c r="JP210" i="9"/>
  <c r="JO210" i="9"/>
  <c r="JN210" i="9"/>
  <c r="JM210" i="9"/>
  <c r="JL210" i="9"/>
  <c r="JK210" i="9"/>
  <c r="JJ210" i="9"/>
  <c r="JG210" i="9"/>
  <c r="JF210" i="9"/>
  <c r="JE210" i="9"/>
  <c r="JD210" i="9"/>
  <c r="JC210" i="9"/>
  <c r="JB210" i="9"/>
  <c r="JA210" i="9"/>
  <c r="IZ210" i="9"/>
  <c r="IY210" i="9"/>
  <c r="IX210" i="9"/>
  <c r="IW210" i="9"/>
  <c r="IV210" i="9"/>
  <c r="IS210" i="9"/>
  <c r="IR210" i="9"/>
  <c r="IQ210" i="9"/>
  <c r="IP210" i="9"/>
  <c r="IO210" i="9"/>
  <c r="IN210" i="9"/>
  <c r="IM210" i="9"/>
  <c r="IL210" i="9"/>
  <c r="IK210" i="9"/>
  <c r="IJ210" i="9"/>
  <c r="II210" i="9"/>
  <c r="IH210" i="9"/>
  <c r="IE210" i="9"/>
  <c r="ID210" i="9"/>
  <c r="IC210" i="9"/>
  <c r="IB210" i="9"/>
  <c r="IA210" i="9"/>
  <c r="HZ210" i="9"/>
  <c r="HY210" i="9"/>
  <c r="HX210" i="9"/>
  <c r="HW210" i="9"/>
  <c r="HV210" i="9"/>
  <c r="HU210" i="9"/>
  <c r="HT210" i="9"/>
  <c r="HQ210" i="9"/>
  <c r="HP210" i="9"/>
  <c r="HO210" i="9"/>
  <c r="HN210" i="9"/>
  <c r="HM210" i="9"/>
  <c r="HL210" i="9"/>
  <c r="HK210" i="9"/>
  <c r="HJ210" i="9"/>
  <c r="HI210" i="9"/>
  <c r="HH210" i="9"/>
  <c r="HG210" i="9"/>
  <c r="HF210" i="9"/>
  <c r="HC210" i="9"/>
  <c r="HB210" i="9"/>
  <c r="HA210" i="9"/>
  <c r="GZ210" i="9"/>
  <c r="GY210" i="9"/>
  <c r="GX210" i="9"/>
  <c r="GW210" i="9"/>
  <c r="GV210" i="9"/>
  <c r="GU210" i="9"/>
  <c r="GT210" i="9"/>
  <c r="GS210" i="9"/>
  <c r="GR210" i="9"/>
  <c r="GO210" i="9"/>
  <c r="GN210" i="9"/>
  <c r="GM210" i="9"/>
  <c r="GL210" i="9"/>
  <c r="GK210" i="9"/>
  <c r="GJ210" i="9"/>
  <c r="GI210" i="9"/>
  <c r="GH210" i="9"/>
  <c r="GG210" i="9"/>
  <c r="GF210" i="9"/>
  <c r="GE210" i="9"/>
  <c r="GD210" i="9"/>
  <c r="GA210" i="9"/>
  <c r="FZ210" i="9"/>
  <c r="FY210" i="9"/>
  <c r="FX210" i="9"/>
  <c r="FW210" i="9"/>
  <c r="FV210" i="9"/>
  <c r="FU210" i="9"/>
  <c r="FT210" i="9"/>
  <c r="FS210" i="9"/>
  <c r="FR210" i="9"/>
  <c r="FQ210" i="9"/>
  <c r="FP210" i="9"/>
  <c r="FM210" i="9"/>
  <c r="FL210" i="9"/>
  <c r="FK210" i="9"/>
  <c r="FJ210" i="9"/>
  <c r="FI210" i="9"/>
  <c r="FH210" i="9"/>
  <c r="FG210" i="9"/>
  <c r="FF210" i="9"/>
  <c r="FE210" i="9"/>
  <c r="FD210" i="9"/>
  <c r="FC210" i="9"/>
  <c r="FB210" i="9"/>
  <c r="EY210" i="9"/>
  <c r="EX210" i="9"/>
  <c r="EW210" i="9"/>
  <c r="EV210" i="9"/>
  <c r="EU210" i="9"/>
  <c r="ET210" i="9"/>
  <c r="ES210" i="9"/>
  <c r="ER210" i="9"/>
  <c r="EQ210" i="9"/>
  <c r="EP210" i="9"/>
  <c r="EO210" i="9"/>
  <c r="EN210" i="9"/>
  <c r="EK210" i="9"/>
  <c r="EJ210" i="9"/>
  <c r="EI210" i="9"/>
  <c r="EH210" i="9"/>
  <c r="EG210" i="9"/>
  <c r="EF210" i="9"/>
  <c r="EE210" i="9"/>
  <c r="ED210" i="9"/>
  <c r="EC210" i="9"/>
  <c r="EB210" i="9"/>
  <c r="EA210" i="9"/>
  <c r="DZ210" i="9"/>
  <c r="DW210" i="9"/>
  <c r="DV210" i="9"/>
  <c r="DU210" i="9"/>
  <c r="DT210" i="9"/>
  <c r="DS210" i="9"/>
  <c r="DR210" i="9"/>
  <c r="DQ210" i="9"/>
  <c r="DP210" i="9"/>
  <c r="DO210" i="9"/>
  <c r="DN210" i="9"/>
  <c r="DM210" i="9"/>
  <c r="DL210" i="9"/>
  <c r="DI210" i="9"/>
  <c r="DH210" i="9"/>
  <c r="DG210" i="9"/>
  <c r="DF210" i="9"/>
  <c r="DE210" i="9"/>
  <c r="DD210" i="9"/>
  <c r="DC210" i="9"/>
  <c r="DB210" i="9"/>
  <c r="DA210" i="9"/>
  <c r="CZ210" i="9"/>
  <c r="CY210" i="9"/>
  <c r="CX210" i="9"/>
  <c r="CU210" i="9"/>
  <c r="CT210" i="9"/>
  <c r="CS210" i="9"/>
  <c r="CR210" i="9"/>
  <c r="CQ210" i="9"/>
  <c r="CP210" i="9"/>
  <c r="CO210" i="9"/>
  <c r="CN210" i="9"/>
  <c r="CM210" i="9"/>
  <c r="CL210" i="9"/>
  <c r="CK210" i="9"/>
  <c r="CJ210" i="9"/>
  <c r="CG210" i="9"/>
  <c r="CF210" i="9"/>
  <c r="CE210" i="9"/>
  <c r="CD210" i="9"/>
  <c r="CC210" i="9"/>
  <c r="CB210" i="9"/>
  <c r="CA210" i="9"/>
  <c r="BZ210" i="9"/>
  <c r="BY210" i="9"/>
  <c r="BX210" i="9"/>
  <c r="BW210" i="9"/>
  <c r="BV210" i="9"/>
  <c r="BS210" i="9"/>
  <c r="BR210" i="9"/>
  <c r="BQ210" i="9"/>
  <c r="BP210" i="9"/>
  <c r="BO210" i="9"/>
  <c r="BN210" i="9"/>
  <c r="BM210" i="9"/>
  <c r="BL210" i="9"/>
  <c r="BK210" i="9"/>
  <c r="BJ210" i="9"/>
  <c r="BI210" i="9"/>
  <c r="BH210" i="9"/>
  <c r="BE210" i="9"/>
  <c r="BD210" i="9"/>
  <c r="BC210" i="9"/>
  <c r="BB210" i="9"/>
  <c r="BA210" i="9"/>
  <c r="AZ210" i="9"/>
  <c r="AY210" i="9"/>
  <c r="AX210" i="9"/>
  <c r="AW210" i="9"/>
  <c r="AV210" i="9"/>
  <c r="AU210" i="9"/>
  <c r="AT210" i="9"/>
  <c r="AQ210" i="9"/>
  <c r="AP210" i="9"/>
  <c r="AO210" i="9"/>
  <c r="AN210" i="9"/>
  <c r="AM210" i="9"/>
  <c r="AL210" i="9"/>
  <c r="AK210" i="9"/>
  <c r="AJ210" i="9"/>
  <c r="AI210" i="9"/>
  <c r="AH210" i="9"/>
  <c r="AG210" i="9"/>
  <c r="AF210" i="9"/>
  <c r="AC210" i="9"/>
  <c r="AB210" i="9"/>
  <c r="AA210" i="9"/>
  <c r="Z210" i="9"/>
  <c r="Y210" i="9"/>
  <c r="X210" i="9"/>
  <c r="W210" i="9"/>
  <c r="V210" i="9"/>
  <c r="U210" i="9"/>
  <c r="T210" i="9"/>
  <c r="S210" i="9"/>
  <c r="R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LZ209" i="9"/>
  <c r="LK209" i="9"/>
  <c r="LJ209" i="9"/>
  <c r="LI209" i="9"/>
  <c r="LH209" i="9"/>
  <c r="LG209" i="9"/>
  <c r="LF209" i="9"/>
  <c r="LE209" i="9"/>
  <c r="LD209" i="9"/>
  <c r="LC209" i="9"/>
  <c r="LB209" i="9"/>
  <c r="LA209" i="9"/>
  <c r="KZ209" i="9"/>
  <c r="KW209" i="9"/>
  <c r="KV209" i="9"/>
  <c r="KU209" i="9"/>
  <c r="KT209" i="9"/>
  <c r="KS209" i="9"/>
  <c r="KR209" i="9"/>
  <c r="KQ209" i="9"/>
  <c r="KP209" i="9"/>
  <c r="KO209" i="9"/>
  <c r="KN209" i="9"/>
  <c r="KM209" i="9"/>
  <c r="KL209" i="9"/>
  <c r="KI209" i="9"/>
  <c r="KH209" i="9"/>
  <c r="KG209" i="9"/>
  <c r="KF209" i="9"/>
  <c r="KE209" i="9"/>
  <c r="KD209" i="9"/>
  <c r="KC209" i="9"/>
  <c r="KB209" i="9"/>
  <c r="KA209" i="9"/>
  <c r="JZ209" i="9"/>
  <c r="JY209" i="9"/>
  <c r="JX209" i="9"/>
  <c r="JU209" i="9"/>
  <c r="JT209" i="9"/>
  <c r="JS209" i="9"/>
  <c r="JR209" i="9"/>
  <c r="JQ209" i="9"/>
  <c r="JP209" i="9"/>
  <c r="JO209" i="9"/>
  <c r="JN209" i="9"/>
  <c r="JM209" i="9"/>
  <c r="JL209" i="9"/>
  <c r="JK209" i="9"/>
  <c r="JJ209" i="9"/>
  <c r="JG209" i="9"/>
  <c r="JF209" i="9"/>
  <c r="JE209" i="9"/>
  <c r="JD209" i="9"/>
  <c r="JC209" i="9"/>
  <c r="JB209" i="9"/>
  <c r="JA209" i="9"/>
  <c r="IZ209" i="9"/>
  <c r="IY209" i="9"/>
  <c r="IX209" i="9"/>
  <c r="IW209" i="9"/>
  <c r="IV209" i="9"/>
  <c r="IS209" i="9"/>
  <c r="IR209" i="9"/>
  <c r="IQ209" i="9"/>
  <c r="IP209" i="9"/>
  <c r="IO209" i="9"/>
  <c r="IN209" i="9"/>
  <c r="IM209" i="9"/>
  <c r="IL209" i="9"/>
  <c r="IK209" i="9"/>
  <c r="IJ209" i="9"/>
  <c r="II209" i="9"/>
  <c r="IH209" i="9"/>
  <c r="IE209" i="9"/>
  <c r="ID209" i="9"/>
  <c r="IC209" i="9"/>
  <c r="IB209" i="9"/>
  <c r="IA209" i="9"/>
  <c r="HZ209" i="9"/>
  <c r="HY209" i="9"/>
  <c r="HX209" i="9"/>
  <c r="HW209" i="9"/>
  <c r="HV209" i="9"/>
  <c r="HU209" i="9"/>
  <c r="HT209" i="9"/>
  <c r="HQ209" i="9"/>
  <c r="HP209" i="9"/>
  <c r="HO209" i="9"/>
  <c r="HN209" i="9"/>
  <c r="HM209" i="9"/>
  <c r="HL209" i="9"/>
  <c r="HK209" i="9"/>
  <c r="HJ209" i="9"/>
  <c r="HI209" i="9"/>
  <c r="HH209" i="9"/>
  <c r="HG209" i="9"/>
  <c r="HF209" i="9"/>
  <c r="HC209" i="9"/>
  <c r="HB209" i="9"/>
  <c r="HA209" i="9"/>
  <c r="GZ209" i="9"/>
  <c r="GY209" i="9"/>
  <c r="GX209" i="9"/>
  <c r="GW209" i="9"/>
  <c r="GV209" i="9"/>
  <c r="GU209" i="9"/>
  <c r="GT209" i="9"/>
  <c r="GS209" i="9"/>
  <c r="GR209" i="9"/>
  <c r="GO209" i="9"/>
  <c r="GN209" i="9"/>
  <c r="GM209" i="9"/>
  <c r="GL209" i="9"/>
  <c r="GK209" i="9"/>
  <c r="GJ209" i="9"/>
  <c r="GI209" i="9"/>
  <c r="GH209" i="9"/>
  <c r="GG209" i="9"/>
  <c r="GF209" i="9"/>
  <c r="GE209" i="9"/>
  <c r="GD209" i="9"/>
  <c r="GA209" i="9"/>
  <c r="FZ209" i="9"/>
  <c r="FY209" i="9"/>
  <c r="FX209" i="9"/>
  <c r="FW209" i="9"/>
  <c r="FV209" i="9"/>
  <c r="FU209" i="9"/>
  <c r="FT209" i="9"/>
  <c r="FS209" i="9"/>
  <c r="FR209" i="9"/>
  <c r="FQ209" i="9"/>
  <c r="FP209" i="9"/>
  <c r="FM209" i="9"/>
  <c r="FL209" i="9"/>
  <c r="FK209" i="9"/>
  <c r="FJ209" i="9"/>
  <c r="FI209" i="9"/>
  <c r="FH209" i="9"/>
  <c r="FG209" i="9"/>
  <c r="FF209" i="9"/>
  <c r="FE209" i="9"/>
  <c r="FD209" i="9"/>
  <c r="FC209" i="9"/>
  <c r="FB209" i="9"/>
  <c r="EY209" i="9"/>
  <c r="EX209" i="9"/>
  <c r="EW209" i="9"/>
  <c r="EV209" i="9"/>
  <c r="EU209" i="9"/>
  <c r="ET209" i="9"/>
  <c r="ES209" i="9"/>
  <c r="ER209" i="9"/>
  <c r="EQ209" i="9"/>
  <c r="EP209" i="9"/>
  <c r="EO209" i="9"/>
  <c r="EN209" i="9"/>
  <c r="EK209" i="9"/>
  <c r="EJ209" i="9"/>
  <c r="EI209" i="9"/>
  <c r="EH209" i="9"/>
  <c r="EG209" i="9"/>
  <c r="EF209" i="9"/>
  <c r="EE209" i="9"/>
  <c r="ED209" i="9"/>
  <c r="EC209" i="9"/>
  <c r="EB209" i="9"/>
  <c r="EA209" i="9"/>
  <c r="DZ209" i="9"/>
  <c r="DW209" i="9"/>
  <c r="DV209" i="9"/>
  <c r="DU209" i="9"/>
  <c r="DT209" i="9"/>
  <c r="DS209" i="9"/>
  <c r="DR209" i="9"/>
  <c r="DQ209" i="9"/>
  <c r="DP209" i="9"/>
  <c r="DO209" i="9"/>
  <c r="DN209" i="9"/>
  <c r="DM209" i="9"/>
  <c r="DL209" i="9"/>
  <c r="DI209" i="9"/>
  <c r="DH209" i="9"/>
  <c r="DG209" i="9"/>
  <c r="DF209" i="9"/>
  <c r="DE209" i="9"/>
  <c r="DD209" i="9"/>
  <c r="DC209" i="9"/>
  <c r="DB209" i="9"/>
  <c r="DA209" i="9"/>
  <c r="CZ209" i="9"/>
  <c r="CY209" i="9"/>
  <c r="CX209" i="9"/>
  <c r="CU209" i="9"/>
  <c r="CT209" i="9"/>
  <c r="CS209" i="9"/>
  <c r="CR209" i="9"/>
  <c r="CQ209" i="9"/>
  <c r="CP209" i="9"/>
  <c r="CO209" i="9"/>
  <c r="CN209" i="9"/>
  <c r="CM209" i="9"/>
  <c r="CL209" i="9"/>
  <c r="CK209" i="9"/>
  <c r="CJ209" i="9"/>
  <c r="CG209" i="9"/>
  <c r="CF209" i="9"/>
  <c r="CE209" i="9"/>
  <c r="CD209" i="9"/>
  <c r="CC209" i="9"/>
  <c r="CB209" i="9"/>
  <c r="CA209" i="9"/>
  <c r="BZ209" i="9"/>
  <c r="BY209" i="9"/>
  <c r="BX209" i="9"/>
  <c r="BW209" i="9"/>
  <c r="BV209" i="9"/>
  <c r="BS209" i="9"/>
  <c r="BR209" i="9"/>
  <c r="BQ209" i="9"/>
  <c r="BP209" i="9"/>
  <c r="BO209" i="9"/>
  <c r="BN209" i="9"/>
  <c r="BM209" i="9"/>
  <c r="BL209" i="9"/>
  <c r="BK209" i="9"/>
  <c r="BJ209" i="9"/>
  <c r="BI209" i="9"/>
  <c r="BH209" i="9"/>
  <c r="BE209" i="9"/>
  <c r="BD209" i="9"/>
  <c r="BC209" i="9"/>
  <c r="BB209" i="9"/>
  <c r="BA209" i="9"/>
  <c r="AZ209" i="9"/>
  <c r="AY209" i="9"/>
  <c r="AX209" i="9"/>
  <c r="AW209" i="9"/>
  <c r="AV209" i="9"/>
  <c r="AU209" i="9"/>
  <c r="AT209" i="9"/>
  <c r="AQ209" i="9"/>
  <c r="AP209" i="9"/>
  <c r="AO209" i="9"/>
  <c r="AN209" i="9"/>
  <c r="AM209" i="9"/>
  <c r="AL209" i="9"/>
  <c r="AK209" i="9"/>
  <c r="AJ209" i="9"/>
  <c r="AI209" i="9"/>
  <c r="AH209" i="9"/>
  <c r="AG209" i="9"/>
  <c r="AF209" i="9"/>
  <c r="AC209" i="9"/>
  <c r="AB209" i="9"/>
  <c r="AA209" i="9"/>
  <c r="Z209" i="9"/>
  <c r="Y209" i="9"/>
  <c r="X209" i="9"/>
  <c r="W209" i="9"/>
  <c r="V209" i="9"/>
  <c r="U209" i="9"/>
  <c r="T209" i="9"/>
  <c r="S209" i="9"/>
  <c r="R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LZ208" i="9"/>
  <c r="LK208" i="9"/>
  <c r="LJ208" i="9"/>
  <c r="LI208" i="9"/>
  <c r="LH208" i="9"/>
  <c r="LG208" i="9"/>
  <c r="LF208" i="9"/>
  <c r="LE208" i="9"/>
  <c r="LD208" i="9"/>
  <c r="LC208" i="9"/>
  <c r="LB208" i="9"/>
  <c r="LA208" i="9"/>
  <c r="KZ208" i="9"/>
  <c r="KW208" i="9"/>
  <c r="KV208" i="9"/>
  <c r="KU208" i="9"/>
  <c r="KT208" i="9"/>
  <c r="KS208" i="9"/>
  <c r="KR208" i="9"/>
  <c r="KQ208" i="9"/>
  <c r="KP208" i="9"/>
  <c r="KO208" i="9"/>
  <c r="KN208" i="9"/>
  <c r="KM208" i="9"/>
  <c r="KL208" i="9"/>
  <c r="KI208" i="9"/>
  <c r="KH208" i="9"/>
  <c r="KG208" i="9"/>
  <c r="KF208" i="9"/>
  <c r="KE208" i="9"/>
  <c r="KD208" i="9"/>
  <c r="KC208" i="9"/>
  <c r="KB208" i="9"/>
  <c r="KA208" i="9"/>
  <c r="JZ208" i="9"/>
  <c r="JY208" i="9"/>
  <c r="JX208" i="9"/>
  <c r="JU208" i="9"/>
  <c r="JT208" i="9"/>
  <c r="JS208" i="9"/>
  <c r="JR208" i="9"/>
  <c r="JQ208" i="9"/>
  <c r="JP208" i="9"/>
  <c r="JO208" i="9"/>
  <c r="JN208" i="9"/>
  <c r="JM208" i="9"/>
  <c r="JL208" i="9"/>
  <c r="JK208" i="9"/>
  <c r="JJ208" i="9"/>
  <c r="JG208" i="9"/>
  <c r="JF208" i="9"/>
  <c r="JE208" i="9"/>
  <c r="JD208" i="9"/>
  <c r="JC208" i="9"/>
  <c r="JB208" i="9"/>
  <c r="JA208" i="9"/>
  <c r="IZ208" i="9"/>
  <c r="IY208" i="9"/>
  <c r="IX208" i="9"/>
  <c r="IW208" i="9"/>
  <c r="IV208" i="9"/>
  <c r="IS208" i="9"/>
  <c r="IR208" i="9"/>
  <c r="IQ208" i="9"/>
  <c r="IP208" i="9"/>
  <c r="IO208" i="9"/>
  <c r="IN208" i="9"/>
  <c r="IM208" i="9"/>
  <c r="IL208" i="9"/>
  <c r="IK208" i="9"/>
  <c r="IJ208" i="9"/>
  <c r="II208" i="9"/>
  <c r="IH208" i="9"/>
  <c r="IE208" i="9"/>
  <c r="ID208" i="9"/>
  <c r="IC208" i="9"/>
  <c r="IB208" i="9"/>
  <c r="IA208" i="9"/>
  <c r="HZ208" i="9"/>
  <c r="HY208" i="9"/>
  <c r="HX208" i="9"/>
  <c r="HW208" i="9"/>
  <c r="HV208" i="9"/>
  <c r="HU208" i="9"/>
  <c r="HT208" i="9"/>
  <c r="HQ208" i="9"/>
  <c r="HP208" i="9"/>
  <c r="HO208" i="9"/>
  <c r="HN208" i="9"/>
  <c r="HM208" i="9"/>
  <c r="HL208" i="9"/>
  <c r="HK208" i="9"/>
  <c r="HJ208" i="9"/>
  <c r="HI208" i="9"/>
  <c r="HH208" i="9"/>
  <c r="HG208" i="9"/>
  <c r="HF208" i="9"/>
  <c r="HC208" i="9"/>
  <c r="HB208" i="9"/>
  <c r="HA208" i="9"/>
  <c r="GZ208" i="9"/>
  <c r="GY208" i="9"/>
  <c r="GX208" i="9"/>
  <c r="GW208" i="9"/>
  <c r="GV208" i="9"/>
  <c r="GU208" i="9"/>
  <c r="GT208" i="9"/>
  <c r="GS208" i="9"/>
  <c r="GR208" i="9"/>
  <c r="GO208" i="9"/>
  <c r="GN208" i="9"/>
  <c r="GM208" i="9"/>
  <c r="GL208" i="9"/>
  <c r="GK208" i="9"/>
  <c r="GJ208" i="9"/>
  <c r="GI208" i="9"/>
  <c r="GH208" i="9"/>
  <c r="GG208" i="9"/>
  <c r="GF208" i="9"/>
  <c r="GE208" i="9"/>
  <c r="GD208" i="9"/>
  <c r="GA208" i="9"/>
  <c r="FZ208" i="9"/>
  <c r="FY208" i="9"/>
  <c r="FX208" i="9"/>
  <c r="FW208" i="9"/>
  <c r="FV208" i="9"/>
  <c r="FU208" i="9"/>
  <c r="FT208" i="9"/>
  <c r="FS208" i="9"/>
  <c r="FR208" i="9"/>
  <c r="FQ208" i="9"/>
  <c r="FP208" i="9"/>
  <c r="FM208" i="9"/>
  <c r="FL208" i="9"/>
  <c r="FK208" i="9"/>
  <c r="FJ208" i="9"/>
  <c r="FI208" i="9"/>
  <c r="FH208" i="9"/>
  <c r="FG208" i="9"/>
  <c r="FF208" i="9"/>
  <c r="FE208" i="9"/>
  <c r="FD208" i="9"/>
  <c r="FC208" i="9"/>
  <c r="FB208" i="9"/>
  <c r="EY208" i="9"/>
  <c r="EX208" i="9"/>
  <c r="EW208" i="9"/>
  <c r="EV208" i="9"/>
  <c r="EU208" i="9"/>
  <c r="ET208" i="9"/>
  <c r="ES208" i="9"/>
  <c r="ER208" i="9"/>
  <c r="EQ208" i="9"/>
  <c r="EP208" i="9"/>
  <c r="EO208" i="9"/>
  <c r="EN208" i="9"/>
  <c r="EK208" i="9"/>
  <c r="EJ208" i="9"/>
  <c r="EI208" i="9"/>
  <c r="EH208" i="9"/>
  <c r="EG208" i="9"/>
  <c r="EF208" i="9"/>
  <c r="EE208" i="9"/>
  <c r="ED208" i="9"/>
  <c r="EC208" i="9"/>
  <c r="EB208" i="9"/>
  <c r="EA208" i="9"/>
  <c r="DZ208" i="9"/>
  <c r="DW208" i="9"/>
  <c r="DV208" i="9"/>
  <c r="DU208" i="9"/>
  <c r="DT208" i="9"/>
  <c r="DS208" i="9"/>
  <c r="DR208" i="9"/>
  <c r="DQ208" i="9"/>
  <c r="DP208" i="9"/>
  <c r="DO208" i="9"/>
  <c r="DN208" i="9"/>
  <c r="DM208" i="9"/>
  <c r="DL208" i="9"/>
  <c r="DI208" i="9"/>
  <c r="DH208" i="9"/>
  <c r="DG208" i="9"/>
  <c r="DF208" i="9"/>
  <c r="DE208" i="9"/>
  <c r="DD208" i="9"/>
  <c r="DC208" i="9"/>
  <c r="DB208" i="9"/>
  <c r="DA208" i="9"/>
  <c r="CZ208" i="9"/>
  <c r="CY208" i="9"/>
  <c r="CX208" i="9"/>
  <c r="CU208" i="9"/>
  <c r="CT208" i="9"/>
  <c r="CS208" i="9"/>
  <c r="CR208" i="9"/>
  <c r="CQ208" i="9"/>
  <c r="CP208" i="9"/>
  <c r="CO208" i="9"/>
  <c r="CN208" i="9"/>
  <c r="CM208" i="9"/>
  <c r="CL208" i="9"/>
  <c r="CK208" i="9"/>
  <c r="CJ208" i="9"/>
  <c r="CG208" i="9"/>
  <c r="CF208" i="9"/>
  <c r="CE208" i="9"/>
  <c r="CD208" i="9"/>
  <c r="CC208" i="9"/>
  <c r="CB208" i="9"/>
  <c r="CA208" i="9"/>
  <c r="BZ208" i="9"/>
  <c r="BY208" i="9"/>
  <c r="BX208" i="9"/>
  <c r="BW208" i="9"/>
  <c r="BV208" i="9"/>
  <c r="BS208" i="9"/>
  <c r="BR208" i="9"/>
  <c r="BQ208" i="9"/>
  <c r="BP208" i="9"/>
  <c r="BO208" i="9"/>
  <c r="BN208" i="9"/>
  <c r="BM208" i="9"/>
  <c r="BL208" i="9"/>
  <c r="BK208" i="9"/>
  <c r="BJ208" i="9"/>
  <c r="BI208" i="9"/>
  <c r="BH208" i="9"/>
  <c r="BE208" i="9"/>
  <c r="BD208" i="9"/>
  <c r="BC208" i="9"/>
  <c r="BB208" i="9"/>
  <c r="BA208" i="9"/>
  <c r="AZ208" i="9"/>
  <c r="AY208" i="9"/>
  <c r="AX208" i="9"/>
  <c r="AW208" i="9"/>
  <c r="AV208" i="9"/>
  <c r="AU208" i="9"/>
  <c r="AT208" i="9"/>
  <c r="AQ208" i="9"/>
  <c r="AP208" i="9"/>
  <c r="AO208" i="9"/>
  <c r="AN208" i="9"/>
  <c r="AM208" i="9"/>
  <c r="AL208" i="9"/>
  <c r="AK208" i="9"/>
  <c r="AJ208" i="9"/>
  <c r="AI208" i="9"/>
  <c r="AH208" i="9"/>
  <c r="AG208" i="9"/>
  <c r="AF208" i="9"/>
  <c r="AC208" i="9"/>
  <c r="AB208" i="9"/>
  <c r="AA208" i="9"/>
  <c r="Z208" i="9"/>
  <c r="Y208" i="9"/>
  <c r="X208" i="9"/>
  <c r="W208" i="9"/>
  <c r="V208" i="9"/>
  <c r="U208" i="9"/>
  <c r="T208" i="9"/>
  <c r="S208" i="9"/>
  <c r="R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LZ207" i="9"/>
  <c r="LK207" i="9"/>
  <c r="LJ207" i="9"/>
  <c r="LI207" i="9"/>
  <c r="LH207" i="9"/>
  <c r="LG207" i="9"/>
  <c r="LF207" i="9"/>
  <c r="LE207" i="9"/>
  <c r="LD207" i="9"/>
  <c r="LC207" i="9"/>
  <c r="LB207" i="9"/>
  <c r="LA207" i="9"/>
  <c r="KZ207" i="9"/>
  <c r="KW207" i="9"/>
  <c r="KV207" i="9"/>
  <c r="KU207" i="9"/>
  <c r="KT207" i="9"/>
  <c r="KS207" i="9"/>
  <c r="KR207" i="9"/>
  <c r="KQ207" i="9"/>
  <c r="KP207" i="9"/>
  <c r="KO207" i="9"/>
  <c r="KN207" i="9"/>
  <c r="KM207" i="9"/>
  <c r="KL207" i="9"/>
  <c r="KI207" i="9"/>
  <c r="KH207" i="9"/>
  <c r="KG207" i="9"/>
  <c r="KF207" i="9"/>
  <c r="KE207" i="9"/>
  <c r="KD207" i="9"/>
  <c r="KC207" i="9"/>
  <c r="KB207" i="9"/>
  <c r="KA207" i="9"/>
  <c r="JZ207" i="9"/>
  <c r="JY207" i="9"/>
  <c r="JX207" i="9"/>
  <c r="JU207" i="9"/>
  <c r="JT207" i="9"/>
  <c r="JS207" i="9"/>
  <c r="JR207" i="9"/>
  <c r="JQ207" i="9"/>
  <c r="JP207" i="9"/>
  <c r="JO207" i="9"/>
  <c r="JN207" i="9"/>
  <c r="JM207" i="9"/>
  <c r="JL207" i="9"/>
  <c r="JK207" i="9"/>
  <c r="JJ207" i="9"/>
  <c r="JG207" i="9"/>
  <c r="JF207" i="9"/>
  <c r="JE207" i="9"/>
  <c r="JD207" i="9"/>
  <c r="JC207" i="9"/>
  <c r="JB207" i="9"/>
  <c r="JA207" i="9"/>
  <c r="IZ207" i="9"/>
  <c r="IY207" i="9"/>
  <c r="IX207" i="9"/>
  <c r="IW207" i="9"/>
  <c r="IV207" i="9"/>
  <c r="IS207" i="9"/>
  <c r="IR207" i="9"/>
  <c r="IQ207" i="9"/>
  <c r="IP207" i="9"/>
  <c r="IO207" i="9"/>
  <c r="IN207" i="9"/>
  <c r="IM207" i="9"/>
  <c r="IL207" i="9"/>
  <c r="IK207" i="9"/>
  <c r="IJ207" i="9"/>
  <c r="II207" i="9"/>
  <c r="IH207" i="9"/>
  <c r="IE207" i="9"/>
  <c r="ID207" i="9"/>
  <c r="IC207" i="9"/>
  <c r="IB207" i="9"/>
  <c r="IA207" i="9"/>
  <c r="HZ207" i="9"/>
  <c r="HY207" i="9"/>
  <c r="HX207" i="9"/>
  <c r="HW207" i="9"/>
  <c r="HV207" i="9"/>
  <c r="HU207" i="9"/>
  <c r="HT207" i="9"/>
  <c r="HQ207" i="9"/>
  <c r="HP207" i="9"/>
  <c r="HO207" i="9"/>
  <c r="HN207" i="9"/>
  <c r="HM207" i="9"/>
  <c r="HL207" i="9"/>
  <c r="HK207" i="9"/>
  <c r="HJ207" i="9"/>
  <c r="HI207" i="9"/>
  <c r="HH207" i="9"/>
  <c r="HG207" i="9"/>
  <c r="HF207" i="9"/>
  <c r="HC207" i="9"/>
  <c r="HB207" i="9"/>
  <c r="HA207" i="9"/>
  <c r="GZ207" i="9"/>
  <c r="GY207" i="9"/>
  <c r="GX207" i="9"/>
  <c r="GW207" i="9"/>
  <c r="GV207" i="9"/>
  <c r="GU207" i="9"/>
  <c r="GT207" i="9"/>
  <c r="GS207" i="9"/>
  <c r="GR207" i="9"/>
  <c r="GO207" i="9"/>
  <c r="GN207" i="9"/>
  <c r="GM207" i="9"/>
  <c r="GL207" i="9"/>
  <c r="GK207" i="9"/>
  <c r="GJ207" i="9"/>
  <c r="GI207" i="9"/>
  <c r="GH207" i="9"/>
  <c r="GG207" i="9"/>
  <c r="GF207" i="9"/>
  <c r="GE207" i="9"/>
  <c r="GD207" i="9"/>
  <c r="GA207" i="9"/>
  <c r="FZ207" i="9"/>
  <c r="FY207" i="9"/>
  <c r="FX207" i="9"/>
  <c r="FW207" i="9"/>
  <c r="FV207" i="9"/>
  <c r="FU207" i="9"/>
  <c r="FT207" i="9"/>
  <c r="FS207" i="9"/>
  <c r="FR207" i="9"/>
  <c r="FQ207" i="9"/>
  <c r="FP207" i="9"/>
  <c r="FM207" i="9"/>
  <c r="FL207" i="9"/>
  <c r="FK207" i="9"/>
  <c r="FJ207" i="9"/>
  <c r="FI207" i="9"/>
  <c r="FH207" i="9"/>
  <c r="FG207" i="9"/>
  <c r="FF207" i="9"/>
  <c r="FE207" i="9"/>
  <c r="FD207" i="9"/>
  <c r="FC207" i="9"/>
  <c r="FB207" i="9"/>
  <c r="EY207" i="9"/>
  <c r="EX207" i="9"/>
  <c r="EW207" i="9"/>
  <c r="EV207" i="9"/>
  <c r="EU207" i="9"/>
  <c r="ET207" i="9"/>
  <c r="ES207" i="9"/>
  <c r="ER207" i="9"/>
  <c r="EQ207" i="9"/>
  <c r="EP207" i="9"/>
  <c r="EO207" i="9"/>
  <c r="EN207" i="9"/>
  <c r="EK207" i="9"/>
  <c r="EJ207" i="9"/>
  <c r="EI207" i="9"/>
  <c r="EH207" i="9"/>
  <c r="EG207" i="9"/>
  <c r="EF207" i="9"/>
  <c r="EE207" i="9"/>
  <c r="ED207" i="9"/>
  <c r="EC207" i="9"/>
  <c r="EB207" i="9"/>
  <c r="EA207" i="9"/>
  <c r="DZ207" i="9"/>
  <c r="DW207" i="9"/>
  <c r="DV207" i="9"/>
  <c r="DU207" i="9"/>
  <c r="DT207" i="9"/>
  <c r="DS207" i="9"/>
  <c r="DR207" i="9"/>
  <c r="DQ207" i="9"/>
  <c r="DP207" i="9"/>
  <c r="DO207" i="9"/>
  <c r="DN207" i="9"/>
  <c r="DM207" i="9"/>
  <c r="DL207" i="9"/>
  <c r="DI207" i="9"/>
  <c r="DH207" i="9"/>
  <c r="DG207" i="9"/>
  <c r="DF207" i="9"/>
  <c r="DE207" i="9"/>
  <c r="DD207" i="9"/>
  <c r="DC207" i="9"/>
  <c r="DB207" i="9"/>
  <c r="DA207" i="9"/>
  <c r="CZ207" i="9"/>
  <c r="CY207" i="9"/>
  <c r="CX207" i="9"/>
  <c r="CU207" i="9"/>
  <c r="CT207" i="9"/>
  <c r="CS207" i="9"/>
  <c r="CR207" i="9"/>
  <c r="CQ207" i="9"/>
  <c r="CP207" i="9"/>
  <c r="CO207" i="9"/>
  <c r="CN207" i="9"/>
  <c r="CM207" i="9"/>
  <c r="CL207" i="9"/>
  <c r="CK207" i="9"/>
  <c r="CJ207" i="9"/>
  <c r="CG207" i="9"/>
  <c r="CF207" i="9"/>
  <c r="CE207" i="9"/>
  <c r="CD207" i="9"/>
  <c r="CC207" i="9"/>
  <c r="CB207" i="9"/>
  <c r="CA207" i="9"/>
  <c r="BZ207" i="9"/>
  <c r="BY207" i="9"/>
  <c r="BX207" i="9"/>
  <c r="BW207" i="9"/>
  <c r="BV207" i="9"/>
  <c r="BS207" i="9"/>
  <c r="BR207" i="9"/>
  <c r="BQ207" i="9"/>
  <c r="BP207" i="9"/>
  <c r="BO207" i="9"/>
  <c r="BN207" i="9"/>
  <c r="BM207" i="9"/>
  <c r="BL207" i="9"/>
  <c r="BK207" i="9"/>
  <c r="BJ207" i="9"/>
  <c r="BI207" i="9"/>
  <c r="BH207" i="9"/>
  <c r="BE207" i="9"/>
  <c r="BD207" i="9"/>
  <c r="BC207" i="9"/>
  <c r="BB207" i="9"/>
  <c r="BA207" i="9"/>
  <c r="AZ207" i="9"/>
  <c r="AY207" i="9"/>
  <c r="AX207" i="9"/>
  <c r="AW207" i="9"/>
  <c r="AV207" i="9"/>
  <c r="AU207" i="9"/>
  <c r="AT207" i="9"/>
  <c r="AQ207" i="9"/>
  <c r="AP207" i="9"/>
  <c r="AO207" i="9"/>
  <c r="AN207" i="9"/>
  <c r="AM207" i="9"/>
  <c r="AL207" i="9"/>
  <c r="AK207" i="9"/>
  <c r="AJ207" i="9"/>
  <c r="AI207" i="9"/>
  <c r="AH207" i="9"/>
  <c r="AG207" i="9"/>
  <c r="AF207" i="9"/>
  <c r="AC207" i="9"/>
  <c r="AB207" i="9"/>
  <c r="AA207" i="9"/>
  <c r="Z207" i="9"/>
  <c r="Y207" i="9"/>
  <c r="X207" i="9"/>
  <c r="W207" i="9"/>
  <c r="V207" i="9"/>
  <c r="U207" i="9"/>
  <c r="T207" i="9"/>
  <c r="S207" i="9"/>
  <c r="R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LZ206" i="9"/>
  <c r="LK206" i="9"/>
  <c r="LJ206" i="9"/>
  <c r="LI206" i="9"/>
  <c r="LH206" i="9"/>
  <c r="LG206" i="9"/>
  <c r="LF206" i="9"/>
  <c r="LE206" i="9"/>
  <c r="LD206" i="9"/>
  <c r="LC206" i="9"/>
  <c r="LB206" i="9"/>
  <c r="LA206" i="9"/>
  <c r="KZ206" i="9"/>
  <c r="KW206" i="9"/>
  <c r="KV206" i="9"/>
  <c r="KU206" i="9"/>
  <c r="KT206" i="9"/>
  <c r="KS206" i="9"/>
  <c r="KR206" i="9"/>
  <c r="KQ206" i="9"/>
  <c r="KP206" i="9"/>
  <c r="KO206" i="9"/>
  <c r="KN206" i="9"/>
  <c r="KM206" i="9"/>
  <c r="KL206" i="9"/>
  <c r="KI206" i="9"/>
  <c r="KH206" i="9"/>
  <c r="KG206" i="9"/>
  <c r="KF206" i="9"/>
  <c r="KE206" i="9"/>
  <c r="KD206" i="9"/>
  <c r="KC206" i="9"/>
  <c r="KB206" i="9"/>
  <c r="KA206" i="9"/>
  <c r="JZ206" i="9"/>
  <c r="JY206" i="9"/>
  <c r="JX206" i="9"/>
  <c r="JU206" i="9"/>
  <c r="JT206" i="9"/>
  <c r="JS206" i="9"/>
  <c r="JR206" i="9"/>
  <c r="JQ206" i="9"/>
  <c r="JP206" i="9"/>
  <c r="JO206" i="9"/>
  <c r="JN206" i="9"/>
  <c r="JM206" i="9"/>
  <c r="JL206" i="9"/>
  <c r="JK206" i="9"/>
  <c r="JJ206" i="9"/>
  <c r="JG206" i="9"/>
  <c r="JF206" i="9"/>
  <c r="JE206" i="9"/>
  <c r="JD206" i="9"/>
  <c r="JC206" i="9"/>
  <c r="JB206" i="9"/>
  <c r="JA206" i="9"/>
  <c r="IZ206" i="9"/>
  <c r="IY206" i="9"/>
  <c r="IX206" i="9"/>
  <c r="IW206" i="9"/>
  <c r="IV206" i="9"/>
  <c r="IS206" i="9"/>
  <c r="IR206" i="9"/>
  <c r="IQ206" i="9"/>
  <c r="IP206" i="9"/>
  <c r="IO206" i="9"/>
  <c r="IN206" i="9"/>
  <c r="IM206" i="9"/>
  <c r="IL206" i="9"/>
  <c r="IK206" i="9"/>
  <c r="IJ206" i="9"/>
  <c r="II206" i="9"/>
  <c r="IH206" i="9"/>
  <c r="IE206" i="9"/>
  <c r="ID206" i="9"/>
  <c r="IC206" i="9"/>
  <c r="IB206" i="9"/>
  <c r="IA206" i="9"/>
  <c r="HZ206" i="9"/>
  <c r="HY206" i="9"/>
  <c r="HX206" i="9"/>
  <c r="HW206" i="9"/>
  <c r="HV206" i="9"/>
  <c r="HU206" i="9"/>
  <c r="HT206" i="9"/>
  <c r="HQ206" i="9"/>
  <c r="HP206" i="9"/>
  <c r="HO206" i="9"/>
  <c r="HN206" i="9"/>
  <c r="HM206" i="9"/>
  <c r="HL206" i="9"/>
  <c r="HK206" i="9"/>
  <c r="HJ206" i="9"/>
  <c r="HI206" i="9"/>
  <c r="HH206" i="9"/>
  <c r="HG206" i="9"/>
  <c r="HF206" i="9"/>
  <c r="HC206" i="9"/>
  <c r="HB206" i="9"/>
  <c r="HA206" i="9"/>
  <c r="GZ206" i="9"/>
  <c r="GY206" i="9"/>
  <c r="GX206" i="9"/>
  <c r="GW206" i="9"/>
  <c r="GV206" i="9"/>
  <c r="GU206" i="9"/>
  <c r="GT206" i="9"/>
  <c r="GS206" i="9"/>
  <c r="GR206" i="9"/>
  <c r="GO206" i="9"/>
  <c r="GN206" i="9"/>
  <c r="GM206" i="9"/>
  <c r="GL206" i="9"/>
  <c r="GK206" i="9"/>
  <c r="GJ206" i="9"/>
  <c r="GI206" i="9"/>
  <c r="GH206" i="9"/>
  <c r="GG206" i="9"/>
  <c r="GF206" i="9"/>
  <c r="GE206" i="9"/>
  <c r="GD206" i="9"/>
  <c r="GA206" i="9"/>
  <c r="FZ206" i="9"/>
  <c r="FY206" i="9"/>
  <c r="FX206" i="9"/>
  <c r="FW206" i="9"/>
  <c r="FV206" i="9"/>
  <c r="FU206" i="9"/>
  <c r="FT206" i="9"/>
  <c r="FS206" i="9"/>
  <c r="FR206" i="9"/>
  <c r="FQ206" i="9"/>
  <c r="FP206" i="9"/>
  <c r="FM206" i="9"/>
  <c r="FL206" i="9"/>
  <c r="FK206" i="9"/>
  <c r="FJ206" i="9"/>
  <c r="FI206" i="9"/>
  <c r="FH206" i="9"/>
  <c r="FG206" i="9"/>
  <c r="FF206" i="9"/>
  <c r="FE206" i="9"/>
  <c r="FD206" i="9"/>
  <c r="FC206" i="9"/>
  <c r="FB206" i="9"/>
  <c r="EY206" i="9"/>
  <c r="EX206" i="9"/>
  <c r="EW206" i="9"/>
  <c r="EV206" i="9"/>
  <c r="EU206" i="9"/>
  <c r="ET206" i="9"/>
  <c r="ES206" i="9"/>
  <c r="ER206" i="9"/>
  <c r="EQ206" i="9"/>
  <c r="EP206" i="9"/>
  <c r="EO206" i="9"/>
  <c r="EN206" i="9"/>
  <c r="EK206" i="9"/>
  <c r="EJ206" i="9"/>
  <c r="EI206" i="9"/>
  <c r="EH206" i="9"/>
  <c r="EG206" i="9"/>
  <c r="EF206" i="9"/>
  <c r="EE206" i="9"/>
  <c r="ED206" i="9"/>
  <c r="EC206" i="9"/>
  <c r="EB206" i="9"/>
  <c r="EA206" i="9"/>
  <c r="DZ206" i="9"/>
  <c r="DW206" i="9"/>
  <c r="DV206" i="9"/>
  <c r="DU206" i="9"/>
  <c r="DT206" i="9"/>
  <c r="DS206" i="9"/>
  <c r="DR206" i="9"/>
  <c r="DQ206" i="9"/>
  <c r="DP206" i="9"/>
  <c r="DO206" i="9"/>
  <c r="DN206" i="9"/>
  <c r="DM206" i="9"/>
  <c r="DL206" i="9"/>
  <c r="DI206" i="9"/>
  <c r="DH206" i="9"/>
  <c r="DG206" i="9"/>
  <c r="DF206" i="9"/>
  <c r="DE206" i="9"/>
  <c r="DD206" i="9"/>
  <c r="DC206" i="9"/>
  <c r="DB206" i="9"/>
  <c r="DA206" i="9"/>
  <c r="CZ206" i="9"/>
  <c r="CY206" i="9"/>
  <c r="CX206" i="9"/>
  <c r="CU206" i="9"/>
  <c r="CT206" i="9"/>
  <c r="CS206" i="9"/>
  <c r="CR206" i="9"/>
  <c r="CQ206" i="9"/>
  <c r="CP206" i="9"/>
  <c r="CO206" i="9"/>
  <c r="CN206" i="9"/>
  <c r="CM206" i="9"/>
  <c r="CL206" i="9"/>
  <c r="CK206" i="9"/>
  <c r="CJ206" i="9"/>
  <c r="CG206" i="9"/>
  <c r="CF206" i="9"/>
  <c r="CE206" i="9"/>
  <c r="CD206" i="9"/>
  <c r="CC206" i="9"/>
  <c r="CB206" i="9"/>
  <c r="CA206" i="9"/>
  <c r="BZ206" i="9"/>
  <c r="BY206" i="9"/>
  <c r="BX206" i="9"/>
  <c r="BW206" i="9"/>
  <c r="BV206" i="9"/>
  <c r="BS206" i="9"/>
  <c r="BR206" i="9"/>
  <c r="BQ206" i="9"/>
  <c r="BP206" i="9"/>
  <c r="BO206" i="9"/>
  <c r="BN206" i="9"/>
  <c r="BM206" i="9"/>
  <c r="BL206" i="9"/>
  <c r="BK206" i="9"/>
  <c r="BJ206" i="9"/>
  <c r="BI206" i="9"/>
  <c r="BH206" i="9"/>
  <c r="BE206" i="9"/>
  <c r="BD206" i="9"/>
  <c r="BC206" i="9"/>
  <c r="BB206" i="9"/>
  <c r="BA206" i="9"/>
  <c r="AZ206" i="9"/>
  <c r="AY206" i="9"/>
  <c r="AX206" i="9"/>
  <c r="AW206" i="9"/>
  <c r="AV206" i="9"/>
  <c r="AU206" i="9"/>
  <c r="AT206" i="9"/>
  <c r="AQ206" i="9"/>
  <c r="AP206" i="9"/>
  <c r="AO206" i="9"/>
  <c r="AN206" i="9"/>
  <c r="AM206" i="9"/>
  <c r="AL206" i="9"/>
  <c r="AK206" i="9"/>
  <c r="AJ206" i="9"/>
  <c r="AI206" i="9"/>
  <c r="AH206" i="9"/>
  <c r="AG206" i="9"/>
  <c r="AF206" i="9"/>
  <c r="AC206" i="9"/>
  <c r="AB206" i="9"/>
  <c r="AA206" i="9"/>
  <c r="Z206" i="9"/>
  <c r="Y206" i="9"/>
  <c r="X206" i="9"/>
  <c r="W206" i="9"/>
  <c r="V206" i="9"/>
  <c r="U206" i="9"/>
  <c r="T206" i="9"/>
  <c r="S206" i="9"/>
  <c r="R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LZ205" i="9"/>
  <c r="LK205" i="9"/>
  <c r="LJ205" i="9"/>
  <c r="LI205" i="9"/>
  <c r="LH205" i="9"/>
  <c r="LG205" i="9"/>
  <c r="LF205" i="9"/>
  <c r="LE205" i="9"/>
  <c r="LD205" i="9"/>
  <c r="LC205" i="9"/>
  <c r="LB205" i="9"/>
  <c r="LA205" i="9"/>
  <c r="KZ205" i="9"/>
  <c r="KW205" i="9"/>
  <c r="KV205" i="9"/>
  <c r="KU205" i="9"/>
  <c r="KT205" i="9"/>
  <c r="KS205" i="9"/>
  <c r="KR205" i="9"/>
  <c r="KQ205" i="9"/>
  <c r="KP205" i="9"/>
  <c r="KO205" i="9"/>
  <c r="KN205" i="9"/>
  <c r="KM205" i="9"/>
  <c r="KL205" i="9"/>
  <c r="KI205" i="9"/>
  <c r="KH205" i="9"/>
  <c r="KG205" i="9"/>
  <c r="KF205" i="9"/>
  <c r="KE205" i="9"/>
  <c r="KD205" i="9"/>
  <c r="KC205" i="9"/>
  <c r="KB205" i="9"/>
  <c r="KA205" i="9"/>
  <c r="JZ205" i="9"/>
  <c r="JY205" i="9"/>
  <c r="JX205" i="9"/>
  <c r="JU205" i="9"/>
  <c r="JT205" i="9"/>
  <c r="JS205" i="9"/>
  <c r="JR205" i="9"/>
  <c r="JQ205" i="9"/>
  <c r="JP205" i="9"/>
  <c r="JO205" i="9"/>
  <c r="JN205" i="9"/>
  <c r="JM205" i="9"/>
  <c r="JL205" i="9"/>
  <c r="JK205" i="9"/>
  <c r="JJ205" i="9"/>
  <c r="JG205" i="9"/>
  <c r="JF205" i="9"/>
  <c r="JE205" i="9"/>
  <c r="JD205" i="9"/>
  <c r="JC205" i="9"/>
  <c r="JB205" i="9"/>
  <c r="JA205" i="9"/>
  <c r="IZ205" i="9"/>
  <c r="IY205" i="9"/>
  <c r="IX205" i="9"/>
  <c r="IW205" i="9"/>
  <c r="IV205" i="9"/>
  <c r="IS205" i="9"/>
  <c r="IR205" i="9"/>
  <c r="IQ205" i="9"/>
  <c r="IP205" i="9"/>
  <c r="IO205" i="9"/>
  <c r="IN205" i="9"/>
  <c r="IM205" i="9"/>
  <c r="IL205" i="9"/>
  <c r="IK205" i="9"/>
  <c r="IJ205" i="9"/>
  <c r="II205" i="9"/>
  <c r="IH205" i="9"/>
  <c r="IE205" i="9"/>
  <c r="ID205" i="9"/>
  <c r="IC205" i="9"/>
  <c r="IB205" i="9"/>
  <c r="IA205" i="9"/>
  <c r="HZ205" i="9"/>
  <c r="HY205" i="9"/>
  <c r="HX205" i="9"/>
  <c r="HW205" i="9"/>
  <c r="HV205" i="9"/>
  <c r="HU205" i="9"/>
  <c r="HT205" i="9"/>
  <c r="HQ205" i="9"/>
  <c r="HP205" i="9"/>
  <c r="HO205" i="9"/>
  <c r="HN205" i="9"/>
  <c r="HM205" i="9"/>
  <c r="HL205" i="9"/>
  <c r="HK205" i="9"/>
  <c r="HJ205" i="9"/>
  <c r="HI205" i="9"/>
  <c r="HH205" i="9"/>
  <c r="HG205" i="9"/>
  <c r="HF205" i="9"/>
  <c r="HC205" i="9"/>
  <c r="HB205" i="9"/>
  <c r="HA205" i="9"/>
  <c r="GZ205" i="9"/>
  <c r="GY205" i="9"/>
  <c r="GX205" i="9"/>
  <c r="GW205" i="9"/>
  <c r="GV205" i="9"/>
  <c r="GU205" i="9"/>
  <c r="GT205" i="9"/>
  <c r="GS205" i="9"/>
  <c r="GR205" i="9"/>
  <c r="GO205" i="9"/>
  <c r="GN205" i="9"/>
  <c r="GM205" i="9"/>
  <c r="GL205" i="9"/>
  <c r="GK205" i="9"/>
  <c r="GJ205" i="9"/>
  <c r="GI205" i="9"/>
  <c r="GH205" i="9"/>
  <c r="GG205" i="9"/>
  <c r="GF205" i="9"/>
  <c r="GE205" i="9"/>
  <c r="GD205" i="9"/>
  <c r="GA205" i="9"/>
  <c r="FZ205" i="9"/>
  <c r="FY205" i="9"/>
  <c r="FX205" i="9"/>
  <c r="FW205" i="9"/>
  <c r="FV205" i="9"/>
  <c r="FU205" i="9"/>
  <c r="FT205" i="9"/>
  <c r="FS205" i="9"/>
  <c r="FR205" i="9"/>
  <c r="FQ205" i="9"/>
  <c r="FP205" i="9"/>
  <c r="FM205" i="9"/>
  <c r="FL205" i="9"/>
  <c r="FK205" i="9"/>
  <c r="FJ205" i="9"/>
  <c r="FI205" i="9"/>
  <c r="FH205" i="9"/>
  <c r="FG205" i="9"/>
  <c r="FF205" i="9"/>
  <c r="FE205" i="9"/>
  <c r="FD205" i="9"/>
  <c r="FC205" i="9"/>
  <c r="FB205" i="9"/>
  <c r="EY205" i="9"/>
  <c r="EX205" i="9"/>
  <c r="EW205" i="9"/>
  <c r="EV205" i="9"/>
  <c r="EU205" i="9"/>
  <c r="ET205" i="9"/>
  <c r="ES205" i="9"/>
  <c r="ER205" i="9"/>
  <c r="EQ205" i="9"/>
  <c r="EP205" i="9"/>
  <c r="EO205" i="9"/>
  <c r="EN205" i="9"/>
  <c r="EK205" i="9"/>
  <c r="EJ205" i="9"/>
  <c r="EI205" i="9"/>
  <c r="EH205" i="9"/>
  <c r="EG205" i="9"/>
  <c r="EF205" i="9"/>
  <c r="EE205" i="9"/>
  <c r="ED205" i="9"/>
  <c r="EC205" i="9"/>
  <c r="EB205" i="9"/>
  <c r="EA205" i="9"/>
  <c r="DZ205" i="9"/>
  <c r="DW205" i="9"/>
  <c r="DV205" i="9"/>
  <c r="DU205" i="9"/>
  <c r="DT205" i="9"/>
  <c r="DS205" i="9"/>
  <c r="DR205" i="9"/>
  <c r="DQ205" i="9"/>
  <c r="DP205" i="9"/>
  <c r="DO205" i="9"/>
  <c r="DN205" i="9"/>
  <c r="DM205" i="9"/>
  <c r="DL205" i="9"/>
  <c r="DI205" i="9"/>
  <c r="DH205" i="9"/>
  <c r="DG205" i="9"/>
  <c r="DF205" i="9"/>
  <c r="DE205" i="9"/>
  <c r="DD205" i="9"/>
  <c r="DC205" i="9"/>
  <c r="DB205" i="9"/>
  <c r="DA205" i="9"/>
  <c r="CZ205" i="9"/>
  <c r="CY205" i="9"/>
  <c r="CX205" i="9"/>
  <c r="CU205" i="9"/>
  <c r="CT205" i="9"/>
  <c r="CS205" i="9"/>
  <c r="CR205" i="9"/>
  <c r="CQ205" i="9"/>
  <c r="CP205" i="9"/>
  <c r="CO205" i="9"/>
  <c r="CN205" i="9"/>
  <c r="CM205" i="9"/>
  <c r="CL205" i="9"/>
  <c r="CK205" i="9"/>
  <c r="CJ205" i="9"/>
  <c r="CG205" i="9"/>
  <c r="CF205" i="9"/>
  <c r="CE205" i="9"/>
  <c r="CD205" i="9"/>
  <c r="CC205" i="9"/>
  <c r="CB205" i="9"/>
  <c r="CA205" i="9"/>
  <c r="BZ205" i="9"/>
  <c r="BY205" i="9"/>
  <c r="BX205" i="9"/>
  <c r="BW205" i="9"/>
  <c r="BV205" i="9"/>
  <c r="BS205" i="9"/>
  <c r="BR205" i="9"/>
  <c r="BQ205" i="9"/>
  <c r="BP205" i="9"/>
  <c r="BO205" i="9"/>
  <c r="BN205" i="9"/>
  <c r="BM205" i="9"/>
  <c r="BL205" i="9"/>
  <c r="BK205" i="9"/>
  <c r="BJ205" i="9"/>
  <c r="BI205" i="9"/>
  <c r="BH205" i="9"/>
  <c r="BE205" i="9"/>
  <c r="BD205" i="9"/>
  <c r="BC205" i="9"/>
  <c r="BB205" i="9"/>
  <c r="BA205" i="9"/>
  <c r="AZ205" i="9"/>
  <c r="AY205" i="9"/>
  <c r="AX205" i="9"/>
  <c r="AW205" i="9"/>
  <c r="AV205" i="9"/>
  <c r="AU205" i="9"/>
  <c r="AT205" i="9"/>
  <c r="AQ205" i="9"/>
  <c r="AP205" i="9"/>
  <c r="AO205" i="9"/>
  <c r="AN205" i="9"/>
  <c r="AM205" i="9"/>
  <c r="AL205" i="9"/>
  <c r="AK205" i="9"/>
  <c r="AJ205" i="9"/>
  <c r="AI205" i="9"/>
  <c r="AH205" i="9"/>
  <c r="AG205" i="9"/>
  <c r="AF205" i="9"/>
  <c r="AC205" i="9"/>
  <c r="AB205" i="9"/>
  <c r="AA205" i="9"/>
  <c r="Z205" i="9"/>
  <c r="Y205" i="9"/>
  <c r="X205" i="9"/>
  <c r="W205" i="9"/>
  <c r="V205" i="9"/>
  <c r="U205" i="9"/>
  <c r="T205" i="9"/>
  <c r="S205" i="9"/>
  <c r="R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LZ204" i="9"/>
  <c r="LK204" i="9"/>
  <c r="LJ204" i="9"/>
  <c r="LI204" i="9"/>
  <c r="LH204" i="9"/>
  <c r="LG204" i="9"/>
  <c r="LF204" i="9"/>
  <c r="LE204" i="9"/>
  <c r="LD204" i="9"/>
  <c r="LC204" i="9"/>
  <c r="LB204" i="9"/>
  <c r="LA204" i="9"/>
  <c r="KZ204" i="9"/>
  <c r="KW204" i="9"/>
  <c r="KV204" i="9"/>
  <c r="KU204" i="9"/>
  <c r="KT204" i="9"/>
  <c r="KS204" i="9"/>
  <c r="KR204" i="9"/>
  <c r="KQ204" i="9"/>
  <c r="KP204" i="9"/>
  <c r="KO204" i="9"/>
  <c r="KN204" i="9"/>
  <c r="KM204" i="9"/>
  <c r="KL204" i="9"/>
  <c r="KI204" i="9"/>
  <c r="KH204" i="9"/>
  <c r="KG204" i="9"/>
  <c r="KF204" i="9"/>
  <c r="KE204" i="9"/>
  <c r="KD204" i="9"/>
  <c r="KC204" i="9"/>
  <c r="KB204" i="9"/>
  <c r="KA204" i="9"/>
  <c r="JZ204" i="9"/>
  <c r="JY204" i="9"/>
  <c r="JX204" i="9"/>
  <c r="JU204" i="9"/>
  <c r="JT204" i="9"/>
  <c r="JS204" i="9"/>
  <c r="JR204" i="9"/>
  <c r="JQ204" i="9"/>
  <c r="JP204" i="9"/>
  <c r="JO204" i="9"/>
  <c r="JN204" i="9"/>
  <c r="JM204" i="9"/>
  <c r="JL204" i="9"/>
  <c r="JK204" i="9"/>
  <c r="JJ204" i="9"/>
  <c r="JG204" i="9"/>
  <c r="JF204" i="9"/>
  <c r="JE204" i="9"/>
  <c r="JD204" i="9"/>
  <c r="JC204" i="9"/>
  <c r="JB204" i="9"/>
  <c r="JA204" i="9"/>
  <c r="IZ204" i="9"/>
  <c r="IY204" i="9"/>
  <c r="IX204" i="9"/>
  <c r="IW204" i="9"/>
  <c r="IV204" i="9"/>
  <c r="IS204" i="9"/>
  <c r="IR204" i="9"/>
  <c r="IQ204" i="9"/>
  <c r="IP204" i="9"/>
  <c r="IO204" i="9"/>
  <c r="IN204" i="9"/>
  <c r="IM204" i="9"/>
  <c r="IL204" i="9"/>
  <c r="IK204" i="9"/>
  <c r="IJ204" i="9"/>
  <c r="II204" i="9"/>
  <c r="IH204" i="9"/>
  <c r="IE204" i="9"/>
  <c r="ID204" i="9"/>
  <c r="IC204" i="9"/>
  <c r="IB204" i="9"/>
  <c r="IA204" i="9"/>
  <c r="HZ204" i="9"/>
  <c r="HY204" i="9"/>
  <c r="HX204" i="9"/>
  <c r="HW204" i="9"/>
  <c r="HV204" i="9"/>
  <c r="HU204" i="9"/>
  <c r="HT204" i="9"/>
  <c r="HQ204" i="9"/>
  <c r="HP204" i="9"/>
  <c r="HO204" i="9"/>
  <c r="HN204" i="9"/>
  <c r="HM204" i="9"/>
  <c r="HL204" i="9"/>
  <c r="HK204" i="9"/>
  <c r="HJ204" i="9"/>
  <c r="HI204" i="9"/>
  <c r="HH204" i="9"/>
  <c r="HG204" i="9"/>
  <c r="HF204" i="9"/>
  <c r="HC204" i="9"/>
  <c r="HB204" i="9"/>
  <c r="HA204" i="9"/>
  <c r="GZ204" i="9"/>
  <c r="GY204" i="9"/>
  <c r="GX204" i="9"/>
  <c r="GW204" i="9"/>
  <c r="GV204" i="9"/>
  <c r="GU204" i="9"/>
  <c r="GT204" i="9"/>
  <c r="GS204" i="9"/>
  <c r="GR204" i="9"/>
  <c r="GO204" i="9"/>
  <c r="GN204" i="9"/>
  <c r="GM204" i="9"/>
  <c r="GL204" i="9"/>
  <c r="GK204" i="9"/>
  <c r="GJ204" i="9"/>
  <c r="GI204" i="9"/>
  <c r="GH204" i="9"/>
  <c r="GG204" i="9"/>
  <c r="GF204" i="9"/>
  <c r="GE204" i="9"/>
  <c r="GD204" i="9"/>
  <c r="GA204" i="9"/>
  <c r="FZ204" i="9"/>
  <c r="FY204" i="9"/>
  <c r="FX204" i="9"/>
  <c r="FW204" i="9"/>
  <c r="FV204" i="9"/>
  <c r="FU204" i="9"/>
  <c r="FT204" i="9"/>
  <c r="FS204" i="9"/>
  <c r="FR204" i="9"/>
  <c r="FQ204" i="9"/>
  <c r="FP204" i="9"/>
  <c r="FM204" i="9"/>
  <c r="FL204" i="9"/>
  <c r="FK204" i="9"/>
  <c r="FJ204" i="9"/>
  <c r="FI204" i="9"/>
  <c r="FH204" i="9"/>
  <c r="FG204" i="9"/>
  <c r="FF204" i="9"/>
  <c r="FE204" i="9"/>
  <c r="FD204" i="9"/>
  <c r="FC204" i="9"/>
  <c r="FB204" i="9"/>
  <c r="EY204" i="9"/>
  <c r="EX204" i="9"/>
  <c r="EW204" i="9"/>
  <c r="EV204" i="9"/>
  <c r="EU204" i="9"/>
  <c r="ET204" i="9"/>
  <c r="ES204" i="9"/>
  <c r="ER204" i="9"/>
  <c r="EQ204" i="9"/>
  <c r="EP204" i="9"/>
  <c r="EO204" i="9"/>
  <c r="EN204" i="9"/>
  <c r="EK204" i="9"/>
  <c r="EJ204" i="9"/>
  <c r="EI204" i="9"/>
  <c r="EH204" i="9"/>
  <c r="EG204" i="9"/>
  <c r="EF204" i="9"/>
  <c r="EE204" i="9"/>
  <c r="ED204" i="9"/>
  <c r="EC204" i="9"/>
  <c r="EB204" i="9"/>
  <c r="EA204" i="9"/>
  <c r="DZ204" i="9"/>
  <c r="DW204" i="9"/>
  <c r="DV204" i="9"/>
  <c r="DU204" i="9"/>
  <c r="DT204" i="9"/>
  <c r="DS204" i="9"/>
  <c r="DR204" i="9"/>
  <c r="DQ204" i="9"/>
  <c r="DP204" i="9"/>
  <c r="DO204" i="9"/>
  <c r="DN204" i="9"/>
  <c r="DM204" i="9"/>
  <c r="DL204" i="9"/>
  <c r="DI204" i="9"/>
  <c r="DH204" i="9"/>
  <c r="DG204" i="9"/>
  <c r="DF204" i="9"/>
  <c r="DE204" i="9"/>
  <c r="DD204" i="9"/>
  <c r="DC204" i="9"/>
  <c r="DB204" i="9"/>
  <c r="DA204" i="9"/>
  <c r="CZ204" i="9"/>
  <c r="CY204" i="9"/>
  <c r="CX204" i="9"/>
  <c r="CU204" i="9"/>
  <c r="CT204" i="9"/>
  <c r="CS204" i="9"/>
  <c r="CR204" i="9"/>
  <c r="CQ204" i="9"/>
  <c r="CP204" i="9"/>
  <c r="CO204" i="9"/>
  <c r="CN204" i="9"/>
  <c r="CM204" i="9"/>
  <c r="CL204" i="9"/>
  <c r="CK204" i="9"/>
  <c r="CJ204" i="9"/>
  <c r="CG204" i="9"/>
  <c r="CF204" i="9"/>
  <c r="CE204" i="9"/>
  <c r="CD204" i="9"/>
  <c r="CC204" i="9"/>
  <c r="CB204" i="9"/>
  <c r="CA204" i="9"/>
  <c r="BZ204" i="9"/>
  <c r="BY204" i="9"/>
  <c r="BX204" i="9"/>
  <c r="BW204" i="9"/>
  <c r="BV204" i="9"/>
  <c r="BS204" i="9"/>
  <c r="BR204" i="9"/>
  <c r="BQ204" i="9"/>
  <c r="BP204" i="9"/>
  <c r="BO204" i="9"/>
  <c r="BN204" i="9"/>
  <c r="BM204" i="9"/>
  <c r="BL204" i="9"/>
  <c r="BK204" i="9"/>
  <c r="BJ204" i="9"/>
  <c r="BI204" i="9"/>
  <c r="BH204" i="9"/>
  <c r="BE204" i="9"/>
  <c r="BD204" i="9"/>
  <c r="BC204" i="9"/>
  <c r="BB204" i="9"/>
  <c r="BA204" i="9"/>
  <c r="AZ204" i="9"/>
  <c r="AY204" i="9"/>
  <c r="AX204" i="9"/>
  <c r="AW204" i="9"/>
  <c r="AV204" i="9"/>
  <c r="AU204" i="9"/>
  <c r="AT204" i="9"/>
  <c r="AQ204" i="9"/>
  <c r="AP204" i="9"/>
  <c r="AO204" i="9"/>
  <c r="AN204" i="9"/>
  <c r="AM204" i="9"/>
  <c r="AL204" i="9"/>
  <c r="AK204" i="9"/>
  <c r="AJ204" i="9"/>
  <c r="AI204" i="9"/>
  <c r="AH204" i="9"/>
  <c r="AG204" i="9"/>
  <c r="AF204" i="9"/>
  <c r="AC204" i="9"/>
  <c r="AB204" i="9"/>
  <c r="AA204" i="9"/>
  <c r="Z204" i="9"/>
  <c r="Y204" i="9"/>
  <c r="X204" i="9"/>
  <c r="W204" i="9"/>
  <c r="V204" i="9"/>
  <c r="U204" i="9"/>
  <c r="T204" i="9"/>
  <c r="S204" i="9"/>
  <c r="R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LZ203" i="9"/>
  <c r="LK203" i="9"/>
  <c r="LJ203" i="9"/>
  <c r="LI203" i="9"/>
  <c r="LH203" i="9"/>
  <c r="LG203" i="9"/>
  <c r="LF203" i="9"/>
  <c r="LE203" i="9"/>
  <c r="LD203" i="9"/>
  <c r="LC203" i="9"/>
  <c r="LB203" i="9"/>
  <c r="LA203" i="9"/>
  <c r="KZ203" i="9"/>
  <c r="KW203" i="9"/>
  <c r="KV203" i="9"/>
  <c r="KU203" i="9"/>
  <c r="KT203" i="9"/>
  <c r="KS203" i="9"/>
  <c r="KR203" i="9"/>
  <c r="KQ203" i="9"/>
  <c r="KP203" i="9"/>
  <c r="KO203" i="9"/>
  <c r="KN203" i="9"/>
  <c r="KM203" i="9"/>
  <c r="KL203" i="9"/>
  <c r="KI203" i="9"/>
  <c r="KH203" i="9"/>
  <c r="KG203" i="9"/>
  <c r="KF203" i="9"/>
  <c r="KE203" i="9"/>
  <c r="KD203" i="9"/>
  <c r="KC203" i="9"/>
  <c r="KB203" i="9"/>
  <c r="KA203" i="9"/>
  <c r="JZ203" i="9"/>
  <c r="JY203" i="9"/>
  <c r="JX203" i="9"/>
  <c r="JU203" i="9"/>
  <c r="JT203" i="9"/>
  <c r="JS203" i="9"/>
  <c r="JR203" i="9"/>
  <c r="JQ203" i="9"/>
  <c r="JP203" i="9"/>
  <c r="JO203" i="9"/>
  <c r="JN203" i="9"/>
  <c r="JM203" i="9"/>
  <c r="JL203" i="9"/>
  <c r="JK203" i="9"/>
  <c r="JJ203" i="9"/>
  <c r="JG203" i="9"/>
  <c r="JF203" i="9"/>
  <c r="JE203" i="9"/>
  <c r="JD203" i="9"/>
  <c r="JC203" i="9"/>
  <c r="JB203" i="9"/>
  <c r="JA203" i="9"/>
  <c r="IZ203" i="9"/>
  <c r="IY203" i="9"/>
  <c r="IX203" i="9"/>
  <c r="IW203" i="9"/>
  <c r="IV203" i="9"/>
  <c r="IS203" i="9"/>
  <c r="IR203" i="9"/>
  <c r="IQ203" i="9"/>
  <c r="IP203" i="9"/>
  <c r="IO203" i="9"/>
  <c r="IN203" i="9"/>
  <c r="IM203" i="9"/>
  <c r="IL203" i="9"/>
  <c r="IK203" i="9"/>
  <c r="IJ203" i="9"/>
  <c r="II203" i="9"/>
  <c r="IH203" i="9"/>
  <c r="IE203" i="9"/>
  <c r="ID203" i="9"/>
  <c r="IC203" i="9"/>
  <c r="IB203" i="9"/>
  <c r="IA203" i="9"/>
  <c r="HZ203" i="9"/>
  <c r="HY203" i="9"/>
  <c r="HX203" i="9"/>
  <c r="HW203" i="9"/>
  <c r="HV203" i="9"/>
  <c r="HU203" i="9"/>
  <c r="HT203" i="9"/>
  <c r="HQ203" i="9"/>
  <c r="HP203" i="9"/>
  <c r="HO203" i="9"/>
  <c r="HN203" i="9"/>
  <c r="HM203" i="9"/>
  <c r="HL203" i="9"/>
  <c r="HK203" i="9"/>
  <c r="HJ203" i="9"/>
  <c r="HI203" i="9"/>
  <c r="HH203" i="9"/>
  <c r="HG203" i="9"/>
  <c r="HF203" i="9"/>
  <c r="HC203" i="9"/>
  <c r="HB203" i="9"/>
  <c r="HA203" i="9"/>
  <c r="GZ203" i="9"/>
  <c r="GY203" i="9"/>
  <c r="GX203" i="9"/>
  <c r="GW203" i="9"/>
  <c r="GV203" i="9"/>
  <c r="GU203" i="9"/>
  <c r="GT203" i="9"/>
  <c r="GS203" i="9"/>
  <c r="GR203" i="9"/>
  <c r="GO203" i="9"/>
  <c r="GN203" i="9"/>
  <c r="GM203" i="9"/>
  <c r="GL203" i="9"/>
  <c r="GK203" i="9"/>
  <c r="GJ203" i="9"/>
  <c r="GI203" i="9"/>
  <c r="GH203" i="9"/>
  <c r="GG203" i="9"/>
  <c r="GF203" i="9"/>
  <c r="GE203" i="9"/>
  <c r="GD203" i="9"/>
  <c r="GA203" i="9"/>
  <c r="FZ203" i="9"/>
  <c r="FY203" i="9"/>
  <c r="FX203" i="9"/>
  <c r="FW203" i="9"/>
  <c r="FV203" i="9"/>
  <c r="FU203" i="9"/>
  <c r="FT203" i="9"/>
  <c r="FS203" i="9"/>
  <c r="FR203" i="9"/>
  <c r="FQ203" i="9"/>
  <c r="FP203" i="9"/>
  <c r="FM203" i="9"/>
  <c r="FL203" i="9"/>
  <c r="FK203" i="9"/>
  <c r="FJ203" i="9"/>
  <c r="FI203" i="9"/>
  <c r="FH203" i="9"/>
  <c r="FG203" i="9"/>
  <c r="FF203" i="9"/>
  <c r="FE203" i="9"/>
  <c r="FD203" i="9"/>
  <c r="FC203" i="9"/>
  <c r="FB203" i="9"/>
  <c r="EY203" i="9"/>
  <c r="EX203" i="9"/>
  <c r="EW203" i="9"/>
  <c r="EV203" i="9"/>
  <c r="EU203" i="9"/>
  <c r="ET203" i="9"/>
  <c r="ES203" i="9"/>
  <c r="ER203" i="9"/>
  <c r="EQ203" i="9"/>
  <c r="EP203" i="9"/>
  <c r="EO203" i="9"/>
  <c r="EN203" i="9"/>
  <c r="EK203" i="9"/>
  <c r="EJ203" i="9"/>
  <c r="EI203" i="9"/>
  <c r="EH203" i="9"/>
  <c r="EG203" i="9"/>
  <c r="EF203" i="9"/>
  <c r="EE203" i="9"/>
  <c r="ED203" i="9"/>
  <c r="EC203" i="9"/>
  <c r="EB203" i="9"/>
  <c r="EA203" i="9"/>
  <c r="DZ203" i="9"/>
  <c r="DW203" i="9"/>
  <c r="DV203" i="9"/>
  <c r="DU203" i="9"/>
  <c r="DT203" i="9"/>
  <c r="DS203" i="9"/>
  <c r="DR203" i="9"/>
  <c r="DQ203" i="9"/>
  <c r="DP203" i="9"/>
  <c r="DO203" i="9"/>
  <c r="DN203" i="9"/>
  <c r="DM203" i="9"/>
  <c r="DL203" i="9"/>
  <c r="DI203" i="9"/>
  <c r="DH203" i="9"/>
  <c r="DG203" i="9"/>
  <c r="DF203" i="9"/>
  <c r="DE203" i="9"/>
  <c r="DD203" i="9"/>
  <c r="DC203" i="9"/>
  <c r="DB203" i="9"/>
  <c r="DA203" i="9"/>
  <c r="CZ203" i="9"/>
  <c r="CY203" i="9"/>
  <c r="CX203" i="9"/>
  <c r="CU203" i="9"/>
  <c r="CT203" i="9"/>
  <c r="CS203" i="9"/>
  <c r="CR203" i="9"/>
  <c r="CQ203" i="9"/>
  <c r="CP203" i="9"/>
  <c r="CO203" i="9"/>
  <c r="CN203" i="9"/>
  <c r="CM203" i="9"/>
  <c r="CL203" i="9"/>
  <c r="CK203" i="9"/>
  <c r="CJ203" i="9"/>
  <c r="CG203" i="9"/>
  <c r="CF203" i="9"/>
  <c r="CE203" i="9"/>
  <c r="CD203" i="9"/>
  <c r="CC203" i="9"/>
  <c r="CB203" i="9"/>
  <c r="CA203" i="9"/>
  <c r="BZ203" i="9"/>
  <c r="BY203" i="9"/>
  <c r="BX203" i="9"/>
  <c r="BW203" i="9"/>
  <c r="BV203" i="9"/>
  <c r="BS203" i="9"/>
  <c r="BR203" i="9"/>
  <c r="BQ203" i="9"/>
  <c r="BP203" i="9"/>
  <c r="BO203" i="9"/>
  <c r="BN203" i="9"/>
  <c r="BM203" i="9"/>
  <c r="BL203" i="9"/>
  <c r="BK203" i="9"/>
  <c r="BJ203" i="9"/>
  <c r="BI203" i="9"/>
  <c r="BH203" i="9"/>
  <c r="BE203" i="9"/>
  <c r="BD203" i="9"/>
  <c r="BC203" i="9"/>
  <c r="BB203" i="9"/>
  <c r="BA203" i="9"/>
  <c r="AZ203" i="9"/>
  <c r="AY203" i="9"/>
  <c r="AX203" i="9"/>
  <c r="AW203" i="9"/>
  <c r="AV203" i="9"/>
  <c r="AU203" i="9"/>
  <c r="AT203" i="9"/>
  <c r="AQ203" i="9"/>
  <c r="AP203" i="9"/>
  <c r="AO203" i="9"/>
  <c r="AN203" i="9"/>
  <c r="AM203" i="9"/>
  <c r="AL203" i="9"/>
  <c r="AK203" i="9"/>
  <c r="AJ203" i="9"/>
  <c r="AI203" i="9"/>
  <c r="AH203" i="9"/>
  <c r="AG203" i="9"/>
  <c r="AF203" i="9"/>
  <c r="AC203" i="9"/>
  <c r="AB203" i="9"/>
  <c r="AA203" i="9"/>
  <c r="Z203" i="9"/>
  <c r="Y203" i="9"/>
  <c r="X203" i="9"/>
  <c r="W203" i="9"/>
  <c r="V203" i="9"/>
  <c r="U203" i="9"/>
  <c r="T203" i="9"/>
  <c r="S203" i="9"/>
  <c r="R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LY200" i="9"/>
  <c r="LX200" i="9"/>
  <c r="LW200" i="9"/>
  <c r="LV200" i="9"/>
  <c r="LU200" i="9"/>
  <c r="LT200" i="9"/>
  <c r="LS200" i="9"/>
  <c r="LR200" i="9"/>
  <c r="LQ200" i="9"/>
  <c r="LP200" i="9"/>
  <c r="LO200" i="9"/>
  <c r="LN200" i="9"/>
  <c r="LZ198" i="9"/>
  <c r="LK198" i="9"/>
  <c r="LJ198" i="9"/>
  <c r="LI198" i="9"/>
  <c r="LH198" i="9"/>
  <c r="LG198" i="9"/>
  <c r="LF198" i="9"/>
  <c r="LE198" i="9"/>
  <c r="LD198" i="9"/>
  <c r="LC198" i="9"/>
  <c r="LB198" i="9"/>
  <c r="LA198" i="9"/>
  <c r="KZ198" i="9"/>
  <c r="KW198" i="9"/>
  <c r="KV198" i="9"/>
  <c r="KU198" i="9"/>
  <c r="KT198" i="9"/>
  <c r="KS198" i="9"/>
  <c r="KR198" i="9"/>
  <c r="KQ198" i="9"/>
  <c r="KP198" i="9"/>
  <c r="KO198" i="9"/>
  <c r="KN198" i="9"/>
  <c r="KM198" i="9"/>
  <c r="KL198" i="9"/>
  <c r="KI198" i="9"/>
  <c r="KH198" i="9"/>
  <c r="KG198" i="9"/>
  <c r="KF198" i="9"/>
  <c r="KE198" i="9"/>
  <c r="KD198" i="9"/>
  <c r="KC198" i="9"/>
  <c r="KB198" i="9"/>
  <c r="KA198" i="9"/>
  <c r="JZ198" i="9"/>
  <c r="JY198" i="9"/>
  <c r="JX198" i="9"/>
  <c r="JU198" i="9"/>
  <c r="JT198" i="9"/>
  <c r="JS198" i="9"/>
  <c r="JR198" i="9"/>
  <c r="JQ198" i="9"/>
  <c r="JP198" i="9"/>
  <c r="JO198" i="9"/>
  <c r="JN198" i="9"/>
  <c r="JM198" i="9"/>
  <c r="JL198" i="9"/>
  <c r="JK198" i="9"/>
  <c r="JJ198" i="9"/>
  <c r="JG198" i="9"/>
  <c r="JF198" i="9"/>
  <c r="JE198" i="9"/>
  <c r="JD198" i="9"/>
  <c r="JC198" i="9"/>
  <c r="JB198" i="9"/>
  <c r="JA198" i="9"/>
  <c r="IZ198" i="9"/>
  <c r="IY198" i="9"/>
  <c r="IX198" i="9"/>
  <c r="IW198" i="9"/>
  <c r="IV198" i="9"/>
  <c r="IS198" i="9"/>
  <c r="IR198" i="9"/>
  <c r="IQ198" i="9"/>
  <c r="IP198" i="9"/>
  <c r="IO198" i="9"/>
  <c r="IN198" i="9"/>
  <c r="IM198" i="9"/>
  <c r="IL198" i="9"/>
  <c r="IK198" i="9"/>
  <c r="IJ198" i="9"/>
  <c r="II198" i="9"/>
  <c r="IH198" i="9"/>
  <c r="IE198" i="9"/>
  <c r="ID198" i="9"/>
  <c r="IC198" i="9"/>
  <c r="IB198" i="9"/>
  <c r="IA198" i="9"/>
  <c r="HZ198" i="9"/>
  <c r="HY198" i="9"/>
  <c r="HX198" i="9"/>
  <c r="HW198" i="9"/>
  <c r="HV198" i="9"/>
  <c r="HU198" i="9"/>
  <c r="HT198" i="9"/>
  <c r="HQ198" i="9"/>
  <c r="HP198" i="9"/>
  <c r="HO198" i="9"/>
  <c r="HN198" i="9"/>
  <c r="HM198" i="9"/>
  <c r="HL198" i="9"/>
  <c r="HK198" i="9"/>
  <c r="HJ198" i="9"/>
  <c r="HI198" i="9"/>
  <c r="HH198" i="9"/>
  <c r="HG198" i="9"/>
  <c r="HF198" i="9"/>
  <c r="HC198" i="9"/>
  <c r="HB198" i="9"/>
  <c r="HA198" i="9"/>
  <c r="GZ198" i="9"/>
  <c r="GY198" i="9"/>
  <c r="GX198" i="9"/>
  <c r="GW198" i="9"/>
  <c r="GV198" i="9"/>
  <c r="GU198" i="9"/>
  <c r="GT198" i="9"/>
  <c r="GS198" i="9"/>
  <c r="GR198" i="9"/>
  <c r="GO198" i="9"/>
  <c r="GN198" i="9"/>
  <c r="GM198" i="9"/>
  <c r="GL198" i="9"/>
  <c r="GK198" i="9"/>
  <c r="GJ198" i="9"/>
  <c r="GI198" i="9"/>
  <c r="GH198" i="9"/>
  <c r="GG198" i="9"/>
  <c r="GF198" i="9"/>
  <c r="GE198" i="9"/>
  <c r="GD198" i="9"/>
  <c r="GA198" i="9"/>
  <c r="FZ198" i="9"/>
  <c r="FY198" i="9"/>
  <c r="FX198" i="9"/>
  <c r="FW198" i="9"/>
  <c r="FV198" i="9"/>
  <c r="FU198" i="9"/>
  <c r="FT198" i="9"/>
  <c r="FS198" i="9"/>
  <c r="FR198" i="9"/>
  <c r="FQ198" i="9"/>
  <c r="FP198" i="9"/>
  <c r="FM198" i="9"/>
  <c r="FL198" i="9"/>
  <c r="FK198" i="9"/>
  <c r="FJ198" i="9"/>
  <c r="FI198" i="9"/>
  <c r="FH198" i="9"/>
  <c r="FG198" i="9"/>
  <c r="FF198" i="9"/>
  <c r="FE198" i="9"/>
  <c r="FD198" i="9"/>
  <c r="FC198" i="9"/>
  <c r="FB198" i="9"/>
  <c r="EY198" i="9"/>
  <c r="EX198" i="9"/>
  <c r="EW198" i="9"/>
  <c r="EV198" i="9"/>
  <c r="EU198" i="9"/>
  <c r="ET198" i="9"/>
  <c r="ES198" i="9"/>
  <c r="ER198" i="9"/>
  <c r="EQ198" i="9"/>
  <c r="EP198" i="9"/>
  <c r="EO198" i="9"/>
  <c r="EN198" i="9"/>
  <c r="EK198" i="9"/>
  <c r="EJ198" i="9"/>
  <c r="EI198" i="9"/>
  <c r="EH198" i="9"/>
  <c r="EG198" i="9"/>
  <c r="EF198" i="9"/>
  <c r="EE198" i="9"/>
  <c r="ED198" i="9"/>
  <c r="EC198" i="9"/>
  <c r="EB198" i="9"/>
  <c r="EA198" i="9"/>
  <c r="DZ198" i="9"/>
  <c r="DW198" i="9"/>
  <c r="DV198" i="9"/>
  <c r="DU198" i="9"/>
  <c r="DT198" i="9"/>
  <c r="DS198" i="9"/>
  <c r="DR198" i="9"/>
  <c r="DQ198" i="9"/>
  <c r="DP198" i="9"/>
  <c r="DO198" i="9"/>
  <c r="DN198" i="9"/>
  <c r="DM198" i="9"/>
  <c r="DL198" i="9"/>
  <c r="DI198" i="9"/>
  <c r="DH198" i="9"/>
  <c r="DG198" i="9"/>
  <c r="DF198" i="9"/>
  <c r="DE198" i="9"/>
  <c r="DD198" i="9"/>
  <c r="DC198" i="9"/>
  <c r="DB198" i="9"/>
  <c r="DA198" i="9"/>
  <c r="CZ198" i="9"/>
  <c r="CY198" i="9"/>
  <c r="CX198" i="9"/>
  <c r="CU198" i="9"/>
  <c r="CT198" i="9"/>
  <c r="CS198" i="9"/>
  <c r="CR198" i="9"/>
  <c r="CQ198" i="9"/>
  <c r="CP198" i="9"/>
  <c r="CO198" i="9"/>
  <c r="CN198" i="9"/>
  <c r="CM198" i="9"/>
  <c r="CL198" i="9"/>
  <c r="CK198" i="9"/>
  <c r="CJ198" i="9"/>
  <c r="CG198" i="9"/>
  <c r="CF198" i="9"/>
  <c r="CE198" i="9"/>
  <c r="CD198" i="9"/>
  <c r="CC198" i="9"/>
  <c r="CB198" i="9"/>
  <c r="CA198" i="9"/>
  <c r="BZ198" i="9"/>
  <c r="BY198" i="9"/>
  <c r="BX198" i="9"/>
  <c r="BW198" i="9"/>
  <c r="BV198" i="9"/>
  <c r="BS198" i="9"/>
  <c r="BR198" i="9"/>
  <c r="BQ198" i="9"/>
  <c r="BP198" i="9"/>
  <c r="BO198" i="9"/>
  <c r="BN198" i="9"/>
  <c r="BM198" i="9"/>
  <c r="BL198" i="9"/>
  <c r="BK198" i="9"/>
  <c r="BJ198" i="9"/>
  <c r="BI198" i="9"/>
  <c r="BH198" i="9"/>
  <c r="BE198" i="9"/>
  <c r="BD198" i="9"/>
  <c r="BC198" i="9"/>
  <c r="BB198" i="9"/>
  <c r="BA198" i="9"/>
  <c r="AZ198" i="9"/>
  <c r="AY198" i="9"/>
  <c r="AX198" i="9"/>
  <c r="AW198" i="9"/>
  <c r="AV198" i="9"/>
  <c r="AU198" i="9"/>
  <c r="AT198" i="9"/>
  <c r="AQ198" i="9"/>
  <c r="AP198" i="9"/>
  <c r="AO198" i="9"/>
  <c r="AN198" i="9"/>
  <c r="AM198" i="9"/>
  <c r="AL198" i="9"/>
  <c r="AK198" i="9"/>
  <c r="AJ198" i="9"/>
  <c r="AI198" i="9"/>
  <c r="AH198" i="9"/>
  <c r="AG198" i="9"/>
  <c r="AF198" i="9"/>
  <c r="AC198" i="9"/>
  <c r="AB198" i="9"/>
  <c r="AA198" i="9"/>
  <c r="Z198" i="9"/>
  <c r="Y198" i="9"/>
  <c r="X198" i="9"/>
  <c r="W198" i="9"/>
  <c r="V198" i="9"/>
  <c r="U198" i="9"/>
  <c r="T198" i="9"/>
  <c r="S198" i="9"/>
  <c r="R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LZ197" i="9"/>
  <c r="LK197" i="9"/>
  <c r="LJ197" i="9"/>
  <c r="LI197" i="9"/>
  <c r="LH197" i="9"/>
  <c r="LG197" i="9"/>
  <c r="LF197" i="9"/>
  <c r="LE197" i="9"/>
  <c r="LD197" i="9"/>
  <c r="LC197" i="9"/>
  <c r="LB197" i="9"/>
  <c r="LA197" i="9"/>
  <c r="KZ197" i="9"/>
  <c r="KW197" i="9"/>
  <c r="KV197" i="9"/>
  <c r="KU197" i="9"/>
  <c r="KT197" i="9"/>
  <c r="KS197" i="9"/>
  <c r="KR197" i="9"/>
  <c r="KQ197" i="9"/>
  <c r="KP197" i="9"/>
  <c r="KO197" i="9"/>
  <c r="KN197" i="9"/>
  <c r="KM197" i="9"/>
  <c r="KL197" i="9"/>
  <c r="KI197" i="9"/>
  <c r="KH197" i="9"/>
  <c r="KG197" i="9"/>
  <c r="KF197" i="9"/>
  <c r="KE197" i="9"/>
  <c r="KD197" i="9"/>
  <c r="KC197" i="9"/>
  <c r="KB197" i="9"/>
  <c r="KA197" i="9"/>
  <c r="JZ197" i="9"/>
  <c r="JY197" i="9"/>
  <c r="JX197" i="9"/>
  <c r="JU197" i="9"/>
  <c r="JT197" i="9"/>
  <c r="JS197" i="9"/>
  <c r="JR197" i="9"/>
  <c r="JQ197" i="9"/>
  <c r="JP197" i="9"/>
  <c r="JO197" i="9"/>
  <c r="JN197" i="9"/>
  <c r="JM197" i="9"/>
  <c r="JL197" i="9"/>
  <c r="JK197" i="9"/>
  <c r="JJ197" i="9"/>
  <c r="JG197" i="9"/>
  <c r="JF197" i="9"/>
  <c r="JE197" i="9"/>
  <c r="JD197" i="9"/>
  <c r="JC197" i="9"/>
  <c r="JB197" i="9"/>
  <c r="JA197" i="9"/>
  <c r="IZ197" i="9"/>
  <c r="IY197" i="9"/>
  <c r="IX197" i="9"/>
  <c r="IW197" i="9"/>
  <c r="IV197" i="9"/>
  <c r="IS197" i="9"/>
  <c r="IR197" i="9"/>
  <c r="IQ197" i="9"/>
  <c r="IP197" i="9"/>
  <c r="IO197" i="9"/>
  <c r="IN197" i="9"/>
  <c r="IM197" i="9"/>
  <c r="IL197" i="9"/>
  <c r="IK197" i="9"/>
  <c r="IJ197" i="9"/>
  <c r="II197" i="9"/>
  <c r="IH197" i="9"/>
  <c r="IE197" i="9"/>
  <c r="ID197" i="9"/>
  <c r="IC197" i="9"/>
  <c r="IB197" i="9"/>
  <c r="IA197" i="9"/>
  <c r="HZ197" i="9"/>
  <c r="HY197" i="9"/>
  <c r="HX197" i="9"/>
  <c r="HW197" i="9"/>
  <c r="HV197" i="9"/>
  <c r="HU197" i="9"/>
  <c r="HT197" i="9"/>
  <c r="HQ197" i="9"/>
  <c r="HP197" i="9"/>
  <c r="HO197" i="9"/>
  <c r="HN197" i="9"/>
  <c r="HM197" i="9"/>
  <c r="HL197" i="9"/>
  <c r="HK197" i="9"/>
  <c r="HJ197" i="9"/>
  <c r="HI197" i="9"/>
  <c r="HH197" i="9"/>
  <c r="HG197" i="9"/>
  <c r="HF197" i="9"/>
  <c r="HC197" i="9"/>
  <c r="HB197" i="9"/>
  <c r="HA197" i="9"/>
  <c r="GZ197" i="9"/>
  <c r="GY197" i="9"/>
  <c r="GX197" i="9"/>
  <c r="GW197" i="9"/>
  <c r="GV197" i="9"/>
  <c r="GU197" i="9"/>
  <c r="GT197" i="9"/>
  <c r="GS197" i="9"/>
  <c r="GR197" i="9"/>
  <c r="GO197" i="9"/>
  <c r="GN197" i="9"/>
  <c r="GM197" i="9"/>
  <c r="GL197" i="9"/>
  <c r="GK197" i="9"/>
  <c r="GJ197" i="9"/>
  <c r="GI197" i="9"/>
  <c r="GH197" i="9"/>
  <c r="GG197" i="9"/>
  <c r="GF197" i="9"/>
  <c r="GE197" i="9"/>
  <c r="GD197" i="9"/>
  <c r="GA197" i="9"/>
  <c r="FZ197" i="9"/>
  <c r="FY197" i="9"/>
  <c r="FX197" i="9"/>
  <c r="FW197" i="9"/>
  <c r="FV197" i="9"/>
  <c r="FU197" i="9"/>
  <c r="FT197" i="9"/>
  <c r="FS197" i="9"/>
  <c r="FR197" i="9"/>
  <c r="FQ197" i="9"/>
  <c r="FP197" i="9"/>
  <c r="FM197" i="9"/>
  <c r="FL197" i="9"/>
  <c r="FK197" i="9"/>
  <c r="FJ197" i="9"/>
  <c r="FI197" i="9"/>
  <c r="FH197" i="9"/>
  <c r="FG197" i="9"/>
  <c r="FF197" i="9"/>
  <c r="FE197" i="9"/>
  <c r="FD197" i="9"/>
  <c r="FC197" i="9"/>
  <c r="FB197" i="9"/>
  <c r="EY197" i="9"/>
  <c r="EX197" i="9"/>
  <c r="EW197" i="9"/>
  <c r="EV197" i="9"/>
  <c r="EU197" i="9"/>
  <c r="ET197" i="9"/>
  <c r="ES197" i="9"/>
  <c r="ER197" i="9"/>
  <c r="EQ197" i="9"/>
  <c r="EP197" i="9"/>
  <c r="EO197" i="9"/>
  <c r="EN197" i="9"/>
  <c r="EK197" i="9"/>
  <c r="EJ197" i="9"/>
  <c r="EI197" i="9"/>
  <c r="EH197" i="9"/>
  <c r="EG197" i="9"/>
  <c r="EF197" i="9"/>
  <c r="EE197" i="9"/>
  <c r="ED197" i="9"/>
  <c r="EC197" i="9"/>
  <c r="EB197" i="9"/>
  <c r="EA197" i="9"/>
  <c r="DZ197" i="9"/>
  <c r="DW197" i="9"/>
  <c r="DV197" i="9"/>
  <c r="DU197" i="9"/>
  <c r="DT197" i="9"/>
  <c r="DS197" i="9"/>
  <c r="DR197" i="9"/>
  <c r="DQ197" i="9"/>
  <c r="DP197" i="9"/>
  <c r="DO197" i="9"/>
  <c r="DN197" i="9"/>
  <c r="DM197" i="9"/>
  <c r="DL197" i="9"/>
  <c r="DI197" i="9"/>
  <c r="DH197" i="9"/>
  <c r="DG197" i="9"/>
  <c r="DF197" i="9"/>
  <c r="DE197" i="9"/>
  <c r="DD197" i="9"/>
  <c r="DC197" i="9"/>
  <c r="DB197" i="9"/>
  <c r="DA197" i="9"/>
  <c r="CZ197" i="9"/>
  <c r="CY197" i="9"/>
  <c r="CX197" i="9"/>
  <c r="CU197" i="9"/>
  <c r="CT197" i="9"/>
  <c r="CS197" i="9"/>
  <c r="CR197" i="9"/>
  <c r="CQ197" i="9"/>
  <c r="CP197" i="9"/>
  <c r="CO197" i="9"/>
  <c r="CN197" i="9"/>
  <c r="CM197" i="9"/>
  <c r="CL197" i="9"/>
  <c r="CK197" i="9"/>
  <c r="CJ197" i="9"/>
  <c r="CG197" i="9"/>
  <c r="CF197" i="9"/>
  <c r="CE197" i="9"/>
  <c r="CD197" i="9"/>
  <c r="CC197" i="9"/>
  <c r="CB197" i="9"/>
  <c r="CA197" i="9"/>
  <c r="BZ197" i="9"/>
  <c r="BY197" i="9"/>
  <c r="BX197" i="9"/>
  <c r="BW197" i="9"/>
  <c r="BV197" i="9"/>
  <c r="BS197" i="9"/>
  <c r="BR197" i="9"/>
  <c r="BQ197" i="9"/>
  <c r="BP197" i="9"/>
  <c r="BO197" i="9"/>
  <c r="BN197" i="9"/>
  <c r="BM197" i="9"/>
  <c r="BL197" i="9"/>
  <c r="BK197" i="9"/>
  <c r="BJ197" i="9"/>
  <c r="BI197" i="9"/>
  <c r="BH197" i="9"/>
  <c r="BE197" i="9"/>
  <c r="BD197" i="9"/>
  <c r="BC197" i="9"/>
  <c r="BB197" i="9"/>
  <c r="BA197" i="9"/>
  <c r="AZ197" i="9"/>
  <c r="AY197" i="9"/>
  <c r="AX197" i="9"/>
  <c r="AW197" i="9"/>
  <c r="AV197" i="9"/>
  <c r="AU197" i="9"/>
  <c r="AT197" i="9"/>
  <c r="AQ197" i="9"/>
  <c r="AP197" i="9"/>
  <c r="AO197" i="9"/>
  <c r="AN197" i="9"/>
  <c r="AM197" i="9"/>
  <c r="AL197" i="9"/>
  <c r="AK197" i="9"/>
  <c r="AJ197" i="9"/>
  <c r="AI197" i="9"/>
  <c r="AH197" i="9"/>
  <c r="AG197" i="9"/>
  <c r="AF197" i="9"/>
  <c r="AC197" i="9"/>
  <c r="AB197" i="9"/>
  <c r="AA197" i="9"/>
  <c r="Z197" i="9"/>
  <c r="Y197" i="9"/>
  <c r="X197" i="9"/>
  <c r="W197" i="9"/>
  <c r="V197" i="9"/>
  <c r="U197" i="9"/>
  <c r="T197" i="9"/>
  <c r="S197" i="9"/>
  <c r="R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LZ196" i="9"/>
  <c r="LK196" i="9"/>
  <c r="LJ196" i="9"/>
  <c r="LI196" i="9"/>
  <c r="LH196" i="9"/>
  <c r="LG196" i="9"/>
  <c r="LF196" i="9"/>
  <c r="LE196" i="9"/>
  <c r="LD196" i="9"/>
  <c r="LC196" i="9"/>
  <c r="LB196" i="9"/>
  <c r="LA196" i="9"/>
  <c r="KZ196" i="9"/>
  <c r="KW196" i="9"/>
  <c r="KV196" i="9"/>
  <c r="KU196" i="9"/>
  <c r="KT196" i="9"/>
  <c r="KS196" i="9"/>
  <c r="KR196" i="9"/>
  <c r="KQ196" i="9"/>
  <c r="KP196" i="9"/>
  <c r="KO196" i="9"/>
  <c r="KN196" i="9"/>
  <c r="KM196" i="9"/>
  <c r="KL196" i="9"/>
  <c r="KI196" i="9"/>
  <c r="KH196" i="9"/>
  <c r="KG196" i="9"/>
  <c r="KF196" i="9"/>
  <c r="KE196" i="9"/>
  <c r="KD196" i="9"/>
  <c r="KC196" i="9"/>
  <c r="KB196" i="9"/>
  <c r="KA196" i="9"/>
  <c r="JZ196" i="9"/>
  <c r="JY196" i="9"/>
  <c r="JX196" i="9"/>
  <c r="JU196" i="9"/>
  <c r="JT196" i="9"/>
  <c r="JS196" i="9"/>
  <c r="JR196" i="9"/>
  <c r="JQ196" i="9"/>
  <c r="JP196" i="9"/>
  <c r="JO196" i="9"/>
  <c r="JN196" i="9"/>
  <c r="JM196" i="9"/>
  <c r="JL196" i="9"/>
  <c r="JK196" i="9"/>
  <c r="JJ196" i="9"/>
  <c r="JG196" i="9"/>
  <c r="JF196" i="9"/>
  <c r="JE196" i="9"/>
  <c r="JD196" i="9"/>
  <c r="JC196" i="9"/>
  <c r="JB196" i="9"/>
  <c r="JA196" i="9"/>
  <c r="IZ196" i="9"/>
  <c r="IY196" i="9"/>
  <c r="IX196" i="9"/>
  <c r="IW196" i="9"/>
  <c r="IV196" i="9"/>
  <c r="IS196" i="9"/>
  <c r="IR196" i="9"/>
  <c r="IQ196" i="9"/>
  <c r="IP196" i="9"/>
  <c r="IO196" i="9"/>
  <c r="IN196" i="9"/>
  <c r="IM196" i="9"/>
  <c r="IL196" i="9"/>
  <c r="IK196" i="9"/>
  <c r="IJ196" i="9"/>
  <c r="II196" i="9"/>
  <c r="IH196" i="9"/>
  <c r="IE196" i="9"/>
  <c r="ID196" i="9"/>
  <c r="IC196" i="9"/>
  <c r="IB196" i="9"/>
  <c r="IA196" i="9"/>
  <c r="HZ196" i="9"/>
  <c r="HY196" i="9"/>
  <c r="HX196" i="9"/>
  <c r="HW196" i="9"/>
  <c r="HV196" i="9"/>
  <c r="HU196" i="9"/>
  <c r="HT196" i="9"/>
  <c r="HQ196" i="9"/>
  <c r="HP196" i="9"/>
  <c r="HO196" i="9"/>
  <c r="HN196" i="9"/>
  <c r="HM196" i="9"/>
  <c r="HL196" i="9"/>
  <c r="HK196" i="9"/>
  <c r="HJ196" i="9"/>
  <c r="HI196" i="9"/>
  <c r="HH196" i="9"/>
  <c r="HG196" i="9"/>
  <c r="HF196" i="9"/>
  <c r="HC196" i="9"/>
  <c r="HB196" i="9"/>
  <c r="HA196" i="9"/>
  <c r="GZ196" i="9"/>
  <c r="GY196" i="9"/>
  <c r="GX196" i="9"/>
  <c r="GW196" i="9"/>
  <c r="GV196" i="9"/>
  <c r="GU196" i="9"/>
  <c r="GT196" i="9"/>
  <c r="GS196" i="9"/>
  <c r="GR196" i="9"/>
  <c r="GO196" i="9"/>
  <c r="GN196" i="9"/>
  <c r="GM196" i="9"/>
  <c r="GL196" i="9"/>
  <c r="GK196" i="9"/>
  <c r="GJ196" i="9"/>
  <c r="GI196" i="9"/>
  <c r="GH196" i="9"/>
  <c r="GG196" i="9"/>
  <c r="GF196" i="9"/>
  <c r="GE196" i="9"/>
  <c r="GD196" i="9"/>
  <c r="GA196" i="9"/>
  <c r="FZ196" i="9"/>
  <c r="FY196" i="9"/>
  <c r="FX196" i="9"/>
  <c r="FW196" i="9"/>
  <c r="FV196" i="9"/>
  <c r="FU196" i="9"/>
  <c r="FT196" i="9"/>
  <c r="FS196" i="9"/>
  <c r="FR196" i="9"/>
  <c r="FQ196" i="9"/>
  <c r="FP196" i="9"/>
  <c r="FM196" i="9"/>
  <c r="FL196" i="9"/>
  <c r="FK196" i="9"/>
  <c r="FJ196" i="9"/>
  <c r="FI196" i="9"/>
  <c r="FH196" i="9"/>
  <c r="FG196" i="9"/>
  <c r="FF196" i="9"/>
  <c r="FE196" i="9"/>
  <c r="FD196" i="9"/>
  <c r="FC196" i="9"/>
  <c r="FB196" i="9"/>
  <c r="EY196" i="9"/>
  <c r="EX196" i="9"/>
  <c r="EW196" i="9"/>
  <c r="EV196" i="9"/>
  <c r="EU196" i="9"/>
  <c r="ET196" i="9"/>
  <c r="ES196" i="9"/>
  <c r="ER196" i="9"/>
  <c r="EQ196" i="9"/>
  <c r="EP196" i="9"/>
  <c r="EO196" i="9"/>
  <c r="EN196" i="9"/>
  <c r="EK196" i="9"/>
  <c r="EJ196" i="9"/>
  <c r="EI196" i="9"/>
  <c r="EH196" i="9"/>
  <c r="EG196" i="9"/>
  <c r="EF196" i="9"/>
  <c r="EE196" i="9"/>
  <c r="ED196" i="9"/>
  <c r="EC196" i="9"/>
  <c r="EB196" i="9"/>
  <c r="EA196" i="9"/>
  <c r="DZ196" i="9"/>
  <c r="DW196" i="9"/>
  <c r="DV196" i="9"/>
  <c r="DU196" i="9"/>
  <c r="DT196" i="9"/>
  <c r="DS196" i="9"/>
  <c r="DR196" i="9"/>
  <c r="DQ196" i="9"/>
  <c r="DP196" i="9"/>
  <c r="DO196" i="9"/>
  <c r="DN196" i="9"/>
  <c r="DM196" i="9"/>
  <c r="DL196" i="9"/>
  <c r="DI196" i="9"/>
  <c r="DH196" i="9"/>
  <c r="DG196" i="9"/>
  <c r="DF196" i="9"/>
  <c r="DE196" i="9"/>
  <c r="DD196" i="9"/>
  <c r="DC196" i="9"/>
  <c r="DB196" i="9"/>
  <c r="DA196" i="9"/>
  <c r="CZ196" i="9"/>
  <c r="CY196" i="9"/>
  <c r="CX196" i="9"/>
  <c r="CU196" i="9"/>
  <c r="CT196" i="9"/>
  <c r="CS196" i="9"/>
  <c r="CR196" i="9"/>
  <c r="CQ196" i="9"/>
  <c r="CP196" i="9"/>
  <c r="CO196" i="9"/>
  <c r="CN196" i="9"/>
  <c r="CM196" i="9"/>
  <c r="CL196" i="9"/>
  <c r="CK196" i="9"/>
  <c r="CJ196" i="9"/>
  <c r="CG196" i="9"/>
  <c r="CF196" i="9"/>
  <c r="CE196" i="9"/>
  <c r="CD196" i="9"/>
  <c r="CC196" i="9"/>
  <c r="CB196" i="9"/>
  <c r="CA196" i="9"/>
  <c r="BZ196" i="9"/>
  <c r="BY196" i="9"/>
  <c r="BX196" i="9"/>
  <c r="BW196" i="9"/>
  <c r="BV196" i="9"/>
  <c r="BS196" i="9"/>
  <c r="BR196" i="9"/>
  <c r="BQ196" i="9"/>
  <c r="BP196" i="9"/>
  <c r="BO196" i="9"/>
  <c r="BN196" i="9"/>
  <c r="BM196" i="9"/>
  <c r="BL196" i="9"/>
  <c r="BK196" i="9"/>
  <c r="BJ196" i="9"/>
  <c r="BI196" i="9"/>
  <c r="BH196" i="9"/>
  <c r="BE196" i="9"/>
  <c r="BD196" i="9"/>
  <c r="BC196" i="9"/>
  <c r="BB196" i="9"/>
  <c r="BA196" i="9"/>
  <c r="AZ196" i="9"/>
  <c r="AY196" i="9"/>
  <c r="AX196" i="9"/>
  <c r="AW196" i="9"/>
  <c r="AV196" i="9"/>
  <c r="AU196" i="9"/>
  <c r="AT196" i="9"/>
  <c r="AQ196" i="9"/>
  <c r="AP196" i="9"/>
  <c r="AO196" i="9"/>
  <c r="AN196" i="9"/>
  <c r="AM196" i="9"/>
  <c r="AL196" i="9"/>
  <c r="AK196" i="9"/>
  <c r="AJ196" i="9"/>
  <c r="AI196" i="9"/>
  <c r="AH196" i="9"/>
  <c r="AG196" i="9"/>
  <c r="AF196" i="9"/>
  <c r="AC196" i="9"/>
  <c r="AB196" i="9"/>
  <c r="AA196" i="9"/>
  <c r="Z196" i="9"/>
  <c r="Y196" i="9"/>
  <c r="X196" i="9"/>
  <c r="W196" i="9"/>
  <c r="V196" i="9"/>
  <c r="U196" i="9"/>
  <c r="T196" i="9"/>
  <c r="S196" i="9"/>
  <c r="R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LZ195" i="9"/>
  <c r="LK195" i="9"/>
  <c r="LJ195" i="9"/>
  <c r="LI195" i="9"/>
  <c r="LH195" i="9"/>
  <c r="LG195" i="9"/>
  <c r="LF195" i="9"/>
  <c r="LE195" i="9"/>
  <c r="LD195" i="9"/>
  <c r="LC195" i="9"/>
  <c r="LB195" i="9"/>
  <c r="LA195" i="9"/>
  <c r="KZ195" i="9"/>
  <c r="KW195" i="9"/>
  <c r="KV195" i="9"/>
  <c r="KU195" i="9"/>
  <c r="KT195" i="9"/>
  <c r="KS195" i="9"/>
  <c r="KR195" i="9"/>
  <c r="KQ195" i="9"/>
  <c r="KP195" i="9"/>
  <c r="KO195" i="9"/>
  <c r="KN195" i="9"/>
  <c r="KM195" i="9"/>
  <c r="KL195" i="9"/>
  <c r="KI195" i="9"/>
  <c r="KH195" i="9"/>
  <c r="KG195" i="9"/>
  <c r="KF195" i="9"/>
  <c r="KE195" i="9"/>
  <c r="KD195" i="9"/>
  <c r="KC195" i="9"/>
  <c r="KB195" i="9"/>
  <c r="KA195" i="9"/>
  <c r="JZ195" i="9"/>
  <c r="JY195" i="9"/>
  <c r="JX195" i="9"/>
  <c r="JU195" i="9"/>
  <c r="JT195" i="9"/>
  <c r="JS195" i="9"/>
  <c r="JR195" i="9"/>
  <c r="JQ195" i="9"/>
  <c r="JP195" i="9"/>
  <c r="JO195" i="9"/>
  <c r="JN195" i="9"/>
  <c r="JM195" i="9"/>
  <c r="JL195" i="9"/>
  <c r="JK195" i="9"/>
  <c r="JJ195" i="9"/>
  <c r="JG195" i="9"/>
  <c r="JF195" i="9"/>
  <c r="JE195" i="9"/>
  <c r="JD195" i="9"/>
  <c r="JC195" i="9"/>
  <c r="JB195" i="9"/>
  <c r="JA195" i="9"/>
  <c r="IZ195" i="9"/>
  <c r="IY195" i="9"/>
  <c r="IX195" i="9"/>
  <c r="IW195" i="9"/>
  <c r="IV195" i="9"/>
  <c r="IS195" i="9"/>
  <c r="IR195" i="9"/>
  <c r="IQ195" i="9"/>
  <c r="IP195" i="9"/>
  <c r="IO195" i="9"/>
  <c r="IN195" i="9"/>
  <c r="IM195" i="9"/>
  <c r="IL195" i="9"/>
  <c r="IK195" i="9"/>
  <c r="IJ195" i="9"/>
  <c r="II195" i="9"/>
  <c r="IH195" i="9"/>
  <c r="IE195" i="9"/>
  <c r="ID195" i="9"/>
  <c r="IC195" i="9"/>
  <c r="IB195" i="9"/>
  <c r="IA195" i="9"/>
  <c r="HZ195" i="9"/>
  <c r="HY195" i="9"/>
  <c r="HX195" i="9"/>
  <c r="HW195" i="9"/>
  <c r="HV195" i="9"/>
  <c r="HU195" i="9"/>
  <c r="HT195" i="9"/>
  <c r="HQ195" i="9"/>
  <c r="HP195" i="9"/>
  <c r="HO195" i="9"/>
  <c r="HN195" i="9"/>
  <c r="HM195" i="9"/>
  <c r="HL195" i="9"/>
  <c r="HK195" i="9"/>
  <c r="HJ195" i="9"/>
  <c r="HI195" i="9"/>
  <c r="HH195" i="9"/>
  <c r="HG195" i="9"/>
  <c r="HF195" i="9"/>
  <c r="HC195" i="9"/>
  <c r="HB195" i="9"/>
  <c r="HA195" i="9"/>
  <c r="GZ195" i="9"/>
  <c r="GY195" i="9"/>
  <c r="GX195" i="9"/>
  <c r="GW195" i="9"/>
  <c r="GV195" i="9"/>
  <c r="GU195" i="9"/>
  <c r="GT195" i="9"/>
  <c r="GS195" i="9"/>
  <c r="GR195" i="9"/>
  <c r="GO195" i="9"/>
  <c r="GN195" i="9"/>
  <c r="GM195" i="9"/>
  <c r="GL195" i="9"/>
  <c r="GK195" i="9"/>
  <c r="GJ195" i="9"/>
  <c r="GI195" i="9"/>
  <c r="GH195" i="9"/>
  <c r="GG195" i="9"/>
  <c r="GF195" i="9"/>
  <c r="GE195" i="9"/>
  <c r="GD195" i="9"/>
  <c r="GA195" i="9"/>
  <c r="FZ195" i="9"/>
  <c r="FY195" i="9"/>
  <c r="FX195" i="9"/>
  <c r="FW195" i="9"/>
  <c r="FV195" i="9"/>
  <c r="FU195" i="9"/>
  <c r="FT195" i="9"/>
  <c r="FS195" i="9"/>
  <c r="FR195" i="9"/>
  <c r="FQ195" i="9"/>
  <c r="FP195" i="9"/>
  <c r="FM195" i="9"/>
  <c r="FL195" i="9"/>
  <c r="FK195" i="9"/>
  <c r="FJ195" i="9"/>
  <c r="FI195" i="9"/>
  <c r="FH195" i="9"/>
  <c r="FG195" i="9"/>
  <c r="FF195" i="9"/>
  <c r="FE195" i="9"/>
  <c r="FD195" i="9"/>
  <c r="FC195" i="9"/>
  <c r="FB195" i="9"/>
  <c r="EY195" i="9"/>
  <c r="EX195" i="9"/>
  <c r="EW195" i="9"/>
  <c r="EV195" i="9"/>
  <c r="EU195" i="9"/>
  <c r="ET195" i="9"/>
  <c r="ES195" i="9"/>
  <c r="ER195" i="9"/>
  <c r="EQ195" i="9"/>
  <c r="EP195" i="9"/>
  <c r="EO195" i="9"/>
  <c r="EN195" i="9"/>
  <c r="EK195" i="9"/>
  <c r="EJ195" i="9"/>
  <c r="EI195" i="9"/>
  <c r="EH195" i="9"/>
  <c r="EG195" i="9"/>
  <c r="EF195" i="9"/>
  <c r="EE195" i="9"/>
  <c r="ED195" i="9"/>
  <c r="EC195" i="9"/>
  <c r="EB195" i="9"/>
  <c r="EA195" i="9"/>
  <c r="DZ195" i="9"/>
  <c r="DW195" i="9"/>
  <c r="DV195" i="9"/>
  <c r="DU195" i="9"/>
  <c r="DT195" i="9"/>
  <c r="DS195" i="9"/>
  <c r="DR195" i="9"/>
  <c r="DQ195" i="9"/>
  <c r="DP195" i="9"/>
  <c r="DO195" i="9"/>
  <c r="DN195" i="9"/>
  <c r="DM195" i="9"/>
  <c r="DL195" i="9"/>
  <c r="DI195" i="9"/>
  <c r="DH195" i="9"/>
  <c r="DG195" i="9"/>
  <c r="DF195" i="9"/>
  <c r="DE195" i="9"/>
  <c r="DD195" i="9"/>
  <c r="DC195" i="9"/>
  <c r="DB195" i="9"/>
  <c r="DA195" i="9"/>
  <c r="CZ195" i="9"/>
  <c r="CY195" i="9"/>
  <c r="CX195" i="9"/>
  <c r="CU195" i="9"/>
  <c r="CT195" i="9"/>
  <c r="CS195" i="9"/>
  <c r="CR195" i="9"/>
  <c r="CQ195" i="9"/>
  <c r="CP195" i="9"/>
  <c r="CO195" i="9"/>
  <c r="CN195" i="9"/>
  <c r="CM195" i="9"/>
  <c r="CL195" i="9"/>
  <c r="CK195" i="9"/>
  <c r="CJ195" i="9"/>
  <c r="CG195" i="9"/>
  <c r="CF195" i="9"/>
  <c r="CE195" i="9"/>
  <c r="CD195" i="9"/>
  <c r="CC195" i="9"/>
  <c r="CB195" i="9"/>
  <c r="CA195" i="9"/>
  <c r="BZ195" i="9"/>
  <c r="BY195" i="9"/>
  <c r="BX195" i="9"/>
  <c r="BW195" i="9"/>
  <c r="BV195" i="9"/>
  <c r="BS195" i="9"/>
  <c r="BR195" i="9"/>
  <c r="BQ195" i="9"/>
  <c r="BP195" i="9"/>
  <c r="BO195" i="9"/>
  <c r="BN195" i="9"/>
  <c r="BM195" i="9"/>
  <c r="BL195" i="9"/>
  <c r="BK195" i="9"/>
  <c r="BJ195" i="9"/>
  <c r="BI195" i="9"/>
  <c r="BH195" i="9"/>
  <c r="BE195" i="9"/>
  <c r="BD195" i="9"/>
  <c r="BC195" i="9"/>
  <c r="BB195" i="9"/>
  <c r="BA195" i="9"/>
  <c r="AZ195" i="9"/>
  <c r="AY195" i="9"/>
  <c r="AX195" i="9"/>
  <c r="AW195" i="9"/>
  <c r="AV195" i="9"/>
  <c r="AU195" i="9"/>
  <c r="AT195" i="9"/>
  <c r="AQ195" i="9"/>
  <c r="AP195" i="9"/>
  <c r="AO195" i="9"/>
  <c r="AN195" i="9"/>
  <c r="AM195" i="9"/>
  <c r="AL195" i="9"/>
  <c r="AK195" i="9"/>
  <c r="AJ195" i="9"/>
  <c r="AI195" i="9"/>
  <c r="AH195" i="9"/>
  <c r="AG195" i="9"/>
  <c r="AF195" i="9"/>
  <c r="AC195" i="9"/>
  <c r="AB195" i="9"/>
  <c r="AA195" i="9"/>
  <c r="Z195" i="9"/>
  <c r="Y195" i="9"/>
  <c r="X195" i="9"/>
  <c r="W195" i="9"/>
  <c r="V195" i="9"/>
  <c r="U195" i="9"/>
  <c r="T195" i="9"/>
  <c r="S195" i="9"/>
  <c r="R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LZ194" i="9"/>
  <c r="LK194" i="9"/>
  <c r="LJ194" i="9"/>
  <c r="LI194" i="9"/>
  <c r="LH194" i="9"/>
  <c r="LG194" i="9"/>
  <c r="LF194" i="9"/>
  <c r="LE194" i="9"/>
  <c r="LD194" i="9"/>
  <c r="LC194" i="9"/>
  <c r="LB194" i="9"/>
  <c r="LA194" i="9"/>
  <c r="KZ194" i="9"/>
  <c r="KW194" i="9"/>
  <c r="KV194" i="9"/>
  <c r="KU194" i="9"/>
  <c r="KT194" i="9"/>
  <c r="KS194" i="9"/>
  <c r="KR194" i="9"/>
  <c r="KQ194" i="9"/>
  <c r="KP194" i="9"/>
  <c r="KO194" i="9"/>
  <c r="KN194" i="9"/>
  <c r="KM194" i="9"/>
  <c r="KL194" i="9"/>
  <c r="KI194" i="9"/>
  <c r="KH194" i="9"/>
  <c r="KG194" i="9"/>
  <c r="KF194" i="9"/>
  <c r="KE194" i="9"/>
  <c r="KD194" i="9"/>
  <c r="KC194" i="9"/>
  <c r="KB194" i="9"/>
  <c r="KA194" i="9"/>
  <c r="JZ194" i="9"/>
  <c r="JY194" i="9"/>
  <c r="JX194" i="9"/>
  <c r="JU194" i="9"/>
  <c r="JT194" i="9"/>
  <c r="JS194" i="9"/>
  <c r="JR194" i="9"/>
  <c r="JQ194" i="9"/>
  <c r="JP194" i="9"/>
  <c r="JO194" i="9"/>
  <c r="JN194" i="9"/>
  <c r="JM194" i="9"/>
  <c r="JL194" i="9"/>
  <c r="JK194" i="9"/>
  <c r="JJ194" i="9"/>
  <c r="JG194" i="9"/>
  <c r="JF194" i="9"/>
  <c r="JE194" i="9"/>
  <c r="JD194" i="9"/>
  <c r="JC194" i="9"/>
  <c r="JB194" i="9"/>
  <c r="JA194" i="9"/>
  <c r="IZ194" i="9"/>
  <c r="IY194" i="9"/>
  <c r="IX194" i="9"/>
  <c r="IW194" i="9"/>
  <c r="IV194" i="9"/>
  <c r="IS194" i="9"/>
  <c r="IR194" i="9"/>
  <c r="IQ194" i="9"/>
  <c r="IP194" i="9"/>
  <c r="IO194" i="9"/>
  <c r="IN194" i="9"/>
  <c r="IM194" i="9"/>
  <c r="IL194" i="9"/>
  <c r="IK194" i="9"/>
  <c r="IJ194" i="9"/>
  <c r="II194" i="9"/>
  <c r="IH194" i="9"/>
  <c r="IE194" i="9"/>
  <c r="ID194" i="9"/>
  <c r="IC194" i="9"/>
  <c r="IB194" i="9"/>
  <c r="IA194" i="9"/>
  <c r="HZ194" i="9"/>
  <c r="HY194" i="9"/>
  <c r="HX194" i="9"/>
  <c r="HW194" i="9"/>
  <c r="HV194" i="9"/>
  <c r="HU194" i="9"/>
  <c r="HT194" i="9"/>
  <c r="HQ194" i="9"/>
  <c r="HP194" i="9"/>
  <c r="HO194" i="9"/>
  <c r="HN194" i="9"/>
  <c r="HM194" i="9"/>
  <c r="HL194" i="9"/>
  <c r="HK194" i="9"/>
  <c r="HJ194" i="9"/>
  <c r="HI194" i="9"/>
  <c r="HH194" i="9"/>
  <c r="HG194" i="9"/>
  <c r="HF194" i="9"/>
  <c r="HC194" i="9"/>
  <c r="HB194" i="9"/>
  <c r="HA194" i="9"/>
  <c r="GZ194" i="9"/>
  <c r="GY194" i="9"/>
  <c r="GX194" i="9"/>
  <c r="GW194" i="9"/>
  <c r="GV194" i="9"/>
  <c r="GU194" i="9"/>
  <c r="GT194" i="9"/>
  <c r="GS194" i="9"/>
  <c r="GR194" i="9"/>
  <c r="GO194" i="9"/>
  <c r="GN194" i="9"/>
  <c r="GM194" i="9"/>
  <c r="GL194" i="9"/>
  <c r="GK194" i="9"/>
  <c r="GJ194" i="9"/>
  <c r="GI194" i="9"/>
  <c r="GH194" i="9"/>
  <c r="GG194" i="9"/>
  <c r="GF194" i="9"/>
  <c r="GE194" i="9"/>
  <c r="GD194" i="9"/>
  <c r="GA194" i="9"/>
  <c r="FZ194" i="9"/>
  <c r="FY194" i="9"/>
  <c r="FX194" i="9"/>
  <c r="FW194" i="9"/>
  <c r="FV194" i="9"/>
  <c r="FU194" i="9"/>
  <c r="FT194" i="9"/>
  <c r="FS194" i="9"/>
  <c r="FR194" i="9"/>
  <c r="FQ194" i="9"/>
  <c r="FP194" i="9"/>
  <c r="FM194" i="9"/>
  <c r="FL194" i="9"/>
  <c r="FK194" i="9"/>
  <c r="FJ194" i="9"/>
  <c r="FI194" i="9"/>
  <c r="FH194" i="9"/>
  <c r="FG194" i="9"/>
  <c r="FF194" i="9"/>
  <c r="FE194" i="9"/>
  <c r="FD194" i="9"/>
  <c r="FC194" i="9"/>
  <c r="FB194" i="9"/>
  <c r="EY194" i="9"/>
  <c r="EX194" i="9"/>
  <c r="EW194" i="9"/>
  <c r="EV194" i="9"/>
  <c r="EU194" i="9"/>
  <c r="ET194" i="9"/>
  <c r="ES194" i="9"/>
  <c r="ER194" i="9"/>
  <c r="EQ194" i="9"/>
  <c r="EP194" i="9"/>
  <c r="EO194" i="9"/>
  <c r="EN194" i="9"/>
  <c r="EK194" i="9"/>
  <c r="EJ194" i="9"/>
  <c r="EI194" i="9"/>
  <c r="EH194" i="9"/>
  <c r="EG194" i="9"/>
  <c r="EF194" i="9"/>
  <c r="EE194" i="9"/>
  <c r="ED194" i="9"/>
  <c r="EC194" i="9"/>
  <c r="EB194" i="9"/>
  <c r="EA194" i="9"/>
  <c r="DZ194" i="9"/>
  <c r="DW194" i="9"/>
  <c r="DV194" i="9"/>
  <c r="DU194" i="9"/>
  <c r="DT194" i="9"/>
  <c r="DS194" i="9"/>
  <c r="DR194" i="9"/>
  <c r="DQ194" i="9"/>
  <c r="DP194" i="9"/>
  <c r="DO194" i="9"/>
  <c r="DN194" i="9"/>
  <c r="DM194" i="9"/>
  <c r="DL194" i="9"/>
  <c r="DI194" i="9"/>
  <c r="DH194" i="9"/>
  <c r="DG194" i="9"/>
  <c r="DF194" i="9"/>
  <c r="DE194" i="9"/>
  <c r="DD194" i="9"/>
  <c r="DC194" i="9"/>
  <c r="DB194" i="9"/>
  <c r="DA194" i="9"/>
  <c r="CZ194" i="9"/>
  <c r="CY194" i="9"/>
  <c r="CX194" i="9"/>
  <c r="CU194" i="9"/>
  <c r="CT194" i="9"/>
  <c r="CS194" i="9"/>
  <c r="CR194" i="9"/>
  <c r="CQ194" i="9"/>
  <c r="CP194" i="9"/>
  <c r="CO194" i="9"/>
  <c r="CN194" i="9"/>
  <c r="CM194" i="9"/>
  <c r="CL194" i="9"/>
  <c r="CK194" i="9"/>
  <c r="CJ194" i="9"/>
  <c r="CG194" i="9"/>
  <c r="CF194" i="9"/>
  <c r="CE194" i="9"/>
  <c r="CD194" i="9"/>
  <c r="CC194" i="9"/>
  <c r="CB194" i="9"/>
  <c r="CA194" i="9"/>
  <c r="BZ194" i="9"/>
  <c r="BY194" i="9"/>
  <c r="BX194" i="9"/>
  <c r="BW194" i="9"/>
  <c r="BV194" i="9"/>
  <c r="BS194" i="9"/>
  <c r="BR194" i="9"/>
  <c r="BQ194" i="9"/>
  <c r="BP194" i="9"/>
  <c r="BO194" i="9"/>
  <c r="BN194" i="9"/>
  <c r="BM194" i="9"/>
  <c r="BL194" i="9"/>
  <c r="BK194" i="9"/>
  <c r="BJ194" i="9"/>
  <c r="BI194" i="9"/>
  <c r="BH194" i="9"/>
  <c r="BE194" i="9"/>
  <c r="BD194" i="9"/>
  <c r="BC194" i="9"/>
  <c r="BB194" i="9"/>
  <c r="BA194" i="9"/>
  <c r="AZ194" i="9"/>
  <c r="AY194" i="9"/>
  <c r="AX194" i="9"/>
  <c r="AW194" i="9"/>
  <c r="AV194" i="9"/>
  <c r="AU194" i="9"/>
  <c r="AT194" i="9"/>
  <c r="AQ194" i="9"/>
  <c r="AP194" i="9"/>
  <c r="AO194" i="9"/>
  <c r="AN194" i="9"/>
  <c r="AM194" i="9"/>
  <c r="AL194" i="9"/>
  <c r="AK194" i="9"/>
  <c r="AJ194" i="9"/>
  <c r="AI194" i="9"/>
  <c r="AH194" i="9"/>
  <c r="AG194" i="9"/>
  <c r="AF194" i="9"/>
  <c r="AC194" i="9"/>
  <c r="AB194" i="9"/>
  <c r="AA194" i="9"/>
  <c r="Z194" i="9"/>
  <c r="Y194" i="9"/>
  <c r="X194" i="9"/>
  <c r="W194" i="9"/>
  <c r="V194" i="9"/>
  <c r="U194" i="9"/>
  <c r="T194" i="9"/>
  <c r="S194" i="9"/>
  <c r="R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LZ193" i="9"/>
  <c r="LK193" i="9"/>
  <c r="LJ193" i="9"/>
  <c r="LI193" i="9"/>
  <c r="LH193" i="9"/>
  <c r="LG193" i="9"/>
  <c r="LF193" i="9"/>
  <c r="LE193" i="9"/>
  <c r="LD193" i="9"/>
  <c r="LC193" i="9"/>
  <c r="LB193" i="9"/>
  <c r="LA193" i="9"/>
  <c r="KZ193" i="9"/>
  <c r="KW193" i="9"/>
  <c r="KV193" i="9"/>
  <c r="KU193" i="9"/>
  <c r="KT193" i="9"/>
  <c r="KS193" i="9"/>
  <c r="KR193" i="9"/>
  <c r="KQ193" i="9"/>
  <c r="KP193" i="9"/>
  <c r="KO193" i="9"/>
  <c r="KN193" i="9"/>
  <c r="KM193" i="9"/>
  <c r="KL193" i="9"/>
  <c r="KI193" i="9"/>
  <c r="KH193" i="9"/>
  <c r="KG193" i="9"/>
  <c r="KF193" i="9"/>
  <c r="KE193" i="9"/>
  <c r="KD193" i="9"/>
  <c r="KC193" i="9"/>
  <c r="KB193" i="9"/>
  <c r="KA193" i="9"/>
  <c r="JZ193" i="9"/>
  <c r="JY193" i="9"/>
  <c r="JX193" i="9"/>
  <c r="JU193" i="9"/>
  <c r="JT193" i="9"/>
  <c r="JS193" i="9"/>
  <c r="JR193" i="9"/>
  <c r="JQ193" i="9"/>
  <c r="JP193" i="9"/>
  <c r="JO193" i="9"/>
  <c r="JN193" i="9"/>
  <c r="JM193" i="9"/>
  <c r="JL193" i="9"/>
  <c r="JK193" i="9"/>
  <c r="JJ193" i="9"/>
  <c r="JG193" i="9"/>
  <c r="JF193" i="9"/>
  <c r="JE193" i="9"/>
  <c r="JD193" i="9"/>
  <c r="JC193" i="9"/>
  <c r="JB193" i="9"/>
  <c r="JA193" i="9"/>
  <c r="IZ193" i="9"/>
  <c r="IY193" i="9"/>
  <c r="IX193" i="9"/>
  <c r="IW193" i="9"/>
  <c r="IV193" i="9"/>
  <c r="IS193" i="9"/>
  <c r="IR193" i="9"/>
  <c r="IQ193" i="9"/>
  <c r="IP193" i="9"/>
  <c r="IO193" i="9"/>
  <c r="IN193" i="9"/>
  <c r="IM193" i="9"/>
  <c r="IL193" i="9"/>
  <c r="IK193" i="9"/>
  <c r="IJ193" i="9"/>
  <c r="II193" i="9"/>
  <c r="IH193" i="9"/>
  <c r="IE193" i="9"/>
  <c r="ID193" i="9"/>
  <c r="IC193" i="9"/>
  <c r="IB193" i="9"/>
  <c r="IA193" i="9"/>
  <c r="HZ193" i="9"/>
  <c r="HY193" i="9"/>
  <c r="HX193" i="9"/>
  <c r="HW193" i="9"/>
  <c r="HV193" i="9"/>
  <c r="HU193" i="9"/>
  <c r="HT193" i="9"/>
  <c r="HQ193" i="9"/>
  <c r="HP193" i="9"/>
  <c r="HO193" i="9"/>
  <c r="HN193" i="9"/>
  <c r="HM193" i="9"/>
  <c r="HL193" i="9"/>
  <c r="HK193" i="9"/>
  <c r="HJ193" i="9"/>
  <c r="HI193" i="9"/>
  <c r="HH193" i="9"/>
  <c r="HG193" i="9"/>
  <c r="HF193" i="9"/>
  <c r="HC193" i="9"/>
  <c r="HB193" i="9"/>
  <c r="HA193" i="9"/>
  <c r="GZ193" i="9"/>
  <c r="GY193" i="9"/>
  <c r="GX193" i="9"/>
  <c r="GW193" i="9"/>
  <c r="GV193" i="9"/>
  <c r="GU193" i="9"/>
  <c r="GT193" i="9"/>
  <c r="GS193" i="9"/>
  <c r="GR193" i="9"/>
  <c r="GO193" i="9"/>
  <c r="GN193" i="9"/>
  <c r="GM193" i="9"/>
  <c r="GL193" i="9"/>
  <c r="GK193" i="9"/>
  <c r="GJ193" i="9"/>
  <c r="GI193" i="9"/>
  <c r="GH193" i="9"/>
  <c r="GG193" i="9"/>
  <c r="GF193" i="9"/>
  <c r="GE193" i="9"/>
  <c r="GD193" i="9"/>
  <c r="GA193" i="9"/>
  <c r="FZ193" i="9"/>
  <c r="FY193" i="9"/>
  <c r="FX193" i="9"/>
  <c r="FW193" i="9"/>
  <c r="FV193" i="9"/>
  <c r="FU193" i="9"/>
  <c r="FT193" i="9"/>
  <c r="FS193" i="9"/>
  <c r="FR193" i="9"/>
  <c r="FQ193" i="9"/>
  <c r="FP193" i="9"/>
  <c r="FM193" i="9"/>
  <c r="FL193" i="9"/>
  <c r="FK193" i="9"/>
  <c r="FJ193" i="9"/>
  <c r="FI193" i="9"/>
  <c r="FH193" i="9"/>
  <c r="FG193" i="9"/>
  <c r="FF193" i="9"/>
  <c r="FE193" i="9"/>
  <c r="FD193" i="9"/>
  <c r="FC193" i="9"/>
  <c r="FB193" i="9"/>
  <c r="EY193" i="9"/>
  <c r="EX193" i="9"/>
  <c r="EW193" i="9"/>
  <c r="EV193" i="9"/>
  <c r="EU193" i="9"/>
  <c r="ET193" i="9"/>
  <c r="ES193" i="9"/>
  <c r="ER193" i="9"/>
  <c r="EQ193" i="9"/>
  <c r="EP193" i="9"/>
  <c r="EO193" i="9"/>
  <c r="EN193" i="9"/>
  <c r="EK193" i="9"/>
  <c r="EJ193" i="9"/>
  <c r="EI193" i="9"/>
  <c r="EH193" i="9"/>
  <c r="EG193" i="9"/>
  <c r="EF193" i="9"/>
  <c r="EE193" i="9"/>
  <c r="ED193" i="9"/>
  <c r="EC193" i="9"/>
  <c r="EB193" i="9"/>
  <c r="EA193" i="9"/>
  <c r="DZ193" i="9"/>
  <c r="DW193" i="9"/>
  <c r="DV193" i="9"/>
  <c r="DU193" i="9"/>
  <c r="DT193" i="9"/>
  <c r="DS193" i="9"/>
  <c r="DR193" i="9"/>
  <c r="DQ193" i="9"/>
  <c r="DP193" i="9"/>
  <c r="DO193" i="9"/>
  <c r="DN193" i="9"/>
  <c r="DM193" i="9"/>
  <c r="DL193" i="9"/>
  <c r="DI193" i="9"/>
  <c r="DH193" i="9"/>
  <c r="DG193" i="9"/>
  <c r="DF193" i="9"/>
  <c r="DE193" i="9"/>
  <c r="DD193" i="9"/>
  <c r="DC193" i="9"/>
  <c r="DB193" i="9"/>
  <c r="DA193" i="9"/>
  <c r="CZ193" i="9"/>
  <c r="CY193" i="9"/>
  <c r="CX193" i="9"/>
  <c r="CU193" i="9"/>
  <c r="CT193" i="9"/>
  <c r="CS193" i="9"/>
  <c r="CR193" i="9"/>
  <c r="CQ193" i="9"/>
  <c r="CP193" i="9"/>
  <c r="CO193" i="9"/>
  <c r="CN193" i="9"/>
  <c r="CM193" i="9"/>
  <c r="CL193" i="9"/>
  <c r="CK193" i="9"/>
  <c r="CJ193" i="9"/>
  <c r="CG193" i="9"/>
  <c r="CF193" i="9"/>
  <c r="CE193" i="9"/>
  <c r="CD193" i="9"/>
  <c r="CC193" i="9"/>
  <c r="CB193" i="9"/>
  <c r="CA193" i="9"/>
  <c r="BZ193" i="9"/>
  <c r="BY193" i="9"/>
  <c r="BX193" i="9"/>
  <c r="BW193" i="9"/>
  <c r="BV193" i="9"/>
  <c r="BS193" i="9"/>
  <c r="BR193" i="9"/>
  <c r="BQ193" i="9"/>
  <c r="BP193" i="9"/>
  <c r="BO193" i="9"/>
  <c r="BN193" i="9"/>
  <c r="BM193" i="9"/>
  <c r="BL193" i="9"/>
  <c r="BK193" i="9"/>
  <c r="BJ193" i="9"/>
  <c r="BI193" i="9"/>
  <c r="BH193" i="9"/>
  <c r="BE193" i="9"/>
  <c r="BD193" i="9"/>
  <c r="BC193" i="9"/>
  <c r="BB193" i="9"/>
  <c r="BA193" i="9"/>
  <c r="AZ193" i="9"/>
  <c r="AY193" i="9"/>
  <c r="AX193" i="9"/>
  <c r="AW193" i="9"/>
  <c r="AV193" i="9"/>
  <c r="AU193" i="9"/>
  <c r="AT193" i="9"/>
  <c r="AQ193" i="9"/>
  <c r="AP193" i="9"/>
  <c r="AO193" i="9"/>
  <c r="AN193" i="9"/>
  <c r="AM193" i="9"/>
  <c r="AL193" i="9"/>
  <c r="AK193" i="9"/>
  <c r="AJ193" i="9"/>
  <c r="AI193" i="9"/>
  <c r="AH193" i="9"/>
  <c r="AG193" i="9"/>
  <c r="AF193" i="9"/>
  <c r="AC193" i="9"/>
  <c r="AB193" i="9"/>
  <c r="AA193" i="9"/>
  <c r="Z193" i="9"/>
  <c r="Y193" i="9"/>
  <c r="X193" i="9"/>
  <c r="W193" i="9"/>
  <c r="V193" i="9"/>
  <c r="U193" i="9"/>
  <c r="T193" i="9"/>
  <c r="S193" i="9"/>
  <c r="R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LZ192" i="9"/>
  <c r="LK192" i="9"/>
  <c r="LJ192" i="9"/>
  <c r="LI192" i="9"/>
  <c r="LH192" i="9"/>
  <c r="LG192" i="9"/>
  <c r="LF192" i="9"/>
  <c r="LE192" i="9"/>
  <c r="LD192" i="9"/>
  <c r="LC192" i="9"/>
  <c r="LB192" i="9"/>
  <c r="LA192" i="9"/>
  <c r="KZ192" i="9"/>
  <c r="KW192" i="9"/>
  <c r="KV192" i="9"/>
  <c r="KU192" i="9"/>
  <c r="KT192" i="9"/>
  <c r="KS192" i="9"/>
  <c r="KR192" i="9"/>
  <c r="KQ192" i="9"/>
  <c r="KP192" i="9"/>
  <c r="KO192" i="9"/>
  <c r="KN192" i="9"/>
  <c r="KM192" i="9"/>
  <c r="KL192" i="9"/>
  <c r="KI192" i="9"/>
  <c r="KH192" i="9"/>
  <c r="KG192" i="9"/>
  <c r="KF192" i="9"/>
  <c r="KE192" i="9"/>
  <c r="KD192" i="9"/>
  <c r="KC192" i="9"/>
  <c r="KB192" i="9"/>
  <c r="KA192" i="9"/>
  <c r="JZ192" i="9"/>
  <c r="JY192" i="9"/>
  <c r="JX192" i="9"/>
  <c r="JU192" i="9"/>
  <c r="JT192" i="9"/>
  <c r="JS192" i="9"/>
  <c r="JR192" i="9"/>
  <c r="JQ192" i="9"/>
  <c r="JP192" i="9"/>
  <c r="JO192" i="9"/>
  <c r="JN192" i="9"/>
  <c r="JM192" i="9"/>
  <c r="JL192" i="9"/>
  <c r="JK192" i="9"/>
  <c r="JJ192" i="9"/>
  <c r="JG192" i="9"/>
  <c r="JF192" i="9"/>
  <c r="JE192" i="9"/>
  <c r="JD192" i="9"/>
  <c r="JC192" i="9"/>
  <c r="JB192" i="9"/>
  <c r="JA192" i="9"/>
  <c r="IZ192" i="9"/>
  <c r="IY192" i="9"/>
  <c r="IX192" i="9"/>
  <c r="IW192" i="9"/>
  <c r="IV192" i="9"/>
  <c r="IS192" i="9"/>
  <c r="IR192" i="9"/>
  <c r="IQ192" i="9"/>
  <c r="IP192" i="9"/>
  <c r="IO192" i="9"/>
  <c r="IN192" i="9"/>
  <c r="IM192" i="9"/>
  <c r="IL192" i="9"/>
  <c r="IK192" i="9"/>
  <c r="IJ192" i="9"/>
  <c r="II192" i="9"/>
  <c r="IH192" i="9"/>
  <c r="IE192" i="9"/>
  <c r="ID192" i="9"/>
  <c r="IC192" i="9"/>
  <c r="IB192" i="9"/>
  <c r="IA192" i="9"/>
  <c r="HZ192" i="9"/>
  <c r="HY192" i="9"/>
  <c r="HX192" i="9"/>
  <c r="HW192" i="9"/>
  <c r="HV192" i="9"/>
  <c r="HU192" i="9"/>
  <c r="HT192" i="9"/>
  <c r="HQ192" i="9"/>
  <c r="HP192" i="9"/>
  <c r="HO192" i="9"/>
  <c r="HN192" i="9"/>
  <c r="HM192" i="9"/>
  <c r="HL192" i="9"/>
  <c r="HK192" i="9"/>
  <c r="HJ192" i="9"/>
  <c r="HI192" i="9"/>
  <c r="HH192" i="9"/>
  <c r="HG192" i="9"/>
  <c r="HF192" i="9"/>
  <c r="HC192" i="9"/>
  <c r="HB192" i="9"/>
  <c r="HA192" i="9"/>
  <c r="GZ192" i="9"/>
  <c r="GY192" i="9"/>
  <c r="GX192" i="9"/>
  <c r="GW192" i="9"/>
  <c r="GV192" i="9"/>
  <c r="GU192" i="9"/>
  <c r="GT192" i="9"/>
  <c r="GS192" i="9"/>
  <c r="GR192" i="9"/>
  <c r="GO192" i="9"/>
  <c r="GN192" i="9"/>
  <c r="GM192" i="9"/>
  <c r="GL192" i="9"/>
  <c r="GK192" i="9"/>
  <c r="GJ192" i="9"/>
  <c r="GI192" i="9"/>
  <c r="GH192" i="9"/>
  <c r="GG192" i="9"/>
  <c r="GF192" i="9"/>
  <c r="GE192" i="9"/>
  <c r="GD192" i="9"/>
  <c r="GA192" i="9"/>
  <c r="FZ192" i="9"/>
  <c r="FY192" i="9"/>
  <c r="FX192" i="9"/>
  <c r="FW192" i="9"/>
  <c r="FV192" i="9"/>
  <c r="FU192" i="9"/>
  <c r="FT192" i="9"/>
  <c r="FS192" i="9"/>
  <c r="FR192" i="9"/>
  <c r="FQ192" i="9"/>
  <c r="FP192" i="9"/>
  <c r="FM192" i="9"/>
  <c r="FL192" i="9"/>
  <c r="FK192" i="9"/>
  <c r="FJ192" i="9"/>
  <c r="FI192" i="9"/>
  <c r="FH192" i="9"/>
  <c r="FG192" i="9"/>
  <c r="FF192" i="9"/>
  <c r="FE192" i="9"/>
  <c r="FD192" i="9"/>
  <c r="FC192" i="9"/>
  <c r="FB192" i="9"/>
  <c r="EY192" i="9"/>
  <c r="EX192" i="9"/>
  <c r="EW192" i="9"/>
  <c r="EV192" i="9"/>
  <c r="EU192" i="9"/>
  <c r="ET192" i="9"/>
  <c r="ES192" i="9"/>
  <c r="ER192" i="9"/>
  <c r="EQ192" i="9"/>
  <c r="EP192" i="9"/>
  <c r="EO192" i="9"/>
  <c r="EN192" i="9"/>
  <c r="EK192" i="9"/>
  <c r="EJ192" i="9"/>
  <c r="EI192" i="9"/>
  <c r="EH192" i="9"/>
  <c r="EG192" i="9"/>
  <c r="EF192" i="9"/>
  <c r="EE192" i="9"/>
  <c r="ED192" i="9"/>
  <c r="EC192" i="9"/>
  <c r="EB192" i="9"/>
  <c r="EA192" i="9"/>
  <c r="DZ192" i="9"/>
  <c r="DW192" i="9"/>
  <c r="DV192" i="9"/>
  <c r="DU192" i="9"/>
  <c r="DT192" i="9"/>
  <c r="DS192" i="9"/>
  <c r="DR192" i="9"/>
  <c r="DQ192" i="9"/>
  <c r="DP192" i="9"/>
  <c r="DO192" i="9"/>
  <c r="DN192" i="9"/>
  <c r="DM192" i="9"/>
  <c r="DL192" i="9"/>
  <c r="DI192" i="9"/>
  <c r="DH192" i="9"/>
  <c r="DG192" i="9"/>
  <c r="DF192" i="9"/>
  <c r="DE192" i="9"/>
  <c r="DD192" i="9"/>
  <c r="DC192" i="9"/>
  <c r="DB192" i="9"/>
  <c r="DA192" i="9"/>
  <c r="CZ192" i="9"/>
  <c r="CY192" i="9"/>
  <c r="CX192" i="9"/>
  <c r="CU192" i="9"/>
  <c r="CT192" i="9"/>
  <c r="CS192" i="9"/>
  <c r="CR192" i="9"/>
  <c r="CQ192" i="9"/>
  <c r="CP192" i="9"/>
  <c r="CO192" i="9"/>
  <c r="CN192" i="9"/>
  <c r="CM192" i="9"/>
  <c r="CL192" i="9"/>
  <c r="CK192" i="9"/>
  <c r="CJ192" i="9"/>
  <c r="CG192" i="9"/>
  <c r="CF192" i="9"/>
  <c r="CE192" i="9"/>
  <c r="CD192" i="9"/>
  <c r="CC192" i="9"/>
  <c r="CB192" i="9"/>
  <c r="CA192" i="9"/>
  <c r="BZ192" i="9"/>
  <c r="BY192" i="9"/>
  <c r="BX192" i="9"/>
  <c r="BW192" i="9"/>
  <c r="BV192" i="9"/>
  <c r="BS192" i="9"/>
  <c r="BR192" i="9"/>
  <c r="BQ192" i="9"/>
  <c r="BP192" i="9"/>
  <c r="BO192" i="9"/>
  <c r="BN192" i="9"/>
  <c r="BM192" i="9"/>
  <c r="BL192" i="9"/>
  <c r="BK192" i="9"/>
  <c r="BJ192" i="9"/>
  <c r="BI192" i="9"/>
  <c r="BH192" i="9"/>
  <c r="BE192" i="9"/>
  <c r="BD192" i="9"/>
  <c r="BC192" i="9"/>
  <c r="BB192" i="9"/>
  <c r="BA192" i="9"/>
  <c r="AZ192" i="9"/>
  <c r="AY192" i="9"/>
  <c r="AX192" i="9"/>
  <c r="AW192" i="9"/>
  <c r="AV192" i="9"/>
  <c r="AU192" i="9"/>
  <c r="AT192" i="9"/>
  <c r="AQ192" i="9"/>
  <c r="AP192" i="9"/>
  <c r="AO192" i="9"/>
  <c r="AN192" i="9"/>
  <c r="AM192" i="9"/>
  <c r="AL192" i="9"/>
  <c r="AK192" i="9"/>
  <c r="AJ192" i="9"/>
  <c r="AI192" i="9"/>
  <c r="AH192" i="9"/>
  <c r="AG192" i="9"/>
  <c r="AF192" i="9"/>
  <c r="AC192" i="9"/>
  <c r="AB192" i="9"/>
  <c r="AA192" i="9"/>
  <c r="Z192" i="9"/>
  <c r="Y192" i="9"/>
  <c r="X192" i="9"/>
  <c r="W192" i="9"/>
  <c r="V192" i="9"/>
  <c r="U192" i="9"/>
  <c r="T192" i="9"/>
  <c r="S192" i="9"/>
  <c r="R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LZ191" i="9"/>
  <c r="LK191" i="9"/>
  <c r="LJ191" i="9"/>
  <c r="LI191" i="9"/>
  <c r="LH191" i="9"/>
  <c r="LG191" i="9"/>
  <c r="LF191" i="9"/>
  <c r="LE191" i="9"/>
  <c r="LD191" i="9"/>
  <c r="LC191" i="9"/>
  <c r="LB191" i="9"/>
  <c r="LA191" i="9"/>
  <c r="KZ191" i="9"/>
  <c r="KW191" i="9"/>
  <c r="KV191" i="9"/>
  <c r="KU191" i="9"/>
  <c r="KT191" i="9"/>
  <c r="KS191" i="9"/>
  <c r="KR191" i="9"/>
  <c r="KQ191" i="9"/>
  <c r="KP191" i="9"/>
  <c r="KO191" i="9"/>
  <c r="KN191" i="9"/>
  <c r="KM191" i="9"/>
  <c r="KL191" i="9"/>
  <c r="KI191" i="9"/>
  <c r="KH191" i="9"/>
  <c r="KG191" i="9"/>
  <c r="KF191" i="9"/>
  <c r="KE191" i="9"/>
  <c r="KD191" i="9"/>
  <c r="KC191" i="9"/>
  <c r="KB191" i="9"/>
  <c r="KA191" i="9"/>
  <c r="JZ191" i="9"/>
  <c r="JY191" i="9"/>
  <c r="JX191" i="9"/>
  <c r="JU191" i="9"/>
  <c r="JT191" i="9"/>
  <c r="JS191" i="9"/>
  <c r="JR191" i="9"/>
  <c r="JQ191" i="9"/>
  <c r="JP191" i="9"/>
  <c r="JO191" i="9"/>
  <c r="JN191" i="9"/>
  <c r="JM191" i="9"/>
  <c r="JL191" i="9"/>
  <c r="JK191" i="9"/>
  <c r="JJ191" i="9"/>
  <c r="JG191" i="9"/>
  <c r="JF191" i="9"/>
  <c r="JE191" i="9"/>
  <c r="JD191" i="9"/>
  <c r="JC191" i="9"/>
  <c r="JB191" i="9"/>
  <c r="JA191" i="9"/>
  <c r="IZ191" i="9"/>
  <c r="IY191" i="9"/>
  <c r="IX191" i="9"/>
  <c r="IW191" i="9"/>
  <c r="IV191" i="9"/>
  <c r="IS191" i="9"/>
  <c r="IR191" i="9"/>
  <c r="IQ191" i="9"/>
  <c r="IP191" i="9"/>
  <c r="IO191" i="9"/>
  <c r="IN191" i="9"/>
  <c r="IM191" i="9"/>
  <c r="IL191" i="9"/>
  <c r="IK191" i="9"/>
  <c r="IJ191" i="9"/>
  <c r="II191" i="9"/>
  <c r="IH191" i="9"/>
  <c r="IE191" i="9"/>
  <c r="ID191" i="9"/>
  <c r="IC191" i="9"/>
  <c r="IB191" i="9"/>
  <c r="IA191" i="9"/>
  <c r="HZ191" i="9"/>
  <c r="HY191" i="9"/>
  <c r="HX191" i="9"/>
  <c r="HW191" i="9"/>
  <c r="HV191" i="9"/>
  <c r="HU191" i="9"/>
  <c r="HT191" i="9"/>
  <c r="HQ191" i="9"/>
  <c r="HP191" i="9"/>
  <c r="HO191" i="9"/>
  <c r="HN191" i="9"/>
  <c r="HM191" i="9"/>
  <c r="HL191" i="9"/>
  <c r="HK191" i="9"/>
  <c r="HJ191" i="9"/>
  <c r="HI191" i="9"/>
  <c r="HH191" i="9"/>
  <c r="HG191" i="9"/>
  <c r="HF191" i="9"/>
  <c r="HC191" i="9"/>
  <c r="HB191" i="9"/>
  <c r="HA191" i="9"/>
  <c r="GZ191" i="9"/>
  <c r="GY191" i="9"/>
  <c r="GX191" i="9"/>
  <c r="GW191" i="9"/>
  <c r="GV191" i="9"/>
  <c r="GU191" i="9"/>
  <c r="GT191" i="9"/>
  <c r="GS191" i="9"/>
  <c r="GR191" i="9"/>
  <c r="GO191" i="9"/>
  <c r="GN191" i="9"/>
  <c r="GM191" i="9"/>
  <c r="GL191" i="9"/>
  <c r="GK191" i="9"/>
  <c r="GJ191" i="9"/>
  <c r="GI191" i="9"/>
  <c r="GH191" i="9"/>
  <c r="GG191" i="9"/>
  <c r="GF191" i="9"/>
  <c r="GE191" i="9"/>
  <c r="GD191" i="9"/>
  <c r="GA191" i="9"/>
  <c r="FZ191" i="9"/>
  <c r="FY191" i="9"/>
  <c r="FX191" i="9"/>
  <c r="FW191" i="9"/>
  <c r="FV191" i="9"/>
  <c r="FU191" i="9"/>
  <c r="FT191" i="9"/>
  <c r="FS191" i="9"/>
  <c r="FR191" i="9"/>
  <c r="FQ191" i="9"/>
  <c r="FP191" i="9"/>
  <c r="FM191" i="9"/>
  <c r="FL191" i="9"/>
  <c r="FK191" i="9"/>
  <c r="FJ191" i="9"/>
  <c r="FI191" i="9"/>
  <c r="FH191" i="9"/>
  <c r="FG191" i="9"/>
  <c r="FF191" i="9"/>
  <c r="FE191" i="9"/>
  <c r="FD191" i="9"/>
  <c r="FC191" i="9"/>
  <c r="FB191" i="9"/>
  <c r="EY191" i="9"/>
  <c r="EX191" i="9"/>
  <c r="EW191" i="9"/>
  <c r="EV191" i="9"/>
  <c r="EU191" i="9"/>
  <c r="ET191" i="9"/>
  <c r="ES191" i="9"/>
  <c r="ER191" i="9"/>
  <c r="EQ191" i="9"/>
  <c r="EP191" i="9"/>
  <c r="EO191" i="9"/>
  <c r="EN191" i="9"/>
  <c r="EK191" i="9"/>
  <c r="EJ191" i="9"/>
  <c r="EI191" i="9"/>
  <c r="EH191" i="9"/>
  <c r="EG191" i="9"/>
  <c r="EF191" i="9"/>
  <c r="EE191" i="9"/>
  <c r="ED191" i="9"/>
  <c r="EC191" i="9"/>
  <c r="EB191" i="9"/>
  <c r="EA191" i="9"/>
  <c r="DZ191" i="9"/>
  <c r="DW191" i="9"/>
  <c r="DV191" i="9"/>
  <c r="DU191" i="9"/>
  <c r="DT191" i="9"/>
  <c r="DS191" i="9"/>
  <c r="DR191" i="9"/>
  <c r="DQ191" i="9"/>
  <c r="DP191" i="9"/>
  <c r="DO191" i="9"/>
  <c r="DN191" i="9"/>
  <c r="DM191" i="9"/>
  <c r="DL191" i="9"/>
  <c r="DI191" i="9"/>
  <c r="DH191" i="9"/>
  <c r="DG191" i="9"/>
  <c r="DF191" i="9"/>
  <c r="DE191" i="9"/>
  <c r="DD191" i="9"/>
  <c r="DC191" i="9"/>
  <c r="DB191" i="9"/>
  <c r="DA191" i="9"/>
  <c r="CZ191" i="9"/>
  <c r="CY191" i="9"/>
  <c r="CX191" i="9"/>
  <c r="CU191" i="9"/>
  <c r="CT191" i="9"/>
  <c r="CS191" i="9"/>
  <c r="CR191" i="9"/>
  <c r="CQ191" i="9"/>
  <c r="CP191" i="9"/>
  <c r="CO191" i="9"/>
  <c r="CN191" i="9"/>
  <c r="CM191" i="9"/>
  <c r="CL191" i="9"/>
  <c r="CK191" i="9"/>
  <c r="CJ191" i="9"/>
  <c r="CG191" i="9"/>
  <c r="CF191" i="9"/>
  <c r="CE191" i="9"/>
  <c r="CD191" i="9"/>
  <c r="CC191" i="9"/>
  <c r="CB191" i="9"/>
  <c r="CA191" i="9"/>
  <c r="BZ191" i="9"/>
  <c r="BY191" i="9"/>
  <c r="BX191" i="9"/>
  <c r="BW191" i="9"/>
  <c r="BV191" i="9"/>
  <c r="BS191" i="9"/>
  <c r="BR191" i="9"/>
  <c r="BQ191" i="9"/>
  <c r="BP191" i="9"/>
  <c r="BO191" i="9"/>
  <c r="BN191" i="9"/>
  <c r="BM191" i="9"/>
  <c r="BL191" i="9"/>
  <c r="BK191" i="9"/>
  <c r="BJ191" i="9"/>
  <c r="BI191" i="9"/>
  <c r="BH191" i="9"/>
  <c r="BE191" i="9"/>
  <c r="BD191" i="9"/>
  <c r="BC191" i="9"/>
  <c r="BB191" i="9"/>
  <c r="BA191" i="9"/>
  <c r="AZ191" i="9"/>
  <c r="AY191" i="9"/>
  <c r="AX191" i="9"/>
  <c r="AW191" i="9"/>
  <c r="AV191" i="9"/>
  <c r="AU191" i="9"/>
  <c r="AT191" i="9"/>
  <c r="AQ191" i="9"/>
  <c r="AP191" i="9"/>
  <c r="AO191" i="9"/>
  <c r="AN191" i="9"/>
  <c r="AM191" i="9"/>
  <c r="AL191" i="9"/>
  <c r="AK191" i="9"/>
  <c r="AJ191" i="9"/>
  <c r="AI191" i="9"/>
  <c r="AH191" i="9"/>
  <c r="AG191" i="9"/>
  <c r="AF191" i="9"/>
  <c r="AC191" i="9"/>
  <c r="AB191" i="9"/>
  <c r="AA191" i="9"/>
  <c r="Z191" i="9"/>
  <c r="Y191" i="9"/>
  <c r="X191" i="9"/>
  <c r="W191" i="9"/>
  <c r="V191" i="9"/>
  <c r="U191" i="9"/>
  <c r="T191" i="9"/>
  <c r="S191" i="9"/>
  <c r="R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LY188" i="9"/>
  <c r="LX188" i="9"/>
  <c r="LW188" i="9"/>
  <c r="LV188" i="9"/>
  <c r="LU188" i="9"/>
  <c r="LT188" i="9"/>
  <c r="LS188" i="9"/>
  <c r="LR188" i="9"/>
  <c r="LQ188" i="9"/>
  <c r="LP188" i="9"/>
  <c r="LO188" i="9"/>
  <c r="LN188" i="9"/>
  <c r="LZ186" i="9"/>
  <c r="LK186" i="9"/>
  <c r="LJ186" i="9"/>
  <c r="LI186" i="9"/>
  <c r="LH186" i="9"/>
  <c r="LG186" i="9"/>
  <c r="LF186" i="9"/>
  <c r="LE186" i="9"/>
  <c r="LD186" i="9"/>
  <c r="LC186" i="9"/>
  <c r="LB186" i="9"/>
  <c r="LA186" i="9"/>
  <c r="KZ186" i="9"/>
  <c r="KW186" i="9"/>
  <c r="KV186" i="9"/>
  <c r="KU186" i="9"/>
  <c r="KT186" i="9"/>
  <c r="KS186" i="9"/>
  <c r="KR186" i="9"/>
  <c r="KQ186" i="9"/>
  <c r="KP186" i="9"/>
  <c r="KO186" i="9"/>
  <c r="KN186" i="9"/>
  <c r="KM186" i="9"/>
  <c r="KL186" i="9"/>
  <c r="KI186" i="9"/>
  <c r="KH186" i="9"/>
  <c r="KG186" i="9"/>
  <c r="KF186" i="9"/>
  <c r="KE186" i="9"/>
  <c r="KD186" i="9"/>
  <c r="KC186" i="9"/>
  <c r="KB186" i="9"/>
  <c r="KA186" i="9"/>
  <c r="JZ186" i="9"/>
  <c r="JY186" i="9"/>
  <c r="JX186" i="9"/>
  <c r="JU186" i="9"/>
  <c r="JT186" i="9"/>
  <c r="JS186" i="9"/>
  <c r="JR186" i="9"/>
  <c r="JQ186" i="9"/>
  <c r="JP186" i="9"/>
  <c r="JO186" i="9"/>
  <c r="JN186" i="9"/>
  <c r="JM186" i="9"/>
  <c r="JL186" i="9"/>
  <c r="JK186" i="9"/>
  <c r="JJ186" i="9"/>
  <c r="JG186" i="9"/>
  <c r="JF186" i="9"/>
  <c r="JE186" i="9"/>
  <c r="JD186" i="9"/>
  <c r="JC186" i="9"/>
  <c r="JB186" i="9"/>
  <c r="JA186" i="9"/>
  <c r="IZ186" i="9"/>
  <c r="IY186" i="9"/>
  <c r="IX186" i="9"/>
  <c r="IW186" i="9"/>
  <c r="IV186" i="9"/>
  <c r="IS186" i="9"/>
  <c r="IR186" i="9"/>
  <c r="IQ186" i="9"/>
  <c r="IP186" i="9"/>
  <c r="IO186" i="9"/>
  <c r="IN186" i="9"/>
  <c r="IM186" i="9"/>
  <c r="IL186" i="9"/>
  <c r="IK186" i="9"/>
  <c r="IJ186" i="9"/>
  <c r="II186" i="9"/>
  <c r="IH186" i="9"/>
  <c r="IE186" i="9"/>
  <c r="ID186" i="9"/>
  <c r="IC186" i="9"/>
  <c r="IB186" i="9"/>
  <c r="IA186" i="9"/>
  <c r="HZ186" i="9"/>
  <c r="HY186" i="9"/>
  <c r="HX186" i="9"/>
  <c r="HW186" i="9"/>
  <c r="HV186" i="9"/>
  <c r="HU186" i="9"/>
  <c r="HT186" i="9"/>
  <c r="HQ186" i="9"/>
  <c r="HP186" i="9"/>
  <c r="HO186" i="9"/>
  <c r="HN186" i="9"/>
  <c r="HM186" i="9"/>
  <c r="HL186" i="9"/>
  <c r="HK186" i="9"/>
  <c r="HJ186" i="9"/>
  <c r="HI186" i="9"/>
  <c r="HH186" i="9"/>
  <c r="HG186" i="9"/>
  <c r="HF186" i="9"/>
  <c r="HC186" i="9"/>
  <c r="HB186" i="9"/>
  <c r="HA186" i="9"/>
  <c r="GZ186" i="9"/>
  <c r="GY186" i="9"/>
  <c r="GX186" i="9"/>
  <c r="GW186" i="9"/>
  <c r="GV186" i="9"/>
  <c r="GU186" i="9"/>
  <c r="GT186" i="9"/>
  <c r="GS186" i="9"/>
  <c r="GR186" i="9"/>
  <c r="GO186" i="9"/>
  <c r="GN186" i="9"/>
  <c r="GM186" i="9"/>
  <c r="GL186" i="9"/>
  <c r="GK186" i="9"/>
  <c r="GJ186" i="9"/>
  <c r="GI186" i="9"/>
  <c r="GH186" i="9"/>
  <c r="GG186" i="9"/>
  <c r="GF186" i="9"/>
  <c r="GE186" i="9"/>
  <c r="GD186" i="9"/>
  <c r="GA186" i="9"/>
  <c r="FZ186" i="9"/>
  <c r="FY186" i="9"/>
  <c r="FX186" i="9"/>
  <c r="FW186" i="9"/>
  <c r="FV186" i="9"/>
  <c r="FU186" i="9"/>
  <c r="FT186" i="9"/>
  <c r="FS186" i="9"/>
  <c r="FR186" i="9"/>
  <c r="FQ186" i="9"/>
  <c r="FP186" i="9"/>
  <c r="FM186" i="9"/>
  <c r="FL186" i="9"/>
  <c r="FK186" i="9"/>
  <c r="FJ186" i="9"/>
  <c r="FI186" i="9"/>
  <c r="FH186" i="9"/>
  <c r="FG186" i="9"/>
  <c r="FF186" i="9"/>
  <c r="FE186" i="9"/>
  <c r="FD186" i="9"/>
  <c r="FC186" i="9"/>
  <c r="FB186" i="9"/>
  <c r="EY186" i="9"/>
  <c r="EX186" i="9"/>
  <c r="EW186" i="9"/>
  <c r="EV186" i="9"/>
  <c r="EU186" i="9"/>
  <c r="ET186" i="9"/>
  <c r="ES186" i="9"/>
  <c r="ER186" i="9"/>
  <c r="EQ186" i="9"/>
  <c r="EP186" i="9"/>
  <c r="EO186" i="9"/>
  <c r="EN186" i="9"/>
  <c r="EK186" i="9"/>
  <c r="EJ186" i="9"/>
  <c r="EI186" i="9"/>
  <c r="EH186" i="9"/>
  <c r="EG186" i="9"/>
  <c r="EF186" i="9"/>
  <c r="EE186" i="9"/>
  <c r="ED186" i="9"/>
  <c r="EC186" i="9"/>
  <c r="EB186" i="9"/>
  <c r="EA186" i="9"/>
  <c r="DZ186" i="9"/>
  <c r="DW186" i="9"/>
  <c r="DV186" i="9"/>
  <c r="DU186" i="9"/>
  <c r="DT186" i="9"/>
  <c r="DS186" i="9"/>
  <c r="DR186" i="9"/>
  <c r="DQ186" i="9"/>
  <c r="DP186" i="9"/>
  <c r="DO186" i="9"/>
  <c r="DN186" i="9"/>
  <c r="DM186" i="9"/>
  <c r="DL186" i="9"/>
  <c r="DI186" i="9"/>
  <c r="DH186" i="9"/>
  <c r="DG186" i="9"/>
  <c r="DF186" i="9"/>
  <c r="DE186" i="9"/>
  <c r="DD186" i="9"/>
  <c r="DC186" i="9"/>
  <c r="DB186" i="9"/>
  <c r="DA186" i="9"/>
  <c r="CZ186" i="9"/>
  <c r="CY186" i="9"/>
  <c r="CX186" i="9"/>
  <c r="CU186" i="9"/>
  <c r="CT186" i="9"/>
  <c r="CS186" i="9"/>
  <c r="CR186" i="9"/>
  <c r="CQ186" i="9"/>
  <c r="CP186" i="9"/>
  <c r="CO186" i="9"/>
  <c r="CN186" i="9"/>
  <c r="CM186" i="9"/>
  <c r="CL186" i="9"/>
  <c r="CK186" i="9"/>
  <c r="CJ186" i="9"/>
  <c r="CG186" i="9"/>
  <c r="CF186" i="9"/>
  <c r="CE186" i="9"/>
  <c r="CD186" i="9"/>
  <c r="CC186" i="9"/>
  <c r="CB186" i="9"/>
  <c r="CA186" i="9"/>
  <c r="BZ186" i="9"/>
  <c r="BY186" i="9"/>
  <c r="BX186" i="9"/>
  <c r="BW186" i="9"/>
  <c r="BV186" i="9"/>
  <c r="BS186" i="9"/>
  <c r="BR186" i="9"/>
  <c r="BQ186" i="9"/>
  <c r="BP186" i="9"/>
  <c r="BO186" i="9"/>
  <c r="BN186" i="9"/>
  <c r="BM186" i="9"/>
  <c r="BL186" i="9"/>
  <c r="BK186" i="9"/>
  <c r="BJ186" i="9"/>
  <c r="BI186" i="9"/>
  <c r="BH186" i="9"/>
  <c r="BE186" i="9"/>
  <c r="BD186" i="9"/>
  <c r="BC186" i="9"/>
  <c r="BB186" i="9"/>
  <c r="BA186" i="9"/>
  <c r="AZ186" i="9"/>
  <c r="AY186" i="9"/>
  <c r="AX186" i="9"/>
  <c r="AW186" i="9"/>
  <c r="AV186" i="9"/>
  <c r="AU186" i="9"/>
  <c r="AT186" i="9"/>
  <c r="AQ186" i="9"/>
  <c r="AP186" i="9"/>
  <c r="AO186" i="9"/>
  <c r="AN186" i="9"/>
  <c r="AM186" i="9"/>
  <c r="AL186" i="9"/>
  <c r="AK186" i="9"/>
  <c r="AJ186" i="9"/>
  <c r="AI186" i="9"/>
  <c r="AH186" i="9"/>
  <c r="AG186" i="9"/>
  <c r="AF186" i="9"/>
  <c r="AC186" i="9"/>
  <c r="AB186" i="9"/>
  <c r="AA186" i="9"/>
  <c r="Z186" i="9"/>
  <c r="Y186" i="9"/>
  <c r="X186" i="9"/>
  <c r="W186" i="9"/>
  <c r="V186" i="9"/>
  <c r="U186" i="9"/>
  <c r="T186" i="9"/>
  <c r="S186" i="9"/>
  <c r="R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LZ185" i="9"/>
  <c r="LK185" i="9"/>
  <c r="LJ185" i="9"/>
  <c r="LI185" i="9"/>
  <c r="LH185" i="9"/>
  <c r="LG185" i="9"/>
  <c r="LF185" i="9"/>
  <c r="LE185" i="9"/>
  <c r="LD185" i="9"/>
  <c r="LC185" i="9"/>
  <c r="LB185" i="9"/>
  <c r="LA185" i="9"/>
  <c r="KZ185" i="9"/>
  <c r="KW185" i="9"/>
  <c r="KV185" i="9"/>
  <c r="KU185" i="9"/>
  <c r="KT185" i="9"/>
  <c r="KS185" i="9"/>
  <c r="KR185" i="9"/>
  <c r="KQ185" i="9"/>
  <c r="KP185" i="9"/>
  <c r="KO185" i="9"/>
  <c r="KN185" i="9"/>
  <c r="KM185" i="9"/>
  <c r="KL185" i="9"/>
  <c r="KI185" i="9"/>
  <c r="KH185" i="9"/>
  <c r="KG185" i="9"/>
  <c r="KF185" i="9"/>
  <c r="KE185" i="9"/>
  <c r="KD185" i="9"/>
  <c r="KC185" i="9"/>
  <c r="KB185" i="9"/>
  <c r="KA185" i="9"/>
  <c r="JZ185" i="9"/>
  <c r="JY185" i="9"/>
  <c r="JX185" i="9"/>
  <c r="JU185" i="9"/>
  <c r="JT185" i="9"/>
  <c r="JS185" i="9"/>
  <c r="JR185" i="9"/>
  <c r="JQ185" i="9"/>
  <c r="JP185" i="9"/>
  <c r="JO185" i="9"/>
  <c r="JN185" i="9"/>
  <c r="JM185" i="9"/>
  <c r="JL185" i="9"/>
  <c r="JK185" i="9"/>
  <c r="JJ185" i="9"/>
  <c r="JG185" i="9"/>
  <c r="JF185" i="9"/>
  <c r="JE185" i="9"/>
  <c r="JD185" i="9"/>
  <c r="JC185" i="9"/>
  <c r="JB185" i="9"/>
  <c r="JA185" i="9"/>
  <c r="IZ185" i="9"/>
  <c r="IY185" i="9"/>
  <c r="IX185" i="9"/>
  <c r="IW185" i="9"/>
  <c r="IV185" i="9"/>
  <c r="IS185" i="9"/>
  <c r="IR185" i="9"/>
  <c r="IQ185" i="9"/>
  <c r="IP185" i="9"/>
  <c r="IO185" i="9"/>
  <c r="IN185" i="9"/>
  <c r="IM185" i="9"/>
  <c r="IL185" i="9"/>
  <c r="IK185" i="9"/>
  <c r="IJ185" i="9"/>
  <c r="II185" i="9"/>
  <c r="IH185" i="9"/>
  <c r="IE185" i="9"/>
  <c r="ID185" i="9"/>
  <c r="IC185" i="9"/>
  <c r="IB185" i="9"/>
  <c r="IA185" i="9"/>
  <c r="HZ185" i="9"/>
  <c r="HY185" i="9"/>
  <c r="HX185" i="9"/>
  <c r="HW185" i="9"/>
  <c r="HV185" i="9"/>
  <c r="HU185" i="9"/>
  <c r="HT185" i="9"/>
  <c r="HQ185" i="9"/>
  <c r="HP185" i="9"/>
  <c r="HO185" i="9"/>
  <c r="HN185" i="9"/>
  <c r="HM185" i="9"/>
  <c r="HL185" i="9"/>
  <c r="HK185" i="9"/>
  <c r="HJ185" i="9"/>
  <c r="HI185" i="9"/>
  <c r="HH185" i="9"/>
  <c r="HG185" i="9"/>
  <c r="HF185" i="9"/>
  <c r="HC185" i="9"/>
  <c r="HB185" i="9"/>
  <c r="HA185" i="9"/>
  <c r="GZ185" i="9"/>
  <c r="GY185" i="9"/>
  <c r="GX185" i="9"/>
  <c r="GW185" i="9"/>
  <c r="GV185" i="9"/>
  <c r="GU185" i="9"/>
  <c r="GT185" i="9"/>
  <c r="GS185" i="9"/>
  <c r="GR185" i="9"/>
  <c r="GO185" i="9"/>
  <c r="GN185" i="9"/>
  <c r="GM185" i="9"/>
  <c r="GL185" i="9"/>
  <c r="GK185" i="9"/>
  <c r="GJ185" i="9"/>
  <c r="GI185" i="9"/>
  <c r="GH185" i="9"/>
  <c r="GG185" i="9"/>
  <c r="GF185" i="9"/>
  <c r="GE185" i="9"/>
  <c r="GD185" i="9"/>
  <c r="GA185" i="9"/>
  <c r="FZ185" i="9"/>
  <c r="FY185" i="9"/>
  <c r="FX185" i="9"/>
  <c r="FW185" i="9"/>
  <c r="FV185" i="9"/>
  <c r="FU185" i="9"/>
  <c r="FT185" i="9"/>
  <c r="FS185" i="9"/>
  <c r="FR185" i="9"/>
  <c r="FQ185" i="9"/>
  <c r="FP185" i="9"/>
  <c r="FM185" i="9"/>
  <c r="FL185" i="9"/>
  <c r="FK185" i="9"/>
  <c r="FJ185" i="9"/>
  <c r="FI185" i="9"/>
  <c r="FH185" i="9"/>
  <c r="FG185" i="9"/>
  <c r="FF185" i="9"/>
  <c r="FE185" i="9"/>
  <c r="FD185" i="9"/>
  <c r="FC185" i="9"/>
  <c r="FB185" i="9"/>
  <c r="EY185" i="9"/>
  <c r="EX185" i="9"/>
  <c r="EW185" i="9"/>
  <c r="EV185" i="9"/>
  <c r="EU185" i="9"/>
  <c r="ET185" i="9"/>
  <c r="ES185" i="9"/>
  <c r="ER185" i="9"/>
  <c r="EQ185" i="9"/>
  <c r="EP185" i="9"/>
  <c r="EO185" i="9"/>
  <c r="EN185" i="9"/>
  <c r="EK185" i="9"/>
  <c r="EJ185" i="9"/>
  <c r="EI185" i="9"/>
  <c r="EH185" i="9"/>
  <c r="EG185" i="9"/>
  <c r="EF185" i="9"/>
  <c r="EE185" i="9"/>
  <c r="ED185" i="9"/>
  <c r="EC185" i="9"/>
  <c r="EB185" i="9"/>
  <c r="EA185" i="9"/>
  <c r="DZ185" i="9"/>
  <c r="DW185" i="9"/>
  <c r="DV185" i="9"/>
  <c r="DU185" i="9"/>
  <c r="DT185" i="9"/>
  <c r="DS185" i="9"/>
  <c r="DR185" i="9"/>
  <c r="DQ185" i="9"/>
  <c r="DP185" i="9"/>
  <c r="DO185" i="9"/>
  <c r="DN185" i="9"/>
  <c r="DM185" i="9"/>
  <c r="DL185" i="9"/>
  <c r="DI185" i="9"/>
  <c r="DH185" i="9"/>
  <c r="DG185" i="9"/>
  <c r="DF185" i="9"/>
  <c r="DE185" i="9"/>
  <c r="DD185" i="9"/>
  <c r="DC185" i="9"/>
  <c r="DB185" i="9"/>
  <c r="DA185" i="9"/>
  <c r="CZ185" i="9"/>
  <c r="CY185" i="9"/>
  <c r="CX185" i="9"/>
  <c r="CU185" i="9"/>
  <c r="CT185" i="9"/>
  <c r="CS185" i="9"/>
  <c r="CR185" i="9"/>
  <c r="CQ185" i="9"/>
  <c r="CP185" i="9"/>
  <c r="CO185" i="9"/>
  <c r="CN185" i="9"/>
  <c r="CM185" i="9"/>
  <c r="CL185" i="9"/>
  <c r="CK185" i="9"/>
  <c r="CJ185" i="9"/>
  <c r="CG185" i="9"/>
  <c r="CF185" i="9"/>
  <c r="CE185" i="9"/>
  <c r="CD185" i="9"/>
  <c r="CC185" i="9"/>
  <c r="CB185" i="9"/>
  <c r="CA185" i="9"/>
  <c r="BZ185" i="9"/>
  <c r="BY185" i="9"/>
  <c r="BX185" i="9"/>
  <c r="BW185" i="9"/>
  <c r="BV185" i="9"/>
  <c r="BS185" i="9"/>
  <c r="BR185" i="9"/>
  <c r="BQ185" i="9"/>
  <c r="BP185" i="9"/>
  <c r="BO185" i="9"/>
  <c r="BN185" i="9"/>
  <c r="BM185" i="9"/>
  <c r="BL185" i="9"/>
  <c r="BK185" i="9"/>
  <c r="BJ185" i="9"/>
  <c r="BI185" i="9"/>
  <c r="BH185" i="9"/>
  <c r="BE185" i="9"/>
  <c r="BD185" i="9"/>
  <c r="BC185" i="9"/>
  <c r="BB185" i="9"/>
  <c r="BA185" i="9"/>
  <c r="AZ185" i="9"/>
  <c r="AY185" i="9"/>
  <c r="AX185" i="9"/>
  <c r="AW185" i="9"/>
  <c r="AV185" i="9"/>
  <c r="AU185" i="9"/>
  <c r="AT185" i="9"/>
  <c r="AQ185" i="9"/>
  <c r="AP185" i="9"/>
  <c r="AO185" i="9"/>
  <c r="AN185" i="9"/>
  <c r="AM185" i="9"/>
  <c r="AL185" i="9"/>
  <c r="AK185" i="9"/>
  <c r="AJ185" i="9"/>
  <c r="AI185" i="9"/>
  <c r="AH185" i="9"/>
  <c r="AG185" i="9"/>
  <c r="AF185" i="9"/>
  <c r="AC185" i="9"/>
  <c r="AB185" i="9"/>
  <c r="AA185" i="9"/>
  <c r="Z185" i="9"/>
  <c r="Y185" i="9"/>
  <c r="X185" i="9"/>
  <c r="W185" i="9"/>
  <c r="V185" i="9"/>
  <c r="U185" i="9"/>
  <c r="T185" i="9"/>
  <c r="S185" i="9"/>
  <c r="R185" i="9"/>
  <c r="O185" i="9"/>
  <c r="N185" i="9"/>
  <c r="M185" i="9"/>
  <c r="L185" i="9"/>
  <c r="K185" i="9"/>
  <c r="J185" i="9"/>
  <c r="I185" i="9"/>
  <c r="H185" i="9"/>
  <c r="G185" i="9"/>
  <c r="F185" i="9"/>
  <c r="E185" i="9"/>
  <c r="D185" i="9"/>
  <c r="LZ184" i="9"/>
  <c r="LK184" i="9"/>
  <c r="LJ184" i="9"/>
  <c r="LI184" i="9"/>
  <c r="LH184" i="9"/>
  <c r="LG184" i="9"/>
  <c r="LF184" i="9"/>
  <c r="LE184" i="9"/>
  <c r="LD184" i="9"/>
  <c r="LC184" i="9"/>
  <c r="LB184" i="9"/>
  <c r="LA184" i="9"/>
  <c r="KZ184" i="9"/>
  <c r="KW184" i="9"/>
  <c r="KV184" i="9"/>
  <c r="KU184" i="9"/>
  <c r="KT184" i="9"/>
  <c r="KS184" i="9"/>
  <c r="KR184" i="9"/>
  <c r="KQ184" i="9"/>
  <c r="KP184" i="9"/>
  <c r="KO184" i="9"/>
  <c r="KN184" i="9"/>
  <c r="KM184" i="9"/>
  <c r="KL184" i="9"/>
  <c r="KI184" i="9"/>
  <c r="KH184" i="9"/>
  <c r="KG184" i="9"/>
  <c r="KF184" i="9"/>
  <c r="KE184" i="9"/>
  <c r="KD184" i="9"/>
  <c r="KC184" i="9"/>
  <c r="KB184" i="9"/>
  <c r="KA184" i="9"/>
  <c r="JZ184" i="9"/>
  <c r="JY184" i="9"/>
  <c r="JX184" i="9"/>
  <c r="JU184" i="9"/>
  <c r="JT184" i="9"/>
  <c r="JS184" i="9"/>
  <c r="JR184" i="9"/>
  <c r="JQ184" i="9"/>
  <c r="JP184" i="9"/>
  <c r="JO184" i="9"/>
  <c r="JN184" i="9"/>
  <c r="JM184" i="9"/>
  <c r="JL184" i="9"/>
  <c r="JK184" i="9"/>
  <c r="JJ184" i="9"/>
  <c r="JG184" i="9"/>
  <c r="JF184" i="9"/>
  <c r="JE184" i="9"/>
  <c r="JD184" i="9"/>
  <c r="JC184" i="9"/>
  <c r="JB184" i="9"/>
  <c r="JA184" i="9"/>
  <c r="IZ184" i="9"/>
  <c r="IY184" i="9"/>
  <c r="IX184" i="9"/>
  <c r="IW184" i="9"/>
  <c r="IV184" i="9"/>
  <c r="IS184" i="9"/>
  <c r="IR184" i="9"/>
  <c r="IQ184" i="9"/>
  <c r="IP184" i="9"/>
  <c r="IO184" i="9"/>
  <c r="IN184" i="9"/>
  <c r="IM184" i="9"/>
  <c r="IL184" i="9"/>
  <c r="IK184" i="9"/>
  <c r="IJ184" i="9"/>
  <c r="II184" i="9"/>
  <c r="IH184" i="9"/>
  <c r="IE184" i="9"/>
  <c r="ID184" i="9"/>
  <c r="IC184" i="9"/>
  <c r="IB184" i="9"/>
  <c r="IA184" i="9"/>
  <c r="HZ184" i="9"/>
  <c r="HY184" i="9"/>
  <c r="HX184" i="9"/>
  <c r="HW184" i="9"/>
  <c r="HV184" i="9"/>
  <c r="HU184" i="9"/>
  <c r="HT184" i="9"/>
  <c r="HQ184" i="9"/>
  <c r="HP184" i="9"/>
  <c r="HO184" i="9"/>
  <c r="HN184" i="9"/>
  <c r="HM184" i="9"/>
  <c r="HL184" i="9"/>
  <c r="HK184" i="9"/>
  <c r="HJ184" i="9"/>
  <c r="HI184" i="9"/>
  <c r="HH184" i="9"/>
  <c r="HG184" i="9"/>
  <c r="HF184" i="9"/>
  <c r="HC184" i="9"/>
  <c r="HB184" i="9"/>
  <c r="HA184" i="9"/>
  <c r="GZ184" i="9"/>
  <c r="GY184" i="9"/>
  <c r="GX184" i="9"/>
  <c r="GW184" i="9"/>
  <c r="GV184" i="9"/>
  <c r="GU184" i="9"/>
  <c r="GT184" i="9"/>
  <c r="GS184" i="9"/>
  <c r="GR184" i="9"/>
  <c r="GO184" i="9"/>
  <c r="GN184" i="9"/>
  <c r="GM184" i="9"/>
  <c r="GL184" i="9"/>
  <c r="GK184" i="9"/>
  <c r="GJ184" i="9"/>
  <c r="GI184" i="9"/>
  <c r="GH184" i="9"/>
  <c r="GG184" i="9"/>
  <c r="GF184" i="9"/>
  <c r="GE184" i="9"/>
  <c r="GD184" i="9"/>
  <c r="GA184" i="9"/>
  <c r="FZ184" i="9"/>
  <c r="FY184" i="9"/>
  <c r="FX184" i="9"/>
  <c r="FW184" i="9"/>
  <c r="FV184" i="9"/>
  <c r="FU184" i="9"/>
  <c r="FT184" i="9"/>
  <c r="FS184" i="9"/>
  <c r="FR184" i="9"/>
  <c r="FQ184" i="9"/>
  <c r="FP184" i="9"/>
  <c r="FM184" i="9"/>
  <c r="FL184" i="9"/>
  <c r="FK184" i="9"/>
  <c r="FJ184" i="9"/>
  <c r="FI184" i="9"/>
  <c r="FH184" i="9"/>
  <c r="FG184" i="9"/>
  <c r="FF184" i="9"/>
  <c r="FE184" i="9"/>
  <c r="FD184" i="9"/>
  <c r="FC184" i="9"/>
  <c r="FB184" i="9"/>
  <c r="EY184" i="9"/>
  <c r="EX184" i="9"/>
  <c r="EW184" i="9"/>
  <c r="EV184" i="9"/>
  <c r="EU184" i="9"/>
  <c r="ET184" i="9"/>
  <c r="ES184" i="9"/>
  <c r="ER184" i="9"/>
  <c r="EQ184" i="9"/>
  <c r="EP184" i="9"/>
  <c r="EO184" i="9"/>
  <c r="EN184" i="9"/>
  <c r="EK184" i="9"/>
  <c r="EJ184" i="9"/>
  <c r="EI184" i="9"/>
  <c r="EH184" i="9"/>
  <c r="EG184" i="9"/>
  <c r="EF184" i="9"/>
  <c r="EE184" i="9"/>
  <c r="ED184" i="9"/>
  <c r="EC184" i="9"/>
  <c r="EB184" i="9"/>
  <c r="EA184" i="9"/>
  <c r="DZ184" i="9"/>
  <c r="DW184" i="9"/>
  <c r="DV184" i="9"/>
  <c r="DU184" i="9"/>
  <c r="DT184" i="9"/>
  <c r="DS184" i="9"/>
  <c r="DR184" i="9"/>
  <c r="DQ184" i="9"/>
  <c r="DP184" i="9"/>
  <c r="DO184" i="9"/>
  <c r="DN184" i="9"/>
  <c r="DM184" i="9"/>
  <c r="DL184" i="9"/>
  <c r="DI184" i="9"/>
  <c r="DH184" i="9"/>
  <c r="DG184" i="9"/>
  <c r="DF184" i="9"/>
  <c r="DE184" i="9"/>
  <c r="DD184" i="9"/>
  <c r="DC184" i="9"/>
  <c r="DB184" i="9"/>
  <c r="DA184" i="9"/>
  <c r="CZ184" i="9"/>
  <c r="CY184" i="9"/>
  <c r="CX184" i="9"/>
  <c r="CU184" i="9"/>
  <c r="CT184" i="9"/>
  <c r="CS184" i="9"/>
  <c r="CR184" i="9"/>
  <c r="CQ184" i="9"/>
  <c r="CP184" i="9"/>
  <c r="CO184" i="9"/>
  <c r="CN184" i="9"/>
  <c r="CM184" i="9"/>
  <c r="CL184" i="9"/>
  <c r="CK184" i="9"/>
  <c r="CJ184" i="9"/>
  <c r="CG184" i="9"/>
  <c r="CF184" i="9"/>
  <c r="CE184" i="9"/>
  <c r="CD184" i="9"/>
  <c r="CC184" i="9"/>
  <c r="CB184" i="9"/>
  <c r="CA184" i="9"/>
  <c r="BZ184" i="9"/>
  <c r="BY184" i="9"/>
  <c r="BX184" i="9"/>
  <c r="BW184" i="9"/>
  <c r="BV184" i="9"/>
  <c r="BS184" i="9"/>
  <c r="BR184" i="9"/>
  <c r="BQ184" i="9"/>
  <c r="BP184" i="9"/>
  <c r="BO184" i="9"/>
  <c r="BN184" i="9"/>
  <c r="BM184" i="9"/>
  <c r="BL184" i="9"/>
  <c r="BK184" i="9"/>
  <c r="BJ184" i="9"/>
  <c r="BI184" i="9"/>
  <c r="BH184" i="9"/>
  <c r="BE184" i="9"/>
  <c r="BD184" i="9"/>
  <c r="BC184" i="9"/>
  <c r="BB184" i="9"/>
  <c r="BA184" i="9"/>
  <c r="AZ184" i="9"/>
  <c r="AY184" i="9"/>
  <c r="AX184" i="9"/>
  <c r="AW184" i="9"/>
  <c r="AV184" i="9"/>
  <c r="AU184" i="9"/>
  <c r="AT184" i="9"/>
  <c r="AQ184" i="9"/>
  <c r="AP184" i="9"/>
  <c r="AO184" i="9"/>
  <c r="AN184" i="9"/>
  <c r="AM184" i="9"/>
  <c r="AL184" i="9"/>
  <c r="AK184" i="9"/>
  <c r="AJ184" i="9"/>
  <c r="AI184" i="9"/>
  <c r="AH184" i="9"/>
  <c r="AG184" i="9"/>
  <c r="AF184" i="9"/>
  <c r="AC184" i="9"/>
  <c r="AB184" i="9"/>
  <c r="AA184" i="9"/>
  <c r="Z184" i="9"/>
  <c r="Y184" i="9"/>
  <c r="X184" i="9"/>
  <c r="W184" i="9"/>
  <c r="V184" i="9"/>
  <c r="U184" i="9"/>
  <c r="T184" i="9"/>
  <c r="S184" i="9"/>
  <c r="R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LZ183" i="9"/>
  <c r="LK183" i="9"/>
  <c r="LJ183" i="9"/>
  <c r="LI183" i="9"/>
  <c r="LH183" i="9"/>
  <c r="LG183" i="9"/>
  <c r="LF183" i="9"/>
  <c r="LE183" i="9"/>
  <c r="LD183" i="9"/>
  <c r="LC183" i="9"/>
  <c r="LB183" i="9"/>
  <c r="LA183" i="9"/>
  <c r="KZ183" i="9"/>
  <c r="KW183" i="9"/>
  <c r="KV183" i="9"/>
  <c r="KU183" i="9"/>
  <c r="KT183" i="9"/>
  <c r="KS183" i="9"/>
  <c r="KR183" i="9"/>
  <c r="KQ183" i="9"/>
  <c r="KP183" i="9"/>
  <c r="KO183" i="9"/>
  <c r="KN183" i="9"/>
  <c r="KM183" i="9"/>
  <c r="KL183" i="9"/>
  <c r="KI183" i="9"/>
  <c r="KH183" i="9"/>
  <c r="KG183" i="9"/>
  <c r="KF183" i="9"/>
  <c r="KE183" i="9"/>
  <c r="KD183" i="9"/>
  <c r="KC183" i="9"/>
  <c r="KB183" i="9"/>
  <c r="KA183" i="9"/>
  <c r="JZ183" i="9"/>
  <c r="JY183" i="9"/>
  <c r="JX183" i="9"/>
  <c r="JU183" i="9"/>
  <c r="JT183" i="9"/>
  <c r="JS183" i="9"/>
  <c r="JR183" i="9"/>
  <c r="JQ183" i="9"/>
  <c r="JP183" i="9"/>
  <c r="JO183" i="9"/>
  <c r="JN183" i="9"/>
  <c r="JM183" i="9"/>
  <c r="JL183" i="9"/>
  <c r="JK183" i="9"/>
  <c r="JJ183" i="9"/>
  <c r="JG183" i="9"/>
  <c r="JF183" i="9"/>
  <c r="JE183" i="9"/>
  <c r="JD183" i="9"/>
  <c r="JC183" i="9"/>
  <c r="JB183" i="9"/>
  <c r="JA183" i="9"/>
  <c r="IZ183" i="9"/>
  <c r="IY183" i="9"/>
  <c r="IX183" i="9"/>
  <c r="IW183" i="9"/>
  <c r="IV183" i="9"/>
  <c r="IS183" i="9"/>
  <c r="IR183" i="9"/>
  <c r="IQ183" i="9"/>
  <c r="IP183" i="9"/>
  <c r="IO183" i="9"/>
  <c r="IN183" i="9"/>
  <c r="IM183" i="9"/>
  <c r="IL183" i="9"/>
  <c r="IK183" i="9"/>
  <c r="IJ183" i="9"/>
  <c r="II183" i="9"/>
  <c r="IH183" i="9"/>
  <c r="IE183" i="9"/>
  <c r="ID183" i="9"/>
  <c r="IC183" i="9"/>
  <c r="IB183" i="9"/>
  <c r="IA183" i="9"/>
  <c r="HZ183" i="9"/>
  <c r="HY183" i="9"/>
  <c r="HX183" i="9"/>
  <c r="HW183" i="9"/>
  <c r="HV183" i="9"/>
  <c r="HU183" i="9"/>
  <c r="HT183" i="9"/>
  <c r="HQ183" i="9"/>
  <c r="HP183" i="9"/>
  <c r="HO183" i="9"/>
  <c r="HN183" i="9"/>
  <c r="HM183" i="9"/>
  <c r="HL183" i="9"/>
  <c r="HK183" i="9"/>
  <c r="HJ183" i="9"/>
  <c r="HI183" i="9"/>
  <c r="HH183" i="9"/>
  <c r="HG183" i="9"/>
  <c r="HF183" i="9"/>
  <c r="HC183" i="9"/>
  <c r="HB183" i="9"/>
  <c r="HA183" i="9"/>
  <c r="GZ183" i="9"/>
  <c r="GY183" i="9"/>
  <c r="GX183" i="9"/>
  <c r="GW183" i="9"/>
  <c r="GV183" i="9"/>
  <c r="GU183" i="9"/>
  <c r="GT183" i="9"/>
  <c r="GS183" i="9"/>
  <c r="GR183" i="9"/>
  <c r="GO183" i="9"/>
  <c r="GN183" i="9"/>
  <c r="GM183" i="9"/>
  <c r="GL183" i="9"/>
  <c r="GK183" i="9"/>
  <c r="GJ183" i="9"/>
  <c r="GI183" i="9"/>
  <c r="GH183" i="9"/>
  <c r="GG183" i="9"/>
  <c r="GF183" i="9"/>
  <c r="GE183" i="9"/>
  <c r="GD183" i="9"/>
  <c r="GA183" i="9"/>
  <c r="FZ183" i="9"/>
  <c r="FY183" i="9"/>
  <c r="FX183" i="9"/>
  <c r="FW183" i="9"/>
  <c r="FV183" i="9"/>
  <c r="FU183" i="9"/>
  <c r="FT183" i="9"/>
  <c r="FS183" i="9"/>
  <c r="FR183" i="9"/>
  <c r="FQ183" i="9"/>
  <c r="FP183" i="9"/>
  <c r="FM183" i="9"/>
  <c r="FL183" i="9"/>
  <c r="FK183" i="9"/>
  <c r="FJ183" i="9"/>
  <c r="FI183" i="9"/>
  <c r="FH183" i="9"/>
  <c r="FG183" i="9"/>
  <c r="FF183" i="9"/>
  <c r="FE183" i="9"/>
  <c r="FD183" i="9"/>
  <c r="FC183" i="9"/>
  <c r="FB183" i="9"/>
  <c r="EY183" i="9"/>
  <c r="EX183" i="9"/>
  <c r="EW183" i="9"/>
  <c r="EV183" i="9"/>
  <c r="EU183" i="9"/>
  <c r="ET183" i="9"/>
  <c r="ES183" i="9"/>
  <c r="ER183" i="9"/>
  <c r="EQ183" i="9"/>
  <c r="EP183" i="9"/>
  <c r="EO183" i="9"/>
  <c r="EN183" i="9"/>
  <c r="EK183" i="9"/>
  <c r="EJ183" i="9"/>
  <c r="EI183" i="9"/>
  <c r="EH183" i="9"/>
  <c r="EG183" i="9"/>
  <c r="EF183" i="9"/>
  <c r="EE183" i="9"/>
  <c r="ED183" i="9"/>
  <c r="EC183" i="9"/>
  <c r="EB183" i="9"/>
  <c r="EA183" i="9"/>
  <c r="DZ183" i="9"/>
  <c r="DW183" i="9"/>
  <c r="DV183" i="9"/>
  <c r="DU183" i="9"/>
  <c r="DT183" i="9"/>
  <c r="DS183" i="9"/>
  <c r="DR183" i="9"/>
  <c r="DQ183" i="9"/>
  <c r="DP183" i="9"/>
  <c r="DO183" i="9"/>
  <c r="DN183" i="9"/>
  <c r="DM183" i="9"/>
  <c r="DL183" i="9"/>
  <c r="DI183" i="9"/>
  <c r="DH183" i="9"/>
  <c r="DG183" i="9"/>
  <c r="DF183" i="9"/>
  <c r="DE183" i="9"/>
  <c r="DD183" i="9"/>
  <c r="DC183" i="9"/>
  <c r="DB183" i="9"/>
  <c r="DA183" i="9"/>
  <c r="CZ183" i="9"/>
  <c r="CY183" i="9"/>
  <c r="CX183" i="9"/>
  <c r="CU183" i="9"/>
  <c r="CT183" i="9"/>
  <c r="CS183" i="9"/>
  <c r="CR183" i="9"/>
  <c r="CQ183" i="9"/>
  <c r="CP183" i="9"/>
  <c r="CO183" i="9"/>
  <c r="CN183" i="9"/>
  <c r="CM183" i="9"/>
  <c r="CL183" i="9"/>
  <c r="CK183" i="9"/>
  <c r="CJ183" i="9"/>
  <c r="CG183" i="9"/>
  <c r="CF183" i="9"/>
  <c r="CE183" i="9"/>
  <c r="CD183" i="9"/>
  <c r="CC183" i="9"/>
  <c r="CB183" i="9"/>
  <c r="CA183" i="9"/>
  <c r="BZ183" i="9"/>
  <c r="BY183" i="9"/>
  <c r="BX183" i="9"/>
  <c r="BW183" i="9"/>
  <c r="BV183" i="9"/>
  <c r="BS183" i="9"/>
  <c r="BR183" i="9"/>
  <c r="BQ183" i="9"/>
  <c r="BP183" i="9"/>
  <c r="BO183" i="9"/>
  <c r="BN183" i="9"/>
  <c r="BM183" i="9"/>
  <c r="BL183" i="9"/>
  <c r="BK183" i="9"/>
  <c r="BJ183" i="9"/>
  <c r="BI183" i="9"/>
  <c r="BH183" i="9"/>
  <c r="BE183" i="9"/>
  <c r="BD183" i="9"/>
  <c r="BC183" i="9"/>
  <c r="BB183" i="9"/>
  <c r="BA183" i="9"/>
  <c r="AZ183" i="9"/>
  <c r="AY183" i="9"/>
  <c r="AX183" i="9"/>
  <c r="AW183" i="9"/>
  <c r="AV183" i="9"/>
  <c r="AU183" i="9"/>
  <c r="AT183" i="9"/>
  <c r="AQ183" i="9"/>
  <c r="AP183" i="9"/>
  <c r="AO183" i="9"/>
  <c r="AN183" i="9"/>
  <c r="AM183" i="9"/>
  <c r="AL183" i="9"/>
  <c r="AK183" i="9"/>
  <c r="AJ183" i="9"/>
  <c r="AI183" i="9"/>
  <c r="AH183" i="9"/>
  <c r="AG183" i="9"/>
  <c r="AF183" i="9"/>
  <c r="AC183" i="9"/>
  <c r="AB183" i="9"/>
  <c r="AA183" i="9"/>
  <c r="Z183" i="9"/>
  <c r="Y183" i="9"/>
  <c r="X183" i="9"/>
  <c r="W183" i="9"/>
  <c r="V183" i="9"/>
  <c r="U183" i="9"/>
  <c r="T183" i="9"/>
  <c r="S183" i="9"/>
  <c r="R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LZ182" i="9"/>
  <c r="LK182" i="9"/>
  <c r="LJ182" i="9"/>
  <c r="LI182" i="9"/>
  <c r="LH182" i="9"/>
  <c r="LG182" i="9"/>
  <c r="LF182" i="9"/>
  <c r="LE182" i="9"/>
  <c r="LD182" i="9"/>
  <c r="LC182" i="9"/>
  <c r="LB182" i="9"/>
  <c r="LA182" i="9"/>
  <c r="KZ182" i="9"/>
  <c r="KW182" i="9"/>
  <c r="KV182" i="9"/>
  <c r="KU182" i="9"/>
  <c r="KT182" i="9"/>
  <c r="KS182" i="9"/>
  <c r="KR182" i="9"/>
  <c r="KQ182" i="9"/>
  <c r="KP182" i="9"/>
  <c r="KO182" i="9"/>
  <c r="KN182" i="9"/>
  <c r="KM182" i="9"/>
  <c r="KL182" i="9"/>
  <c r="KI182" i="9"/>
  <c r="KH182" i="9"/>
  <c r="KG182" i="9"/>
  <c r="KF182" i="9"/>
  <c r="KE182" i="9"/>
  <c r="KD182" i="9"/>
  <c r="KC182" i="9"/>
  <c r="KB182" i="9"/>
  <c r="KA182" i="9"/>
  <c r="JZ182" i="9"/>
  <c r="JY182" i="9"/>
  <c r="JX182" i="9"/>
  <c r="JU182" i="9"/>
  <c r="JT182" i="9"/>
  <c r="JS182" i="9"/>
  <c r="JR182" i="9"/>
  <c r="JQ182" i="9"/>
  <c r="JP182" i="9"/>
  <c r="JO182" i="9"/>
  <c r="JN182" i="9"/>
  <c r="JM182" i="9"/>
  <c r="JL182" i="9"/>
  <c r="JK182" i="9"/>
  <c r="JJ182" i="9"/>
  <c r="JG182" i="9"/>
  <c r="JF182" i="9"/>
  <c r="JE182" i="9"/>
  <c r="JD182" i="9"/>
  <c r="JC182" i="9"/>
  <c r="JB182" i="9"/>
  <c r="JA182" i="9"/>
  <c r="IZ182" i="9"/>
  <c r="IY182" i="9"/>
  <c r="IX182" i="9"/>
  <c r="IW182" i="9"/>
  <c r="IV182" i="9"/>
  <c r="IS182" i="9"/>
  <c r="IR182" i="9"/>
  <c r="IQ182" i="9"/>
  <c r="IP182" i="9"/>
  <c r="IO182" i="9"/>
  <c r="IN182" i="9"/>
  <c r="IM182" i="9"/>
  <c r="IL182" i="9"/>
  <c r="IK182" i="9"/>
  <c r="IJ182" i="9"/>
  <c r="II182" i="9"/>
  <c r="IH182" i="9"/>
  <c r="IE182" i="9"/>
  <c r="ID182" i="9"/>
  <c r="IC182" i="9"/>
  <c r="IB182" i="9"/>
  <c r="IA182" i="9"/>
  <c r="HZ182" i="9"/>
  <c r="HY182" i="9"/>
  <c r="HX182" i="9"/>
  <c r="HW182" i="9"/>
  <c r="HV182" i="9"/>
  <c r="HU182" i="9"/>
  <c r="HT182" i="9"/>
  <c r="HQ182" i="9"/>
  <c r="HP182" i="9"/>
  <c r="HO182" i="9"/>
  <c r="HN182" i="9"/>
  <c r="HM182" i="9"/>
  <c r="HL182" i="9"/>
  <c r="HK182" i="9"/>
  <c r="HJ182" i="9"/>
  <c r="HI182" i="9"/>
  <c r="HH182" i="9"/>
  <c r="HG182" i="9"/>
  <c r="HF182" i="9"/>
  <c r="HC182" i="9"/>
  <c r="HB182" i="9"/>
  <c r="HA182" i="9"/>
  <c r="GZ182" i="9"/>
  <c r="GY182" i="9"/>
  <c r="GX182" i="9"/>
  <c r="GW182" i="9"/>
  <c r="GV182" i="9"/>
  <c r="GU182" i="9"/>
  <c r="GT182" i="9"/>
  <c r="GS182" i="9"/>
  <c r="GR182" i="9"/>
  <c r="GO182" i="9"/>
  <c r="GN182" i="9"/>
  <c r="GM182" i="9"/>
  <c r="GL182" i="9"/>
  <c r="GK182" i="9"/>
  <c r="GJ182" i="9"/>
  <c r="GI182" i="9"/>
  <c r="GH182" i="9"/>
  <c r="GG182" i="9"/>
  <c r="GF182" i="9"/>
  <c r="GE182" i="9"/>
  <c r="GD182" i="9"/>
  <c r="GA182" i="9"/>
  <c r="FZ182" i="9"/>
  <c r="FY182" i="9"/>
  <c r="FX182" i="9"/>
  <c r="FW182" i="9"/>
  <c r="FV182" i="9"/>
  <c r="FU182" i="9"/>
  <c r="FT182" i="9"/>
  <c r="FS182" i="9"/>
  <c r="FR182" i="9"/>
  <c r="FQ182" i="9"/>
  <c r="FP182" i="9"/>
  <c r="FM182" i="9"/>
  <c r="FL182" i="9"/>
  <c r="FK182" i="9"/>
  <c r="FJ182" i="9"/>
  <c r="FI182" i="9"/>
  <c r="FH182" i="9"/>
  <c r="FG182" i="9"/>
  <c r="FF182" i="9"/>
  <c r="FE182" i="9"/>
  <c r="FD182" i="9"/>
  <c r="FC182" i="9"/>
  <c r="FB182" i="9"/>
  <c r="EY182" i="9"/>
  <c r="EX182" i="9"/>
  <c r="EW182" i="9"/>
  <c r="EV182" i="9"/>
  <c r="EU182" i="9"/>
  <c r="ET182" i="9"/>
  <c r="ES182" i="9"/>
  <c r="ER182" i="9"/>
  <c r="EQ182" i="9"/>
  <c r="EP182" i="9"/>
  <c r="EO182" i="9"/>
  <c r="EN182" i="9"/>
  <c r="EK182" i="9"/>
  <c r="EJ182" i="9"/>
  <c r="EI182" i="9"/>
  <c r="EH182" i="9"/>
  <c r="EG182" i="9"/>
  <c r="EF182" i="9"/>
  <c r="EE182" i="9"/>
  <c r="ED182" i="9"/>
  <c r="EC182" i="9"/>
  <c r="EB182" i="9"/>
  <c r="EA182" i="9"/>
  <c r="DZ182" i="9"/>
  <c r="DW182" i="9"/>
  <c r="DV182" i="9"/>
  <c r="DU182" i="9"/>
  <c r="DT182" i="9"/>
  <c r="DS182" i="9"/>
  <c r="DR182" i="9"/>
  <c r="DQ182" i="9"/>
  <c r="DP182" i="9"/>
  <c r="DO182" i="9"/>
  <c r="DN182" i="9"/>
  <c r="DM182" i="9"/>
  <c r="DL182" i="9"/>
  <c r="DI182" i="9"/>
  <c r="DH182" i="9"/>
  <c r="DG182" i="9"/>
  <c r="DF182" i="9"/>
  <c r="DE182" i="9"/>
  <c r="DD182" i="9"/>
  <c r="DC182" i="9"/>
  <c r="DB182" i="9"/>
  <c r="DA182" i="9"/>
  <c r="CZ182" i="9"/>
  <c r="CY182" i="9"/>
  <c r="CX182" i="9"/>
  <c r="CU182" i="9"/>
  <c r="CT182" i="9"/>
  <c r="CS182" i="9"/>
  <c r="CR182" i="9"/>
  <c r="CQ182" i="9"/>
  <c r="CP182" i="9"/>
  <c r="CO182" i="9"/>
  <c r="CN182" i="9"/>
  <c r="CM182" i="9"/>
  <c r="CL182" i="9"/>
  <c r="CK182" i="9"/>
  <c r="CJ182" i="9"/>
  <c r="CG182" i="9"/>
  <c r="CF182" i="9"/>
  <c r="CE182" i="9"/>
  <c r="CD182" i="9"/>
  <c r="CC182" i="9"/>
  <c r="CB182" i="9"/>
  <c r="CA182" i="9"/>
  <c r="BZ182" i="9"/>
  <c r="BY182" i="9"/>
  <c r="BX182" i="9"/>
  <c r="BW182" i="9"/>
  <c r="BV182" i="9"/>
  <c r="BS182" i="9"/>
  <c r="BR182" i="9"/>
  <c r="BQ182" i="9"/>
  <c r="BP182" i="9"/>
  <c r="BO182" i="9"/>
  <c r="BN182" i="9"/>
  <c r="BM182" i="9"/>
  <c r="BL182" i="9"/>
  <c r="BK182" i="9"/>
  <c r="BJ182" i="9"/>
  <c r="BI182" i="9"/>
  <c r="BH182" i="9"/>
  <c r="BE182" i="9"/>
  <c r="BD182" i="9"/>
  <c r="BC182" i="9"/>
  <c r="BB182" i="9"/>
  <c r="BA182" i="9"/>
  <c r="AZ182" i="9"/>
  <c r="AY182" i="9"/>
  <c r="AX182" i="9"/>
  <c r="AW182" i="9"/>
  <c r="AV182" i="9"/>
  <c r="AU182" i="9"/>
  <c r="AT182" i="9"/>
  <c r="AQ182" i="9"/>
  <c r="AP182" i="9"/>
  <c r="AO182" i="9"/>
  <c r="AN182" i="9"/>
  <c r="AM182" i="9"/>
  <c r="AL182" i="9"/>
  <c r="AK182" i="9"/>
  <c r="AJ182" i="9"/>
  <c r="AI182" i="9"/>
  <c r="AH182" i="9"/>
  <c r="AG182" i="9"/>
  <c r="AF182" i="9"/>
  <c r="AC182" i="9"/>
  <c r="AB182" i="9"/>
  <c r="AA182" i="9"/>
  <c r="Z182" i="9"/>
  <c r="Y182" i="9"/>
  <c r="X182" i="9"/>
  <c r="W182" i="9"/>
  <c r="V182" i="9"/>
  <c r="U182" i="9"/>
  <c r="T182" i="9"/>
  <c r="S182" i="9"/>
  <c r="R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LZ181" i="9"/>
  <c r="LK181" i="9"/>
  <c r="LJ181" i="9"/>
  <c r="LI181" i="9"/>
  <c r="LH181" i="9"/>
  <c r="LG181" i="9"/>
  <c r="LF181" i="9"/>
  <c r="LE181" i="9"/>
  <c r="LD181" i="9"/>
  <c r="LC181" i="9"/>
  <c r="LB181" i="9"/>
  <c r="LA181" i="9"/>
  <c r="KZ181" i="9"/>
  <c r="KW181" i="9"/>
  <c r="KV181" i="9"/>
  <c r="KU181" i="9"/>
  <c r="KT181" i="9"/>
  <c r="KS181" i="9"/>
  <c r="KR181" i="9"/>
  <c r="KQ181" i="9"/>
  <c r="KP181" i="9"/>
  <c r="KO181" i="9"/>
  <c r="KN181" i="9"/>
  <c r="KM181" i="9"/>
  <c r="KL181" i="9"/>
  <c r="KI181" i="9"/>
  <c r="KH181" i="9"/>
  <c r="KG181" i="9"/>
  <c r="KF181" i="9"/>
  <c r="KE181" i="9"/>
  <c r="KD181" i="9"/>
  <c r="KC181" i="9"/>
  <c r="KB181" i="9"/>
  <c r="KA181" i="9"/>
  <c r="JZ181" i="9"/>
  <c r="JY181" i="9"/>
  <c r="JX181" i="9"/>
  <c r="JU181" i="9"/>
  <c r="JT181" i="9"/>
  <c r="JS181" i="9"/>
  <c r="JR181" i="9"/>
  <c r="JQ181" i="9"/>
  <c r="JP181" i="9"/>
  <c r="JO181" i="9"/>
  <c r="JN181" i="9"/>
  <c r="JM181" i="9"/>
  <c r="JL181" i="9"/>
  <c r="JK181" i="9"/>
  <c r="JJ181" i="9"/>
  <c r="JG181" i="9"/>
  <c r="JF181" i="9"/>
  <c r="JE181" i="9"/>
  <c r="JD181" i="9"/>
  <c r="JC181" i="9"/>
  <c r="JB181" i="9"/>
  <c r="JA181" i="9"/>
  <c r="IZ181" i="9"/>
  <c r="IY181" i="9"/>
  <c r="IX181" i="9"/>
  <c r="IW181" i="9"/>
  <c r="IV181" i="9"/>
  <c r="IS181" i="9"/>
  <c r="IR181" i="9"/>
  <c r="IQ181" i="9"/>
  <c r="IP181" i="9"/>
  <c r="IO181" i="9"/>
  <c r="IN181" i="9"/>
  <c r="IM181" i="9"/>
  <c r="IL181" i="9"/>
  <c r="IK181" i="9"/>
  <c r="IJ181" i="9"/>
  <c r="II181" i="9"/>
  <c r="IH181" i="9"/>
  <c r="IE181" i="9"/>
  <c r="ID181" i="9"/>
  <c r="IC181" i="9"/>
  <c r="IB181" i="9"/>
  <c r="IA181" i="9"/>
  <c r="HZ181" i="9"/>
  <c r="HY181" i="9"/>
  <c r="HX181" i="9"/>
  <c r="HW181" i="9"/>
  <c r="HV181" i="9"/>
  <c r="HU181" i="9"/>
  <c r="HT181" i="9"/>
  <c r="HQ181" i="9"/>
  <c r="HP181" i="9"/>
  <c r="HO181" i="9"/>
  <c r="HN181" i="9"/>
  <c r="HM181" i="9"/>
  <c r="HL181" i="9"/>
  <c r="HK181" i="9"/>
  <c r="HJ181" i="9"/>
  <c r="HI181" i="9"/>
  <c r="HH181" i="9"/>
  <c r="HG181" i="9"/>
  <c r="HF181" i="9"/>
  <c r="HC181" i="9"/>
  <c r="HB181" i="9"/>
  <c r="HA181" i="9"/>
  <c r="GZ181" i="9"/>
  <c r="GY181" i="9"/>
  <c r="GX181" i="9"/>
  <c r="GW181" i="9"/>
  <c r="GV181" i="9"/>
  <c r="GU181" i="9"/>
  <c r="GT181" i="9"/>
  <c r="GS181" i="9"/>
  <c r="GR181" i="9"/>
  <c r="GO181" i="9"/>
  <c r="GN181" i="9"/>
  <c r="GM181" i="9"/>
  <c r="GL181" i="9"/>
  <c r="GK181" i="9"/>
  <c r="GJ181" i="9"/>
  <c r="GI181" i="9"/>
  <c r="GH181" i="9"/>
  <c r="GG181" i="9"/>
  <c r="GF181" i="9"/>
  <c r="GE181" i="9"/>
  <c r="GD181" i="9"/>
  <c r="GA181" i="9"/>
  <c r="FZ181" i="9"/>
  <c r="FY181" i="9"/>
  <c r="FX181" i="9"/>
  <c r="FW181" i="9"/>
  <c r="FV181" i="9"/>
  <c r="FU181" i="9"/>
  <c r="FT181" i="9"/>
  <c r="FS181" i="9"/>
  <c r="FR181" i="9"/>
  <c r="FQ181" i="9"/>
  <c r="FP181" i="9"/>
  <c r="FM181" i="9"/>
  <c r="FL181" i="9"/>
  <c r="FK181" i="9"/>
  <c r="FJ181" i="9"/>
  <c r="FI181" i="9"/>
  <c r="FH181" i="9"/>
  <c r="FG181" i="9"/>
  <c r="FF181" i="9"/>
  <c r="FE181" i="9"/>
  <c r="FD181" i="9"/>
  <c r="FC181" i="9"/>
  <c r="FB181" i="9"/>
  <c r="EY181" i="9"/>
  <c r="EX181" i="9"/>
  <c r="EW181" i="9"/>
  <c r="EV181" i="9"/>
  <c r="EU181" i="9"/>
  <c r="ET181" i="9"/>
  <c r="ES181" i="9"/>
  <c r="ER181" i="9"/>
  <c r="EQ181" i="9"/>
  <c r="EP181" i="9"/>
  <c r="EO181" i="9"/>
  <c r="EN181" i="9"/>
  <c r="EK181" i="9"/>
  <c r="EJ181" i="9"/>
  <c r="EI181" i="9"/>
  <c r="EH181" i="9"/>
  <c r="EG181" i="9"/>
  <c r="EF181" i="9"/>
  <c r="EE181" i="9"/>
  <c r="ED181" i="9"/>
  <c r="EC181" i="9"/>
  <c r="EB181" i="9"/>
  <c r="EA181" i="9"/>
  <c r="DZ181" i="9"/>
  <c r="DW181" i="9"/>
  <c r="DV181" i="9"/>
  <c r="DU181" i="9"/>
  <c r="DT181" i="9"/>
  <c r="DS181" i="9"/>
  <c r="DR181" i="9"/>
  <c r="DQ181" i="9"/>
  <c r="DP181" i="9"/>
  <c r="DO181" i="9"/>
  <c r="DN181" i="9"/>
  <c r="DM181" i="9"/>
  <c r="DL181" i="9"/>
  <c r="DI181" i="9"/>
  <c r="DH181" i="9"/>
  <c r="DG181" i="9"/>
  <c r="DF181" i="9"/>
  <c r="DE181" i="9"/>
  <c r="DD181" i="9"/>
  <c r="DC181" i="9"/>
  <c r="DB181" i="9"/>
  <c r="DA181" i="9"/>
  <c r="CZ181" i="9"/>
  <c r="CY181" i="9"/>
  <c r="CX181" i="9"/>
  <c r="CU181" i="9"/>
  <c r="CT181" i="9"/>
  <c r="CS181" i="9"/>
  <c r="CR181" i="9"/>
  <c r="CQ181" i="9"/>
  <c r="CP181" i="9"/>
  <c r="CO181" i="9"/>
  <c r="CN181" i="9"/>
  <c r="CM181" i="9"/>
  <c r="CL181" i="9"/>
  <c r="CK181" i="9"/>
  <c r="CJ181" i="9"/>
  <c r="CG181" i="9"/>
  <c r="CF181" i="9"/>
  <c r="CE181" i="9"/>
  <c r="CD181" i="9"/>
  <c r="CC181" i="9"/>
  <c r="CB181" i="9"/>
  <c r="CA181" i="9"/>
  <c r="BZ181" i="9"/>
  <c r="BY181" i="9"/>
  <c r="BX181" i="9"/>
  <c r="BW181" i="9"/>
  <c r="BV181" i="9"/>
  <c r="BS181" i="9"/>
  <c r="BR181" i="9"/>
  <c r="BQ181" i="9"/>
  <c r="BP181" i="9"/>
  <c r="BO181" i="9"/>
  <c r="BN181" i="9"/>
  <c r="BM181" i="9"/>
  <c r="BL181" i="9"/>
  <c r="BK181" i="9"/>
  <c r="BJ181" i="9"/>
  <c r="BI181" i="9"/>
  <c r="BH181" i="9"/>
  <c r="BE181" i="9"/>
  <c r="BD181" i="9"/>
  <c r="BC181" i="9"/>
  <c r="BB181" i="9"/>
  <c r="BA181" i="9"/>
  <c r="AZ181" i="9"/>
  <c r="AY181" i="9"/>
  <c r="AX181" i="9"/>
  <c r="AW181" i="9"/>
  <c r="AV181" i="9"/>
  <c r="AU181" i="9"/>
  <c r="AT181" i="9"/>
  <c r="AQ181" i="9"/>
  <c r="AP181" i="9"/>
  <c r="AO181" i="9"/>
  <c r="AN181" i="9"/>
  <c r="AM181" i="9"/>
  <c r="AL181" i="9"/>
  <c r="AK181" i="9"/>
  <c r="AJ181" i="9"/>
  <c r="AI181" i="9"/>
  <c r="AH181" i="9"/>
  <c r="AG181" i="9"/>
  <c r="AF181" i="9"/>
  <c r="AC181" i="9"/>
  <c r="AB181" i="9"/>
  <c r="AA181" i="9"/>
  <c r="Z181" i="9"/>
  <c r="Y181" i="9"/>
  <c r="X181" i="9"/>
  <c r="W181" i="9"/>
  <c r="V181" i="9"/>
  <c r="U181" i="9"/>
  <c r="T181" i="9"/>
  <c r="S181" i="9"/>
  <c r="R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LZ180" i="9"/>
  <c r="LK180" i="9"/>
  <c r="LJ180" i="9"/>
  <c r="LI180" i="9"/>
  <c r="LH180" i="9"/>
  <c r="LG180" i="9"/>
  <c r="LF180" i="9"/>
  <c r="LE180" i="9"/>
  <c r="LD180" i="9"/>
  <c r="LC180" i="9"/>
  <c r="LB180" i="9"/>
  <c r="LA180" i="9"/>
  <c r="KZ180" i="9"/>
  <c r="KW180" i="9"/>
  <c r="KV180" i="9"/>
  <c r="KU180" i="9"/>
  <c r="KT180" i="9"/>
  <c r="KS180" i="9"/>
  <c r="KR180" i="9"/>
  <c r="KQ180" i="9"/>
  <c r="KP180" i="9"/>
  <c r="KO180" i="9"/>
  <c r="KN180" i="9"/>
  <c r="KM180" i="9"/>
  <c r="KL180" i="9"/>
  <c r="KI180" i="9"/>
  <c r="KH180" i="9"/>
  <c r="KG180" i="9"/>
  <c r="KF180" i="9"/>
  <c r="KE180" i="9"/>
  <c r="KD180" i="9"/>
  <c r="KC180" i="9"/>
  <c r="KB180" i="9"/>
  <c r="KA180" i="9"/>
  <c r="JZ180" i="9"/>
  <c r="JY180" i="9"/>
  <c r="JX180" i="9"/>
  <c r="JU180" i="9"/>
  <c r="JT180" i="9"/>
  <c r="JS180" i="9"/>
  <c r="JR180" i="9"/>
  <c r="JQ180" i="9"/>
  <c r="JP180" i="9"/>
  <c r="JO180" i="9"/>
  <c r="JN180" i="9"/>
  <c r="JM180" i="9"/>
  <c r="JL180" i="9"/>
  <c r="JK180" i="9"/>
  <c r="JJ180" i="9"/>
  <c r="JG180" i="9"/>
  <c r="JF180" i="9"/>
  <c r="JE180" i="9"/>
  <c r="JD180" i="9"/>
  <c r="JC180" i="9"/>
  <c r="JB180" i="9"/>
  <c r="JA180" i="9"/>
  <c r="IZ180" i="9"/>
  <c r="IY180" i="9"/>
  <c r="IX180" i="9"/>
  <c r="IW180" i="9"/>
  <c r="IV180" i="9"/>
  <c r="IS180" i="9"/>
  <c r="IR180" i="9"/>
  <c r="IQ180" i="9"/>
  <c r="IP180" i="9"/>
  <c r="IO180" i="9"/>
  <c r="IN180" i="9"/>
  <c r="IM180" i="9"/>
  <c r="IL180" i="9"/>
  <c r="IK180" i="9"/>
  <c r="IJ180" i="9"/>
  <c r="II180" i="9"/>
  <c r="IH180" i="9"/>
  <c r="IE180" i="9"/>
  <c r="ID180" i="9"/>
  <c r="IC180" i="9"/>
  <c r="IB180" i="9"/>
  <c r="IA180" i="9"/>
  <c r="HZ180" i="9"/>
  <c r="HY180" i="9"/>
  <c r="HX180" i="9"/>
  <c r="HW180" i="9"/>
  <c r="HV180" i="9"/>
  <c r="HU180" i="9"/>
  <c r="HT180" i="9"/>
  <c r="HQ180" i="9"/>
  <c r="HP180" i="9"/>
  <c r="HO180" i="9"/>
  <c r="HN180" i="9"/>
  <c r="HM180" i="9"/>
  <c r="HL180" i="9"/>
  <c r="HK180" i="9"/>
  <c r="HJ180" i="9"/>
  <c r="HI180" i="9"/>
  <c r="HH180" i="9"/>
  <c r="HG180" i="9"/>
  <c r="HF180" i="9"/>
  <c r="HC180" i="9"/>
  <c r="HB180" i="9"/>
  <c r="HA180" i="9"/>
  <c r="GZ180" i="9"/>
  <c r="GY180" i="9"/>
  <c r="GX180" i="9"/>
  <c r="GW180" i="9"/>
  <c r="GV180" i="9"/>
  <c r="GU180" i="9"/>
  <c r="GT180" i="9"/>
  <c r="GS180" i="9"/>
  <c r="GR180" i="9"/>
  <c r="GO180" i="9"/>
  <c r="GN180" i="9"/>
  <c r="GM180" i="9"/>
  <c r="GL180" i="9"/>
  <c r="GK180" i="9"/>
  <c r="GJ180" i="9"/>
  <c r="GI180" i="9"/>
  <c r="GH180" i="9"/>
  <c r="GG180" i="9"/>
  <c r="GF180" i="9"/>
  <c r="GE180" i="9"/>
  <c r="GD180" i="9"/>
  <c r="GA180" i="9"/>
  <c r="FZ180" i="9"/>
  <c r="FY180" i="9"/>
  <c r="FX180" i="9"/>
  <c r="FW180" i="9"/>
  <c r="FV180" i="9"/>
  <c r="FU180" i="9"/>
  <c r="FT180" i="9"/>
  <c r="FS180" i="9"/>
  <c r="FR180" i="9"/>
  <c r="FQ180" i="9"/>
  <c r="FP180" i="9"/>
  <c r="FM180" i="9"/>
  <c r="FL180" i="9"/>
  <c r="FK180" i="9"/>
  <c r="FJ180" i="9"/>
  <c r="FI180" i="9"/>
  <c r="FH180" i="9"/>
  <c r="FG180" i="9"/>
  <c r="FF180" i="9"/>
  <c r="FE180" i="9"/>
  <c r="FD180" i="9"/>
  <c r="FC180" i="9"/>
  <c r="FB180" i="9"/>
  <c r="EY180" i="9"/>
  <c r="EX180" i="9"/>
  <c r="EW180" i="9"/>
  <c r="EV180" i="9"/>
  <c r="EU180" i="9"/>
  <c r="ET180" i="9"/>
  <c r="ES180" i="9"/>
  <c r="ER180" i="9"/>
  <c r="EQ180" i="9"/>
  <c r="EP180" i="9"/>
  <c r="EO180" i="9"/>
  <c r="EN180" i="9"/>
  <c r="EK180" i="9"/>
  <c r="EJ180" i="9"/>
  <c r="EI180" i="9"/>
  <c r="EH180" i="9"/>
  <c r="EG180" i="9"/>
  <c r="EF180" i="9"/>
  <c r="EE180" i="9"/>
  <c r="ED180" i="9"/>
  <c r="EC180" i="9"/>
  <c r="EB180" i="9"/>
  <c r="EA180" i="9"/>
  <c r="DZ180" i="9"/>
  <c r="DW180" i="9"/>
  <c r="DV180" i="9"/>
  <c r="DU180" i="9"/>
  <c r="DT180" i="9"/>
  <c r="DS180" i="9"/>
  <c r="DR180" i="9"/>
  <c r="DQ180" i="9"/>
  <c r="DP180" i="9"/>
  <c r="DO180" i="9"/>
  <c r="DN180" i="9"/>
  <c r="DM180" i="9"/>
  <c r="DL180" i="9"/>
  <c r="DI180" i="9"/>
  <c r="DH180" i="9"/>
  <c r="DG180" i="9"/>
  <c r="DF180" i="9"/>
  <c r="DE180" i="9"/>
  <c r="DD180" i="9"/>
  <c r="DC180" i="9"/>
  <c r="DB180" i="9"/>
  <c r="DA180" i="9"/>
  <c r="CZ180" i="9"/>
  <c r="CY180" i="9"/>
  <c r="CX180" i="9"/>
  <c r="CU180" i="9"/>
  <c r="CT180" i="9"/>
  <c r="CS180" i="9"/>
  <c r="CR180" i="9"/>
  <c r="CQ180" i="9"/>
  <c r="CP180" i="9"/>
  <c r="CO180" i="9"/>
  <c r="CN180" i="9"/>
  <c r="CM180" i="9"/>
  <c r="CL180" i="9"/>
  <c r="CK180" i="9"/>
  <c r="CJ180" i="9"/>
  <c r="CG180" i="9"/>
  <c r="CF180" i="9"/>
  <c r="CE180" i="9"/>
  <c r="CD180" i="9"/>
  <c r="CC180" i="9"/>
  <c r="CB180" i="9"/>
  <c r="CA180" i="9"/>
  <c r="BZ180" i="9"/>
  <c r="BY180" i="9"/>
  <c r="BX180" i="9"/>
  <c r="BW180" i="9"/>
  <c r="BV180" i="9"/>
  <c r="BS180" i="9"/>
  <c r="BR180" i="9"/>
  <c r="BQ180" i="9"/>
  <c r="BP180" i="9"/>
  <c r="BO180" i="9"/>
  <c r="BN180" i="9"/>
  <c r="BM180" i="9"/>
  <c r="BL180" i="9"/>
  <c r="BK180" i="9"/>
  <c r="BJ180" i="9"/>
  <c r="BI180" i="9"/>
  <c r="BH180" i="9"/>
  <c r="BE180" i="9"/>
  <c r="BD180" i="9"/>
  <c r="BC180" i="9"/>
  <c r="BB180" i="9"/>
  <c r="BA180" i="9"/>
  <c r="AZ180" i="9"/>
  <c r="AY180" i="9"/>
  <c r="AX180" i="9"/>
  <c r="AW180" i="9"/>
  <c r="AV180" i="9"/>
  <c r="AU180" i="9"/>
  <c r="AT180" i="9"/>
  <c r="AQ180" i="9"/>
  <c r="AP180" i="9"/>
  <c r="AO180" i="9"/>
  <c r="AN180" i="9"/>
  <c r="AM180" i="9"/>
  <c r="AL180" i="9"/>
  <c r="AK180" i="9"/>
  <c r="AJ180" i="9"/>
  <c r="AI180" i="9"/>
  <c r="AH180" i="9"/>
  <c r="AG180" i="9"/>
  <c r="AF180" i="9"/>
  <c r="AC180" i="9"/>
  <c r="AB180" i="9"/>
  <c r="AA180" i="9"/>
  <c r="Z180" i="9"/>
  <c r="Y180" i="9"/>
  <c r="X180" i="9"/>
  <c r="W180" i="9"/>
  <c r="V180" i="9"/>
  <c r="U180" i="9"/>
  <c r="T180" i="9"/>
  <c r="S180" i="9"/>
  <c r="R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LZ179" i="9"/>
  <c r="LK179" i="9"/>
  <c r="LJ179" i="9"/>
  <c r="LI179" i="9"/>
  <c r="LH179" i="9"/>
  <c r="LG179" i="9"/>
  <c r="LF179" i="9"/>
  <c r="LE179" i="9"/>
  <c r="LD179" i="9"/>
  <c r="LC179" i="9"/>
  <c r="LB179" i="9"/>
  <c r="LA179" i="9"/>
  <c r="KZ179" i="9"/>
  <c r="KW179" i="9"/>
  <c r="KV179" i="9"/>
  <c r="KU179" i="9"/>
  <c r="KT179" i="9"/>
  <c r="KS179" i="9"/>
  <c r="KR179" i="9"/>
  <c r="KQ179" i="9"/>
  <c r="KP179" i="9"/>
  <c r="KO179" i="9"/>
  <c r="KN179" i="9"/>
  <c r="KM179" i="9"/>
  <c r="KL179" i="9"/>
  <c r="KI179" i="9"/>
  <c r="KH179" i="9"/>
  <c r="KG179" i="9"/>
  <c r="KF179" i="9"/>
  <c r="KE179" i="9"/>
  <c r="KD179" i="9"/>
  <c r="KC179" i="9"/>
  <c r="KB179" i="9"/>
  <c r="KA179" i="9"/>
  <c r="JZ179" i="9"/>
  <c r="JY179" i="9"/>
  <c r="JX179" i="9"/>
  <c r="JU179" i="9"/>
  <c r="JT179" i="9"/>
  <c r="JS179" i="9"/>
  <c r="JR179" i="9"/>
  <c r="JQ179" i="9"/>
  <c r="JP179" i="9"/>
  <c r="JO179" i="9"/>
  <c r="JN179" i="9"/>
  <c r="JM179" i="9"/>
  <c r="JL179" i="9"/>
  <c r="JK179" i="9"/>
  <c r="JJ179" i="9"/>
  <c r="JG179" i="9"/>
  <c r="JF179" i="9"/>
  <c r="JE179" i="9"/>
  <c r="JD179" i="9"/>
  <c r="JC179" i="9"/>
  <c r="JB179" i="9"/>
  <c r="JA179" i="9"/>
  <c r="IZ179" i="9"/>
  <c r="IY179" i="9"/>
  <c r="IX179" i="9"/>
  <c r="IW179" i="9"/>
  <c r="IV179" i="9"/>
  <c r="IS179" i="9"/>
  <c r="IR179" i="9"/>
  <c r="IQ179" i="9"/>
  <c r="IP179" i="9"/>
  <c r="IO179" i="9"/>
  <c r="IN179" i="9"/>
  <c r="IM179" i="9"/>
  <c r="IL179" i="9"/>
  <c r="IK179" i="9"/>
  <c r="IJ179" i="9"/>
  <c r="II179" i="9"/>
  <c r="IH179" i="9"/>
  <c r="IE179" i="9"/>
  <c r="ID179" i="9"/>
  <c r="IC179" i="9"/>
  <c r="IB179" i="9"/>
  <c r="IA179" i="9"/>
  <c r="HZ179" i="9"/>
  <c r="HY179" i="9"/>
  <c r="HX179" i="9"/>
  <c r="HW179" i="9"/>
  <c r="HV179" i="9"/>
  <c r="HU179" i="9"/>
  <c r="HT179" i="9"/>
  <c r="HQ179" i="9"/>
  <c r="HP179" i="9"/>
  <c r="HO179" i="9"/>
  <c r="HN179" i="9"/>
  <c r="HM179" i="9"/>
  <c r="HL179" i="9"/>
  <c r="HK179" i="9"/>
  <c r="HJ179" i="9"/>
  <c r="HI179" i="9"/>
  <c r="HH179" i="9"/>
  <c r="HG179" i="9"/>
  <c r="HF179" i="9"/>
  <c r="HC179" i="9"/>
  <c r="HB179" i="9"/>
  <c r="HA179" i="9"/>
  <c r="GZ179" i="9"/>
  <c r="GY179" i="9"/>
  <c r="GX179" i="9"/>
  <c r="GW179" i="9"/>
  <c r="GV179" i="9"/>
  <c r="GU179" i="9"/>
  <c r="GT179" i="9"/>
  <c r="GS179" i="9"/>
  <c r="GR179" i="9"/>
  <c r="GO179" i="9"/>
  <c r="GN179" i="9"/>
  <c r="GM179" i="9"/>
  <c r="GL179" i="9"/>
  <c r="GK179" i="9"/>
  <c r="GJ179" i="9"/>
  <c r="GI179" i="9"/>
  <c r="GH179" i="9"/>
  <c r="GG179" i="9"/>
  <c r="GF179" i="9"/>
  <c r="GE179" i="9"/>
  <c r="GD179" i="9"/>
  <c r="GA179" i="9"/>
  <c r="FZ179" i="9"/>
  <c r="FY179" i="9"/>
  <c r="FX179" i="9"/>
  <c r="FW179" i="9"/>
  <c r="FV179" i="9"/>
  <c r="FU179" i="9"/>
  <c r="FT179" i="9"/>
  <c r="FS179" i="9"/>
  <c r="FR179" i="9"/>
  <c r="FQ179" i="9"/>
  <c r="FP179" i="9"/>
  <c r="FM179" i="9"/>
  <c r="FL179" i="9"/>
  <c r="FK179" i="9"/>
  <c r="FJ179" i="9"/>
  <c r="FI179" i="9"/>
  <c r="FH179" i="9"/>
  <c r="FG179" i="9"/>
  <c r="FF179" i="9"/>
  <c r="FE179" i="9"/>
  <c r="FD179" i="9"/>
  <c r="FC179" i="9"/>
  <c r="FB179" i="9"/>
  <c r="EY179" i="9"/>
  <c r="EX179" i="9"/>
  <c r="EW179" i="9"/>
  <c r="EV179" i="9"/>
  <c r="EU179" i="9"/>
  <c r="ET179" i="9"/>
  <c r="ES179" i="9"/>
  <c r="ER179" i="9"/>
  <c r="EQ179" i="9"/>
  <c r="EP179" i="9"/>
  <c r="EO179" i="9"/>
  <c r="EN179" i="9"/>
  <c r="EK179" i="9"/>
  <c r="EJ179" i="9"/>
  <c r="EI179" i="9"/>
  <c r="EH179" i="9"/>
  <c r="EG179" i="9"/>
  <c r="EF179" i="9"/>
  <c r="EE179" i="9"/>
  <c r="ED179" i="9"/>
  <c r="EC179" i="9"/>
  <c r="EB179" i="9"/>
  <c r="EA179" i="9"/>
  <c r="DZ179" i="9"/>
  <c r="DW179" i="9"/>
  <c r="DV179" i="9"/>
  <c r="DU179" i="9"/>
  <c r="DT179" i="9"/>
  <c r="DS179" i="9"/>
  <c r="DR179" i="9"/>
  <c r="DQ179" i="9"/>
  <c r="DP179" i="9"/>
  <c r="DO179" i="9"/>
  <c r="DN179" i="9"/>
  <c r="DM179" i="9"/>
  <c r="DL179" i="9"/>
  <c r="DI179" i="9"/>
  <c r="DH179" i="9"/>
  <c r="DG179" i="9"/>
  <c r="DF179" i="9"/>
  <c r="DE179" i="9"/>
  <c r="DD179" i="9"/>
  <c r="DC179" i="9"/>
  <c r="DB179" i="9"/>
  <c r="DA179" i="9"/>
  <c r="CZ179" i="9"/>
  <c r="CY179" i="9"/>
  <c r="CX179" i="9"/>
  <c r="CU179" i="9"/>
  <c r="CT179" i="9"/>
  <c r="CS179" i="9"/>
  <c r="CR179" i="9"/>
  <c r="CQ179" i="9"/>
  <c r="CP179" i="9"/>
  <c r="CO179" i="9"/>
  <c r="CN179" i="9"/>
  <c r="CM179" i="9"/>
  <c r="CL179" i="9"/>
  <c r="CK179" i="9"/>
  <c r="CJ179" i="9"/>
  <c r="CG179" i="9"/>
  <c r="CF179" i="9"/>
  <c r="CE179" i="9"/>
  <c r="CD179" i="9"/>
  <c r="CC179" i="9"/>
  <c r="CB179" i="9"/>
  <c r="CA179" i="9"/>
  <c r="BZ179" i="9"/>
  <c r="BY179" i="9"/>
  <c r="BX179" i="9"/>
  <c r="BW179" i="9"/>
  <c r="BV179" i="9"/>
  <c r="BS179" i="9"/>
  <c r="BR179" i="9"/>
  <c r="BQ179" i="9"/>
  <c r="BP179" i="9"/>
  <c r="BO179" i="9"/>
  <c r="BN179" i="9"/>
  <c r="BM179" i="9"/>
  <c r="BL179" i="9"/>
  <c r="BK179" i="9"/>
  <c r="BJ179" i="9"/>
  <c r="BI179" i="9"/>
  <c r="BH179" i="9"/>
  <c r="BE179" i="9"/>
  <c r="BD179" i="9"/>
  <c r="BC179" i="9"/>
  <c r="BB179" i="9"/>
  <c r="BA179" i="9"/>
  <c r="AZ179" i="9"/>
  <c r="AY179" i="9"/>
  <c r="AX179" i="9"/>
  <c r="AW179" i="9"/>
  <c r="AV179" i="9"/>
  <c r="AU179" i="9"/>
  <c r="AT179" i="9"/>
  <c r="AQ179" i="9"/>
  <c r="AP179" i="9"/>
  <c r="AO179" i="9"/>
  <c r="AN179" i="9"/>
  <c r="AM179" i="9"/>
  <c r="AL179" i="9"/>
  <c r="AK179" i="9"/>
  <c r="AJ179" i="9"/>
  <c r="AI179" i="9"/>
  <c r="AH179" i="9"/>
  <c r="AG179" i="9"/>
  <c r="AF179" i="9"/>
  <c r="AC179" i="9"/>
  <c r="AB179" i="9"/>
  <c r="AA179" i="9"/>
  <c r="Z179" i="9"/>
  <c r="Y179" i="9"/>
  <c r="X179" i="9"/>
  <c r="W179" i="9"/>
  <c r="V179" i="9"/>
  <c r="U179" i="9"/>
  <c r="T179" i="9"/>
  <c r="S179" i="9"/>
  <c r="R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LZ178" i="9"/>
  <c r="LK178" i="9"/>
  <c r="LJ178" i="9"/>
  <c r="LI178" i="9"/>
  <c r="LH178" i="9"/>
  <c r="LG178" i="9"/>
  <c r="LF178" i="9"/>
  <c r="LE178" i="9"/>
  <c r="LD178" i="9"/>
  <c r="LC178" i="9"/>
  <c r="LB178" i="9"/>
  <c r="LA178" i="9"/>
  <c r="KZ178" i="9"/>
  <c r="KW178" i="9"/>
  <c r="KV178" i="9"/>
  <c r="KU178" i="9"/>
  <c r="KT178" i="9"/>
  <c r="KS178" i="9"/>
  <c r="KR178" i="9"/>
  <c r="KQ178" i="9"/>
  <c r="KP178" i="9"/>
  <c r="KO178" i="9"/>
  <c r="KN178" i="9"/>
  <c r="KM178" i="9"/>
  <c r="KL178" i="9"/>
  <c r="KI178" i="9"/>
  <c r="KH178" i="9"/>
  <c r="KG178" i="9"/>
  <c r="KF178" i="9"/>
  <c r="KE178" i="9"/>
  <c r="KD178" i="9"/>
  <c r="KC178" i="9"/>
  <c r="KB178" i="9"/>
  <c r="KA178" i="9"/>
  <c r="JZ178" i="9"/>
  <c r="JY178" i="9"/>
  <c r="JX178" i="9"/>
  <c r="JU178" i="9"/>
  <c r="JT178" i="9"/>
  <c r="JS178" i="9"/>
  <c r="JR178" i="9"/>
  <c r="JQ178" i="9"/>
  <c r="JP178" i="9"/>
  <c r="JO178" i="9"/>
  <c r="JN178" i="9"/>
  <c r="JM178" i="9"/>
  <c r="JL178" i="9"/>
  <c r="JK178" i="9"/>
  <c r="JJ178" i="9"/>
  <c r="JG178" i="9"/>
  <c r="JF178" i="9"/>
  <c r="JE178" i="9"/>
  <c r="JD178" i="9"/>
  <c r="JC178" i="9"/>
  <c r="JB178" i="9"/>
  <c r="JA178" i="9"/>
  <c r="IZ178" i="9"/>
  <c r="IY178" i="9"/>
  <c r="IX178" i="9"/>
  <c r="IW178" i="9"/>
  <c r="IV178" i="9"/>
  <c r="IS178" i="9"/>
  <c r="IR178" i="9"/>
  <c r="IQ178" i="9"/>
  <c r="IP178" i="9"/>
  <c r="IO178" i="9"/>
  <c r="IN178" i="9"/>
  <c r="IM178" i="9"/>
  <c r="IL178" i="9"/>
  <c r="IK178" i="9"/>
  <c r="IJ178" i="9"/>
  <c r="II178" i="9"/>
  <c r="IH178" i="9"/>
  <c r="IE178" i="9"/>
  <c r="ID178" i="9"/>
  <c r="IC178" i="9"/>
  <c r="IB178" i="9"/>
  <c r="IA178" i="9"/>
  <c r="HZ178" i="9"/>
  <c r="HY178" i="9"/>
  <c r="HX178" i="9"/>
  <c r="HW178" i="9"/>
  <c r="HV178" i="9"/>
  <c r="HU178" i="9"/>
  <c r="HT178" i="9"/>
  <c r="HQ178" i="9"/>
  <c r="HP178" i="9"/>
  <c r="HO178" i="9"/>
  <c r="HN178" i="9"/>
  <c r="HM178" i="9"/>
  <c r="HL178" i="9"/>
  <c r="HK178" i="9"/>
  <c r="HJ178" i="9"/>
  <c r="HI178" i="9"/>
  <c r="HH178" i="9"/>
  <c r="HG178" i="9"/>
  <c r="HF178" i="9"/>
  <c r="HC178" i="9"/>
  <c r="HB178" i="9"/>
  <c r="HA178" i="9"/>
  <c r="GZ178" i="9"/>
  <c r="GY178" i="9"/>
  <c r="GX178" i="9"/>
  <c r="GW178" i="9"/>
  <c r="GV178" i="9"/>
  <c r="GU178" i="9"/>
  <c r="GT178" i="9"/>
  <c r="GS178" i="9"/>
  <c r="GR178" i="9"/>
  <c r="GO178" i="9"/>
  <c r="GN178" i="9"/>
  <c r="GM178" i="9"/>
  <c r="GL178" i="9"/>
  <c r="GK178" i="9"/>
  <c r="GJ178" i="9"/>
  <c r="GI178" i="9"/>
  <c r="GH178" i="9"/>
  <c r="GG178" i="9"/>
  <c r="GF178" i="9"/>
  <c r="GE178" i="9"/>
  <c r="GD178" i="9"/>
  <c r="GA178" i="9"/>
  <c r="FZ178" i="9"/>
  <c r="FY178" i="9"/>
  <c r="FX178" i="9"/>
  <c r="FW178" i="9"/>
  <c r="FV178" i="9"/>
  <c r="FU178" i="9"/>
  <c r="FT178" i="9"/>
  <c r="FS178" i="9"/>
  <c r="FR178" i="9"/>
  <c r="FQ178" i="9"/>
  <c r="FP178" i="9"/>
  <c r="FM178" i="9"/>
  <c r="FL178" i="9"/>
  <c r="FK178" i="9"/>
  <c r="FJ178" i="9"/>
  <c r="FI178" i="9"/>
  <c r="FH178" i="9"/>
  <c r="FG178" i="9"/>
  <c r="FF178" i="9"/>
  <c r="FE178" i="9"/>
  <c r="FD178" i="9"/>
  <c r="FC178" i="9"/>
  <c r="FB178" i="9"/>
  <c r="EY178" i="9"/>
  <c r="EX178" i="9"/>
  <c r="EW178" i="9"/>
  <c r="EV178" i="9"/>
  <c r="EU178" i="9"/>
  <c r="ET178" i="9"/>
  <c r="ES178" i="9"/>
  <c r="ER178" i="9"/>
  <c r="EQ178" i="9"/>
  <c r="EP178" i="9"/>
  <c r="EO178" i="9"/>
  <c r="EN178" i="9"/>
  <c r="EK178" i="9"/>
  <c r="EJ178" i="9"/>
  <c r="EI178" i="9"/>
  <c r="EH178" i="9"/>
  <c r="EG178" i="9"/>
  <c r="EF178" i="9"/>
  <c r="EE178" i="9"/>
  <c r="ED178" i="9"/>
  <c r="EC178" i="9"/>
  <c r="EB178" i="9"/>
  <c r="EA178" i="9"/>
  <c r="DZ178" i="9"/>
  <c r="DW178" i="9"/>
  <c r="DV178" i="9"/>
  <c r="DU178" i="9"/>
  <c r="DT178" i="9"/>
  <c r="DS178" i="9"/>
  <c r="DR178" i="9"/>
  <c r="DQ178" i="9"/>
  <c r="DP178" i="9"/>
  <c r="DO178" i="9"/>
  <c r="DN178" i="9"/>
  <c r="DM178" i="9"/>
  <c r="DL178" i="9"/>
  <c r="DI178" i="9"/>
  <c r="DH178" i="9"/>
  <c r="DG178" i="9"/>
  <c r="DF178" i="9"/>
  <c r="DE178" i="9"/>
  <c r="DD178" i="9"/>
  <c r="DC178" i="9"/>
  <c r="DB178" i="9"/>
  <c r="DA178" i="9"/>
  <c r="CZ178" i="9"/>
  <c r="CY178" i="9"/>
  <c r="CX178" i="9"/>
  <c r="CU178" i="9"/>
  <c r="CT178" i="9"/>
  <c r="CS178" i="9"/>
  <c r="CR178" i="9"/>
  <c r="CQ178" i="9"/>
  <c r="CP178" i="9"/>
  <c r="CO178" i="9"/>
  <c r="CN178" i="9"/>
  <c r="CM178" i="9"/>
  <c r="CL178" i="9"/>
  <c r="CK178" i="9"/>
  <c r="CJ178" i="9"/>
  <c r="CG178" i="9"/>
  <c r="CF178" i="9"/>
  <c r="CE178" i="9"/>
  <c r="CD178" i="9"/>
  <c r="CC178" i="9"/>
  <c r="CB178" i="9"/>
  <c r="CA178" i="9"/>
  <c r="BZ178" i="9"/>
  <c r="BY178" i="9"/>
  <c r="BX178" i="9"/>
  <c r="BW178" i="9"/>
  <c r="BV178" i="9"/>
  <c r="BS178" i="9"/>
  <c r="BR178" i="9"/>
  <c r="BQ178" i="9"/>
  <c r="BP178" i="9"/>
  <c r="BO178" i="9"/>
  <c r="BN178" i="9"/>
  <c r="BM178" i="9"/>
  <c r="BL178" i="9"/>
  <c r="BK178" i="9"/>
  <c r="BJ178" i="9"/>
  <c r="BI178" i="9"/>
  <c r="BH178" i="9"/>
  <c r="BE178" i="9"/>
  <c r="BD178" i="9"/>
  <c r="BC178" i="9"/>
  <c r="BB178" i="9"/>
  <c r="BA178" i="9"/>
  <c r="AZ178" i="9"/>
  <c r="AY178" i="9"/>
  <c r="AX178" i="9"/>
  <c r="AW178" i="9"/>
  <c r="AV178" i="9"/>
  <c r="AU178" i="9"/>
  <c r="AT178" i="9"/>
  <c r="AQ178" i="9"/>
  <c r="AP178" i="9"/>
  <c r="AO178" i="9"/>
  <c r="AN178" i="9"/>
  <c r="AM178" i="9"/>
  <c r="AL178" i="9"/>
  <c r="AK178" i="9"/>
  <c r="AJ178" i="9"/>
  <c r="AI178" i="9"/>
  <c r="AH178" i="9"/>
  <c r="AG178" i="9"/>
  <c r="AF178" i="9"/>
  <c r="AC178" i="9"/>
  <c r="AB178" i="9"/>
  <c r="AA178" i="9"/>
  <c r="Z178" i="9"/>
  <c r="Y178" i="9"/>
  <c r="X178" i="9"/>
  <c r="W178" i="9"/>
  <c r="V178" i="9"/>
  <c r="U178" i="9"/>
  <c r="T178" i="9"/>
  <c r="S178" i="9"/>
  <c r="R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LZ177" i="9"/>
  <c r="LK177" i="9"/>
  <c r="LJ177" i="9"/>
  <c r="LI177" i="9"/>
  <c r="LH177" i="9"/>
  <c r="LG177" i="9"/>
  <c r="LF177" i="9"/>
  <c r="LE177" i="9"/>
  <c r="LD177" i="9"/>
  <c r="LC177" i="9"/>
  <c r="LB177" i="9"/>
  <c r="LA177" i="9"/>
  <c r="KZ177" i="9"/>
  <c r="KW177" i="9"/>
  <c r="KV177" i="9"/>
  <c r="KU177" i="9"/>
  <c r="KT177" i="9"/>
  <c r="KS177" i="9"/>
  <c r="KR177" i="9"/>
  <c r="KQ177" i="9"/>
  <c r="KP177" i="9"/>
  <c r="KO177" i="9"/>
  <c r="KN177" i="9"/>
  <c r="KM177" i="9"/>
  <c r="KL177" i="9"/>
  <c r="KI177" i="9"/>
  <c r="KH177" i="9"/>
  <c r="KG177" i="9"/>
  <c r="KF177" i="9"/>
  <c r="KE177" i="9"/>
  <c r="KD177" i="9"/>
  <c r="KC177" i="9"/>
  <c r="KB177" i="9"/>
  <c r="KA177" i="9"/>
  <c r="JZ177" i="9"/>
  <c r="JY177" i="9"/>
  <c r="JX177" i="9"/>
  <c r="JU177" i="9"/>
  <c r="JT177" i="9"/>
  <c r="JS177" i="9"/>
  <c r="JR177" i="9"/>
  <c r="JQ177" i="9"/>
  <c r="JP177" i="9"/>
  <c r="JO177" i="9"/>
  <c r="JN177" i="9"/>
  <c r="JM177" i="9"/>
  <c r="JL177" i="9"/>
  <c r="JK177" i="9"/>
  <c r="JJ177" i="9"/>
  <c r="JG177" i="9"/>
  <c r="JF177" i="9"/>
  <c r="JE177" i="9"/>
  <c r="JD177" i="9"/>
  <c r="JC177" i="9"/>
  <c r="JB177" i="9"/>
  <c r="JA177" i="9"/>
  <c r="IZ177" i="9"/>
  <c r="IY177" i="9"/>
  <c r="IX177" i="9"/>
  <c r="IW177" i="9"/>
  <c r="IV177" i="9"/>
  <c r="IS177" i="9"/>
  <c r="IR177" i="9"/>
  <c r="IQ177" i="9"/>
  <c r="IP177" i="9"/>
  <c r="IO177" i="9"/>
  <c r="IN177" i="9"/>
  <c r="IM177" i="9"/>
  <c r="IL177" i="9"/>
  <c r="IK177" i="9"/>
  <c r="IJ177" i="9"/>
  <c r="II177" i="9"/>
  <c r="IH177" i="9"/>
  <c r="IE177" i="9"/>
  <c r="ID177" i="9"/>
  <c r="IC177" i="9"/>
  <c r="IB177" i="9"/>
  <c r="IA177" i="9"/>
  <c r="HZ177" i="9"/>
  <c r="HY177" i="9"/>
  <c r="HX177" i="9"/>
  <c r="HW177" i="9"/>
  <c r="HV177" i="9"/>
  <c r="HU177" i="9"/>
  <c r="HT177" i="9"/>
  <c r="HQ177" i="9"/>
  <c r="HP177" i="9"/>
  <c r="HO177" i="9"/>
  <c r="HN177" i="9"/>
  <c r="HM177" i="9"/>
  <c r="HL177" i="9"/>
  <c r="HK177" i="9"/>
  <c r="HJ177" i="9"/>
  <c r="HI177" i="9"/>
  <c r="HH177" i="9"/>
  <c r="HG177" i="9"/>
  <c r="HF177" i="9"/>
  <c r="HC177" i="9"/>
  <c r="HB177" i="9"/>
  <c r="HA177" i="9"/>
  <c r="GZ177" i="9"/>
  <c r="GY177" i="9"/>
  <c r="GX177" i="9"/>
  <c r="GW177" i="9"/>
  <c r="GV177" i="9"/>
  <c r="GU177" i="9"/>
  <c r="GT177" i="9"/>
  <c r="GS177" i="9"/>
  <c r="GR177" i="9"/>
  <c r="GO177" i="9"/>
  <c r="GN177" i="9"/>
  <c r="GM177" i="9"/>
  <c r="GL177" i="9"/>
  <c r="GK177" i="9"/>
  <c r="GJ177" i="9"/>
  <c r="GI177" i="9"/>
  <c r="GH177" i="9"/>
  <c r="GG177" i="9"/>
  <c r="GF177" i="9"/>
  <c r="GE177" i="9"/>
  <c r="GD177" i="9"/>
  <c r="GA177" i="9"/>
  <c r="FZ177" i="9"/>
  <c r="FY177" i="9"/>
  <c r="FX177" i="9"/>
  <c r="FW177" i="9"/>
  <c r="FV177" i="9"/>
  <c r="FU177" i="9"/>
  <c r="FT177" i="9"/>
  <c r="FS177" i="9"/>
  <c r="FR177" i="9"/>
  <c r="FQ177" i="9"/>
  <c r="FP177" i="9"/>
  <c r="FM177" i="9"/>
  <c r="FL177" i="9"/>
  <c r="FK177" i="9"/>
  <c r="FJ177" i="9"/>
  <c r="FI177" i="9"/>
  <c r="FH177" i="9"/>
  <c r="FG177" i="9"/>
  <c r="FF177" i="9"/>
  <c r="FE177" i="9"/>
  <c r="FD177" i="9"/>
  <c r="FC177" i="9"/>
  <c r="FB177" i="9"/>
  <c r="EY177" i="9"/>
  <c r="EX177" i="9"/>
  <c r="EW177" i="9"/>
  <c r="EV177" i="9"/>
  <c r="EU177" i="9"/>
  <c r="ET177" i="9"/>
  <c r="ES177" i="9"/>
  <c r="ER177" i="9"/>
  <c r="EQ177" i="9"/>
  <c r="EP177" i="9"/>
  <c r="EO177" i="9"/>
  <c r="EN177" i="9"/>
  <c r="EK177" i="9"/>
  <c r="EJ177" i="9"/>
  <c r="EI177" i="9"/>
  <c r="EH177" i="9"/>
  <c r="EG177" i="9"/>
  <c r="EF177" i="9"/>
  <c r="EE177" i="9"/>
  <c r="ED177" i="9"/>
  <c r="EC177" i="9"/>
  <c r="EB177" i="9"/>
  <c r="EA177" i="9"/>
  <c r="DZ177" i="9"/>
  <c r="DW177" i="9"/>
  <c r="DV177" i="9"/>
  <c r="DU177" i="9"/>
  <c r="DT177" i="9"/>
  <c r="DS177" i="9"/>
  <c r="DR177" i="9"/>
  <c r="DQ177" i="9"/>
  <c r="DP177" i="9"/>
  <c r="DO177" i="9"/>
  <c r="DN177" i="9"/>
  <c r="DM177" i="9"/>
  <c r="DL177" i="9"/>
  <c r="DI177" i="9"/>
  <c r="DH177" i="9"/>
  <c r="DG177" i="9"/>
  <c r="DF177" i="9"/>
  <c r="DE177" i="9"/>
  <c r="DD177" i="9"/>
  <c r="DC177" i="9"/>
  <c r="DB177" i="9"/>
  <c r="DA177" i="9"/>
  <c r="CZ177" i="9"/>
  <c r="CY177" i="9"/>
  <c r="CX177" i="9"/>
  <c r="CU177" i="9"/>
  <c r="CT177" i="9"/>
  <c r="CS177" i="9"/>
  <c r="CR177" i="9"/>
  <c r="CQ177" i="9"/>
  <c r="CP177" i="9"/>
  <c r="CO177" i="9"/>
  <c r="CN177" i="9"/>
  <c r="CM177" i="9"/>
  <c r="CL177" i="9"/>
  <c r="CK177" i="9"/>
  <c r="CJ177" i="9"/>
  <c r="CG177" i="9"/>
  <c r="CF177" i="9"/>
  <c r="CE177" i="9"/>
  <c r="CD177" i="9"/>
  <c r="CC177" i="9"/>
  <c r="CB177" i="9"/>
  <c r="CA177" i="9"/>
  <c r="BZ177" i="9"/>
  <c r="BY177" i="9"/>
  <c r="BX177" i="9"/>
  <c r="BW177" i="9"/>
  <c r="BV177" i="9"/>
  <c r="BS177" i="9"/>
  <c r="BR177" i="9"/>
  <c r="BQ177" i="9"/>
  <c r="BP177" i="9"/>
  <c r="BO177" i="9"/>
  <c r="BN177" i="9"/>
  <c r="BM177" i="9"/>
  <c r="BL177" i="9"/>
  <c r="BK177" i="9"/>
  <c r="BJ177" i="9"/>
  <c r="BI177" i="9"/>
  <c r="BH177" i="9"/>
  <c r="BE177" i="9"/>
  <c r="BD177" i="9"/>
  <c r="BC177" i="9"/>
  <c r="BB177" i="9"/>
  <c r="BA177" i="9"/>
  <c r="AZ177" i="9"/>
  <c r="AY177" i="9"/>
  <c r="AX177" i="9"/>
  <c r="AW177" i="9"/>
  <c r="AV177" i="9"/>
  <c r="AU177" i="9"/>
  <c r="AT177" i="9"/>
  <c r="AQ177" i="9"/>
  <c r="AP177" i="9"/>
  <c r="AO177" i="9"/>
  <c r="AN177" i="9"/>
  <c r="AM177" i="9"/>
  <c r="AL177" i="9"/>
  <c r="AK177" i="9"/>
  <c r="AJ177" i="9"/>
  <c r="AI177" i="9"/>
  <c r="AH177" i="9"/>
  <c r="AG177" i="9"/>
  <c r="AF177" i="9"/>
  <c r="AC177" i="9"/>
  <c r="AB177" i="9"/>
  <c r="AA177" i="9"/>
  <c r="Z177" i="9"/>
  <c r="Y177" i="9"/>
  <c r="X177" i="9"/>
  <c r="W177" i="9"/>
  <c r="V177" i="9"/>
  <c r="U177" i="9"/>
  <c r="T177" i="9"/>
  <c r="S177" i="9"/>
  <c r="R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LZ176" i="9"/>
  <c r="LK176" i="9"/>
  <c r="LJ176" i="9"/>
  <c r="LI176" i="9"/>
  <c r="LH176" i="9"/>
  <c r="LG176" i="9"/>
  <c r="LF176" i="9"/>
  <c r="LE176" i="9"/>
  <c r="LD176" i="9"/>
  <c r="LC176" i="9"/>
  <c r="LB176" i="9"/>
  <c r="LA176" i="9"/>
  <c r="KZ176" i="9"/>
  <c r="KW176" i="9"/>
  <c r="KV176" i="9"/>
  <c r="KU176" i="9"/>
  <c r="KT176" i="9"/>
  <c r="KS176" i="9"/>
  <c r="KR176" i="9"/>
  <c r="KQ176" i="9"/>
  <c r="KP176" i="9"/>
  <c r="KO176" i="9"/>
  <c r="KN176" i="9"/>
  <c r="KM176" i="9"/>
  <c r="KL176" i="9"/>
  <c r="KI176" i="9"/>
  <c r="KH176" i="9"/>
  <c r="KG176" i="9"/>
  <c r="KF176" i="9"/>
  <c r="KE176" i="9"/>
  <c r="KD176" i="9"/>
  <c r="KC176" i="9"/>
  <c r="KB176" i="9"/>
  <c r="KA176" i="9"/>
  <c r="JZ176" i="9"/>
  <c r="JY176" i="9"/>
  <c r="JX176" i="9"/>
  <c r="JU176" i="9"/>
  <c r="JT176" i="9"/>
  <c r="JS176" i="9"/>
  <c r="JR176" i="9"/>
  <c r="JQ176" i="9"/>
  <c r="JP176" i="9"/>
  <c r="JO176" i="9"/>
  <c r="JN176" i="9"/>
  <c r="JM176" i="9"/>
  <c r="JL176" i="9"/>
  <c r="JK176" i="9"/>
  <c r="JJ176" i="9"/>
  <c r="JG176" i="9"/>
  <c r="JF176" i="9"/>
  <c r="JE176" i="9"/>
  <c r="JD176" i="9"/>
  <c r="JC176" i="9"/>
  <c r="JB176" i="9"/>
  <c r="JA176" i="9"/>
  <c r="IZ176" i="9"/>
  <c r="IY176" i="9"/>
  <c r="IX176" i="9"/>
  <c r="IW176" i="9"/>
  <c r="IV176" i="9"/>
  <c r="IS176" i="9"/>
  <c r="IR176" i="9"/>
  <c r="IQ176" i="9"/>
  <c r="IP176" i="9"/>
  <c r="IO176" i="9"/>
  <c r="IN176" i="9"/>
  <c r="IM176" i="9"/>
  <c r="IL176" i="9"/>
  <c r="IK176" i="9"/>
  <c r="IJ176" i="9"/>
  <c r="II176" i="9"/>
  <c r="IH176" i="9"/>
  <c r="IE176" i="9"/>
  <c r="ID176" i="9"/>
  <c r="IC176" i="9"/>
  <c r="IB176" i="9"/>
  <c r="IA176" i="9"/>
  <c r="HZ176" i="9"/>
  <c r="HY176" i="9"/>
  <c r="HX176" i="9"/>
  <c r="HW176" i="9"/>
  <c r="HV176" i="9"/>
  <c r="HU176" i="9"/>
  <c r="HT176" i="9"/>
  <c r="HQ176" i="9"/>
  <c r="HP176" i="9"/>
  <c r="HO176" i="9"/>
  <c r="HN176" i="9"/>
  <c r="HM176" i="9"/>
  <c r="HL176" i="9"/>
  <c r="HK176" i="9"/>
  <c r="HJ176" i="9"/>
  <c r="HI176" i="9"/>
  <c r="HH176" i="9"/>
  <c r="HG176" i="9"/>
  <c r="HF176" i="9"/>
  <c r="HC176" i="9"/>
  <c r="HB176" i="9"/>
  <c r="HA176" i="9"/>
  <c r="GZ176" i="9"/>
  <c r="GY176" i="9"/>
  <c r="GX176" i="9"/>
  <c r="GW176" i="9"/>
  <c r="GV176" i="9"/>
  <c r="GU176" i="9"/>
  <c r="GT176" i="9"/>
  <c r="GS176" i="9"/>
  <c r="GR176" i="9"/>
  <c r="GO176" i="9"/>
  <c r="GN176" i="9"/>
  <c r="GM176" i="9"/>
  <c r="GL176" i="9"/>
  <c r="GK176" i="9"/>
  <c r="GJ176" i="9"/>
  <c r="GI176" i="9"/>
  <c r="GH176" i="9"/>
  <c r="GG176" i="9"/>
  <c r="GF176" i="9"/>
  <c r="GE176" i="9"/>
  <c r="GD176" i="9"/>
  <c r="GA176" i="9"/>
  <c r="FZ176" i="9"/>
  <c r="FY176" i="9"/>
  <c r="FX176" i="9"/>
  <c r="FW176" i="9"/>
  <c r="FV176" i="9"/>
  <c r="FU176" i="9"/>
  <c r="FT176" i="9"/>
  <c r="FS176" i="9"/>
  <c r="FR176" i="9"/>
  <c r="FQ176" i="9"/>
  <c r="FP176" i="9"/>
  <c r="FM176" i="9"/>
  <c r="FL176" i="9"/>
  <c r="FK176" i="9"/>
  <c r="FJ176" i="9"/>
  <c r="FI176" i="9"/>
  <c r="FH176" i="9"/>
  <c r="FG176" i="9"/>
  <c r="FF176" i="9"/>
  <c r="FE176" i="9"/>
  <c r="FD176" i="9"/>
  <c r="FC176" i="9"/>
  <c r="FB176" i="9"/>
  <c r="EY176" i="9"/>
  <c r="EX176" i="9"/>
  <c r="EW176" i="9"/>
  <c r="EV176" i="9"/>
  <c r="EU176" i="9"/>
  <c r="ET176" i="9"/>
  <c r="ES176" i="9"/>
  <c r="ER176" i="9"/>
  <c r="EQ176" i="9"/>
  <c r="EP176" i="9"/>
  <c r="EO176" i="9"/>
  <c r="EN176" i="9"/>
  <c r="EK176" i="9"/>
  <c r="EJ176" i="9"/>
  <c r="EI176" i="9"/>
  <c r="EH176" i="9"/>
  <c r="EG176" i="9"/>
  <c r="EF176" i="9"/>
  <c r="EE176" i="9"/>
  <c r="ED176" i="9"/>
  <c r="EC176" i="9"/>
  <c r="EB176" i="9"/>
  <c r="EA176" i="9"/>
  <c r="DZ176" i="9"/>
  <c r="DW176" i="9"/>
  <c r="DV176" i="9"/>
  <c r="DU176" i="9"/>
  <c r="DT176" i="9"/>
  <c r="DS176" i="9"/>
  <c r="DR176" i="9"/>
  <c r="DQ176" i="9"/>
  <c r="DP176" i="9"/>
  <c r="DO176" i="9"/>
  <c r="DN176" i="9"/>
  <c r="DM176" i="9"/>
  <c r="DL176" i="9"/>
  <c r="DI176" i="9"/>
  <c r="DH176" i="9"/>
  <c r="DG176" i="9"/>
  <c r="DF176" i="9"/>
  <c r="DE176" i="9"/>
  <c r="DD176" i="9"/>
  <c r="DC176" i="9"/>
  <c r="DB176" i="9"/>
  <c r="DA176" i="9"/>
  <c r="CZ176" i="9"/>
  <c r="CY176" i="9"/>
  <c r="CX176" i="9"/>
  <c r="CU176" i="9"/>
  <c r="CT176" i="9"/>
  <c r="CS176" i="9"/>
  <c r="CR176" i="9"/>
  <c r="CQ176" i="9"/>
  <c r="CP176" i="9"/>
  <c r="CO176" i="9"/>
  <c r="CN176" i="9"/>
  <c r="CM176" i="9"/>
  <c r="CL176" i="9"/>
  <c r="CK176" i="9"/>
  <c r="CJ176" i="9"/>
  <c r="CG176" i="9"/>
  <c r="CF176" i="9"/>
  <c r="CE176" i="9"/>
  <c r="CD176" i="9"/>
  <c r="CC176" i="9"/>
  <c r="CB176" i="9"/>
  <c r="CA176" i="9"/>
  <c r="BZ176" i="9"/>
  <c r="BY176" i="9"/>
  <c r="BX176" i="9"/>
  <c r="BW176" i="9"/>
  <c r="BV176" i="9"/>
  <c r="BS176" i="9"/>
  <c r="BR176" i="9"/>
  <c r="BQ176" i="9"/>
  <c r="BP176" i="9"/>
  <c r="BO176" i="9"/>
  <c r="BN176" i="9"/>
  <c r="BM176" i="9"/>
  <c r="BL176" i="9"/>
  <c r="BK176" i="9"/>
  <c r="BJ176" i="9"/>
  <c r="BI176" i="9"/>
  <c r="BH176" i="9"/>
  <c r="BE176" i="9"/>
  <c r="BD176" i="9"/>
  <c r="BC176" i="9"/>
  <c r="BB176" i="9"/>
  <c r="BA176" i="9"/>
  <c r="AZ176" i="9"/>
  <c r="AY176" i="9"/>
  <c r="AX176" i="9"/>
  <c r="AW176" i="9"/>
  <c r="AV176" i="9"/>
  <c r="AU176" i="9"/>
  <c r="AT176" i="9"/>
  <c r="AQ176" i="9"/>
  <c r="AP176" i="9"/>
  <c r="AO176" i="9"/>
  <c r="AN176" i="9"/>
  <c r="AM176" i="9"/>
  <c r="AL176" i="9"/>
  <c r="AK176" i="9"/>
  <c r="AJ176" i="9"/>
  <c r="AI176" i="9"/>
  <c r="AH176" i="9"/>
  <c r="AG176" i="9"/>
  <c r="AF176" i="9"/>
  <c r="AC176" i="9"/>
  <c r="AB176" i="9"/>
  <c r="AA176" i="9"/>
  <c r="Z176" i="9"/>
  <c r="Y176" i="9"/>
  <c r="X176" i="9"/>
  <c r="W176" i="9"/>
  <c r="V176" i="9"/>
  <c r="U176" i="9"/>
  <c r="T176" i="9"/>
  <c r="S176" i="9"/>
  <c r="R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LY172" i="9"/>
  <c r="LX172" i="9"/>
  <c r="LW172" i="9"/>
  <c r="LV172" i="9"/>
  <c r="LU172" i="9"/>
  <c r="LT172" i="9"/>
  <c r="LS172" i="9"/>
  <c r="LR172" i="9"/>
  <c r="LQ172" i="9"/>
  <c r="LP172" i="9"/>
  <c r="LO172" i="9"/>
  <c r="LN172" i="9"/>
  <c r="LK172" i="9"/>
  <c r="LJ172" i="9"/>
  <c r="LI172" i="9"/>
  <c r="LH172" i="9"/>
  <c r="LG172" i="9"/>
  <c r="LF172" i="9"/>
  <c r="LE172" i="9"/>
  <c r="LD172" i="9"/>
  <c r="LC172" i="9"/>
  <c r="LB172" i="9"/>
  <c r="LA172" i="9"/>
  <c r="KZ172" i="9"/>
  <c r="KW172" i="9"/>
  <c r="KV172" i="9"/>
  <c r="KU172" i="9"/>
  <c r="KT172" i="9"/>
  <c r="KS172" i="9"/>
  <c r="KR172" i="9"/>
  <c r="KQ172" i="9"/>
  <c r="KP172" i="9"/>
  <c r="KO172" i="9"/>
  <c r="KN172" i="9"/>
  <c r="KM172" i="9"/>
  <c r="KL172" i="9"/>
  <c r="KI172" i="9"/>
  <c r="KH172" i="9"/>
  <c r="KG172" i="9"/>
  <c r="KF172" i="9"/>
  <c r="KE172" i="9"/>
  <c r="KD172" i="9"/>
  <c r="KC172" i="9"/>
  <c r="KB172" i="9"/>
  <c r="KA172" i="9"/>
  <c r="JZ172" i="9"/>
  <c r="JY172" i="9"/>
  <c r="JX172" i="9"/>
  <c r="JU172" i="9"/>
  <c r="JT172" i="9"/>
  <c r="JS172" i="9"/>
  <c r="JR172" i="9"/>
  <c r="JQ172" i="9"/>
  <c r="JP172" i="9"/>
  <c r="JO172" i="9"/>
  <c r="JN172" i="9"/>
  <c r="JM172" i="9"/>
  <c r="JL172" i="9"/>
  <c r="JK172" i="9"/>
  <c r="JJ172" i="9"/>
  <c r="JG172" i="9"/>
  <c r="JF172" i="9"/>
  <c r="JE172" i="9"/>
  <c r="JD172" i="9"/>
  <c r="JC172" i="9"/>
  <c r="JB172" i="9"/>
  <c r="JA172" i="9"/>
  <c r="IZ172" i="9"/>
  <c r="IY172" i="9"/>
  <c r="IX172" i="9"/>
  <c r="IW172" i="9"/>
  <c r="IV172" i="9"/>
  <c r="IS172" i="9"/>
  <c r="IR172" i="9"/>
  <c r="IQ172" i="9"/>
  <c r="IP172" i="9"/>
  <c r="IO172" i="9"/>
  <c r="IN172" i="9"/>
  <c r="IM172" i="9"/>
  <c r="IL172" i="9"/>
  <c r="IK172" i="9"/>
  <c r="IJ172" i="9"/>
  <c r="II172" i="9"/>
  <c r="IH172" i="9"/>
  <c r="IE172" i="9"/>
  <c r="ID172" i="9"/>
  <c r="IC172" i="9"/>
  <c r="IB172" i="9"/>
  <c r="IA172" i="9"/>
  <c r="HZ172" i="9"/>
  <c r="HY172" i="9"/>
  <c r="HX172" i="9"/>
  <c r="HW172" i="9"/>
  <c r="HV172" i="9"/>
  <c r="HU172" i="9"/>
  <c r="HT172" i="9"/>
  <c r="HQ172" i="9"/>
  <c r="HP172" i="9"/>
  <c r="HO172" i="9"/>
  <c r="HN172" i="9"/>
  <c r="HM172" i="9"/>
  <c r="HL172" i="9"/>
  <c r="HK172" i="9"/>
  <c r="HJ172" i="9"/>
  <c r="HI172" i="9"/>
  <c r="HH172" i="9"/>
  <c r="HG172" i="9"/>
  <c r="HF172" i="9"/>
  <c r="HC172" i="9"/>
  <c r="HB172" i="9"/>
  <c r="HA172" i="9"/>
  <c r="GZ172" i="9"/>
  <c r="GY172" i="9"/>
  <c r="GX172" i="9"/>
  <c r="GW172" i="9"/>
  <c r="GV172" i="9"/>
  <c r="GU172" i="9"/>
  <c r="GT172" i="9"/>
  <c r="GS172" i="9"/>
  <c r="GR172" i="9"/>
  <c r="GO172" i="9"/>
  <c r="GN172" i="9"/>
  <c r="GM172" i="9"/>
  <c r="GL172" i="9"/>
  <c r="GK172" i="9"/>
  <c r="GJ172" i="9"/>
  <c r="GI172" i="9"/>
  <c r="GH172" i="9"/>
  <c r="GG172" i="9"/>
  <c r="GF172" i="9"/>
  <c r="GE172" i="9"/>
  <c r="GD172" i="9"/>
  <c r="GA172" i="9"/>
  <c r="FZ172" i="9"/>
  <c r="FY172" i="9"/>
  <c r="FX172" i="9"/>
  <c r="FW172" i="9"/>
  <c r="FV172" i="9"/>
  <c r="FU172" i="9"/>
  <c r="FT172" i="9"/>
  <c r="FS172" i="9"/>
  <c r="FR172" i="9"/>
  <c r="FQ172" i="9"/>
  <c r="FP172" i="9"/>
  <c r="FM172" i="9"/>
  <c r="FL172" i="9"/>
  <c r="FK172" i="9"/>
  <c r="FJ172" i="9"/>
  <c r="FI172" i="9"/>
  <c r="FH172" i="9"/>
  <c r="FG172" i="9"/>
  <c r="FF172" i="9"/>
  <c r="FE172" i="9"/>
  <c r="FD172" i="9"/>
  <c r="FC172" i="9"/>
  <c r="FB172" i="9"/>
  <c r="EY172" i="9"/>
  <c r="EX172" i="9"/>
  <c r="EW172" i="9"/>
  <c r="EV172" i="9"/>
  <c r="EU172" i="9"/>
  <c r="ET172" i="9"/>
  <c r="ES172" i="9"/>
  <c r="ER172" i="9"/>
  <c r="EQ172" i="9"/>
  <c r="EP172" i="9"/>
  <c r="EO172" i="9"/>
  <c r="EN172" i="9"/>
  <c r="EK172" i="9"/>
  <c r="EJ172" i="9"/>
  <c r="EI172" i="9"/>
  <c r="EH172" i="9"/>
  <c r="EG172" i="9"/>
  <c r="EF172" i="9"/>
  <c r="EE172" i="9"/>
  <c r="ED172" i="9"/>
  <c r="EC172" i="9"/>
  <c r="EB172" i="9"/>
  <c r="EA172" i="9"/>
  <c r="DZ172" i="9"/>
  <c r="DW172" i="9"/>
  <c r="DV172" i="9"/>
  <c r="DU172" i="9"/>
  <c r="DT172" i="9"/>
  <c r="DS172" i="9"/>
  <c r="DR172" i="9"/>
  <c r="DQ172" i="9"/>
  <c r="DP172" i="9"/>
  <c r="DO172" i="9"/>
  <c r="DN172" i="9"/>
  <c r="DM172" i="9"/>
  <c r="DL172" i="9"/>
  <c r="DI172" i="9"/>
  <c r="DH172" i="9"/>
  <c r="DG172" i="9"/>
  <c r="DF172" i="9"/>
  <c r="DE172" i="9"/>
  <c r="DD172" i="9"/>
  <c r="DC172" i="9"/>
  <c r="DB172" i="9"/>
  <c r="DA172" i="9"/>
  <c r="CZ172" i="9"/>
  <c r="CY172" i="9"/>
  <c r="CX172" i="9"/>
  <c r="CU172" i="9"/>
  <c r="CT172" i="9"/>
  <c r="CS172" i="9"/>
  <c r="CR172" i="9"/>
  <c r="CQ172" i="9"/>
  <c r="CP172" i="9"/>
  <c r="CO172" i="9"/>
  <c r="CN172" i="9"/>
  <c r="CM172" i="9"/>
  <c r="CL172" i="9"/>
  <c r="CK172" i="9"/>
  <c r="CJ172" i="9"/>
  <c r="CG172" i="9"/>
  <c r="CF172" i="9"/>
  <c r="CE172" i="9"/>
  <c r="CD172" i="9"/>
  <c r="CC172" i="9"/>
  <c r="CB172" i="9"/>
  <c r="CA172" i="9"/>
  <c r="BZ172" i="9"/>
  <c r="BY172" i="9"/>
  <c r="BX172" i="9"/>
  <c r="BW172" i="9"/>
  <c r="BV172" i="9"/>
  <c r="BS172" i="9"/>
  <c r="BR172" i="9"/>
  <c r="BQ172" i="9"/>
  <c r="BP172" i="9"/>
  <c r="BO172" i="9"/>
  <c r="BN172" i="9"/>
  <c r="BM172" i="9"/>
  <c r="BL172" i="9"/>
  <c r="BK172" i="9"/>
  <c r="BJ172" i="9"/>
  <c r="BI172" i="9"/>
  <c r="BH172" i="9"/>
  <c r="BE172" i="9"/>
  <c r="BD172" i="9"/>
  <c r="BC172" i="9"/>
  <c r="BB172" i="9"/>
  <c r="BA172" i="9"/>
  <c r="AZ172" i="9"/>
  <c r="AY172" i="9"/>
  <c r="AX172" i="9"/>
  <c r="AW172" i="9"/>
  <c r="AV172" i="9"/>
  <c r="AU172" i="9"/>
  <c r="AT172" i="9"/>
  <c r="AQ172" i="9"/>
  <c r="AP172" i="9"/>
  <c r="AO172" i="9"/>
  <c r="AN172" i="9"/>
  <c r="AM172" i="9"/>
  <c r="AL172" i="9"/>
  <c r="AK172" i="9"/>
  <c r="AJ172" i="9"/>
  <c r="AI172" i="9"/>
  <c r="AH172" i="9"/>
  <c r="AG172" i="9"/>
  <c r="AF172" i="9"/>
  <c r="AC172" i="9"/>
  <c r="AB172" i="9"/>
  <c r="AA172" i="9"/>
  <c r="Z172" i="9"/>
  <c r="Y172" i="9"/>
  <c r="X172" i="9"/>
  <c r="W172" i="9"/>
  <c r="V172" i="9"/>
  <c r="U172" i="9"/>
  <c r="T172" i="9"/>
  <c r="S172" i="9"/>
  <c r="R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LZ170" i="9"/>
  <c r="LL170" i="9"/>
  <c r="KX170" i="9"/>
  <c r="KJ170" i="9"/>
  <c r="JV170" i="9"/>
  <c r="JH170" i="9"/>
  <c r="IT170" i="9"/>
  <c r="IF170" i="9"/>
  <c r="HR170" i="9"/>
  <c r="HD170" i="9"/>
  <c r="GP170" i="9"/>
  <c r="GB170" i="9"/>
  <c r="FN170" i="9"/>
  <c r="EZ170" i="9"/>
  <c r="EL170" i="9"/>
  <c r="DX170" i="9"/>
  <c r="DJ170" i="9"/>
  <c r="CV170" i="9"/>
  <c r="CH170" i="9"/>
  <c r="BT170" i="9"/>
  <c r="BF170" i="9"/>
  <c r="AR170" i="9"/>
  <c r="AD170" i="9"/>
  <c r="P170" i="9"/>
  <c r="LZ169" i="9"/>
  <c r="LL169" i="9"/>
  <c r="KX169" i="9"/>
  <c r="KJ169" i="9"/>
  <c r="JV169" i="9"/>
  <c r="JH169" i="9"/>
  <c r="IT169" i="9"/>
  <c r="IF169" i="9"/>
  <c r="HR169" i="9"/>
  <c r="HD169" i="9"/>
  <c r="GP169" i="9"/>
  <c r="GB169" i="9"/>
  <c r="FN169" i="9"/>
  <c r="EZ169" i="9"/>
  <c r="EL169" i="9"/>
  <c r="DX169" i="9"/>
  <c r="DJ169" i="9"/>
  <c r="CV169" i="9"/>
  <c r="CH169" i="9"/>
  <c r="BT169" i="9"/>
  <c r="BF169" i="9"/>
  <c r="AR169" i="9"/>
  <c r="AD169" i="9"/>
  <c r="P169" i="9"/>
  <c r="LY166" i="9"/>
  <c r="LX166" i="9"/>
  <c r="LW166" i="9"/>
  <c r="LV166" i="9"/>
  <c r="LU166" i="9"/>
  <c r="LT166" i="9"/>
  <c r="LS166" i="9"/>
  <c r="LR166" i="9"/>
  <c r="LQ166" i="9"/>
  <c r="LP166" i="9"/>
  <c r="LO166" i="9"/>
  <c r="LN166" i="9"/>
  <c r="LK166" i="9"/>
  <c r="LJ166" i="9"/>
  <c r="LI166" i="9"/>
  <c r="LH166" i="9"/>
  <c r="LG166" i="9"/>
  <c r="LF166" i="9"/>
  <c r="LE166" i="9"/>
  <c r="LD166" i="9"/>
  <c r="LC166" i="9"/>
  <c r="LB166" i="9"/>
  <c r="LA166" i="9"/>
  <c r="KZ166" i="9"/>
  <c r="KW166" i="9"/>
  <c r="KV166" i="9"/>
  <c r="KU166" i="9"/>
  <c r="KT166" i="9"/>
  <c r="KS166" i="9"/>
  <c r="KR166" i="9"/>
  <c r="KQ166" i="9"/>
  <c r="KP166" i="9"/>
  <c r="KO166" i="9"/>
  <c r="KN166" i="9"/>
  <c r="KM166" i="9"/>
  <c r="KL166" i="9"/>
  <c r="KI166" i="9"/>
  <c r="KH166" i="9"/>
  <c r="KG166" i="9"/>
  <c r="KF166" i="9"/>
  <c r="KE166" i="9"/>
  <c r="KD166" i="9"/>
  <c r="KC166" i="9"/>
  <c r="KB166" i="9"/>
  <c r="KA166" i="9"/>
  <c r="JZ166" i="9"/>
  <c r="JY166" i="9"/>
  <c r="JX166" i="9"/>
  <c r="JU166" i="9"/>
  <c r="JT166" i="9"/>
  <c r="JS166" i="9"/>
  <c r="JR166" i="9"/>
  <c r="JQ166" i="9"/>
  <c r="JP166" i="9"/>
  <c r="JO166" i="9"/>
  <c r="JN166" i="9"/>
  <c r="JM166" i="9"/>
  <c r="JL166" i="9"/>
  <c r="JK166" i="9"/>
  <c r="JJ166" i="9"/>
  <c r="JG166" i="9"/>
  <c r="JF166" i="9"/>
  <c r="JE166" i="9"/>
  <c r="JD166" i="9"/>
  <c r="JC166" i="9"/>
  <c r="JB166" i="9"/>
  <c r="JA166" i="9"/>
  <c r="IZ166" i="9"/>
  <c r="IY166" i="9"/>
  <c r="IX166" i="9"/>
  <c r="IW166" i="9"/>
  <c r="IV166" i="9"/>
  <c r="IS166" i="9"/>
  <c r="IR166" i="9"/>
  <c r="IQ166" i="9"/>
  <c r="IP166" i="9"/>
  <c r="IO166" i="9"/>
  <c r="IN166" i="9"/>
  <c r="IM166" i="9"/>
  <c r="IL166" i="9"/>
  <c r="IK166" i="9"/>
  <c r="IJ166" i="9"/>
  <c r="II166" i="9"/>
  <c r="IH166" i="9"/>
  <c r="IE166" i="9"/>
  <c r="ID166" i="9"/>
  <c r="IC166" i="9"/>
  <c r="IB166" i="9"/>
  <c r="IA166" i="9"/>
  <c r="HZ166" i="9"/>
  <c r="HY166" i="9"/>
  <c r="HX166" i="9"/>
  <c r="HW166" i="9"/>
  <c r="HV166" i="9"/>
  <c r="HU166" i="9"/>
  <c r="HT166" i="9"/>
  <c r="HQ166" i="9"/>
  <c r="HP166" i="9"/>
  <c r="HO166" i="9"/>
  <c r="HN166" i="9"/>
  <c r="HM166" i="9"/>
  <c r="HL166" i="9"/>
  <c r="HK166" i="9"/>
  <c r="HJ166" i="9"/>
  <c r="HI166" i="9"/>
  <c r="HH166" i="9"/>
  <c r="HG166" i="9"/>
  <c r="HF166" i="9"/>
  <c r="HC166" i="9"/>
  <c r="HB166" i="9"/>
  <c r="HA166" i="9"/>
  <c r="GZ166" i="9"/>
  <c r="GY166" i="9"/>
  <c r="GX166" i="9"/>
  <c r="GW166" i="9"/>
  <c r="GV166" i="9"/>
  <c r="GU166" i="9"/>
  <c r="GT166" i="9"/>
  <c r="GS166" i="9"/>
  <c r="GR166" i="9"/>
  <c r="GO166" i="9"/>
  <c r="GN166" i="9"/>
  <c r="GM166" i="9"/>
  <c r="GL166" i="9"/>
  <c r="GK166" i="9"/>
  <c r="GJ166" i="9"/>
  <c r="GI166" i="9"/>
  <c r="GH166" i="9"/>
  <c r="GG166" i="9"/>
  <c r="GF166" i="9"/>
  <c r="GE166" i="9"/>
  <c r="GD166" i="9"/>
  <c r="GA166" i="9"/>
  <c r="FZ166" i="9"/>
  <c r="FY166" i="9"/>
  <c r="FX166" i="9"/>
  <c r="FW166" i="9"/>
  <c r="FV166" i="9"/>
  <c r="FU166" i="9"/>
  <c r="FT166" i="9"/>
  <c r="FS166" i="9"/>
  <c r="FR166" i="9"/>
  <c r="FQ166" i="9"/>
  <c r="FP166" i="9"/>
  <c r="FM166" i="9"/>
  <c r="FL166" i="9"/>
  <c r="FK166" i="9"/>
  <c r="FJ166" i="9"/>
  <c r="FI166" i="9"/>
  <c r="FH166" i="9"/>
  <c r="FG166" i="9"/>
  <c r="FF166" i="9"/>
  <c r="FE166" i="9"/>
  <c r="FD166" i="9"/>
  <c r="FC166" i="9"/>
  <c r="FB166" i="9"/>
  <c r="EY166" i="9"/>
  <c r="EX166" i="9"/>
  <c r="EW166" i="9"/>
  <c r="EV166" i="9"/>
  <c r="EU166" i="9"/>
  <c r="ET166" i="9"/>
  <c r="ES166" i="9"/>
  <c r="ER166" i="9"/>
  <c r="EQ166" i="9"/>
  <c r="EP166" i="9"/>
  <c r="EO166" i="9"/>
  <c r="EN166" i="9"/>
  <c r="EK166" i="9"/>
  <c r="EJ166" i="9"/>
  <c r="EI166" i="9"/>
  <c r="EH166" i="9"/>
  <c r="EG166" i="9"/>
  <c r="EF166" i="9"/>
  <c r="EE166" i="9"/>
  <c r="ED166" i="9"/>
  <c r="EC166" i="9"/>
  <c r="EB166" i="9"/>
  <c r="EA166" i="9"/>
  <c r="DZ166" i="9"/>
  <c r="DW166" i="9"/>
  <c r="DV166" i="9"/>
  <c r="DU166" i="9"/>
  <c r="DT166" i="9"/>
  <c r="DS166" i="9"/>
  <c r="DR166" i="9"/>
  <c r="DQ166" i="9"/>
  <c r="DP166" i="9"/>
  <c r="DO166" i="9"/>
  <c r="DN166" i="9"/>
  <c r="DM166" i="9"/>
  <c r="DL166" i="9"/>
  <c r="DI166" i="9"/>
  <c r="DH166" i="9"/>
  <c r="DG166" i="9"/>
  <c r="DF166" i="9"/>
  <c r="DE166" i="9"/>
  <c r="DD166" i="9"/>
  <c r="DC166" i="9"/>
  <c r="DB166" i="9"/>
  <c r="DA166" i="9"/>
  <c r="CZ166" i="9"/>
  <c r="CY166" i="9"/>
  <c r="CX166" i="9"/>
  <c r="CU166" i="9"/>
  <c r="CT166" i="9"/>
  <c r="CS166" i="9"/>
  <c r="CR166" i="9"/>
  <c r="CQ166" i="9"/>
  <c r="CP166" i="9"/>
  <c r="CO166" i="9"/>
  <c r="CN166" i="9"/>
  <c r="CM166" i="9"/>
  <c r="CL166" i="9"/>
  <c r="CK166" i="9"/>
  <c r="CJ166" i="9"/>
  <c r="CG166" i="9"/>
  <c r="CF166" i="9"/>
  <c r="CE166" i="9"/>
  <c r="CD166" i="9"/>
  <c r="CC166" i="9"/>
  <c r="CB166" i="9"/>
  <c r="CA166" i="9"/>
  <c r="BZ166" i="9"/>
  <c r="BY166" i="9"/>
  <c r="BX166" i="9"/>
  <c r="BW166" i="9"/>
  <c r="BV166" i="9"/>
  <c r="BS166" i="9"/>
  <c r="BR166" i="9"/>
  <c r="BQ166" i="9"/>
  <c r="BP166" i="9"/>
  <c r="BO166" i="9"/>
  <c r="BN166" i="9"/>
  <c r="BM166" i="9"/>
  <c r="BL166" i="9"/>
  <c r="BK166" i="9"/>
  <c r="BJ166" i="9"/>
  <c r="BI166" i="9"/>
  <c r="BH166" i="9"/>
  <c r="BE166" i="9"/>
  <c r="BD166" i="9"/>
  <c r="BC166" i="9"/>
  <c r="BB166" i="9"/>
  <c r="BA166" i="9"/>
  <c r="AZ166" i="9"/>
  <c r="AY166" i="9"/>
  <c r="AX166" i="9"/>
  <c r="AW166" i="9"/>
  <c r="AV166" i="9"/>
  <c r="AU166" i="9"/>
  <c r="AT166" i="9"/>
  <c r="AQ166" i="9"/>
  <c r="AP166" i="9"/>
  <c r="AO166" i="9"/>
  <c r="AN166" i="9"/>
  <c r="AM166" i="9"/>
  <c r="AL166" i="9"/>
  <c r="AK166" i="9"/>
  <c r="AJ166" i="9"/>
  <c r="AI166" i="9"/>
  <c r="AH166" i="9"/>
  <c r="AG166" i="9"/>
  <c r="AF166" i="9"/>
  <c r="AC166" i="9"/>
  <c r="AB166" i="9"/>
  <c r="AA166" i="9"/>
  <c r="Z166" i="9"/>
  <c r="Y166" i="9"/>
  <c r="X166" i="9"/>
  <c r="W166" i="9"/>
  <c r="V166" i="9"/>
  <c r="U166" i="9"/>
  <c r="T166" i="9"/>
  <c r="S166" i="9"/>
  <c r="R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LZ165" i="9"/>
  <c r="LL165" i="9"/>
  <c r="KX165" i="9"/>
  <c r="KJ165" i="9"/>
  <c r="JV165" i="9"/>
  <c r="JH165" i="9"/>
  <c r="IT165" i="9"/>
  <c r="IF165" i="9"/>
  <c r="HR165" i="9"/>
  <c r="HD165" i="9"/>
  <c r="GP165" i="9"/>
  <c r="GB165" i="9"/>
  <c r="FN165" i="9"/>
  <c r="EZ165" i="9"/>
  <c r="EL165" i="9"/>
  <c r="DX165" i="9"/>
  <c r="DJ165" i="9"/>
  <c r="CV165" i="9"/>
  <c r="CH165" i="9"/>
  <c r="BT165" i="9"/>
  <c r="BF165" i="9"/>
  <c r="AR165" i="9"/>
  <c r="AD165" i="9"/>
  <c r="P165" i="9"/>
  <c r="LZ164" i="9"/>
  <c r="LL164" i="9"/>
  <c r="KX164" i="9"/>
  <c r="KJ164" i="9"/>
  <c r="JV164" i="9"/>
  <c r="JH164" i="9"/>
  <c r="IT164" i="9"/>
  <c r="IF164" i="9"/>
  <c r="HR164" i="9"/>
  <c r="HD164" i="9"/>
  <c r="GP164" i="9"/>
  <c r="GB164" i="9"/>
  <c r="FN164" i="9"/>
  <c r="EZ164" i="9"/>
  <c r="EL164" i="9"/>
  <c r="DX164" i="9"/>
  <c r="DJ164" i="9"/>
  <c r="CV164" i="9"/>
  <c r="CH164" i="9"/>
  <c r="BT164" i="9"/>
  <c r="BF164" i="9"/>
  <c r="AR164" i="9"/>
  <c r="AD164" i="9"/>
  <c r="P164" i="9"/>
  <c r="LZ163" i="9"/>
  <c r="LL163" i="9"/>
  <c r="KX163" i="9"/>
  <c r="KJ163" i="9"/>
  <c r="JV163" i="9"/>
  <c r="JH163" i="9"/>
  <c r="IT163" i="9"/>
  <c r="IF163" i="9"/>
  <c r="HR163" i="9"/>
  <c r="HD163" i="9"/>
  <c r="GP163" i="9"/>
  <c r="GB163" i="9"/>
  <c r="FN163" i="9"/>
  <c r="EZ163" i="9"/>
  <c r="EL163" i="9"/>
  <c r="DX163" i="9"/>
  <c r="DJ163" i="9"/>
  <c r="CV163" i="9"/>
  <c r="CH163" i="9"/>
  <c r="BT163" i="9"/>
  <c r="BF163" i="9"/>
  <c r="AR163" i="9"/>
  <c r="AD163" i="9"/>
  <c r="P163" i="9"/>
  <c r="LZ162" i="9"/>
  <c r="LL162" i="9"/>
  <c r="KX162" i="9"/>
  <c r="KJ162" i="9"/>
  <c r="JV162" i="9"/>
  <c r="JH162" i="9"/>
  <c r="IT162" i="9"/>
  <c r="IF162" i="9"/>
  <c r="HR162" i="9"/>
  <c r="HD162" i="9"/>
  <c r="GP162" i="9"/>
  <c r="GB162" i="9"/>
  <c r="FN162" i="9"/>
  <c r="EZ162" i="9"/>
  <c r="EL162" i="9"/>
  <c r="DX162" i="9"/>
  <c r="DJ162" i="9"/>
  <c r="CV162" i="9"/>
  <c r="CH162" i="9"/>
  <c r="BT162" i="9"/>
  <c r="BF162" i="9"/>
  <c r="AR162" i="9"/>
  <c r="AD162" i="9"/>
  <c r="P162" i="9"/>
  <c r="LZ161" i="9"/>
  <c r="LL161" i="9"/>
  <c r="KX161" i="9"/>
  <c r="KJ161" i="9"/>
  <c r="JV161" i="9"/>
  <c r="JH161" i="9"/>
  <c r="IT161" i="9"/>
  <c r="IF161" i="9"/>
  <c r="HR161" i="9"/>
  <c r="HD161" i="9"/>
  <c r="GP161" i="9"/>
  <c r="GB161" i="9"/>
  <c r="FN161" i="9"/>
  <c r="EZ161" i="9"/>
  <c r="EL161" i="9"/>
  <c r="DX161" i="9"/>
  <c r="DJ161" i="9"/>
  <c r="CV161" i="9"/>
  <c r="CH161" i="9"/>
  <c r="BT161" i="9"/>
  <c r="BF161" i="9"/>
  <c r="AR161" i="9"/>
  <c r="AD161" i="9"/>
  <c r="P161" i="9"/>
  <c r="LZ160" i="9"/>
  <c r="LL160" i="9"/>
  <c r="KX160" i="9"/>
  <c r="KJ160" i="9"/>
  <c r="JV160" i="9"/>
  <c r="JH160" i="9"/>
  <c r="IT160" i="9"/>
  <c r="IF160" i="9"/>
  <c r="HR160" i="9"/>
  <c r="HD160" i="9"/>
  <c r="GP160" i="9"/>
  <c r="GB160" i="9"/>
  <c r="FN160" i="9"/>
  <c r="EZ160" i="9"/>
  <c r="EL160" i="9"/>
  <c r="DX160" i="9"/>
  <c r="DJ160" i="9"/>
  <c r="CV160" i="9"/>
  <c r="CH160" i="9"/>
  <c r="BT160" i="9"/>
  <c r="BF160" i="9"/>
  <c r="AR160" i="9"/>
  <c r="AD160" i="9"/>
  <c r="P160" i="9"/>
  <c r="LZ159" i="9"/>
  <c r="LL159" i="9"/>
  <c r="KX159" i="9"/>
  <c r="KJ159" i="9"/>
  <c r="JV159" i="9"/>
  <c r="JH159" i="9"/>
  <c r="IT159" i="9"/>
  <c r="IF159" i="9"/>
  <c r="HR159" i="9"/>
  <c r="HD159" i="9"/>
  <c r="GP159" i="9"/>
  <c r="GB159" i="9"/>
  <c r="FN159" i="9"/>
  <c r="EZ159" i="9"/>
  <c r="EL159" i="9"/>
  <c r="DX159" i="9"/>
  <c r="DJ159" i="9"/>
  <c r="CV159" i="9"/>
  <c r="CH159" i="9"/>
  <c r="BT159" i="9"/>
  <c r="BF159" i="9"/>
  <c r="AR159" i="9"/>
  <c r="AD159" i="9"/>
  <c r="P159" i="9"/>
  <c r="LZ158" i="9"/>
  <c r="LL158" i="9"/>
  <c r="KX158" i="9"/>
  <c r="KJ158" i="9"/>
  <c r="JV158" i="9"/>
  <c r="JH158" i="9"/>
  <c r="IT158" i="9"/>
  <c r="IF158" i="9"/>
  <c r="HR158" i="9"/>
  <c r="HD158" i="9"/>
  <c r="GP158" i="9"/>
  <c r="GB158" i="9"/>
  <c r="FN158" i="9"/>
  <c r="EZ158" i="9"/>
  <c r="EL158" i="9"/>
  <c r="DX158" i="9"/>
  <c r="DJ158" i="9"/>
  <c r="CV158" i="9"/>
  <c r="CH158" i="9"/>
  <c r="BT158" i="9"/>
  <c r="BF158" i="9"/>
  <c r="AR158" i="9"/>
  <c r="AD158" i="9"/>
  <c r="P158" i="9"/>
  <c r="LY155" i="9"/>
  <c r="LX155" i="9"/>
  <c r="LW155" i="9"/>
  <c r="LV155" i="9"/>
  <c r="LU155" i="9"/>
  <c r="LT155" i="9"/>
  <c r="LS155" i="9"/>
  <c r="LR155" i="9"/>
  <c r="LQ155" i="9"/>
  <c r="LP155" i="9"/>
  <c r="LO155" i="9"/>
  <c r="LN155" i="9"/>
  <c r="LK155" i="9"/>
  <c r="LJ155" i="9"/>
  <c r="LI155" i="9"/>
  <c r="LH155" i="9"/>
  <c r="LG155" i="9"/>
  <c r="LF155" i="9"/>
  <c r="LE155" i="9"/>
  <c r="LD155" i="9"/>
  <c r="LC155" i="9"/>
  <c r="LB155" i="9"/>
  <c r="LA155" i="9"/>
  <c r="KZ155" i="9"/>
  <c r="KW155" i="9"/>
  <c r="KV155" i="9"/>
  <c r="KU155" i="9"/>
  <c r="KT155" i="9"/>
  <c r="KS155" i="9"/>
  <c r="KR155" i="9"/>
  <c r="KQ155" i="9"/>
  <c r="KP155" i="9"/>
  <c r="KO155" i="9"/>
  <c r="KN155" i="9"/>
  <c r="KM155" i="9"/>
  <c r="KL155" i="9"/>
  <c r="KI155" i="9"/>
  <c r="KH155" i="9"/>
  <c r="KG155" i="9"/>
  <c r="KF155" i="9"/>
  <c r="KE155" i="9"/>
  <c r="KD155" i="9"/>
  <c r="KC155" i="9"/>
  <c r="KB155" i="9"/>
  <c r="KA155" i="9"/>
  <c r="JZ155" i="9"/>
  <c r="JY155" i="9"/>
  <c r="JX155" i="9"/>
  <c r="JU155" i="9"/>
  <c r="JT155" i="9"/>
  <c r="JS155" i="9"/>
  <c r="JR155" i="9"/>
  <c r="JQ155" i="9"/>
  <c r="JP155" i="9"/>
  <c r="JO155" i="9"/>
  <c r="JN155" i="9"/>
  <c r="JM155" i="9"/>
  <c r="JL155" i="9"/>
  <c r="JK155" i="9"/>
  <c r="JJ155" i="9"/>
  <c r="JG155" i="9"/>
  <c r="JF155" i="9"/>
  <c r="JE155" i="9"/>
  <c r="JD155" i="9"/>
  <c r="JC155" i="9"/>
  <c r="JB155" i="9"/>
  <c r="JA155" i="9"/>
  <c r="IZ155" i="9"/>
  <c r="IY155" i="9"/>
  <c r="IX155" i="9"/>
  <c r="IW155" i="9"/>
  <c r="IV155" i="9"/>
  <c r="IS155" i="9"/>
  <c r="IR155" i="9"/>
  <c r="IQ155" i="9"/>
  <c r="IP155" i="9"/>
  <c r="IO155" i="9"/>
  <c r="IN155" i="9"/>
  <c r="IM155" i="9"/>
  <c r="IL155" i="9"/>
  <c r="IK155" i="9"/>
  <c r="IJ155" i="9"/>
  <c r="II155" i="9"/>
  <c r="IH155" i="9"/>
  <c r="IE155" i="9"/>
  <c r="ID155" i="9"/>
  <c r="IC155" i="9"/>
  <c r="IB155" i="9"/>
  <c r="IA155" i="9"/>
  <c r="HZ155" i="9"/>
  <c r="HY155" i="9"/>
  <c r="HX155" i="9"/>
  <c r="HW155" i="9"/>
  <c r="HV155" i="9"/>
  <c r="HU155" i="9"/>
  <c r="HT155" i="9"/>
  <c r="HQ155" i="9"/>
  <c r="HP155" i="9"/>
  <c r="HO155" i="9"/>
  <c r="HN155" i="9"/>
  <c r="HM155" i="9"/>
  <c r="HL155" i="9"/>
  <c r="HK155" i="9"/>
  <c r="HJ155" i="9"/>
  <c r="HI155" i="9"/>
  <c r="HH155" i="9"/>
  <c r="HG155" i="9"/>
  <c r="HF155" i="9"/>
  <c r="HC155" i="9"/>
  <c r="HB155" i="9"/>
  <c r="HA155" i="9"/>
  <c r="GZ155" i="9"/>
  <c r="GY155" i="9"/>
  <c r="GX155" i="9"/>
  <c r="GW155" i="9"/>
  <c r="GV155" i="9"/>
  <c r="GU155" i="9"/>
  <c r="GT155" i="9"/>
  <c r="GS155" i="9"/>
  <c r="GR155" i="9"/>
  <c r="GO155" i="9"/>
  <c r="GN155" i="9"/>
  <c r="GM155" i="9"/>
  <c r="GL155" i="9"/>
  <c r="GK155" i="9"/>
  <c r="GJ155" i="9"/>
  <c r="GI155" i="9"/>
  <c r="GH155" i="9"/>
  <c r="GG155" i="9"/>
  <c r="GF155" i="9"/>
  <c r="GE155" i="9"/>
  <c r="GD155" i="9"/>
  <c r="GA155" i="9"/>
  <c r="FZ155" i="9"/>
  <c r="FY155" i="9"/>
  <c r="FX155" i="9"/>
  <c r="FW155" i="9"/>
  <c r="FV155" i="9"/>
  <c r="FU155" i="9"/>
  <c r="FT155" i="9"/>
  <c r="FS155" i="9"/>
  <c r="FR155" i="9"/>
  <c r="FQ155" i="9"/>
  <c r="FP155" i="9"/>
  <c r="FM155" i="9"/>
  <c r="FL155" i="9"/>
  <c r="FK155" i="9"/>
  <c r="FJ155" i="9"/>
  <c r="FI155" i="9"/>
  <c r="FH155" i="9"/>
  <c r="FG155" i="9"/>
  <c r="FF155" i="9"/>
  <c r="FE155" i="9"/>
  <c r="FD155" i="9"/>
  <c r="FC155" i="9"/>
  <c r="FB155" i="9"/>
  <c r="EY155" i="9"/>
  <c r="EX155" i="9"/>
  <c r="EW155" i="9"/>
  <c r="EV155" i="9"/>
  <c r="EU155" i="9"/>
  <c r="ET155" i="9"/>
  <c r="ES155" i="9"/>
  <c r="ER155" i="9"/>
  <c r="EQ155" i="9"/>
  <c r="EP155" i="9"/>
  <c r="EO155" i="9"/>
  <c r="EN155" i="9"/>
  <c r="EK155" i="9"/>
  <c r="EJ155" i="9"/>
  <c r="EI155" i="9"/>
  <c r="EH155" i="9"/>
  <c r="EG155" i="9"/>
  <c r="EF155" i="9"/>
  <c r="EE155" i="9"/>
  <c r="ED155" i="9"/>
  <c r="EC155" i="9"/>
  <c r="EB155" i="9"/>
  <c r="EA155" i="9"/>
  <c r="DZ155" i="9"/>
  <c r="DW155" i="9"/>
  <c r="DV155" i="9"/>
  <c r="DU155" i="9"/>
  <c r="DT155" i="9"/>
  <c r="DS155" i="9"/>
  <c r="DR155" i="9"/>
  <c r="DQ155" i="9"/>
  <c r="DP155" i="9"/>
  <c r="DO155" i="9"/>
  <c r="DN155" i="9"/>
  <c r="DM155" i="9"/>
  <c r="DL155" i="9"/>
  <c r="DI155" i="9"/>
  <c r="DH155" i="9"/>
  <c r="DG155" i="9"/>
  <c r="DF155" i="9"/>
  <c r="DE155" i="9"/>
  <c r="DD155" i="9"/>
  <c r="DC155" i="9"/>
  <c r="DB155" i="9"/>
  <c r="DA155" i="9"/>
  <c r="CZ155" i="9"/>
  <c r="CY155" i="9"/>
  <c r="CX155" i="9"/>
  <c r="CU155" i="9"/>
  <c r="CT155" i="9"/>
  <c r="CS155" i="9"/>
  <c r="CR155" i="9"/>
  <c r="CQ155" i="9"/>
  <c r="CP155" i="9"/>
  <c r="CO155" i="9"/>
  <c r="CN155" i="9"/>
  <c r="CM155" i="9"/>
  <c r="CL155" i="9"/>
  <c r="CK155" i="9"/>
  <c r="CJ155" i="9"/>
  <c r="CG155" i="9"/>
  <c r="CF155" i="9"/>
  <c r="CE155" i="9"/>
  <c r="CD155" i="9"/>
  <c r="CC155" i="9"/>
  <c r="CB155" i="9"/>
  <c r="CA155" i="9"/>
  <c r="BZ155" i="9"/>
  <c r="BY155" i="9"/>
  <c r="BX155" i="9"/>
  <c r="BW155" i="9"/>
  <c r="BV155" i="9"/>
  <c r="BS155" i="9"/>
  <c r="BR155" i="9"/>
  <c r="BQ155" i="9"/>
  <c r="BP155" i="9"/>
  <c r="BO155" i="9"/>
  <c r="BN155" i="9"/>
  <c r="BM155" i="9"/>
  <c r="BL155" i="9"/>
  <c r="BK155" i="9"/>
  <c r="BJ155" i="9"/>
  <c r="BI155" i="9"/>
  <c r="BH155" i="9"/>
  <c r="BE155" i="9"/>
  <c r="BD155" i="9"/>
  <c r="BC155" i="9"/>
  <c r="BB155" i="9"/>
  <c r="BA155" i="9"/>
  <c r="AZ155" i="9"/>
  <c r="AY155" i="9"/>
  <c r="AX155" i="9"/>
  <c r="AW155" i="9"/>
  <c r="AV155" i="9"/>
  <c r="AU155" i="9"/>
  <c r="AT155" i="9"/>
  <c r="AQ155" i="9"/>
  <c r="AP155" i="9"/>
  <c r="AO155" i="9"/>
  <c r="AN155" i="9"/>
  <c r="AM155" i="9"/>
  <c r="AL155" i="9"/>
  <c r="AK155" i="9"/>
  <c r="AJ155" i="9"/>
  <c r="AI155" i="9"/>
  <c r="AH155" i="9"/>
  <c r="AG155" i="9"/>
  <c r="AF155" i="9"/>
  <c r="AC155" i="9"/>
  <c r="AB155" i="9"/>
  <c r="AA155" i="9"/>
  <c r="Z155" i="9"/>
  <c r="Y155" i="9"/>
  <c r="X155" i="9"/>
  <c r="W155" i="9"/>
  <c r="V155" i="9"/>
  <c r="U155" i="9"/>
  <c r="T155" i="9"/>
  <c r="S155" i="9"/>
  <c r="R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LZ153" i="9"/>
  <c r="LL153" i="9"/>
  <c r="KX153" i="9"/>
  <c r="KJ153" i="9"/>
  <c r="JV153" i="9"/>
  <c r="JH153" i="9"/>
  <c r="IT153" i="9"/>
  <c r="IF153" i="9"/>
  <c r="HR153" i="9"/>
  <c r="HD153" i="9"/>
  <c r="GP153" i="9"/>
  <c r="GB153" i="9"/>
  <c r="FN153" i="9"/>
  <c r="EZ153" i="9"/>
  <c r="EL153" i="9"/>
  <c r="DX153" i="9"/>
  <c r="DJ153" i="9"/>
  <c r="CV153" i="9"/>
  <c r="CH153" i="9"/>
  <c r="BT153" i="9"/>
  <c r="BF153" i="9"/>
  <c r="AR153" i="9"/>
  <c r="AD153" i="9"/>
  <c r="P153" i="9"/>
  <c r="LZ152" i="9"/>
  <c r="LL152" i="9"/>
  <c r="KX152" i="9"/>
  <c r="KJ152" i="9"/>
  <c r="JV152" i="9"/>
  <c r="JH152" i="9"/>
  <c r="IT152" i="9"/>
  <c r="IF152" i="9"/>
  <c r="HR152" i="9"/>
  <c r="HD152" i="9"/>
  <c r="GP152" i="9"/>
  <c r="GB152" i="9"/>
  <c r="FN152" i="9"/>
  <c r="EZ152" i="9"/>
  <c r="EL152" i="9"/>
  <c r="DX152" i="9"/>
  <c r="DJ152" i="9"/>
  <c r="CV152" i="9"/>
  <c r="CH152" i="9"/>
  <c r="BT152" i="9"/>
  <c r="BF152" i="9"/>
  <c r="AR152" i="9"/>
  <c r="AD152" i="9"/>
  <c r="P152" i="9"/>
  <c r="MC150" i="9"/>
  <c r="MD150" i="9" s="1"/>
  <c r="ME150" i="9" s="1"/>
  <c r="MF150" i="9" s="1"/>
  <c r="MG150" i="9" s="1"/>
  <c r="MH150" i="9" s="1"/>
  <c r="MI150" i="9" s="1"/>
  <c r="MJ150" i="9" s="1"/>
  <c r="MK150" i="9" s="1"/>
  <c r="ML150" i="9" s="1"/>
  <c r="MM150" i="9" s="1"/>
  <c r="MN150" i="9" s="1"/>
  <c r="MC149" i="9"/>
  <c r="MD149" i="9" s="1"/>
  <c r="ME149" i="9" s="1"/>
  <c r="MF149" i="9" s="1"/>
  <c r="MG149" i="9" s="1"/>
  <c r="MH149" i="9" s="1"/>
  <c r="MI149" i="9" s="1"/>
  <c r="MJ149" i="9" s="1"/>
  <c r="MK149" i="9" s="1"/>
  <c r="ML149" i="9" s="1"/>
  <c r="MM149" i="9" s="1"/>
  <c r="MN149" i="9" s="1"/>
  <c r="LL149" i="9"/>
  <c r="HD149" i="9" s="1"/>
  <c r="LZ149" i="9" s="1"/>
  <c r="MN146" i="9" s="1"/>
  <c r="AD149" i="9"/>
  <c r="AR149" i="9" s="1"/>
  <c r="BF149" i="9" s="1"/>
  <c r="BT149" i="9" s="1"/>
  <c r="CH149" i="9" s="1"/>
  <c r="CV149" i="9" s="1"/>
  <c r="DJ149" i="9" s="1"/>
  <c r="DX149" i="9" s="1"/>
  <c r="EL149" i="9" s="1"/>
  <c r="EZ149" i="9" s="1"/>
  <c r="FN149" i="9" s="1"/>
  <c r="GB149" i="9" s="1"/>
  <c r="GP149" i="9" s="1"/>
  <c r="HR149" i="9" s="1"/>
  <c r="IF149" i="9" s="1"/>
  <c r="IT149" i="9" s="1"/>
  <c r="JH149" i="9" s="1"/>
  <c r="JV149" i="9" s="1"/>
  <c r="KJ149" i="9" s="1"/>
  <c r="MC147" i="9"/>
  <c r="MD147" i="9" s="1"/>
  <c r="ME147" i="9" s="1"/>
  <c r="MF147" i="9" s="1"/>
  <c r="MG147" i="9" s="1"/>
  <c r="MH147" i="9" s="1"/>
  <c r="MI147" i="9" s="1"/>
  <c r="MJ147" i="9" s="1"/>
  <c r="MK147" i="9" s="1"/>
  <c r="ML147" i="9" s="1"/>
  <c r="MM147" i="9" s="1"/>
  <c r="MN147" i="9" s="1"/>
  <c r="LZ147" i="9"/>
  <c r="LL147" i="9"/>
  <c r="KX147" i="9"/>
  <c r="KJ147" i="9"/>
  <c r="JV147" i="9"/>
  <c r="JH147" i="9"/>
  <c r="IT147" i="9"/>
  <c r="IF147" i="9"/>
  <c r="HR147" i="9"/>
  <c r="HD147" i="9"/>
  <c r="GP147" i="9"/>
  <c r="GB147" i="9"/>
  <c r="FN147" i="9"/>
  <c r="EZ147" i="9"/>
  <c r="EL147" i="9"/>
  <c r="DX147" i="9"/>
  <c r="DJ147" i="9"/>
  <c r="CV147" i="9"/>
  <c r="CH147" i="9"/>
  <c r="BT147" i="9"/>
  <c r="BF147" i="9"/>
  <c r="AR147" i="9"/>
  <c r="AD147" i="9"/>
  <c r="P147" i="9"/>
  <c r="MM146" i="9"/>
  <c r="ML146" i="9"/>
  <c r="MK146" i="9"/>
  <c r="MJ146" i="9"/>
  <c r="MI146" i="9"/>
  <c r="MH146" i="9"/>
  <c r="MG146" i="9"/>
  <c r="MF146" i="9"/>
  <c r="ME146" i="9"/>
  <c r="MD146" i="9"/>
  <c r="MC146" i="9"/>
  <c r="MB146" i="9"/>
  <c r="LZ146" i="9"/>
  <c r="LL146" i="9"/>
  <c r="KX146" i="9"/>
  <c r="KJ146" i="9"/>
  <c r="JV146" i="9"/>
  <c r="JH146" i="9"/>
  <c r="IT146" i="9"/>
  <c r="IF146" i="9"/>
  <c r="HR146" i="9"/>
  <c r="HD146" i="9"/>
  <c r="GP146" i="9"/>
  <c r="GB146" i="9"/>
  <c r="FN146" i="9"/>
  <c r="EZ146" i="9"/>
  <c r="EL146" i="9"/>
  <c r="DX146" i="9"/>
  <c r="DJ146" i="9"/>
  <c r="CV146" i="9"/>
  <c r="CH146" i="9"/>
  <c r="BT146" i="9"/>
  <c r="BF146" i="9"/>
  <c r="AR146" i="9"/>
  <c r="AD146" i="9"/>
  <c r="P146" i="9"/>
  <c r="HD131" i="9"/>
  <c r="HD130" i="9"/>
  <c r="HD128" i="9"/>
  <c r="LZ127" i="9"/>
  <c r="LL127" i="9"/>
  <c r="KX127" i="9"/>
  <c r="KJ127" i="9"/>
  <c r="JV127" i="9"/>
  <c r="JH127" i="9"/>
  <c r="IT127" i="9"/>
  <c r="IF127" i="9"/>
  <c r="HR127" i="9"/>
  <c r="HD127" i="9"/>
  <c r="GP127" i="9"/>
  <c r="GB127" i="9"/>
  <c r="FN127" i="9"/>
  <c r="EZ127" i="9"/>
  <c r="EL127" i="9"/>
  <c r="DX127" i="9"/>
  <c r="DJ127" i="9"/>
  <c r="CV127" i="9"/>
  <c r="CH127" i="9"/>
  <c r="BT127" i="9"/>
  <c r="BF127" i="9"/>
  <c r="AR127" i="9"/>
  <c r="AD127" i="9"/>
  <c r="P127" i="9"/>
  <c r="LZ126" i="9"/>
  <c r="LL126" i="9"/>
  <c r="KX126" i="9"/>
  <c r="KJ126" i="9"/>
  <c r="JV126" i="9"/>
  <c r="JH126" i="9"/>
  <c r="IT126" i="9"/>
  <c r="IF126" i="9"/>
  <c r="HR126" i="9"/>
  <c r="HD126" i="9"/>
  <c r="GP126" i="9"/>
  <c r="GB126" i="9"/>
  <c r="FN126" i="9"/>
  <c r="EZ126" i="9"/>
  <c r="EL126" i="9"/>
  <c r="DX126" i="9"/>
  <c r="DJ126" i="9"/>
  <c r="CV126" i="9"/>
  <c r="CH126" i="9"/>
  <c r="BT126" i="9"/>
  <c r="BF126" i="9"/>
  <c r="AR126" i="9"/>
  <c r="AD126" i="9"/>
  <c r="P126" i="9"/>
  <c r="HD125" i="9"/>
  <c r="HD123" i="9"/>
  <c r="LZ122" i="9"/>
  <c r="LL122" i="9"/>
  <c r="KX122" i="9"/>
  <c r="KJ122" i="9"/>
  <c r="JV122" i="9"/>
  <c r="JH122" i="9"/>
  <c r="IT122" i="9"/>
  <c r="IF122" i="9"/>
  <c r="HR122" i="9"/>
  <c r="HD122" i="9"/>
  <c r="GP122" i="9"/>
  <c r="GB122" i="9"/>
  <c r="FN122" i="9"/>
  <c r="EZ122" i="9"/>
  <c r="EL122" i="9"/>
  <c r="DX122" i="9"/>
  <c r="DJ122" i="9"/>
  <c r="CV122" i="9"/>
  <c r="CH122" i="9"/>
  <c r="BT122" i="9"/>
  <c r="BF122" i="9"/>
  <c r="AR122" i="9"/>
  <c r="AD122" i="9"/>
  <c r="P122" i="9"/>
  <c r="HD121" i="9"/>
  <c r="HD119" i="9"/>
  <c r="LZ118" i="9"/>
  <c r="LL118" i="9"/>
  <c r="KX118" i="9"/>
  <c r="KJ118" i="9"/>
  <c r="JV118" i="9"/>
  <c r="JH118" i="9"/>
  <c r="IT118" i="9"/>
  <c r="IF118" i="9"/>
  <c r="HR118" i="9"/>
  <c r="HD118" i="9"/>
  <c r="GP118" i="9"/>
  <c r="GB118" i="9"/>
  <c r="FN118" i="9"/>
  <c r="EZ118" i="9"/>
  <c r="EL118" i="9"/>
  <c r="DX118" i="9"/>
  <c r="DJ118" i="9"/>
  <c r="CV118" i="9"/>
  <c r="CH118" i="9"/>
  <c r="BT118" i="9"/>
  <c r="BF118" i="9"/>
  <c r="AR118" i="9"/>
  <c r="AD118" i="9"/>
  <c r="P118" i="9"/>
  <c r="LK115" i="9"/>
  <c r="LK258" i="9" s="1"/>
  <c r="LJ115" i="9"/>
  <c r="LJ258" i="9" s="1"/>
  <c r="LI115" i="9"/>
  <c r="LI258" i="9" s="1"/>
  <c r="LH115" i="9"/>
  <c r="LH258" i="9" s="1"/>
  <c r="LG115" i="9"/>
  <c r="LG258" i="9" s="1"/>
  <c r="LF115" i="9"/>
  <c r="LF258" i="9" s="1"/>
  <c r="LE115" i="9"/>
  <c r="LE258" i="9" s="1"/>
  <c r="LD115" i="9"/>
  <c r="LD258" i="9" s="1"/>
  <c r="LC115" i="9"/>
  <c r="LC258" i="9" s="1"/>
  <c r="LB115" i="9"/>
  <c r="LB258" i="9" s="1"/>
  <c r="LA115" i="9"/>
  <c r="LA258" i="9" s="1"/>
  <c r="KZ115" i="9"/>
  <c r="KZ258" i="9" s="1"/>
  <c r="KI115" i="9"/>
  <c r="KI258" i="9" s="1"/>
  <c r="KH115" i="9"/>
  <c r="KH258" i="9" s="1"/>
  <c r="KG115" i="9"/>
  <c r="KG258" i="9" s="1"/>
  <c r="KF115" i="9"/>
  <c r="KF258" i="9" s="1"/>
  <c r="KE115" i="9"/>
  <c r="KE258" i="9" s="1"/>
  <c r="KD115" i="9"/>
  <c r="KD258" i="9" s="1"/>
  <c r="KC115" i="9"/>
  <c r="KC258" i="9" s="1"/>
  <c r="KB115" i="9"/>
  <c r="KB258" i="9" s="1"/>
  <c r="KA115" i="9"/>
  <c r="KA258" i="9" s="1"/>
  <c r="JZ115" i="9"/>
  <c r="JZ258" i="9" s="1"/>
  <c r="JY115" i="9"/>
  <c r="JY258" i="9" s="1"/>
  <c r="JX115" i="9"/>
  <c r="JX258" i="9" s="1"/>
  <c r="JU115" i="9"/>
  <c r="JU258" i="9" s="1"/>
  <c r="JT115" i="9"/>
  <c r="JT258" i="9" s="1"/>
  <c r="JS115" i="9"/>
  <c r="JS258" i="9" s="1"/>
  <c r="JR115" i="9"/>
  <c r="JR258" i="9" s="1"/>
  <c r="JQ115" i="9"/>
  <c r="JQ258" i="9" s="1"/>
  <c r="JP115" i="9"/>
  <c r="JP258" i="9" s="1"/>
  <c r="JO115" i="9"/>
  <c r="JO258" i="9" s="1"/>
  <c r="JN115" i="9"/>
  <c r="JN258" i="9" s="1"/>
  <c r="JM115" i="9"/>
  <c r="JM258" i="9" s="1"/>
  <c r="JL115" i="9"/>
  <c r="JL258" i="9" s="1"/>
  <c r="JK115" i="9"/>
  <c r="JK258" i="9" s="1"/>
  <c r="JJ115" i="9"/>
  <c r="JJ258" i="9" s="1"/>
  <c r="JG115" i="9"/>
  <c r="JG258" i="9" s="1"/>
  <c r="JF115" i="9"/>
  <c r="JF258" i="9" s="1"/>
  <c r="JE115" i="9"/>
  <c r="JE258" i="9" s="1"/>
  <c r="JD115" i="9"/>
  <c r="JD258" i="9" s="1"/>
  <c r="JC115" i="9"/>
  <c r="JC258" i="9" s="1"/>
  <c r="JB115" i="9"/>
  <c r="JB258" i="9" s="1"/>
  <c r="JA115" i="9"/>
  <c r="JA258" i="9" s="1"/>
  <c r="IZ115" i="9"/>
  <c r="IZ258" i="9" s="1"/>
  <c r="IY115" i="9"/>
  <c r="IY258" i="9" s="1"/>
  <c r="IX115" i="9"/>
  <c r="IX258" i="9" s="1"/>
  <c r="IW115" i="9"/>
  <c r="IW258" i="9" s="1"/>
  <c r="IV115" i="9"/>
  <c r="IV258" i="9" s="1"/>
  <c r="IS115" i="9"/>
  <c r="IS258" i="9" s="1"/>
  <c r="IR115" i="9"/>
  <c r="IR258" i="9" s="1"/>
  <c r="IQ115" i="9"/>
  <c r="IQ258" i="9" s="1"/>
  <c r="IP115" i="9"/>
  <c r="IP258" i="9" s="1"/>
  <c r="IO115" i="9"/>
  <c r="IO258" i="9" s="1"/>
  <c r="IN115" i="9"/>
  <c r="IN258" i="9" s="1"/>
  <c r="IM115" i="9"/>
  <c r="IM258" i="9" s="1"/>
  <c r="IL115" i="9"/>
  <c r="IL258" i="9" s="1"/>
  <c r="IK115" i="9"/>
  <c r="IK258" i="9" s="1"/>
  <c r="IJ115" i="9"/>
  <c r="IJ258" i="9" s="1"/>
  <c r="II115" i="9"/>
  <c r="II258" i="9" s="1"/>
  <c r="IH115" i="9"/>
  <c r="IH258" i="9" s="1"/>
  <c r="IE115" i="9"/>
  <c r="IE258" i="9" s="1"/>
  <c r="ID115" i="9"/>
  <c r="ID258" i="9" s="1"/>
  <c r="IC115" i="9"/>
  <c r="IC258" i="9" s="1"/>
  <c r="IB115" i="9"/>
  <c r="IB258" i="9" s="1"/>
  <c r="IA115" i="9"/>
  <c r="IA258" i="9" s="1"/>
  <c r="HZ115" i="9"/>
  <c r="HZ258" i="9" s="1"/>
  <c r="HY115" i="9"/>
  <c r="HY258" i="9" s="1"/>
  <c r="HX115" i="9"/>
  <c r="HX258" i="9" s="1"/>
  <c r="HW115" i="9"/>
  <c r="HW258" i="9" s="1"/>
  <c r="HV115" i="9"/>
  <c r="HV258" i="9" s="1"/>
  <c r="HU115" i="9"/>
  <c r="HU258" i="9" s="1"/>
  <c r="HT115" i="9"/>
  <c r="HT258" i="9" s="1"/>
  <c r="HQ115" i="9"/>
  <c r="HQ258" i="9" s="1"/>
  <c r="HP115" i="9"/>
  <c r="HP258" i="9" s="1"/>
  <c r="HO115" i="9"/>
  <c r="HO258" i="9" s="1"/>
  <c r="HN115" i="9"/>
  <c r="HN258" i="9" s="1"/>
  <c r="HM115" i="9"/>
  <c r="HM258" i="9" s="1"/>
  <c r="HL115" i="9"/>
  <c r="HL258" i="9" s="1"/>
  <c r="HK115" i="9"/>
  <c r="HK258" i="9" s="1"/>
  <c r="HJ115" i="9"/>
  <c r="HJ258" i="9" s="1"/>
  <c r="HI115" i="9"/>
  <c r="HI258" i="9" s="1"/>
  <c r="HH115" i="9"/>
  <c r="HH258" i="9" s="1"/>
  <c r="HG115" i="9"/>
  <c r="HG258" i="9" s="1"/>
  <c r="HF115" i="9"/>
  <c r="HF258" i="9" s="1"/>
  <c r="HD115" i="9"/>
  <c r="GO115" i="9"/>
  <c r="GO258" i="9" s="1"/>
  <c r="GN115" i="9"/>
  <c r="GN258" i="9" s="1"/>
  <c r="GM115" i="9"/>
  <c r="GM258" i="9" s="1"/>
  <c r="GL115" i="9"/>
  <c r="GL258" i="9" s="1"/>
  <c r="GK115" i="9"/>
  <c r="GK258" i="9" s="1"/>
  <c r="GJ115" i="9"/>
  <c r="GJ258" i="9" s="1"/>
  <c r="GI115" i="9"/>
  <c r="GI258" i="9" s="1"/>
  <c r="GH115" i="9"/>
  <c r="GH258" i="9" s="1"/>
  <c r="GG115" i="9"/>
  <c r="GG258" i="9" s="1"/>
  <c r="GF115" i="9"/>
  <c r="GF258" i="9" s="1"/>
  <c r="GE115" i="9"/>
  <c r="GE258" i="9" s="1"/>
  <c r="GD115" i="9"/>
  <c r="GD258" i="9" s="1"/>
  <c r="GA115" i="9"/>
  <c r="GA258" i="9" s="1"/>
  <c r="FZ115" i="9"/>
  <c r="FZ258" i="9" s="1"/>
  <c r="FY115" i="9"/>
  <c r="FY258" i="9" s="1"/>
  <c r="FX115" i="9"/>
  <c r="FX258" i="9" s="1"/>
  <c r="FW115" i="9"/>
  <c r="FW258" i="9" s="1"/>
  <c r="FV115" i="9"/>
  <c r="FV258" i="9" s="1"/>
  <c r="FU115" i="9"/>
  <c r="FU258" i="9" s="1"/>
  <c r="FT115" i="9"/>
  <c r="FT258" i="9" s="1"/>
  <c r="FS115" i="9"/>
  <c r="FS258" i="9" s="1"/>
  <c r="FR115" i="9"/>
  <c r="FR258" i="9" s="1"/>
  <c r="FQ115" i="9"/>
  <c r="FQ258" i="9" s="1"/>
  <c r="FP115" i="9"/>
  <c r="FP258" i="9" s="1"/>
  <c r="FM115" i="9"/>
  <c r="FM258" i="9" s="1"/>
  <c r="FL115" i="9"/>
  <c r="FL258" i="9" s="1"/>
  <c r="FK115" i="9"/>
  <c r="FK258" i="9" s="1"/>
  <c r="FJ115" i="9"/>
  <c r="FJ258" i="9" s="1"/>
  <c r="FI115" i="9"/>
  <c r="FI258" i="9" s="1"/>
  <c r="FH115" i="9"/>
  <c r="FH258" i="9" s="1"/>
  <c r="FG115" i="9"/>
  <c r="FG258" i="9" s="1"/>
  <c r="FF115" i="9"/>
  <c r="FF258" i="9" s="1"/>
  <c r="FE115" i="9"/>
  <c r="FE258" i="9" s="1"/>
  <c r="FD115" i="9"/>
  <c r="FD258" i="9" s="1"/>
  <c r="FC115" i="9"/>
  <c r="FC258" i="9" s="1"/>
  <c r="FB115" i="9"/>
  <c r="FB258" i="9" s="1"/>
  <c r="EY115" i="9"/>
  <c r="EY258" i="9" s="1"/>
  <c r="EX115" i="9"/>
  <c r="EX258" i="9" s="1"/>
  <c r="EW115" i="9"/>
  <c r="EW258" i="9" s="1"/>
  <c r="EV115" i="9"/>
  <c r="EV258" i="9" s="1"/>
  <c r="EU115" i="9"/>
  <c r="EU258" i="9" s="1"/>
  <c r="ET115" i="9"/>
  <c r="ET258" i="9" s="1"/>
  <c r="ES115" i="9"/>
  <c r="ES258" i="9" s="1"/>
  <c r="ER115" i="9"/>
  <c r="ER258" i="9" s="1"/>
  <c r="EQ115" i="9"/>
  <c r="EQ258" i="9" s="1"/>
  <c r="EP115" i="9"/>
  <c r="EP258" i="9" s="1"/>
  <c r="EO115" i="9"/>
  <c r="EO258" i="9" s="1"/>
  <c r="EN115" i="9"/>
  <c r="EN258" i="9" s="1"/>
  <c r="EK115" i="9"/>
  <c r="EK258" i="9" s="1"/>
  <c r="EJ115" i="9"/>
  <c r="EJ258" i="9" s="1"/>
  <c r="EI115" i="9"/>
  <c r="EI258" i="9" s="1"/>
  <c r="EH115" i="9"/>
  <c r="EH258" i="9" s="1"/>
  <c r="EG115" i="9"/>
  <c r="EG258" i="9" s="1"/>
  <c r="EF115" i="9"/>
  <c r="EF258" i="9" s="1"/>
  <c r="EE115" i="9"/>
  <c r="EE258" i="9" s="1"/>
  <c r="ED115" i="9"/>
  <c r="ED258" i="9" s="1"/>
  <c r="EC115" i="9"/>
  <c r="EC258" i="9" s="1"/>
  <c r="EB115" i="9"/>
  <c r="EB258" i="9" s="1"/>
  <c r="EA115" i="9"/>
  <c r="EA258" i="9" s="1"/>
  <c r="DZ115" i="9"/>
  <c r="DZ258" i="9" s="1"/>
  <c r="DW115" i="9"/>
  <c r="DW258" i="9" s="1"/>
  <c r="DV115" i="9"/>
  <c r="DV258" i="9" s="1"/>
  <c r="DU115" i="9"/>
  <c r="DU258" i="9" s="1"/>
  <c r="DT115" i="9"/>
  <c r="DT258" i="9" s="1"/>
  <c r="DS115" i="9"/>
  <c r="DS258" i="9" s="1"/>
  <c r="DR115" i="9"/>
  <c r="DR258" i="9" s="1"/>
  <c r="DQ115" i="9"/>
  <c r="DQ258" i="9" s="1"/>
  <c r="DP115" i="9"/>
  <c r="DP258" i="9" s="1"/>
  <c r="DO115" i="9"/>
  <c r="DO258" i="9" s="1"/>
  <c r="DN115" i="9"/>
  <c r="DN258" i="9" s="1"/>
  <c r="DM115" i="9"/>
  <c r="DM258" i="9" s="1"/>
  <c r="DL115" i="9"/>
  <c r="DL258" i="9" s="1"/>
  <c r="DI115" i="9"/>
  <c r="DI258" i="9" s="1"/>
  <c r="DH115" i="9"/>
  <c r="DH258" i="9" s="1"/>
  <c r="DG115" i="9"/>
  <c r="DG258" i="9" s="1"/>
  <c r="DF115" i="9"/>
  <c r="DF258" i="9" s="1"/>
  <c r="DE115" i="9"/>
  <c r="DE258" i="9" s="1"/>
  <c r="DD115" i="9"/>
  <c r="DD258" i="9" s="1"/>
  <c r="DC115" i="9"/>
  <c r="DC258" i="9" s="1"/>
  <c r="DB115" i="9"/>
  <c r="DB258" i="9" s="1"/>
  <c r="DA115" i="9"/>
  <c r="DA258" i="9" s="1"/>
  <c r="CZ115" i="9"/>
  <c r="CZ258" i="9" s="1"/>
  <c r="CY115" i="9"/>
  <c r="CY258" i="9" s="1"/>
  <c r="CX115" i="9"/>
  <c r="CX258" i="9" s="1"/>
  <c r="CU115" i="9"/>
  <c r="CU258" i="9" s="1"/>
  <c r="CT115" i="9"/>
  <c r="CT258" i="9" s="1"/>
  <c r="CS115" i="9"/>
  <c r="CS258" i="9" s="1"/>
  <c r="CR115" i="9"/>
  <c r="CR258" i="9" s="1"/>
  <c r="CQ115" i="9"/>
  <c r="CQ258" i="9" s="1"/>
  <c r="CP115" i="9"/>
  <c r="CP258" i="9" s="1"/>
  <c r="CO115" i="9"/>
  <c r="CO258" i="9" s="1"/>
  <c r="CN115" i="9"/>
  <c r="CN258" i="9" s="1"/>
  <c r="CM115" i="9"/>
  <c r="CM258" i="9" s="1"/>
  <c r="CL115" i="9"/>
  <c r="CL258" i="9" s="1"/>
  <c r="CK115" i="9"/>
  <c r="CK258" i="9" s="1"/>
  <c r="CJ115" i="9"/>
  <c r="CJ258" i="9" s="1"/>
  <c r="CG115" i="9"/>
  <c r="CG258" i="9" s="1"/>
  <c r="CF115" i="9"/>
  <c r="CF258" i="9" s="1"/>
  <c r="CE115" i="9"/>
  <c r="CE258" i="9" s="1"/>
  <c r="CD115" i="9"/>
  <c r="CD258" i="9" s="1"/>
  <c r="CC115" i="9"/>
  <c r="CC258" i="9" s="1"/>
  <c r="CB115" i="9"/>
  <c r="CB258" i="9" s="1"/>
  <c r="CA115" i="9"/>
  <c r="CA258" i="9" s="1"/>
  <c r="BZ115" i="9"/>
  <c r="BZ258" i="9" s="1"/>
  <c r="BY115" i="9"/>
  <c r="BY258" i="9" s="1"/>
  <c r="BX115" i="9"/>
  <c r="BX258" i="9" s="1"/>
  <c r="BW115" i="9"/>
  <c r="BW258" i="9" s="1"/>
  <c r="BV115" i="9"/>
  <c r="BV258" i="9" s="1"/>
  <c r="BS115" i="9"/>
  <c r="BS258" i="9" s="1"/>
  <c r="BR115" i="9"/>
  <c r="BR258" i="9" s="1"/>
  <c r="BQ115" i="9"/>
  <c r="BQ258" i="9" s="1"/>
  <c r="BP115" i="9"/>
  <c r="BP258" i="9" s="1"/>
  <c r="BO115" i="9"/>
  <c r="BO258" i="9" s="1"/>
  <c r="BN115" i="9"/>
  <c r="BN258" i="9" s="1"/>
  <c r="BM115" i="9"/>
  <c r="BM258" i="9" s="1"/>
  <c r="BL115" i="9"/>
  <c r="BL258" i="9" s="1"/>
  <c r="BK115" i="9"/>
  <c r="BK258" i="9" s="1"/>
  <c r="BJ115" i="9"/>
  <c r="BJ258" i="9" s="1"/>
  <c r="BI115" i="9"/>
  <c r="BI258" i="9" s="1"/>
  <c r="BH115" i="9"/>
  <c r="BE115" i="9"/>
  <c r="BE258" i="9" s="1"/>
  <c r="BD115" i="9"/>
  <c r="BD258" i="9" s="1"/>
  <c r="BC115" i="9"/>
  <c r="BC258" i="9" s="1"/>
  <c r="BB115" i="9"/>
  <c r="BB258" i="9" s="1"/>
  <c r="BA115" i="9"/>
  <c r="BA258" i="9" s="1"/>
  <c r="AZ115" i="9"/>
  <c r="AZ258" i="9" s="1"/>
  <c r="AY115" i="9"/>
  <c r="AY258" i="9" s="1"/>
  <c r="AX115" i="9"/>
  <c r="AX258" i="9" s="1"/>
  <c r="AW115" i="9"/>
  <c r="AW258" i="9" s="1"/>
  <c r="AV115" i="9"/>
  <c r="AV258" i="9" s="1"/>
  <c r="AU115" i="9"/>
  <c r="AU258" i="9" s="1"/>
  <c r="AT115" i="9"/>
  <c r="AT258" i="9" s="1"/>
  <c r="AQ115" i="9"/>
  <c r="AQ258" i="9" s="1"/>
  <c r="AP115" i="9"/>
  <c r="AP258" i="9" s="1"/>
  <c r="AO115" i="9"/>
  <c r="AO258" i="9" s="1"/>
  <c r="AN115" i="9"/>
  <c r="AN258" i="9" s="1"/>
  <c r="AM115" i="9"/>
  <c r="AM258" i="9" s="1"/>
  <c r="AL115" i="9"/>
  <c r="AL258" i="9" s="1"/>
  <c r="AK115" i="9"/>
  <c r="AK258" i="9" s="1"/>
  <c r="AJ115" i="9"/>
  <c r="AJ258" i="9" s="1"/>
  <c r="AI115" i="9"/>
  <c r="AI258" i="9" s="1"/>
  <c r="AH115" i="9"/>
  <c r="AH258" i="9" s="1"/>
  <c r="AG115" i="9"/>
  <c r="AG258" i="9" s="1"/>
  <c r="AF115" i="9"/>
  <c r="AF258" i="9" s="1"/>
  <c r="AC115" i="9"/>
  <c r="AC258" i="9" s="1"/>
  <c r="AB115" i="9"/>
  <c r="AB258" i="9" s="1"/>
  <c r="AA115" i="9"/>
  <c r="AA258" i="9" s="1"/>
  <c r="Z115" i="9"/>
  <c r="Z258" i="9" s="1"/>
  <c r="Y115" i="9"/>
  <c r="Y258" i="9" s="1"/>
  <c r="X115" i="9"/>
  <c r="X258" i="9" s="1"/>
  <c r="W115" i="9"/>
  <c r="W258" i="9" s="1"/>
  <c r="V115" i="9"/>
  <c r="V258" i="9" s="1"/>
  <c r="U115" i="9"/>
  <c r="U258" i="9" s="1"/>
  <c r="T115" i="9"/>
  <c r="T258" i="9" s="1"/>
  <c r="S115" i="9"/>
  <c r="S258" i="9" s="1"/>
  <c r="R115" i="9"/>
  <c r="R258" i="9" s="1"/>
  <c r="O115" i="9"/>
  <c r="O258" i="9" s="1"/>
  <c r="N115" i="9"/>
  <c r="N258" i="9" s="1"/>
  <c r="M115" i="9"/>
  <c r="M258" i="9" s="1"/>
  <c r="L115" i="9"/>
  <c r="L258" i="9" s="1"/>
  <c r="K115" i="9"/>
  <c r="K258" i="9" s="1"/>
  <c r="J115" i="9"/>
  <c r="J258" i="9" s="1"/>
  <c r="I115" i="9"/>
  <c r="I258" i="9" s="1"/>
  <c r="H115" i="9"/>
  <c r="H258" i="9" s="1"/>
  <c r="G115" i="9"/>
  <c r="G258" i="9" s="1"/>
  <c r="F115" i="9"/>
  <c r="F258" i="9" s="1"/>
  <c r="E115" i="9"/>
  <c r="E258" i="9" s="1"/>
  <c r="D115" i="9"/>
  <c r="D258" i="9" s="1"/>
  <c r="LY112" i="9"/>
  <c r="LX112" i="9"/>
  <c r="LW112" i="9"/>
  <c r="LV112" i="9"/>
  <c r="LU112" i="9"/>
  <c r="LT112" i="9"/>
  <c r="LS112" i="9"/>
  <c r="LR112" i="9"/>
  <c r="LQ112" i="9"/>
  <c r="LP112" i="9"/>
  <c r="LO112" i="9"/>
  <c r="LN112" i="9"/>
  <c r="LK112" i="9"/>
  <c r="LJ112" i="9"/>
  <c r="LI112" i="9"/>
  <c r="LH112" i="9"/>
  <c r="LG112" i="9"/>
  <c r="LF112" i="9"/>
  <c r="LE112" i="9"/>
  <c r="LD112" i="9"/>
  <c r="LC112" i="9"/>
  <c r="LB112" i="9"/>
  <c r="LA112" i="9"/>
  <c r="KZ112" i="9"/>
  <c r="KW112" i="9"/>
  <c r="KV112" i="9"/>
  <c r="KU112" i="9"/>
  <c r="KT112" i="9"/>
  <c r="KS112" i="9"/>
  <c r="KR112" i="9"/>
  <c r="KQ112" i="9"/>
  <c r="KP112" i="9"/>
  <c r="KO112" i="9"/>
  <c r="KN112" i="9"/>
  <c r="KM112" i="9"/>
  <c r="KL112" i="9"/>
  <c r="KI112" i="9"/>
  <c r="KH112" i="9"/>
  <c r="KG112" i="9"/>
  <c r="KF112" i="9"/>
  <c r="KE112" i="9"/>
  <c r="KD112" i="9"/>
  <c r="KC112" i="9"/>
  <c r="KB112" i="9"/>
  <c r="KA112" i="9"/>
  <c r="JZ112" i="9"/>
  <c r="JY112" i="9"/>
  <c r="JX112" i="9"/>
  <c r="JU112" i="9"/>
  <c r="JT112" i="9"/>
  <c r="JS112" i="9"/>
  <c r="JR112" i="9"/>
  <c r="JQ112" i="9"/>
  <c r="JP112" i="9"/>
  <c r="JO112" i="9"/>
  <c r="JN112" i="9"/>
  <c r="JM112" i="9"/>
  <c r="JL112" i="9"/>
  <c r="JK112" i="9"/>
  <c r="JJ112" i="9"/>
  <c r="JG112" i="9"/>
  <c r="JF112" i="9"/>
  <c r="JE112" i="9"/>
  <c r="JD112" i="9"/>
  <c r="JC112" i="9"/>
  <c r="JB112" i="9"/>
  <c r="JA112" i="9"/>
  <c r="IZ112" i="9"/>
  <c r="IY112" i="9"/>
  <c r="IX112" i="9"/>
  <c r="IW112" i="9"/>
  <c r="IV112" i="9"/>
  <c r="IS112" i="9"/>
  <c r="IR112" i="9"/>
  <c r="IQ112" i="9"/>
  <c r="IP112" i="9"/>
  <c r="IO112" i="9"/>
  <c r="IN112" i="9"/>
  <c r="IM112" i="9"/>
  <c r="IL112" i="9"/>
  <c r="IK112" i="9"/>
  <c r="IJ112" i="9"/>
  <c r="II112" i="9"/>
  <c r="IH112" i="9"/>
  <c r="IE112" i="9"/>
  <c r="ID112" i="9"/>
  <c r="IC112" i="9"/>
  <c r="IB112" i="9"/>
  <c r="IA112" i="9"/>
  <c r="HZ112" i="9"/>
  <c r="HY112" i="9"/>
  <c r="HX112" i="9"/>
  <c r="HW112" i="9"/>
  <c r="HV112" i="9"/>
  <c r="HU112" i="9"/>
  <c r="HT112" i="9"/>
  <c r="HQ112" i="9"/>
  <c r="HP112" i="9"/>
  <c r="HO112" i="9"/>
  <c r="HN112" i="9"/>
  <c r="HM112" i="9"/>
  <c r="HL112" i="9"/>
  <c r="HK112" i="9"/>
  <c r="HJ112" i="9"/>
  <c r="HI112" i="9"/>
  <c r="HH112" i="9"/>
  <c r="HG112" i="9"/>
  <c r="HF112" i="9"/>
  <c r="HC112" i="9"/>
  <c r="HB112" i="9"/>
  <c r="HA112" i="9"/>
  <c r="GZ112" i="9"/>
  <c r="GY112" i="9"/>
  <c r="GX112" i="9"/>
  <c r="GW112" i="9"/>
  <c r="GV112" i="9"/>
  <c r="GU112" i="9"/>
  <c r="GT112" i="9"/>
  <c r="GS112" i="9"/>
  <c r="GR112" i="9"/>
  <c r="GO112" i="9"/>
  <c r="GN112" i="9"/>
  <c r="GM112" i="9"/>
  <c r="GL112" i="9"/>
  <c r="GK112" i="9"/>
  <c r="GJ112" i="9"/>
  <c r="GI112" i="9"/>
  <c r="GH112" i="9"/>
  <c r="GG112" i="9"/>
  <c r="GF112" i="9"/>
  <c r="GE112" i="9"/>
  <c r="GD112" i="9"/>
  <c r="GA112" i="9"/>
  <c r="FZ112" i="9"/>
  <c r="FY112" i="9"/>
  <c r="FX112" i="9"/>
  <c r="FW112" i="9"/>
  <c r="FV112" i="9"/>
  <c r="FU112" i="9"/>
  <c r="FT112" i="9"/>
  <c r="FS112" i="9"/>
  <c r="FR112" i="9"/>
  <c r="FQ112" i="9"/>
  <c r="FP112" i="9"/>
  <c r="FM112" i="9"/>
  <c r="FL112" i="9"/>
  <c r="FK112" i="9"/>
  <c r="FJ112" i="9"/>
  <c r="FI112" i="9"/>
  <c r="FH112" i="9"/>
  <c r="FG112" i="9"/>
  <c r="FF112" i="9"/>
  <c r="FE112" i="9"/>
  <c r="FD112" i="9"/>
  <c r="FC112" i="9"/>
  <c r="FB112" i="9"/>
  <c r="EY112" i="9"/>
  <c r="EX112" i="9"/>
  <c r="EW112" i="9"/>
  <c r="EV112" i="9"/>
  <c r="EU112" i="9"/>
  <c r="ET112" i="9"/>
  <c r="ES112" i="9"/>
  <c r="ER112" i="9"/>
  <c r="EQ112" i="9"/>
  <c r="EP112" i="9"/>
  <c r="EO112" i="9"/>
  <c r="EN112" i="9"/>
  <c r="EK112" i="9"/>
  <c r="EJ112" i="9"/>
  <c r="EI112" i="9"/>
  <c r="EH112" i="9"/>
  <c r="EG112" i="9"/>
  <c r="EF112" i="9"/>
  <c r="EE112" i="9"/>
  <c r="ED112" i="9"/>
  <c r="EC112" i="9"/>
  <c r="EB112" i="9"/>
  <c r="EA112" i="9"/>
  <c r="DZ112" i="9"/>
  <c r="DW112" i="9"/>
  <c r="DV112" i="9"/>
  <c r="DU112" i="9"/>
  <c r="DT112" i="9"/>
  <c r="DS112" i="9"/>
  <c r="DR112" i="9"/>
  <c r="DQ112" i="9"/>
  <c r="DP112" i="9"/>
  <c r="DO112" i="9"/>
  <c r="DN112" i="9"/>
  <c r="DM112" i="9"/>
  <c r="DL112" i="9"/>
  <c r="DI112" i="9"/>
  <c r="DH112" i="9"/>
  <c r="DG112" i="9"/>
  <c r="DF112" i="9"/>
  <c r="DE112" i="9"/>
  <c r="DD112" i="9"/>
  <c r="DC112" i="9"/>
  <c r="DB112" i="9"/>
  <c r="DA112" i="9"/>
  <c r="CZ112" i="9"/>
  <c r="CY112" i="9"/>
  <c r="CX112" i="9"/>
  <c r="CU112" i="9"/>
  <c r="CT112" i="9"/>
  <c r="CS112" i="9"/>
  <c r="CR112" i="9"/>
  <c r="CQ112" i="9"/>
  <c r="CP112" i="9"/>
  <c r="CO112" i="9"/>
  <c r="CN112" i="9"/>
  <c r="CM112" i="9"/>
  <c r="CL112" i="9"/>
  <c r="CK112" i="9"/>
  <c r="CJ112" i="9"/>
  <c r="CG112" i="9"/>
  <c r="CF112" i="9"/>
  <c r="CE112" i="9"/>
  <c r="CD112" i="9"/>
  <c r="CC112" i="9"/>
  <c r="CB112" i="9"/>
  <c r="CA112" i="9"/>
  <c r="BZ112" i="9"/>
  <c r="BY112" i="9"/>
  <c r="BX112" i="9"/>
  <c r="BW112" i="9"/>
  <c r="BV112" i="9"/>
  <c r="BS112" i="9"/>
  <c r="BR112" i="9"/>
  <c r="BQ112" i="9"/>
  <c r="BP112" i="9"/>
  <c r="BO112" i="9"/>
  <c r="BN112" i="9"/>
  <c r="BM112" i="9"/>
  <c r="BL112" i="9"/>
  <c r="BK112" i="9"/>
  <c r="BJ112" i="9"/>
  <c r="BI112" i="9"/>
  <c r="BH112" i="9"/>
  <c r="BE112" i="9"/>
  <c r="BD112" i="9"/>
  <c r="BC112" i="9"/>
  <c r="BB112" i="9"/>
  <c r="BA112" i="9"/>
  <c r="AZ112" i="9"/>
  <c r="AY112" i="9"/>
  <c r="AX112" i="9"/>
  <c r="AW112" i="9"/>
  <c r="AV112" i="9"/>
  <c r="AU112" i="9"/>
  <c r="AT112" i="9"/>
  <c r="AQ112" i="9"/>
  <c r="AP112" i="9"/>
  <c r="AO112" i="9"/>
  <c r="AN112" i="9"/>
  <c r="AM112" i="9"/>
  <c r="AL112" i="9"/>
  <c r="AK112" i="9"/>
  <c r="AJ112" i="9"/>
  <c r="AI112" i="9"/>
  <c r="AH112" i="9"/>
  <c r="AG112" i="9"/>
  <c r="AF112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HD111" i="9"/>
  <c r="LZ110" i="9"/>
  <c r="LL110" i="9"/>
  <c r="KX110" i="9"/>
  <c r="KJ110" i="9"/>
  <c r="JV110" i="9"/>
  <c r="JH110" i="9"/>
  <c r="IT110" i="9"/>
  <c r="IF110" i="9"/>
  <c r="HR110" i="9"/>
  <c r="HD110" i="9"/>
  <c r="GP110" i="9"/>
  <c r="GB110" i="9"/>
  <c r="FN110" i="9"/>
  <c r="EZ110" i="9"/>
  <c r="EL110" i="9"/>
  <c r="DX110" i="9"/>
  <c r="DJ110" i="9"/>
  <c r="CV110" i="9"/>
  <c r="CH110" i="9"/>
  <c r="BT110" i="9"/>
  <c r="BF110" i="9"/>
  <c r="AR110" i="9"/>
  <c r="AD110" i="9"/>
  <c r="P110" i="9"/>
  <c r="LZ109" i="9"/>
  <c r="LL109" i="9"/>
  <c r="KX109" i="9"/>
  <c r="KJ109" i="9"/>
  <c r="JV109" i="9"/>
  <c r="JH109" i="9"/>
  <c r="IT109" i="9"/>
  <c r="IF109" i="9"/>
  <c r="HR109" i="9"/>
  <c r="HD109" i="9"/>
  <c r="GP109" i="9"/>
  <c r="GB109" i="9"/>
  <c r="FN109" i="9"/>
  <c r="EZ109" i="9"/>
  <c r="EL109" i="9"/>
  <c r="DX109" i="9"/>
  <c r="DJ109" i="9"/>
  <c r="CV109" i="9"/>
  <c r="CH109" i="9"/>
  <c r="BT109" i="9"/>
  <c r="BF109" i="9"/>
  <c r="AR109" i="9"/>
  <c r="AD109" i="9"/>
  <c r="P109" i="9"/>
  <c r="LZ108" i="9"/>
  <c r="LL108" i="9"/>
  <c r="KX108" i="9"/>
  <c r="KJ108" i="9"/>
  <c r="JV108" i="9"/>
  <c r="JH108" i="9"/>
  <c r="IT108" i="9"/>
  <c r="IF108" i="9"/>
  <c r="HR108" i="9"/>
  <c r="HD108" i="9"/>
  <c r="GP108" i="9"/>
  <c r="GB108" i="9"/>
  <c r="FN108" i="9"/>
  <c r="EZ108" i="9"/>
  <c r="EL108" i="9"/>
  <c r="DX108" i="9"/>
  <c r="DJ108" i="9"/>
  <c r="CV108" i="9"/>
  <c r="CH108" i="9"/>
  <c r="BT108" i="9"/>
  <c r="BF108" i="9"/>
  <c r="AR108" i="9"/>
  <c r="AD108" i="9"/>
  <c r="P108" i="9"/>
  <c r="LZ107" i="9"/>
  <c r="LL107" i="9"/>
  <c r="KX107" i="9"/>
  <c r="KJ107" i="9"/>
  <c r="JV107" i="9"/>
  <c r="JH107" i="9"/>
  <c r="IT107" i="9"/>
  <c r="IF107" i="9"/>
  <c r="HR107" i="9"/>
  <c r="HD107" i="9"/>
  <c r="GP107" i="9"/>
  <c r="GB107" i="9"/>
  <c r="FN107" i="9"/>
  <c r="EZ107" i="9"/>
  <c r="EL107" i="9"/>
  <c r="DX107" i="9"/>
  <c r="DJ107" i="9"/>
  <c r="CV107" i="9"/>
  <c r="CH107" i="9"/>
  <c r="BT107" i="9"/>
  <c r="BF107" i="9"/>
  <c r="AR107" i="9"/>
  <c r="AD107" i="9"/>
  <c r="P107" i="9"/>
  <c r="LZ106" i="9"/>
  <c r="LL106" i="9"/>
  <c r="KX106" i="9"/>
  <c r="KJ106" i="9"/>
  <c r="JV106" i="9"/>
  <c r="JH106" i="9"/>
  <c r="IT106" i="9"/>
  <c r="IF106" i="9"/>
  <c r="HR106" i="9"/>
  <c r="HD106" i="9"/>
  <c r="GP106" i="9"/>
  <c r="GB106" i="9"/>
  <c r="FN106" i="9"/>
  <c r="EZ106" i="9"/>
  <c r="EL106" i="9"/>
  <c r="DX106" i="9"/>
  <c r="DJ106" i="9"/>
  <c r="CV106" i="9"/>
  <c r="CH106" i="9"/>
  <c r="BT106" i="9"/>
  <c r="BF106" i="9"/>
  <c r="AR106" i="9"/>
  <c r="AD106" i="9"/>
  <c r="P106" i="9"/>
  <c r="HD105" i="9"/>
  <c r="HD104" i="9"/>
  <c r="LZ103" i="9"/>
  <c r="LL103" i="9"/>
  <c r="KX103" i="9"/>
  <c r="KJ103" i="9"/>
  <c r="JV103" i="9"/>
  <c r="JH103" i="9"/>
  <c r="IT103" i="9"/>
  <c r="IF103" i="9"/>
  <c r="HR103" i="9"/>
  <c r="HD103" i="9"/>
  <c r="GP103" i="9"/>
  <c r="GB103" i="9"/>
  <c r="FN103" i="9"/>
  <c r="EZ103" i="9"/>
  <c r="EL103" i="9"/>
  <c r="DX103" i="9"/>
  <c r="DJ103" i="9"/>
  <c r="CV103" i="9"/>
  <c r="CH103" i="9"/>
  <c r="BT103" i="9"/>
  <c r="BF103" i="9"/>
  <c r="AR103" i="9"/>
  <c r="AD103" i="9"/>
  <c r="P103" i="9"/>
  <c r="HD102" i="9"/>
  <c r="HD101" i="9"/>
  <c r="HD99" i="9"/>
  <c r="HD97" i="9"/>
  <c r="LZ96" i="9"/>
  <c r="LL96" i="9"/>
  <c r="KX96" i="9"/>
  <c r="KJ96" i="9"/>
  <c r="JV96" i="9"/>
  <c r="JH96" i="9"/>
  <c r="IT96" i="9"/>
  <c r="IF96" i="9"/>
  <c r="HR96" i="9"/>
  <c r="HD96" i="9"/>
  <c r="GP96" i="9"/>
  <c r="GB96" i="9"/>
  <c r="FN96" i="9"/>
  <c r="EZ96" i="9"/>
  <c r="EL96" i="9"/>
  <c r="DX96" i="9"/>
  <c r="DJ96" i="9"/>
  <c r="CV96" i="9"/>
  <c r="CH96" i="9"/>
  <c r="BT96" i="9"/>
  <c r="BF96" i="9"/>
  <c r="AR96" i="9"/>
  <c r="AD96" i="9"/>
  <c r="P96" i="9"/>
  <c r="HD95" i="9"/>
  <c r="LY94" i="9"/>
  <c r="LX94" i="9"/>
  <c r="LW94" i="9"/>
  <c r="LV94" i="9"/>
  <c r="LU94" i="9"/>
  <c r="LT94" i="9"/>
  <c r="LS94" i="9"/>
  <c r="LR94" i="9"/>
  <c r="LQ94" i="9"/>
  <c r="LP94" i="9"/>
  <c r="LO94" i="9"/>
  <c r="LN94" i="9"/>
  <c r="LK94" i="9"/>
  <c r="LJ94" i="9"/>
  <c r="LI94" i="9"/>
  <c r="LH94" i="9"/>
  <c r="LG94" i="9"/>
  <c r="LF94" i="9"/>
  <c r="LE94" i="9"/>
  <c r="LD94" i="9"/>
  <c r="LC94" i="9"/>
  <c r="LB94" i="9"/>
  <c r="LA94" i="9"/>
  <c r="KZ94" i="9"/>
  <c r="KW94" i="9"/>
  <c r="KV94" i="9"/>
  <c r="KU94" i="9"/>
  <c r="KT94" i="9"/>
  <c r="KS94" i="9"/>
  <c r="KR94" i="9"/>
  <c r="KQ94" i="9"/>
  <c r="KP94" i="9"/>
  <c r="KO94" i="9"/>
  <c r="KN94" i="9"/>
  <c r="KM94" i="9"/>
  <c r="KL94" i="9"/>
  <c r="KI94" i="9"/>
  <c r="KH94" i="9"/>
  <c r="KG94" i="9"/>
  <c r="KF94" i="9"/>
  <c r="KE94" i="9"/>
  <c r="KD94" i="9"/>
  <c r="KC94" i="9"/>
  <c r="KB94" i="9"/>
  <c r="KA94" i="9"/>
  <c r="JZ94" i="9"/>
  <c r="JY94" i="9"/>
  <c r="JX94" i="9"/>
  <c r="JU94" i="9"/>
  <c r="JT94" i="9"/>
  <c r="JS94" i="9"/>
  <c r="JR94" i="9"/>
  <c r="JQ94" i="9"/>
  <c r="JP94" i="9"/>
  <c r="JO94" i="9"/>
  <c r="JN94" i="9"/>
  <c r="JM94" i="9"/>
  <c r="JL94" i="9"/>
  <c r="JK94" i="9"/>
  <c r="JJ94" i="9"/>
  <c r="JG94" i="9"/>
  <c r="JF94" i="9"/>
  <c r="JE94" i="9"/>
  <c r="JD94" i="9"/>
  <c r="JC94" i="9"/>
  <c r="JB94" i="9"/>
  <c r="JA94" i="9"/>
  <c r="IZ94" i="9"/>
  <c r="IY94" i="9"/>
  <c r="IX94" i="9"/>
  <c r="IW94" i="9"/>
  <c r="IV94" i="9"/>
  <c r="IS94" i="9"/>
  <c r="IR94" i="9"/>
  <c r="IQ94" i="9"/>
  <c r="IP94" i="9"/>
  <c r="IO94" i="9"/>
  <c r="IN94" i="9"/>
  <c r="IM94" i="9"/>
  <c r="IL94" i="9"/>
  <c r="IK94" i="9"/>
  <c r="IJ94" i="9"/>
  <c r="II94" i="9"/>
  <c r="IH94" i="9"/>
  <c r="IE94" i="9"/>
  <c r="ID94" i="9"/>
  <c r="IC94" i="9"/>
  <c r="IB94" i="9"/>
  <c r="IA94" i="9"/>
  <c r="HZ94" i="9"/>
  <c r="HY94" i="9"/>
  <c r="HX94" i="9"/>
  <c r="HW94" i="9"/>
  <c r="HV94" i="9"/>
  <c r="HU94" i="9"/>
  <c r="HT94" i="9"/>
  <c r="HQ94" i="9"/>
  <c r="HP94" i="9"/>
  <c r="HO94" i="9"/>
  <c r="HN94" i="9"/>
  <c r="HM94" i="9"/>
  <c r="HL94" i="9"/>
  <c r="HK94" i="9"/>
  <c r="HJ94" i="9"/>
  <c r="HI94" i="9"/>
  <c r="HH94" i="9"/>
  <c r="HG94" i="9"/>
  <c r="HF94" i="9"/>
  <c r="HC94" i="9"/>
  <c r="HB94" i="9"/>
  <c r="HA94" i="9"/>
  <c r="GZ94" i="9"/>
  <c r="GY94" i="9"/>
  <c r="GX94" i="9"/>
  <c r="GW94" i="9"/>
  <c r="GV94" i="9"/>
  <c r="GU94" i="9"/>
  <c r="GT94" i="9"/>
  <c r="GS94" i="9"/>
  <c r="GR94" i="9"/>
  <c r="GO94" i="9"/>
  <c r="GN94" i="9"/>
  <c r="GM94" i="9"/>
  <c r="GL94" i="9"/>
  <c r="GK94" i="9"/>
  <c r="GJ94" i="9"/>
  <c r="GI94" i="9"/>
  <c r="GH94" i="9"/>
  <c r="GG94" i="9"/>
  <c r="GF94" i="9"/>
  <c r="GE94" i="9"/>
  <c r="GD94" i="9"/>
  <c r="GA94" i="9"/>
  <c r="FZ94" i="9"/>
  <c r="FY94" i="9"/>
  <c r="FX94" i="9"/>
  <c r="FW94" i="9"/>
  <c r="FV94" i="9"/>
  <c r="FU94" i="9"/>
  <c r="FT94" i="9"/>
  <c r="FS94" i="9"/>
  <c r="FR94" i="9"/>
  <c r="FQ94" i="9"/>
  <c r="FP94" i="9"/>
  <c r="FM94" i="9"/>
  <c r="FL94" i="9"/>
  <c r="FK94" i="9"/>
  <c r="FJ94" i="9"/>
  <c r="FI94" i="9"/>
  <c r="FH94" i="9"/>
  <c r="FG94" i="9"/>
  <c r="FF94" i="9"/>
  <c r="FE94" i="9"/>
  <c r="FD94" i="9"/>
  <c r="FC94" i="9"/>
  <c r="FB94" i="9"/>
  <c r="EY94" i="9"/>
  <c r="EX94" i="9"/>
  <c r="EW94" i="9"/>
  <c r="EV94" i="9"/>
  <c r="EU94" i="9"/>
  <c r="ET94" i="9"/>
  <c r="ES94" i="9"/>
  <c r="ER94" i="9"/>
  <c r="EQ94" i="9"/>
  <c r="EP94" i="9"/>
  <c r="EO94" i="9"/>
  <c r="EN94" i="9"/>
  <c r="EK94" i="9"/>
  <c r="EJ94" i="9"/>
  <c r="EI94" i="9"/>
  <c r="EH94" i="9"/>
  <c r="EG94" i="9"/>
  <c r="EF94" i="9"/>
  <c r="EE94" i="9"/>
  <c r="ED94" i="9"/>
  <c r="EC94" i="9"/>
  <c r="EB94" i="9"/>
  <c r="EA94" i="9"/>
  <c r="DZ94" i="9"/>
  <c r="DW94" i="9"/>
  <c r="DV94" i="9"/>
  <c r="DU94" i="9"/>
  <c r="DT94" i="9"/>
  <c r="DS94" i="9"/>
  <c r="DR94" i="9"/>
  <c r="DQ94" i="9"/>
  <c r="DP94" i="9"/>
  <c r="DO94" i="9"/>
  <c r="DN94" i="9"/>
  <c r="DM94" i="9"/>
  <c r="DL94" i="9"/>
  <c r="DI94" i="9"/>
  <c r="DH94" i="9"/>
  <c r="DG94" i="9"/>
  <c r="DF94" i="9"/>
  <c r="DE94" i="9"/>
  <c r="DD94" i="9"/>
  <c r="DC94" i="9"/>
  <c r="DB94" i="9"/>
  <c r="DA94" i="9"/>
  <c r="CZ94" i="9"/>
  <c r="CY94" i="9"/>
  <c r="CX94" i="9"/>
  <c r="CU94" i="9"/>
  <c r="CT94" i="9"/>
  <c r="CS94" i="9"/>
  <c r="CR94" i="9"/>
  <c r="CQ94" i="9"/>
  <c r="CP94" i="9"/>
  <c r="CO94" i="9"/>
  <c r="CN94" i="9"/>
  <c r="CM94" i="9"/>
  <c r="CL94" i="9"/>
  <c r="CK94" i="9"/>
  <c r="CJ94" i="9"/>
  <c r="CG94" i="9"/>
  <c r="CF94" i="9"/>
  <c r="CE94" i="9"/>
  <c r="CD94" i="9"/>
  <c r="CC94" i="9"/>
  <c r="CB94" i="9"/>
  <c r="CA94" i="9"/>
  <c r="BZ94" i="9"/>
  <c r="BY94" i="9"/>
  <c r="BX94" i="9"/>
  <c r="BW94" i="9"/>
  <c r="BV94" i="9"/>
  <c r="BS94" i="9"/>
  <c r="BR94" i="9"/>
  <c r="BQ94" i="9"/>
  <c r="BP94" i="9"/>
  <c r="BO94" i="9"/>
  <c r="BN94" i="9"/>
  <c r="BM94" i="9"/>
  <c r="BL94" i="9"/>
  <c r="BK94" i="9"/>
  <c r="BJ94" i="9"/>
  <c r="BI94" i="9"/>
  <c r="BH94" i="9"/>
  <c r="BE94" i="9"/>
  <c r="BD94" i="9"/>
  <c r="BC94" i="9"/>
  <c r="BB94" i="9"/>
  <c r="BA94" i="9"/>
  <c r="AZ94" i="9"/>
  <c r="AY94" i="9"/>
  <c r="AX94" i="9"/>
  <c r="AW94" i="9"/>
  <c r="AV94" i="9"/>
  <c r="AU94" i="9"/>
  <c r="AT94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AC94" i="9"/>
  <c r="AB94" i="9"/>
  <c r="AA94" i="9"/>
  <c r="Z94" i="9"/>
  <c r="Y94" i="9"/>
  <c r="X94" i="9"/>
  <c r="W94" i="9"/>
  <c r="V94" i="9"/>
  <c r="U94" i="9"/>
  <c r="T94" i="9"/>
  <c r="S94" i="9"/>
  <c r="R94" i="9"/>
  <c r="O94" i="9"/>
  <c r="N94" i="9"/>
  <c r="M94" i="9"/>
  <c r="L94" i="9"/>
  <c r="K94" i="9"/>
  <c r="J94" i="9"/>
  <c r="I94" i="9"/>
  <c r="H94" i="9"/>
  <c r="G94" i="9"/>
  <c r="F94" i="9"/>
  <c r="E94" i="9"/>
  <c r="D94" i="9"/>
  <c r="HD93" i="9"/>
  <c r="LZ92" i="9"/>
  <c r="LL92" i="9"/>
  <c r="KX92" i="9"/>
  <c r="KJ92" i="9"/>
  <c r="JV92" i="9"/>
  <c r="JH92" i="9"/>
  <c r="IT92" i="9"/>
  <c r="IF92" i="9"/>
  <c r="HR92" i="9"/>
  <c r="HD92" i="9"/>
  <c r="GP92" i="9"/>
  <c r="GB92" i="9"/>
  <c r="FN92" i="9"/>
  <c r="EZ92" i="9"/>
  <c r="EL92" i="9"/>
  <c r="DX92" i="9"/>
  <c r="DJ92" i="9"/>
  <c r="CV92" i="9"/>
  <c r="CH92" i="9"/>
  <c r="BT92" i="9"/>
  <c r="BF92" i="9"/>
  <c r="AR92" i="9"/>
  <c r="AD92" i="9"/>
  <c r="P92" i="9"/>
  <c r="LZ91" i="9"/>
  <c r="LL91" i="9"/>
  <c r="KX91" i="9"/>
  <c r="KJ91" i="9"/>
  <c r="JV91" i="9"/>
  <c r="JH91" i="9"/>
  <c r="IT91" i="9"/>
  <c r="IF91" i="9"/>
  <c r="HR91" i="9"/>
  <c r="HD91" i="9"/>
  <c r="GP91" i="9"/>
  <c r="GB91" i="9"/>
  <c r="FN91" i="9"/>
  <c r="EZ91" i="9"/>
  <c r="EL91" i="9"/>
  <c r="DX91" i="9"/>
  <c r="DJ91" i="9"/>
  <c r="CV91" i="9"/>
  <c r="CH91" i="9"/>
  <c r="BT91" i="9"/>
  <c r="BF91" i="9"/>
  <c r="AR91" i="9"/>
  <c r="AD91" i="9"/>
  <c r="P91" i="9"/>
  <c r="LZ90" i="9"/>
  <c r="LL90" i="9"/>
  <c r="KX90" i="9"/>
  <c r="KJ90" i="9"/>
  <c r="JV90" i="9"/>
  <c r="JH90" i="9"/>
  <c r="IT90" i="9"/>
  <c r="IF90" i="9"/>
  <c r="HR90" i="9"/>
  <c r="HD90" i="9"/>
  <c r="GP90" i="9"/>
  <c r="GB90" i="9"/>
  <c r="FN90" i="9"/>
  <c r="EZ90" i="9"/>
  <c r="EL90" i="9"/>
  <c r="DX90" i="9"/>
  <c r="DJ90" i="9"/>
  <c r="CV90" i="9"/>
  <c r="CH90" i="9"/>
  <c r="BT90" i="9"/>
  <c r="BF90" i="9"/>
  <c r="AR90" i="9"/>
  <c r="AD90" i="9"/>
  <c r="P90" i="9"/>
  <c r="LZ89" i="9"/>
  <c r="LL89" i="9"/>
  <c r="KX89" i="9"/>
  <c r="KJ89" i="9"/>
  <c r="JV89" i="9"/>
  <c r="JH89" i="9"/>
  <c r="IT89" i="9"/>
  <c r="IF89" i="9"/>
  <c r="HR89" i="9"/>
  <c r="HD89" i="9"/>
  <c r="GP89" i="9"/>
  <c r="GB89" i="9"/>
  <c r="FN89" i="9"/>
  <c r="EZ89" i="9"/>
  <c r="EL89" i="9"/>
  <c r="DX89" i="9"/>
  <c r="DJ89" i="9"/>
  <c r="CV89" i="9"/>
  <c r="CH89" i="9"/>
  <c r="BT89" i="9"/>
  <c r="BF89" i="9"/>
  <c r="AR89" i="9"/>
  <c r="AD89" i="9"/>
  <c r="P89" i="9"/>
  <c r="LZ88" i="9"/>
  <c r="LL88" i="9"/>
  <c r="KX88" i="9"/>
  <c r="KJ88" i="9"/>
  <c r="JV88" i="9"/>
  <c r="JH88" i="9"/>
  <c r="IT88" i="9"/>
  <c r="IF88" i="9"/>
  <c r="HR88" i="9"/>
  <c r="HD88" i="9"/>
  <c r="GP88" i="9"/>
  <c r="GB88" i="9"/>
  <c r="FN88" i="9"/>
  <c r="EZ88" i="9"/>
  <c r="EL88" i="9"/>
  <c r="DX88" i="9"/>
  <c r="DJ88" i="9"/>
  <c r="CV88" i="9"/>
  <c r="CH88" i="9"/>
  <c r="BT88" i="9"/>
  <c r="BF88" i="9"/>
  <c r="AR88" i="9"/>
  <c r="AD88" i="9"/>
  <c r="P88" i="9"/>
  <c r="LZ87" i="9"/>
  <c r="LL87" i="9"/>
  <c r="KX87" i="9"/>
  <c r="KJ87" i="9"/>
  <c r="JV87" i="9"/>
  <c r="JH87" i="9"/>
  <c r="IT87" i="9"/>
  <c r="IF87" i="9"/>
  <c r="HR87" i="9"/>
  <c r="HD87" i="9"/>
  <c r="GP87" i="9"/>
  <c r="GB87" i="9"/>
  <c r="FN87" i="9"/>
  <c r="EZ87" i="9"/>
  <c r="EL87" i="9"/>
  <c r="DX87" i="9"/>
  <c r="DJ87" i="9"/>
  <c r="CV87" i="9"/>
  <c r="CH87" i="9"/>
  <c r="BT87" i="9"/>
  <c r="BF87" i="9"/>
  <c r="AR87" i="9"/>
  <c r="AD87" i="9"/>
  <c r="P87" i="9"/>
  <c r="LZ86" i="9"/>
  <c r="LL86" i="9"/>
  <c r="KX86" i="9"/>
  <c r="KJ86" i="9"/>
  <c r="JV86" i="9"/>
  <c r="JH86" i="9"/>
  <c r="IT86" i="9"/>
  <c r="IF86" i="9"/>
  <c r="HR86" i="9"/>
  <c r="HD86" i="9"/>
  <c r="GP86" i="9"/>
  <c r="GB86" i="9"/>
  <c r="FN86" i="9"/>
  <c r="EZ86" i="9"/>
  <c r="EL86" i="9"/>
  <c r="DX86" i="9"/>
  <c r="DJ86" i="9"/>
  <c r="CV86" i="9"/>
  <c r="CH86" i="9"/>
  <c r="BT86" i="9"/>
  <c r="BF86" i="9"/>
  <c r="AR86" i="9"/>
  <c r="AD86" i="9"/>
  <c r="P86" i="9"/>
  <c r="LZ85" i="9"/>
  <c r="LL85" i="9"/>
  <c r="KX85" i="9"/>
  <c r="KJ85" i="9"/>
  <c r="JV85" i="9"/>
  <c r="JH85" i="9"/>
  <c r="IT85" i="9"/>
  <c r="IF85" i="9"/>
  <c r="HR85" i="9"/>
  <c r="HD85" i="9"/>
  <c r="GP85" i="9"/>
  <c r="GB85" i="9"/>
  <c r="FN85" i="9"/>
  <c r="EZ85" i="9"/>
  <c r="EL85" i="9"/>
  <c r="DX85" i="9"/>
  <c r="DJ85" i="9"/>
  <c r="CV85" i="9"/>
  <c r="CH85" i="9"/>
  <c r="BT85" i="9"/>
  <c r="BF85" i="9"/>
  <c r="AR85" i="9"/>
  <c r="AD85" i="9"/>
  <c r="P85" i="9"/>
  <c r="LY82" i="9"/>
  <c r="LX82" i="9"/>
  <c r="LW82" i="9"/>
  <c r="LV82" i="9"/>
  <c r="LU82" i="9"/>
  <c r="LT82" i="9"/>
  <c r="LS82" i="9"/>
  <c r="LR82" i="9"/>
  <c r="LQ82" i="9"/>
  <c r="LP82" i="9"/>
  <c r="LO82" i="9"/>
  <c r="LN82" i="9"/>
  <c r="LK82" i="9"/>
  <c r="LJ82" i="9"/>
  <c r="LI82" i="9"/>
  <c r="LH82" i="9"/>
  <c r="LG82" i="9"/>
  <c r="LF82" i="9"/>
  <c r="LE82" i="9"/>
  <c r="LD82" i="9"/>
  <c r="LC82" i="9"/>
  <c r="LB82" i="9"/>
  <c r="LA82" i="9"/>
  <c r="KZ82" i="9"/>
  <c r="KW82" i="9"/>
  <c r="KV82" i="9"/>
  <c r="KU82" i="9"/>
  <c r="KT82" i="9"/>
  <c r="KS82" i="9"/>
  <c r="KR82" i="9"/>
  <c r="KQ82" i="9"/>
  <c r="KP82" i="9"/>
  <c r="KO82" i="9"/>
  <c r="KN82" i="9"/>
  <c r="KM82" i="9"/>
  <c r="KL82" i="9"/>
  <c r="KI82" i="9"/>
  <c r="KH82" i="9"/>
  <c r="KG82" i="9"/>
  <c r="KF82" i="9"/>
  <c r="KE82" i="9"/>
  <c r="KD82" i="9"/>
  <c r="KC82" i="9"/>
  <c r="KB82" i="9"/>
  <c r="KA82" i="9"/>
  <c r="JZ82" i="9"/>
  <c r="JY82" i="9"/>
  <c r="JX82" i="9"/>
  <c r="JU82" i="9"/>
  <c r="JT82" i="9"/>
  <c r="JS82" i="9"/>
  <c r="JR82" i="9"/>
  <c r="JQ82" i="9"/>
  <c r="JP82" i="9"/>
  <c r="JO82" i="9"/>
  <c r="JN82" i="9"/>
  <c r="JM82" i="9"/>
  <c r="JL82" i="9"/>
  <c r="JK82" i="9"/>
  <c r="JJ82" i="9"/>
  <c r="JG82" i="9"/>
  <c r="JF82" i="9"/>
  <c r="JE82" i="9"/>
  <c r="JD82" i="9"/>
  <c r="JC82" i="9"/>
  <c r="JB82" i="9"/>
  <c r="JA82" i="9"/>
  <c r="IZ82" i="9"/>
  <c r="IY82" i="9"/>
  <c r="IX82" i="9"/>
  <c r="IW82" i="9"/>
  <c r="IV82" i="9"/>
  <c r="IS82" i="9"/>
  <c r="IR82" i="9"/>
  <c r="IQ82" i="9"/>
  <c r="IP82" i="9"/>
  <c r="IO82" i="9"/>
  <c r="IN82" i="9"/>
  <c r="IM82" i="9"/>
  <c r="IL82" i="9"/>
  <c r="IK82" i="9"/>
  <c r="IJ82" i="9"/>
  <c r="II82" i="9"/>
  <c r="IH82" i="9"/>
  <c r="IE82" i="9"/>
  <c r="ID82" i="9"/>
  <c r="IC82" i="9"/>
  <c r="IB82" i="9"/>
  <c r="IA82" i="9"/>
  <c r="HZ82" i="9"/>
  <c r="HY82" i="9"/>
  <c r="HX82" i="9"/>
  <c r="HW82" i="9"/>
  <c r="HV82" i="9"/>
  <c r="HU82" i="9"/>
  <c r="HT82" i="9"/>
  <c r="HQ82" i="9"/>
  <c r="HP82" i="9"/>
  <c r="HO82" i="9"/>
  <c r="HN82" i="9"/>
  <c r="HM82" i="9"/>
  <c r="HL82" i="9"/>
  <c r="HK82" i="9"/>
  <c r="HJ82" i="9"/>
  <c r="HI82" i="9"/>
  <c r="HH82" i="9"/>
  <c r="HG82" i="9"/>
  <c r="HF82" i="9"/>
  <c r="HC82" i="9"/>
  <c r="HB82" i="9"/>
  <c r="HA82" i="9"/>
  <c r="GZ82" i="9"/>
  <c r="GY82" i="9"/>
  <c r="GX82" i="9"/>
  <c r="GW82" i="9"/>
  <c r="GV82" i="9"/>
  <c r="GU82" i="9"/>
  <c r="GT82" i="9"/>
  <c r="GS82" i="9"/>
  <c r="GR82" i="9"/>
  <c r="GO82" i="9"/>
  <c r="GN82" i="9"/>
  <c r="GM82" i="9"/>
  <c r="GL82" i="9"/>
  <c r="GK82" i="9"/>
  <c r="GJ82" i="9"/>
  <c r="GI82" i="9"/>
  <c r="GH82" i="9"/>
  <c r="GG82" i="9"/>
  <c r="GF82" i="9"/>
  <c r="GE82" i="9"/>
  <c r="GD82" i="9"/>
  <c r="GD83" i="9" s="1"/>
  <c r="GE83" i="9" s="1"/>
  <c r="GF83" i="9" s="1"/>
  <c r="GA82" i="9"/>
  <c r="FZ82" i="9"/>
  <c r="FY82" i="9"/>
  <c r="FX82" i="9"/>
  <c r="FW82" i="9"/>
  <c r="FV82" i="9"/>
  <c r="FU82" i="9"/>
  <c r="FT82" i="9"/>
  <c r="FS82" i="9"/>
  <c r="FR82" i="9"/>
  <c r="FQ82" i="9"/>
  <c r="FP82" i="9"/>
  <c r="FM82" i="9"/>
  <c r="FL82" i="9"/>
  <c r="FK82" i="9"/>
  <c r="FJ82" i="9"/>
  <c r="FI82" i="9"/>
  <c r="FH82" i="9"/>
  <c r="FG82" i="9"/>
  <c r="FF82" i="9"/>
  <c r="FE82" i="9"/>
  <c r="FD82" i="9"/>
  <c r="FC82" i="9"/>
  <c r="FB82" i="9"/>
  <c r="EY82" i="9"/>
  <c r="EX82" i="9"/>
  <c r="EW82" i="9"/>
  <c r="EV82" i="9"/>
  <c r="EU82" i="9"/>
  <c r="ET82" i="9"/>
  <c r="ES82" i="9"/>
  <c r="ER82" i="9"/>
  <c r="EQ82" i="9"/>
  <c r="EP82" i="9"/>
  <c r="EO82" i="9"/>
  <c r="EN82" i="9"/>
  <c r="EK82" i="9"/>
  <c r="EJ82" i="9"/>
  <c r="EI82" i="9"/>
  <c r="EH82" i="9"/>
  <c r="EG82" i="9"/>
  <c r="EF82" i="9"/>
  <c r="EE82" i="9"/>
  <c r="ED82" i="9"/>
  <c r="EC82" i="9"/>
  <c r="EB82" i="9"/>
  <c r="EA82" i="9"/>
  <c r="DZ82" i="9"/>
  <c r="DW82" i="9"/>
  <c r="DV82" i="9"/>
  <c r="DU82" i="9"/>
  <c r="DT82" i="9"/>
  <c r="DS82" i="9"/>
  <c r="DR82" i="9"/>
  <c r="DQ82" i="9"/>
  <c r="DP82" i="9"/>
  <c r="DO82" i="9"/>
  <c r="DN82" i="9"/>
  <c r="DM82" i="9"/>
  <c r="DL82" i="9"/>
  <c r="DI82" i="9"/>
  <c r="DH82" i="9"/>
  <c r="DG82" i="9"/>
  <c r="DF82" i="9"/>
  <c r="DE82" i="9"/>
  <c r="DD82" i="9"/>
  <c r="DC82" i="9"/>
  <c r="DB82" i="9"/>
  <c r="DA82" i="9"/>
  <c r="CZ82" i="9"/>
  <c r="CY82" i="9"/>
  <c r="CX82" i="9"/>
  <c r="CU82" i="9"/>
  <c r="CT82" i="9"/>
  <c r="CS82" i="9"/>
  <c r="CR82" i="9"/>
  <c r="CQ82" i="9"/>
  <c r="CP82" i="9"/>
  <c r="CO82" i="9"/>
  <c r="CN82" i="9"/>
  <c r="CM82" i="9"/>
  <c r="CL82" i="9"/>
  <c r="CK82" i="9"/>
  <c r="CJ82" i="9"/>
  <c r="CG82" i="9"/>
  <c r="CF82" i="9"/>
  <c r="CE82" i="9"/>
  <c r="CD82" i="9"/>
  <c r="CC82" i="9"/>
  <c r="CB82" i="9"/>
  <c r="CA82" i="9"/>
  <c r="BZ82" i="9"/>
  <c r="BY82" i="9"/>
  <c r="BX82" i="9"/>
  <c r="BW82" i="9"/>
  <c r="BV82" i="9"/>
  <c r="BS82" i="9"/>
  <c r="BR82" i="9"/>
  <c r="BQ82" i="9"/>
  <c r="BP82" i="9"/>
  <c r="BO82" i="9"/>
  <c r="BN82" i="9"/>
  <c r="BM82" i="9"/>
  <c r="BL82" i="9"/>
  <c r="BK82" i="9"/>
  <c r="BJ82" i="9"/>
  <c r="BI82" i="9"/>
  <c r="BH82" i="9"/>
  <c r="BE82" i="9"/>
  <c r="BD82" i="9"/>
  <c r="BC82" i="9"/>
  <c r="BB82" i="9"/>
  <c r="BA82" i="9"/>
  <c r="AZ82" i="9"/>
  <c r="AY82" i="9"/>
  <c r="AX82" i="9"/>
  <c r="AW82" i="9"/>
  <c r="AV82" i="9"/>
  <c r="AU82" i="9"/>
  <c r="AT82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C82" i="9"/>
  <c r="AB82" i="9"/>
  <c r="AA82" i="9"/>
  <c r="Z82" i="9"/>
  <c r="Y82" i="9"/>
  <c r="X82" i="9"/>
  <c r="W82" i="9"/>
  <c r="V82" i="9"/>
  <c r="U82" i="9"/>
  <c r="T82" i="9"/>
  <c r="S82" i="9"/>
  <c r="R82" i="9"/>
  <c r="O82" i="9"/>
  <c r="N82" i="9"/>
  <c r="M82" i="9"/>
  <c r="L82" i="9"/>
  <c r="K82" i="9"/>
  <c r="J82" i="9"/>
  <c r="I82" i="9"/>
  <c r="H82" i="9"/>
  <c r="G82" i="9"/>
  <c r="F82" i="9"/>
  <c r="E82" i="9"/>
  <c r="D82" i="9"/>
  <c r="LZ80" i="9"/>
  <c r="LL80" i="9"/>
  <c r="KX80" i="9"/>
  <c r="KJ80" i="9"/>
  <c r="JV80" i="9"/>
  <c r="JH80" i="9"/>
  <c r="IT80" i="9"/>
  <c r="IF80" i="9"/>
  <c r="HR80" i="9"/>
  <c r="HD80" i="9"/>
  <c r="GP80" i="9"/>
  <c r="GB80" i="9"/>
  <c r="FN80" i="9"/>
  <c r="EZ80" i="9"/>
  <c r="EL80" i="9"/>
  <c r="DX80" i="9"/>
  <c r="DJ80" i="9"/>
  <c r="CV80" i="9"/>
  <c r="CH80" i="9"/>
  <c r="BT80" i="9"/>
  <c r="BF80" i="9"/>
  <c r="AR80" i="9"/>
  <c r="AD80" i="9"/>
  <c r="P80" i="9"/>
  <c r="LZ79" i="9"/>
  <c r="LL79" i="9"/>
  <c r="KX79" i="9"/>
  <c r="KJ79" i="9"/>
  <c r="JV79" i="9"/>
  <c r="JH79" i="9"/>
  <c r="IT79" i="9"/>
  <c r="IF79" i="9"/>
  <c r="HR79" i="9"/>
  <c r="HD79" i="9"/>
  <c r="GP79" i="9"/>
  <c r="GB79" i="9"/>
  <c r="FN79" i="9"/>
  <c r="EZ79" i="9"/>
  <c r="EL79" i="9"/>
  <c r="DX79" i="9"/>
  <c r="DJ79" i="9"/>
  <c r="CV79" i="9"/>
  <c r="CH79" i="9"/>
  <c r="BT79" i="9"/>
  <c r="BF79" i="9"/>
  <c r="AR79" i="9"/>
  <c r="AD79" i="9"/>
  <c r="P79" i="9"/>
  <c r="LZ78" i="9"/>
  <c r="LL78" i="9"/>
  <c r="KX78" i="9"/>
  <c r="KJ78" i="9"/>
  <c r="JV78" i="9"/>
  <c r="JH78" i="9"/>
  <c r="IT78" i="9"/>
  <c r="IF78" i="9"/>
  <c r="HR78" i="9"/>
  <c r="HD78" i="9"/>
  <c r="GP78" i="9"/>
  <c r="GB78" i="9"/>
  <c r="FN78" i="9"/>
  <c r="EZ78" i="9"/>
  <c r="EL78" i="9"/>
  <c r="DX78" i="9"/>
  <c r="DJ78" i="9"/>
  <c r="CV78" i="9"/>
  <c r="CH78" i="9"/>
  <c r="BT78" i="9"/>
  <c r="BF78" i="9"/>
  <c r="AR78" i="9"/>
  <c r="AD78" i="9"/>
  <c r="P78" i="9"/>
  <c r="LZ77" i="9"/>
  <c r="LL77" i="9"/>
  <c r="KX77" i="9"/>
  <c r="KJ77" i="9"/>
  <c r="JV77" i="9"/>
  <c r="JH77" i="9"/>
  <c r="IT77" i="9"/>
  <c r="IF77" i="9"/>
  <c r="HR77" i="9"/>
  <c r="HD77" i="9"/>
  <c r="GP77" i="9"/>
  <c r="GB77" i="9"/>
  <c r="FN77" i="9"/>
  <c r="EZ77" i="9"/>
  <c r="EL77" i="9"/>
  <c r="DX77" i="9"/>
  <c r="DJ77" i="9"/>
  <c r="CV77" i="9"/>
  <c r="CH77" i="9"/>
  <c r="BT77" i="9"/>
  <c r="BF77" i="9"/>
  <c r="AR77" i="9"/>
  <c r="AD77" i="9"/>
  <c r="P77" i="9"/>
  <c r="LZ76" i="9"/>
  <c r="LL76" i="9"/>
  <c r="KX76" i="9"/>
  <c r="KJ76" i="9"/>
  <c r="JV76" i="9"/>
  <c r="JH76" i="9"/>
  <c r="IT76" i="9"/>
  <c r="IF76" i="9"/>
  <c r="HR76" i="9"/>
  <c r="HD76" i="9"/>
  <c r="GP76" i="9"/>
  <c r="GB76" i="9"/>
  <c r="FN76" i="9"/>
  <c r="EZ76" i="9"/>
  <c r="EL76" i="9"/>
  <c r="DX76" i="9"/>
  <c r="DJ76" i="9"/>
  <c r="CV76" i="9"/>
  <c r="CH76" i="9"/>
  <c r="BT76" i="9"/>
  <c r="BF76" i="9"/>
  <c r="AR76" i="9"/>
  <c r="AD76" i="9"/>
  <c r="P76" i="9"/>
  <c r="LZ75" i="9"/>
  <c r="LL75" i="9"/>
  <c r="KX75" i="9"/>
  <c r="KJ75" i="9"/>
  <c r="JV75" i="9"/>
  <c r="JH75" i="9"/>
  <c r="IT75" i="9"/>
  <c r="IF75" i="9"/>
  <c r="HR75" i="9"/>
  <c r="HD75" i="9"/>
  <c r="GP75" i="9"/>
  <c r="GB75" i="9"/>
  <c r="FN75" i="9"/>
  <c r="EZ75" i="9"/>
  <c r="EL75" i="9"/>
  <c r="DX75" i="9"/>
  <c r="DJ75" i="9"/>
  <c r="CV75" i="9"/>
  <c r="CH75" i="9"/>
  <c r="BT75" i="9"/>
  <c r="BF75" i="9"/>
  <c r="AR75" i="9"/>
  <c r="AD75" i="9"/>
  <c r="P75" i="9"/>
  <c r="LZ74" i="9"/>
  <c r="LL74" i="9"/>
  <c r="KX74" i="9"/>
  <c r="KJ74" i="9"/>
  <c r="JV74" i="9"/>
  <c r="JH74" i="9"/>
  <c r="IT74" i="9"/>
  <c r="IF74" i="9"/>
  <c r="HR74" i="9"/>
  <c r="HD74" i="9"/>
  <c r="GP74" i="9"/>
  <c r="GB74" i="9"/>
  <c r="FN74" i="9"/>
  <c r="EZ74" i="9"/>
  <c r="EL74" i="9"/>
  <c r="DX74" i="9"/>
  <c r="DJ74" i="9"/>
  <c r="CV74" i="9"/>
  <c r="CH74" i="9"/>
  <c r="BT74" i="9"/>
  <c r="BF74" i="9"/>
  <c r="AR74" i="9"/>
  <c r="AD74" i="9"/>
  <c r="P74" i="9"/>
  <c r="LZ73" i="9"/>
  <c r="LL73" i="9"/>
  <c r="KX73" i="9"/>
  <c r="KJ73" i="9"/>
  <c r="JV73" i="9"/>
  <c r="JH73" i="9"/>
  <c r="IT73" i="9"/>
  <c r="IF73" i="9"/>
  <c r="HR73" i="9"/>
  <c r="HD73" i="9"/>
  <c r="GP73" i="9"/>
  <c r="GB73" i="9"/>
  <c r="FN73" i="9"/>
  <c r="EZ73" i="9"/>
  <c r="EL73" i="9"/>
  <c r="DX73" i="9"/>
  <c r="DJ73" i="9"/>
  <c r="CV73" i="9"/>
  <c r="CH73" i="9"/>
  <c r="BT73" i="9"/>
  <c r="BF73" i="9"/>
  <c r="AR73" i="9"/>
  <c r="AD73" i="9"/>
  <c r="P73" i="9"/>
  <c r="LZ72" i="9"/>
  <c r="LL72" i="9"/>
  <c r="KX72" i="9"/>
  <c r="KJ72" i="9"/>
  <c r="JV72" i="9"/>
  <c r="JH72" i="9"/>
  <c r="IT72" i="9"/>
  <c r="IF72" i="9"/>
  <c r="HR72" i="9"/>
  <c r="HD72" i="9"/>
  <c r="GP72" i="9"/>
  <c r="GB72" i="9"/>
  <c r="FN72" i="9"/>
  <c r="EZ72" i="9"/>
  <c r="EL72" i="9"/>
  <c r="DX72" i="9"/>
  <c r="DJ72" i="9"/>
  <c r="CV72" i="9"/>
  <c r="CH72" i="9"/>
  <c r="BT72" i="9"/>
  <c r="BF72" i="9"/>
  <c r="AR72" i="9"/>
  <c r="AD72" i="9"/>
  <c r="P72" i="9"/>
  <c r="LZ71" i="9"/>
  <c r="LL71" i="9"/>
  <c r="KX71" i="9"/>
  <c r="KJ71" i="9"/>
  <c r="JV71" i="9"/>
  <c r="JH71" i="9"/>
  <c r="IT71" i="9"/>
  <c r="IF71" i="9"/>
  <c r="HR71" i="9"/>
  <c r="HD71" i="9"/>
  <c r="GP71" i="9"/>
  <c r="GB71" i="9"/>
  <c r="FN71" i="9"/>
  <c r="EZ71" i="9"/>
  <c r="EL71" i="9"/>
  <c r="DX71" i="9"/>
  <c r="DJ71" i="9"/>
  <c r="CV71" i="9"/>
  <c r="CH71" i="9"/>
  <c r="BT71" i="9"/>
  <c r="BF71" i="9"/>
  <c r="AR71" i="9"/>
  <c r="AD71" i="9"/>
  <c r="P71" i="9"/>
  <c r="LZ70" i="9"/>
  <c r="LL70" i="9"/>
  <c r="KX70" i="9"/>
  <c r="KJ70" i="9"/>
  <c r="JV70" i="9"/>
  <c r="JH70" i="9"/>
  <c r="IT70" i="9"/>
  <c r="IF70" i="9"/>
  <c r="HR70" i="9"/>
  <c r="HD70" i="9"/>
  <c r="GP70" i="9"/>
  <c r="GB70" i="9"/>
  <c r="FN70" i="9"/>
  <c r="EZ70" i="9"/>
  <c r="EL70" i="9"/>
  <c r="DX70" i="9"/>
  <c r="DJ70" i="9"/>
  <c r="CV70" i="9"/>
  <c r="CH70" i="9"/>
  <c r="BT70" i="9"/>
  <c r="BF70" i="9"/>
  <c r="AR70" i="9"/>
  <c r="AD70" i="9"/>
  <c r="P70" i="9"/>
  <c r="LZ69" i="9"/>
  <c r="LL69" i="9"/>
  <c r="KX69" i="9"/>
  <c r="KJ69" i="9"/>
  <c r="JV69" i="9"/>
  <c r="JH69" i="9"/>
  <c r="IT69" i="9"/>
  <c r="IF69" i="9"/>
  <c r="HR69" i="9"/>
  <c r="HD69" i="9"/>
  <c r="GP69" i="9"/>
  <c r="GB69" i="9"/>
  <c r="FN69" i="9"/>
  <c r="EZ69" i="9"/>
  <c r="EL69" i="9"/>
  <c r="DX69" i="9"/>
  <c r="DJ69" i="9"/>
  <c r="CV69" i="9"/>
  <c r="CH69" i="9"/>
  <c r="BT69" i="9"/>
  <c r="BF69" i="9"/>
  <c r="AR69" i="9"/>
  <c r="AD69" i="9"/>
  <c r="P69" i="9"/>
  <c r="LZ68" i="9"/>
  <c r="LL68" i="9"/>
  <c r="KX68" i="9"/>
  <c r="KJ68" i="9"/>
  <c r="JV68" i="9"/>
  <c r="JH68" i="9"/>
  <c r="IT68" i="9"/>
  <c r="IF68" i="9"/>
  <c r="HR68" i="9"/>
  <c r="HD68" i="9"/>
  <c r="GP68" i="9"/>
  <c r="GB68" i="9"/>
  <c r="FN68" i="9"/>
  <c r="EZ68" i="9"/>
  <c r="EL68" i="9"/>
  <c r="DX68" i="9"/>
  <c r="DJ68" i="9"/>
  <c r="CV68" i="9"/>
  <c r="CH68" i="9"/>
  <c r="BT68" i="9"/>
  <c r="BF68" i="9"/>
  <c r="AR68" i="9"/>
  <c r="AD68" i="9"/>
  <c r="P68" i="9"/>
  <c r="LZ67" i="9"/>
  <c r="LL67" i="9"/>
  <c r="KX67" i="9"/>
  <c r="KJ67" i="9"/>
  <c r="JV67" i="9"/>
  <c r="JH67" i="9"/>
  <c r="IT67" i="9"/>
  <c r="IF67" i="9"/>
  <c r="HR67" i="9"/>
  <c r="HD67" i="9"/>
  <c r="GP67" i="9"/>
  <c r="GB67" i="9"/>
  <c r="FN67" i="9"/>
  <c r="EZ67" i="9"/>
  <c r="EL67" i="9"/>
  <c r="DX67" i="9"/>
  <c r="DJ67" i="9"/>
  <c r="CV67" i="9"/>
  <c r="CH67" i="9"/>
  <c r="BT67" i="9"/>
  <c r="BF67" i="9"/>
  <c r="AR67" i="9"/>
  <c r="AD67" i="9"/>
  <c r="P67" i="9"/>
  <c r="LZ66" i="9"/>
  <c r="LL66" i="9"/>
  <c r="KX66" i="9"/>
  <c r="KJ66" i="9"/>
  <c r="JV66" i="9"/>
  <c r="JH66" i="9"/>
  <c r="IT66" i="9"/>
  <c r="IF66" i="9"/>
  <c r="HR66" i="9"/>
  <c r="HD66" i="9"/>
  <c r="GP66" i="9"/>
  <c r="GB66" i="9"/>
  <c r="FN66" i="9"/>
  <c r="EZ66" i="9"/>
  <c r="EL66" i="9"/>
  <c r="DX66" i="9"/>
  <c r="DJ66" i="9"/>
  <c r="CV66" i="9"/>
  <c r="CH66" i="9"/>
  <c r="BT66" i="9"/>
  <c r="BF66" i="9"/>
  <c r="AR66" i="9"/>
  <c r="AD66" i="9"/>
  <c r="P66" i="9"/>
  <c r="LZ65" i="9"/>
  <c r="LL65" i="9"/>
  <c r="KX65" i="9"/>
  <c r="KJ65" i="9"/>
  <c r="JV65" i="9"/>
  <c r="JH65" i="9"/>
  <c r="IT65" i="9"/>
  <c r="IF65" i="9"/>
  <c r="HR65" i="9"/>
  <c r="HD65" i="9"/>
  <c r="GP65" i="9"/>
  <c r="GB65" i="9"/>
  <c r="FN65" i="9"/>
  <c r="EZ65" i="9"/>
  <c r="EL65" i="9"/>
  <c r="DX65" i="9"/>
  <c r="DJ65" i="9"/>
  <c r="CV65" i="9"/>
  <c r="CH65" i="9"/>
  <c r="BT65" i="9"/>
  <c r="BF65" i="9"/>
  <c r="AR65" i="9"/>
  <c r="AD65" i="9"/>
  <c r="P65" i="9"/>
  <c r="LZ64" i="9"/>
  <c r="LL64" i="9"/>
  <c r="KX64" i="9"/>
  <c r="KJ64" i="9"/>
  <c r="JV64" i="9"/>
  <c r="JH64" i="9"/>
  <c r="IT64" i="9"/>
  <c r="IF64" i="9"/>
  <c r="HR64" i="9"/>
  <c r="HD64" i="9"/>
  <c r="GP64" i="9"/>
  <c r="GB64" i="9"/>
  <c r="FN64" i="9"/>
  <c r="EZ64" i="9"/>
  <c r="EL64" i="9"/>
  <c r="DX64" i="9"/>
  <c r="DJ64" i="9"/>
  <c r="CV64" i="9"/>
  <c r="CH64" i="9"/>
  <c r="BT64" i="9"/>
  <c r="BF64" i="9"/>
  <c r="AR64" i="9"/>
  <c r="AD64" i="9"/>
  <c r="P64" i="9"/>
  <c r="LZ63" i="9"/>
  <c r="LL63" i="9"/>
  <c r="KX63" i="9"/>
  <c r="KJ63" i="9"/>
  <c r="JV63" i="9"/>
  <c r="JH63" i="9"/>
  <c r="IT63" i="9"/>
  <c r="IF63" i="9"/>
  <c r="HR63" i="9"/>
  <c r="HD63" i="9"/>
  <c r="GP63" i="9"/>
  <c r="GB63" i="9"/>
  <c r="FN63" i="9"/>
  <c r="EZ63" i="9"/>
  <c r="EL63" i="9"/>
  <c r="DX63" i="9"/>
  <c r="DJ63" i="9"/>
  <c r="CV63" i="9"/>
  <c r="CH63" i="9"/>
  <c r="BT63" i="9"/>
  <c r="BF63" i="9"/>
  <c r="AR63" i="9"/>
  <c r="AD63" i="9"/>
  <c r="P63" i="9"/>
  <c r="LZ62" i="9"/>
  <c r="LL62" i="9"/>
  <c r="KX62" i="9"/>
  <c r="KJ62" i="9"/>
  <c r="JV62" i="9"/>
  <c r="JH62" i="9"/>
  <c r="IT62" i="9"/>
  <c r="IF62" i="9"/>
  <c r="HR62" i="9"/>
  <c r="HD62" i="9"/>
  <c r="GP62" i="9"/>
  <c r="GB62" i="9"/>
  <c r="FN62" i="9"/>
  <c r="EZ62" i="9"/>
  <c r="EL62" i="9"/>
  <c r="DX62" i="9"/>
  <c r="DJ62" i="9"/>
  <c r="CV62" i="9"/>
  <c r="CH62" i="9"/>
  <c r="BT62" i="9"/>
  <c r="BF62" i="9"/>
  <c r="AR62" i="9"/>
  <c r="AD62" i="9"/>
  <c r="P62" i="9"/>
  <c r="LZ61" i="9"/>
  <c r="LL61" i="9"/>
  <c r="KX61" i="9"/>
  <c r="KJ61" i="9"/>
  <c r="JV61" i="9"/>
  <c r="JH61" i="9"/>
  <c r="IT61" i="9"/>
  <c r="IF61" i="9"/>
  <c r="HR61" i="9"/>
  <c r="HD61" i="9"/>
  <c r="GP61" i="9"/>
  <c r="GB61" i="9"/>
  <c r="FN61" i="9"/>
  <c r="EZ61" i="9"/>
  <c r="EL61" i="9"/>
  <c r="DX61" i="9"/>
  <c r="DJ61" i="9"/>
  <c r="CV61" i="9"/>
  <c r="CH61" i="9"/>
  <c r="BT61" i="9"/>
  <c r="BF61" i="9"/>
  <c r="AR61" i="9"/>
  <c r="AD61" i="9"/>
  <c r="P61" i="9"/>
  <c r="LZ60" i="9"/>
  <c r="LL60" i="9"/>
  <c r="KX60" i="9"/>
  <c r="KJ60" i="9"/>
  <c r="JV60" i="9"/>
  <c r="JH60" i="9"/>
  <c r="IT60" i="9"/>
  <c r="IF60" i="9"/>
  <c r="HR60" i="9"/>
  <c r="HD60" i="9"/>
  <c r="GP60" i="9"/>
  <c r="GB60" i="9"/>
  <c r="FN60" i="9"/>
  <c r="EZ60" i="9"/>
  <c r="EL60" i="9"/>
  <c r="DX60" i="9"/>
  <c r="DJ60" i="9"/>
  <c r="CV60" i="9"/>
  <c r="CH60" i="9"/>
  <c r="BT60" i="9"/>
  <c r="BF60" i="9"/>
  <c r="AR60" i="9"/>
  <c r="AD60" i="9"/>
  <c r="P60" i="9"/>
  <c r="LY57" i="9"/>
  <c r="LX57" i="9"/>
  <c r="LW57" i="9"/>
  <c r="LV57" i="9"/>
  <c r="LU57" i="9"/>
  <c r="LT57" i="9"/>
  <c r="LS57" i="9"/>
  <c r="LR57" i="9"/>
  <c r="LQ57" i="9"/>
  <c r="LP57" i="9"/>
  <c r="LO57" i="9"/>
  <c r="LN57" i="9"/>
  <c r="LK57" i="9"/>
  <c r="LJ57" i="9"/>
  <c r="LI57" i="9"/>
  <c r="LH57" i="9"/>
  <c r="LG57" i="9"/>
  <c r="LF57" i="9"/>
  <c r="LE57" i="9"/>
  <c r="LD57" i="9"/>
  <c r="LC57" i="9"/>
  <c r="LB57" i="9"/>
  <c r="LA57" i="9"/>
  <c r="KZ57" i="9"/>
  <c r="KW57" i="9"/>
  <c r="KV57" i="9"/>
  <c r="KU57" i="9"/>
  <c r="KT57" i="9"/>
  <c r="KS57" i="9"/>
  <c r="KR57" i="9"/>
  <c r="KQ57" i="9"/>
  <c r="KP57" i="9"/>
  <c r="KO57" i="9"/>
  <c r="KN57" i="9"/>
  <c r="KM57" i="9"/>
  <c r="KL57" i="9"/>
  <c r="KI57" i="9"/>
  <c r="KH57" i="9"/>
  <c r="KG57" i="9"/>
  <c r="KF57" i="9"/>
  <c r="KE57" i="9"/>
  <c r="KD57" i="9"/>
  <c r="KC57" i="9"/>
  <c r="KB57" i="9"/>
  <c r="KA57" i="9"/>
  <c r="JZ57" i="9"/>
  <c r="JY57" i="9"/>
  <c r="JX57" i="9"/>
  <c r="JU57" i="9"/>
  <c r="JT57" i="9"/>
  <c r="JS57" i="9"/>
  <c r="JR57" i="9"/>
  <c r="JQ57" i="9"/>
  <c r="JP57" i="9"/>
  <c r="JO57" i="9"/>
  <c r="JN57" i="9"/>
  <c r="JM57" i="9"/>
  <c r="JL57" i="9"/>
  <c r="JK57" i="9"/>
  <c r="JJ57" i="9"/>
  <c r="JG57" i="9"/>
  <c r="JF57" i="9"/>
  <c r="JE57" i="9"/>
  <c r="JD57" i="9"/>
  <c r="JC57" i="9"/>
  <c r="JB57" i="9"/>
  <c r="JA57" i="9"/>
  <c r="IZ57" i="9"/>
  <c r="IY57" i="9"/>
  <c r="IX57" i="9"/>
  <c r="IW57" i="9"/>
  <c r="IV57" i="9"/>
  <c r="IS57" i="9"/>
  <c r="IR57" i="9"/>
  <c r="IQ57" i="9"/>
  <c r="IP57" i="9"/>
  <c r="IO57" i="9"/>
  <c r="IN57" i="9"/>
  <c r="IM57" i="9"/>
  <c r="IL57" i="9"/>
  <c r="IK57" i="9"/>
  <c r="IJ57" i="9"/>
  <c r="II57" i="9"/>
  <c r="IH57" i="9"/>
  <c r="IE57" i="9"/>
  <c r="ID57" i="9"/>
  <c r="IC57" i="9"/>
  <c r="IB57" i="9"/>
  <c r="IA57" i="9"/>
  <c r="HZ57" i="9"/>
  <c r="HY57" i="9"/>
  <c r="HX57" i="9"/>
  <c r="HW57" i="9"/>
  <c r="HV57" i="9"/>
  <c r="HU57" i="9"/>
  <c r="HT57" i="9"/>
  <c r="HQ57" i="9"/>
  <c r="HP57" i="9"/>
  <c r="HO57" i="9"/>
  <c r="HN57" i="9"/>
  <c r="HM57" i="9"/>
  <c r="HL57" i="9"/>
  <c r="HK57" i="9"/>
  <c r="HJ57" i="9"/>
  <c r="HI57" i="9"/>
  <c r="HH57" i="9"/>
  <c r="HG57" i="9"/>
  <c r="HF57" i="9"/>
  <c r="HC57" i="9"/>
  <c r="HB57" i="9"/>
  <c r="HA57" i="9"/>
  <c r="GZ57" i="9"/>
  <c r="GY57" i="9"/>
  <c r="GX57" i="9"/>
  <c r="GW57" i="9"/>
  <c r="GV57" i="9"/>
  <c r="GU57" i="9"/>
  <c r="GT57" i="9"/>
  <c r="GS57" i="9"/>
  <c r="GR57" i="9"/>
  <c r="GO57" i="9"/>
  <c r="GN57" i="9"/>
  <c r="GM57" i="9"/>
  <c r="GL57" i="9"/>
  <c r="GK57" i="9"/>
  <c r="GJ57" i="9"/>
  <c r="GI57" i="9"/>
  <c r="GH57" i="9"/>
  <c r="GG57" i="9"/>
  <c r="GF57" i="9"/>
  <c r="GE57" i="9"/>
  <c r="GD57" i="9"/>
  <c r="GA57" i="9"/>
  <c r="FZ57" i="9"/>
  <c r="FY57" i="9"/>
  <c r="FX57" i="9"/>
  <c r="FW57" i="9"/>
  <c r="FV57" i="9"/>
  <c r="FU57" i="9"/>
  <c r="FT57" i="9"/>
  <c r="FS57" i="9"/>
  <c r="FR57" i="9"/>
  <c r="FQ57" i="9"/>
  <c r="FP57" i="9"/>
  <c r="FM57" i="9"/>
  <c r="FL57" i="9"/>
  <c r="FK57" i="9"/>
  <c r="FJ57" i="9"/>
  <c r="FI57" i="9"/>
  <c r="FH57" i="9"/>
  <c r="FG57" i="9"/>
  <c r="FF57" i="9"/>
  <c r="FE57" i="9"/>
  <c r="FD57" i="9"/>
  <c r="FC57" i="9"/>
  <c r="FB57" i="9"/>
  <c r="EY57" i="9"/>
  <c r="EX57" i="9"/>
  <c r="EW57" i="9"/>
  <c r="EV57" i="9"/>
  <c r="EU57" i="9"/>
  <c r="ET57" i="9"/>
  <c r="ES57" i="9"/>
  <c r="ER57" i="9"/>
  <c r="EQ57" i="9"/>
  <c r="EP57" i="9"/>
  <c r="EO57" i="9"/>
  <c r="EN57" i="9"/>
  <c r="EK57" i="9"/>
  <c r="EJ57" i="9"/>
  <c r="EI57" i="9"/>
  <c r="EH57" i="9"/>
  <c r="EG57" i="9"/>
  <c r="EF57" i="9"/>
  <c r="EE57" i="9"/>
  <c r="ED57" i="9"/>
  <c r="EC57" i="9"/>
  <c r="EB57" i="9"/>
  <c r="EA57" i="9"/>
  <c r="DZ57" i="9"/>
  <c r="DW57" i="9"/>
  <c r="DV57" i="9"/>
  <c r="DU57" i="9"/>
  <c r="DT57" i="9"/>
  <c r="DS57" i="9"/>
  <c r="DR57" i="9"/>
  <c r="DQ57" i="9"/>
  <c r="DP57" i="9"/>
  <c r="DO57" i="9"/>
  <c r="DN57" i="9"/>
  <c r="DM57" i="9"/>
  <c r="DL57" i="9"/>
  <c r="DI57" i="9"/>
  <c r="DH57" i="9"/>
  <c r="DG57" i="9"/>
  <c r="DF57" i="9"/>
  <c r="DE57" i="9"/>
  <c r="DD57" i="9"/>
  <c r="DC57" i="9"/>
  <c r="DB57" i="9"/>
  <c r="DA57" i="9"/>
  <c r="CZ57" i="9"/>
  <c r="CY57" i="9"/>
  <c r="CX57" i="9"/>
  <c r="CU57" i="9"/>
  <c r="CT57" i="9"/>
  <c r="CS57" i="9"/>
  <c r="CR57" i="9"/>
  <c r="CQ57" i="9"/>
  <c r="CP57" i="9"/>
  <c r="CO57" i="9"/>
  <c r="CN57" i="9"/>
  <c r="CM57" i="9"/>
  <c r="CL57" i="9"/>
  <c r="CK57" i="9"/>
  <c r="CJ57" i="9"/>
  <c r="CG57" i="9"/>
  <c r="CF57" i="9"/>
  <c r="CE57" i="9"/>
  <c r="CD57" i="9"/>
  <c r="CC57" i="9"/>
  <c r="CB57" i="9"/>
  <c r="CA57" i="9"/>
  <c r="BZ57" i="9"/>
  <c r="BY57" i="9"/>
  <c r="BX57" i="9"/>
  <c r="BW57" i="9"/>
  <c r="BV57" i="9"/>
  <c r="BS57" i="9"/>
  <c r="BR57" i="9"/>
  <c r="BQ57" i="9"/>
  <c r="BP57" i="9"/>
  <c r="BO57" i="9"/>
  <c r="BN57" i="9"/>
  <c r="BM57" i="9"/>
  <c r="BL57" i="9"/>
  <c r="BK57" i="9"/>
  <c r="BJ57" i="9"/>
  <c r="BI57" i="9"/>
  <c r="BH57" i="9"/>
  <c r="BE57" i="9"/>
  <c r="BD57" i="9"/>
  <c r="BC57" i="9"/>
  <c r="BB57" i="9"/>
  <c r="BA57" i="9"/>
  <c r="AZ57" i="9"/>
  <c r="AY57" i="9"/>
  <c r="AX57" i="9"/>
  <c r="AW57" i="9"/>
  <c r="AV57" i="9"/>
  <c r="AU57" i="9"/>
  <c r="AT57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C57" i="9"/>
  <c r="AB57" i="9"/>
  <c r="AA57" i="9"/>
  <c r="Z57" i="9"/>
  <c r="Y57" i="9"/>
  <c r="X57" i="9"/>
  <c r="W57" i="9"/>
  <c r="V57" i="9"/>
  <c r="U57" i="9"/>
  <c r="T57" i="9"/>
  <c r="S57" i="9"/>
  <c r="R57" i="9"/>
  <c r="O57" i="9"/>
  <c r="N57" i="9"/>
  <c r="M57" i="9"/>
  <c r="L57" i="9"/>
  <c r="K57" i="9"/>
  <c r="J57" i="9"/>
  <c r="I57" i="9"/>
  <c r="H57" i="9"/>
  <c r="G57" i="9"/>
  <c r="F57" i="9"/>
  <c r="E57" i="9"/>
  <c r="D57" i="9"/>
  <c r="LZ55" i="9"/>
  <c r="LL55" i="9"/>
  <c r="KX55" i="9"/>
  <c r="KJ55" i="9"/>
  <c r="JV55" i="9"/>
  <c r="JH55" i="9"/>
  <c r="IT55" i="9"/>
  <c r="IF55" i="9"/>
  <c r="HR55" i="9"/>
  <c r="HD55" i="9"/>
  <c r="GP55" i="9"/>
  <c r="GB55" i="9"/>
  <c r="FN55" i="9"/>
  <c r="EZ55" i="9"/>
  <c r="EL55" i="9"/>
  <c r="DX55" i="9"/>
  <c r="DJ55" i="9"/>
  <c r="CV55" i="9"/>
  <c r="CH55" i="9"/>
  <c r="BT55" i="9"/>
  <c r="BF55" i="9"/>
  <c r="AR55" i="9"/>
  <c r="AD55" i="9"/>
  <c r="P55" i="9"/>
  <c r="LZ54" i="9"/>
  <c r="LL54" i="9"/>
  <c r="KX54" i="9"/>
  <c r="KJ54" i="9"/>
  <c r="JV54" i="9"/>
  <c r="JH54" i="9"/>
  <c r="IT54" i="9"/>
  <c r="IF54" i="9"/>
  <c r="HR54" i="9"/>
  <c r="HD54" i="9"/>
  <c r="GP54" i="9"/>
  <c r="GB54" i="9"/>
  <c r="FN54" i="9"/>
  <c r="EZ54" i="9"/>
  <c r="EL54" i="9"/>
  <c r="DX54" i="9"/>
  <c r="DJ54" i="9"/>
  <c r="CV54" i="9"/>
  <c r="CH54" i="9"/>
  <c r="BT54" i="9"/>
  <c r="BF54" i="9"/>
  <c r="AR54" i="9"/>
  <c r="AD54" i="9"/>
  <c r="P54" i="9"/>
  <c r="LZ53" i="9"/>
  <c r="LL53" i="9"/>
  <c r="KX53" i="9"/>
  <c r="KJ53" i="9"/>
  <c r="JV53" i="9"/>
  <c r="JH53" i="9"/>
  <c r="IT53" i="9"/>
  <c r="IF53" i="9"/>
  <c r="HR53" i="9"/>
  <c r="HD53" i="9"/>
  <c r="GP53" i="9"/>
  <c r="GB53" i="9"/>
  <c r="FN53" i="9"/>
  <c r="EZ53" i="9"/>
  <c r="EL53" i="9"/>
  <c r="DX53" i="9"/>
  <c r="DJ53" i="9"/>
  <c r="CV53" i="9"/>
  <c r="CH53" i="9"/>
  <c r="BT53" i="9"/>
  <c r="BF53" i="9"/>
  <c r="AR53" i="9"/>
  <c r="AD53" i="9"/>
  <c r="P53" i="9"/>
  <c r="LZ52" i="9"/>
  <c r="LL52" i="9"/>
  <c r="KX52" i="9"/>
  <c r="KJ52" i="9"/>
  <c r="JV52" i="9"/>
  <c r="JH52" i="9"/>
  <c r="IT52" i="9"/>
  <c r="IF52" i="9"/>
  <c r="HR52" i="9"/>
  <c r="HD52" i="9"/>
  <c r="GP52" i="9"/>
  <c r="GB52" i="9"/>
  <c r="FN52" i="9"/>
  <c r="EZ52" i="9"/>
  <c r="EL52" i="9"/>
  <c r="DX52" i="9"/>
  <c r="DJ52" i="9"/>
  <c r="CV52" i="9"/>
  <c r="CH52" i="9"/>
  <c r="BT52" i="9"/>
  <c r="BF52" i="9"/>
  <c r="AR52" i="9"/>
  <c r="AD52" i="9"/>
  <c r="P52" i="9"/>
  <c r="LZ51" i="9"/>
  <c r="LL51" i="9"/>
  <c r="KX51" i="9"/>
  <c r="KJ51" i="9"/>
  <c r="JV51" i="9"/>
  <c r="JH51" i="9"/>
  <c r="IT51" i="9"/>
  <c r="IF51" i="9"/>
  <c r="HR51" i="9"/>
  <c r="HD51" i="9"/>
  <c r="GP51" i="9"/>
  <c r="GB51" i="9"/>
  <c r="FN51" i="9"/>
  <c r="EZ51" i="9"/>
  <c r="EL51" i="9"/>
  <c r="DX51" i="9"/>
  <c r="DJ51" i="9"/>
  <c r="CV51" i="9"/>
  <c r="CH51" i="9"/>
  <c r="BT51" i="9"/>
  <c r="BF51" i="9"/>
  <c r="AR51" i="9"/>
  <c r="AD51" i="9"/>
  <c r="P51" i="9"/>
  <c r="LZ50" i="9"/>
  <c r="LL50" i="9"/>
  <c r="KX50" i="9"/>
  <c r="KJ50" i="9"/>
  <c r="JV50" i="9"/>
  <c r="JH50" i="9"/>
  <c r="IT50" i="9"/>
  <c r="IF50" i="9"/>
  <c r="HR50" i="9"/>
  <c r="HD50" i="9"/>
  <c r="GP50" i="9"/>
  <c r="GB50" i="9"/>
  <c r="FN50" i="9"/>
  <c r="EZ50" i="9"/>
  <c r="EL50" i="9"/>
  <c r="DX50" i="9"/>
  <c r="DJ50" i="9"/>
  <c r="CV50" i="9"/>
  <c r="CH50" i="9"/>
  <c r="BT50" i="9"/>
  <c r="BF50" i="9"/>
  <c r="AR50" i="9"/>
  <c r="AD50" i="9"/>
  <c r="P50" i="9"/>
  <c r="LZ49" i="9"/>
  <c r="LL49" i="9"/>
  <c r="KX49" i="9"/>
  <c r="KJ49" i="9"/>
  <c r="JV49" i="9"/>
  <c r="JH49" i="9"/>
  <c r="IT49" i="9"/>
  <c r="IF49" i="9"/>
  <c r="HR49" i="9"/>
  <c r="HD49" i="9"/>
  <c r="GP49" i="9"/>
  <c r="GB49" i="9"/>
  <c r="FN49" i="9"/>
  <c r="EZ49" i="9"/>
  <c r="EL49" i="9"/>
  <c r="DX49" i="9"/>
  <c r="DJ49" i="9"/>
  <c r="CV49" i="9"/>
  <c r="CH49" i="9"/>
  <c r="BT49" i="9"/>
  <c r="BF49" i="9"/>
  <c r="AR49" i="9"/>
  <c r="AD49" i="9"/>
  <c r="P49" i="9"/>
  <c r="LZ48" i="9"/>
  <c r="LL48" i="9"/>
  <c r="KX48" i="9"/>
  <c r="KJ48" i="9"/>
  <c r="JV48" i="9"/>
  <c r="JH48" i="9"/>
  <c r="IT48" i="9"/>
  <c r="IF48" i="9"/>
  <c r="HR48" i="9"/>
  <c r="HD48" i="9"/>
  <c r="GP48" i="9"/>
  <c r="GB48" i="9"/>
  <c r="FN48" i="9"/>
  <c r="EZ48" i="9"/>
  <c r="EL48" i="9"/>
  <c r="DX48" i="9"/>
  <c r="DJ48" i="9"/>
  <c r="CV48" i="9"/>
  <c r="CH48" i="9"/>
  <c r="BT48" i="9"/>
  <c r="BF48" i="9"/>
  <c r="AR48" i="9"/>
  <c r="AD48" i="9"/>
  <c r="P48" i="9"/>
  <c r="LY45" i="9"/>
  <c r="LX45" i="9"/>
  <c r="LW45" i="9"/>
  <c r="LV45" i="9"/>
  <c r="LU45" i="9"/>
  <c r="LT45" i="9"/>
  <c r="LS45" i="9"/>
  <c r="LR45" i="9"/>
  <c r="LQ45" i="9"/>
  <c r="LP45" i="9"/>
  <c r="LO45" i="9"/>
  <c r="LN45" i="9"/>
  <c r="LK45" i="9"/>
  <c r="LJ45" i="9"/>
  <c r="LI45" i="9"/>
  <c r="LH45" i="9"/>
  <c r="LG45" i="9"/>
  <c r="LF45" i="9"/>
  <c r="LE45" i="9"/>
  <c r="LD45" i="9"/>
  <c r="LC45" i="9"/>
  <c r="LB45" i="9"/>
  <c r="LB98" i="9" s="1"/>
  <c r="LB114" i="9" s="1"/>
  <c r="LA45" i="9"/>
  <c r="KZ45" i="9"/>
  <c r="KW45" i="9"/>
  <c r="KV45" i="9"/>
  <c r="KU45" i="9"/>
  <c r="KT45" i="9"/>
  <c r="KS45" i="9"/>
  <c r="KR45" i="9"/>
  <c r="KQ45" i="9"/>
  <c r="KP45" i="9"/>
  <c r="KO45" i="9"/>
  <c r="KO98" i="9" s="1"/>
  <c r="KO114" i="9" s="1"/>
  <c r="KO116" i="9" s="1"/>
  <c r="KN45" i="9"/>
  <c r="KM45" i="9"/>
  <c r="KL45" i="9"/>
  <c r="KI45" i="9"/>
  <c r="KH45" i="9"/>
  <c r="KG45" i="9"/>
  <c r="KF45" i="9"/>
  <c r="KE45" i="9"/>
  <c r="KD45" i="9"/>
  <c r="KC45" i="9"/>
  <c r="KB45" i="9"/>
  <c r="KA45" i="9"/>
  <c r="JZ45" i="9"/>
  <c r="JY45" i="9"/>
  <c r="JX45" i="9"/>
  <c r="JU45" i="9"/>
  <c r="JT45" i="9"/>
  <c r="JS45" i="9"/>
  <c r="JR45" i="9"/>
  <c r="JQ45" i="9"/>
  <c r="JP45" i="9"/>
  <c r="JO45" i="9"/>
  <c r="JN45" i="9"/>
  <c r="JM45" i="9"/>
  <c r="JL45" i="9"/>
  <c r="JK45" i="9"/>
  <c r="JJ45" i="9"/>
  <c r="JG45" i="9"/>
  <c r="JF45" i="9"/>
  <c r="JE45" i="9"/>
  <c r="JD45" i="9"/>
  <c r="JC45" i="9"/>
  <c r="JB45" i="9"/>
  <c r="JA45" i="9"/>
  <c r="IZ45" i="9"/>
  <c r="IY45" i="9"/>
  <c r="IX45" i="9"/>
  <c r="IW45" i="9"/>
  <c r="IV45" i="9"/>
  <c r="IS45" i="9"/>
  <c r="IR45" i="9"/>
  <c r="IQ45" i="9"/>
  <c r="IP45" i="9"/>
  <c r="IP98" i="9" s="1"/>
  <c r="IP114" i="9" s="1"/>
  <c r="IO45" i="9"/>
  <c r="IN45" i="9"/>
  <c r="IM45" i="9"/>
  <c r="IL45" i="9"/>
  <c r="IK45" i="9"/>
  <c r="IJ45" i="9"/>
  <c r="II45" i="9"/>
  <c r="IH45" i="9"/>
  <c r="IE45" i="9"/>
  <c r="ID45" i="9"/>
  <c r="IC45" i="9"/>
  <c r="IB45" i="9"/>
  <c r="IA45" i="9"/>
  <c r="HZ45" i="9"/>
  <c r="HY45" i="9"/>
  <c r="HX45" i="9"/>
  <c r="HW45" i="9"/>
  <c r="HV45" i="9"/>
  <c r="HU45" i="9"/>
  <c r="HT45" i="9"/>
  <c r="HQ45" i="9"/>
  <c r="HP45" i="9"/>
  <c r="HO45" i="9"/>
  <c r="HN45" i="9"/>
  <c r="HM45" i="9"/>
  <c r="HL45" i="9"/>
  <c r="HK45" i="9"/>
  <c r="HJ45" i="9"/>
  <c r="HI45" i="9"/>
  <c r="HH45" i="9"/>
  <c r="HG45" i="9"/>
  <c r="HF45" i="9"/>
  <c r="HC45" i="9"/>
  <c r="HB45" i="9"/>
  <c r="HA45" i="9"/>
  <c r="GZ45" i="9"/>
  <c r="GY45" i="9"/>
  <c r="GX45" i="9"/>
  <c r="GW45" i="9"/>
  <c r="GV45" i="9"/>
  <c r="GU45" i="9"/>
  <c r="GT45" i="9"/>
  <c r="GS45" i="9"/>
  <c r="GR45" i="9"/>
  <c r="GO45" i="9"/>
  <c r="GN45" i="9"/>
  <c r="GM45" i="9"/>
  <c r="GL45" i="9"/>
  <c r="GK45" i="9"/>
  <c r="GJ45" i="9"/>
  <c r="GI45" i="9"/>
  <c r="GH45" i="9"/>
  <c r="GG45" i="9"/>
  <c r="GF45" i="9"/>
  <c r="GE45" i="9"/>
  <c r="GD45" i="9"/>
  <c r="GD46" i="9" s="1"/>
  <c r="GE46" i="9" s="1"/>
  <c r="GF46" i="9" s="1"/>
  <c r="GA45" i="9"/>
  <c r="FZ45" i="9"/>
  <c r="FY45" i="9"/>
  <c r="FX45" i="9"/>
  <c r="FW45" i="9"/>
  <c r="FV45" i="9"/>
  <c r="FU45" i="9"/>
  <c r="FT45" i="9"/>
  <c r="FS45" i="9"/>
  <c r="FR45" i="9"/>
  <c r="FQ45" i="9"/>
  <c r="FP45" i="9"/>
  <c r="FM45" i="9"/>
  <c r="FL45" i="9"/>
  <c r="FK45" i="9"/>
  <c r="FJ45" i="9"/>
  <c r="FI45" i="9"/>
  <c r="FH45" i="9"/>
  <c r="FG45" i="9"/>
  <c r="FF45" i="9"/>
  <c r="FE45" i="9"/>
  <c r="FD45" i="9"/>
  <c r="FC45" i="9"/>
  <c r="FB45" i="9"/>
  <c r="EY45" i="9"/>
  <c r="EX45" i="9"/>
  <c r="EW45" i="9"/>
  <c r="EV45" i="9"/>
  <c r="EU45" i="9"/>
  <c r="ET45" i="9"/>
  <c r="ES45" i="9"/>
  <c r="ER45" i="9"/>
  <c r="EQ45" i="9"/>
  <c r="EP45" i="9"/>
  <c r="EO45" i="9"/>
  <c r="EN45" i="9"/>
  <c r="EK45" i="9"/>
  <c r="EJ45" i="9"/>
  <c r="EI45" i="9"/>
  <c r="EH45" i="9"/>
  <c r="EG45" i="9"/>
  <c r="EF45" i="9"/>
  <c r="EE45" i="9"/>
  <c r="ED45" i="9"/>
  <c r="EC45" i="9"/>
  <c r="EB45" i="9"/>
  <c r="EA45" i="9"/>
  <c r="DZ45" i="9"/>
  <c r="DW45" i="9"/>
  <c r="DV45" i="9"/>
  <c r="DU45" i="9"/>
  <c r="DT45" i="9"/>
  <c r="DS45" i="9"/>
  <c r="DR45" i="9"/>
  <c r="DQ45" i="9"/>
  <c r="DP45" i="9"/>
  <c r="DO45" i="9"/>
  <c r="DN45" i="9"/>
  <c r="DM45" i="9"/>
  <c r="DL45" i="9"/>
  <c r="DI45" i="9"/>
  <c r="DH45" i="9"/>
  <c r="DG45" i="9"/>
  <c r="DF45" i="9"/>
  <c r="DE45" i="9"/>
  <c r="DD45" i="9"/>
  <c r="DC45" i="9"/>
  <c r="DB45" i="9"/>
  <c r="DA45" i="9"/>
  <c r="CZ45" i="9"/>
  <c r="CY45" i="9"/>
  <c r="CX45" i="9"/>
  <c r="CU45" i="9"/>
  <c r="CT45" i="9"/>
  <c r="CS45" i="9"/>
  <c r="CR45" i="9"/>
  <c r="CQ45" i="9"/>
  <c r="CP45" i="9"/>
  <c r="CO45" i="9"/>
  <c r="CN45" i="9"/>
  <c r="CM45" i="9"/>
  <c r="CL45" i="9"/>
  <c r="CK45" i="9"/>
  <c r="CJ45" i="9"/>
  <c r="CG45" i="9"/>
  <c r="CF45" i="9"/>
  <c r="CE45" i="9"/>
  <c r="CD45" i="9"/>
  <c r="CC45" i="9"/>
  <c r="CB45" i="9"/>
  <c r="CA45" i="9"/>
  <c r="BZ45" i="9"/>
  <c r="BY45" i="9"/>
  <c r="BX45" i="9"/>
  <c r="BW45" i="9"/>
  <c r="BV45" i="9"/>
  <c r="BS45" i="9"/>
  <c r="BR45" i="9"/>
  <c r="BQ45" i="9"/>
  <c r="BP45" i="9"/>
  <c r="BO45" i="9"/>
  <c r="BN45" i="9"/>
  <c r="BM45" i="9"/>
  <c r="BL45" i="9"/>
  <c r="BK45" i="9"/>
  <c r="BJ45" i="9"/>
  <c r="BI45" i="9"/>
  <c r="BH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C45" i="9"/>
  <c r="AB45" i="9"/>
  <c r="AA45" i="9"/>
  <c r="Z45" i="9"/>
  <c r="Y45" i="9"/>
  <c r="X45" i="9"/>
  <c r="W45" i="9"/>
  <c r="V45" i="9"/>
  <c r="U45" i="9"/>
  <c r="T45" i="9"/>
  <c r="S45" i="9"/>
  <c r="R45" i="9"/>
  <c r="O45" i="9"/>
  <c r="N45" i="9"/>
  <c r="M45" i="9"/>
  <c r="L45" i="9"/>
  <c r="K45" i="9"/>
  <c r="J45" i="9"/>
  <c r="I45" i="9"/>
  <c r="H45" i="9"/>
  <c r="G45" i="9"/>
  <c r="F45" i="9"/>
  <c r="E45" i="9"/>
  <c r="D45" i="9"/>
  <c r="LZ43" i="9"/>
  <c r="LL43" i="9"/>
  <c r="KX43" i="9"/>
  <c r="KJ43" i="9"/>
  <c r="JV43" i="9"/>
  <c r="JH43" i="9"/>
  <c r="IT43" i="9"/>
  <c r="IF43" i="9"/>
  <c r="HR43" i="9"/>
  <c r="HD43" i="9"/>
  <c r="GP43" i="9"/>
  <c r="GB43" i="9"/>
  <c r="FN43" i="9"/>
  <c r="EZ43" i="9"/>
  <c r="EL43" i="9"/>
  <c r="DX43" i="9"/>
  <c r="DJ43" i="9"/>
  <c r="CV43" i="9"/>
  <c r="CH43" i="9"/>
  <c r="BT43" i="9"/>
  <c r="BF43" i="9"/>
  <c r="AR43" i="9"/>
  <c r="AD43" i="9"/>
  <c r="P43" i="9"/>
  <c r="LZ42" i="9"/>
  <c r="LL42" i="9"/>
  <c r="KX42" i="9"/>
  <c r="KJ42" i="9"/>
  <c r="JV42" i="9"/>
  <c r="JH42" i="9"/>
  <c r="IT42" i="9"/>
  <c r="IF42" i="9"/>
  <c r="HR42" i="9"/>
  <c r="HD42" i="9"/>
  <c r="GP42" i="9"/>
  <c r="GB42" i="9"/>
  <c r="FN42" i="9"/>
  <c r="EZ42" i="9"/>
  <c r="EL42" i="9"/>
  <c r="DX42" i="9"/>
  <c r="DJ42" i="9"/>
  <c r="CV42" i="9"/>
  <c r="CH42" i="9"/>
  <c r="BT42" i="9"/>
  <c r="BF42" i="9"/>
  <c r="AR42" i="9"/>
  <c r="AD42" i="9"/>
  <c r="P42" i="9"/>
  <c r="LZ41" i="9"/>
  <c r="LL41" i="9"/>
  <c r="KX41" i="9"/>
  <c r="KJ41" i="9"/>
  <c r="JV41" i="9"/>
  <c r="JH41" i="9"/>
  <c r="IT41" i="9"/>
  <c r="IF41" i="9"/>
  <c r="HR41" i="9"/>
  <c r="HD41" i="9"/>
  <c r="GP41" i="9"/>
  <c r="GB41" i="9"/>
  <c r="FN41" i="9"/>
  <c r="EZ41" i="9"/>
  <c r="EL41" i="9"/>
  <c r="DX41" i="9"/>
  <c r="DJ41" i="9"/>
  <c r="CV41" i="9"/>
  <c r="CH41" i="9"/>
  <c r="BT41" i="9"/>
  <c r="BF41" i="9"/>
  <c r="AR41" i="9"/>
  <c r="AD41" i="9"/>
  <c r="P41" i="9"/>
  <c r="LZ40" i="9"/>
  <c r="LL40" i="9"/>
  <c r="KX40" i="9"/>
  <c r="KJ40" i="9"/>
  <c r="JV40" i="9"/>
  <c r="JH40" i="9"/>
  <c r="IT40" i="9"/>
  <c r="IF40" i="9"/>
  <c r="HR40" i="9"/>
  <c r="HD40" i="9"/>
  <c r="GP40" i="9"/>
  <c r="GB40" i="9"/>
  <c r="FN40" i="9"/>
  <c r="EZ40" i="9"/>
  <c r="EL40" i="9"/>
  <c r="DX40" i="9"/>
  <c r="DJ40" i="9"/>
  <c r="CV40" i="9"/>
  <c r="CH40" i="9"/>
  <c r="BT40" i="9"/>
  <c r="BF40" i="9"/>
  <c r="AR40" i="9"/>
  <c r="AD40" i="9"/>
  <c r="P40" i="9"/>
  <c r="LZ39" i="9"/>
  <c r="LL39" i="9"/>
  <c r="KX39" i="9"/>
  <c r="KJ39" i="9"/>
  <c r="JV39" i="9"/>
  <c r="JH39" i="9"/>
  <c r="IT39" i="9"/>
  <c r="IF39" i="9"/>
  <c r="HR39" i="9"/>
  <c r="HD39" i="9"/>
  <c r="GP39" i="9"/>
  <c r="GB39" i="9"/>
  <c r="FN39" i="9"/>
  <c r="EZ39" i="9"/>
  <c r="EL39" i="9"/>
  <c r="DX39" i="9"/>
  <c r="DJ39" i="9"/>
  <c r="CV39" i="9"/>
  <c r="CH39" i="9"/>
  <c r="BT39" i="9"/>
  <c r="BF39" i="9"/>
  <c r="AR39" i="9"/>
  <c r="AD39" i="9"/>
  <c r="P39" i="9"/>
  <c r="LZ38" i="9"/>
  <c r="LL38" i="9"/>
  <c r="KX38" i="9"/>
  <c r="KJ38" i="9"/>
  <c r="JV38" i="9"/>
  <c r="JH38" i="9"/>
  <c r="IT38" i="9"/>
  <c r="IF38" i="9"/>
  <c r="HR38" i="9"/>
  <c r="HD38" i="9"/>
  <c r="GP38" i="9"/>
  <c r="GB38" i="9"/>
  <c r="FN38" i="9"/>
  <c r="EZ38" i="9"/>
  <c r="EL38" i="9"/>
  <c r="DX38" i="9"/>
  <c r="DJ38" i="9"/>
  <c r="CV38" i="9"/>
  <c r="CH38" i="9"/>
  <c r="BT38" i="9"/>
  <c r="BF38" i="9"/>
  <c r="AR38" i="9"/>
  <c r="AD38" i="9"/>
  <c r="P38" i="9"/>
  <c r="LZ37" i="9"/>
  <c r="LL37" i="9"/>
  <c r="KX37" i="9"/>
  <c r="KJ37" i="9"/>
  <c r="JV37" i="9"/>
  <c r="JH37" i="9"/>
  <c r="IT37" i="9"/>
  <c r="IF37" i="9"/>
  <c r="HR37" i="9"/>
  <c r="HD37" i="9"/>
  <c r="GP37" i="9"/>
  <c r="GB37" i="9"/>
  <c r="FN37" i="9"/>
  <c r="EZ37" i="9"/>
  <c r="EL37" i="9"/>
  <c r="DX37" i="9"/>
  <c r="DJ37" i="9"/>
  <c r="CV37" i="9"/>
  <c r="CH37" i="9"/>
  <c r="BT37" i="9"/>
  <c r="BF37" i="9"/>
  <c r="AR37" i="9"/>
  <c r="AD37" i="9"/>
  <c r="P37" i="9"/>
  <c r="LZ36" i="9"/>
  <c r="LL36" i="9"/>
  <c r="KX36" i="9"/>
  <c r="KJ36" i="9"/>
  <c r="JV36" i="9"/>
  <c r="JH36" i="9"/>
  <c r="IT36" i="9"/>
  <c r="IF36" i="9"/>
  <c r="HR36" i="9"/>
  <c r="HD36" i="9"/>
  <c r="GP36" i="9"/>
  <c r="GB36" i="9"/>
  <c r="FN36" i="9"/>
  <c r="EZ36" i="9"/>
  <c r="EL36" i="9"/>
  <c r="DX36" i="9"/>
  <c r="DJ36" i="9"/>
  <c r="CV36" i="9"/>
  <c r="CH36" i="9"/>
  <c r="BT36" i="9"/>
  <c r="BF36" i="9"/>
  <c r="AR36" i="9"/>
  <c r="AD36" i="9"/>
  <c r="P36" i="9"/>
  <c r="LZ35" i="9"/>
  <c r="LL35" i="9"/>
  <c r="KX35" i="9"/>
  <c r="KJ35" i="9"/>
  <c r="JV35" i="9"/>
  <c r="JH35" i="9"/>
  <c r="IT35" i="9"/>
  <c r="IF35" i="9"/>
  <c r="HR35" i="9"/>
  <c r="HD35" i="9"/>
  <c r="GP35" i="9"/>
  <c r="GB35" i="9"/>
  <c r="FN35" i="9"/>
  <c r="EZ35" i="9"/>
  <c r="EL35" i="9"/>
  <c r="DX35" i="9"/>
  <c r="DJ35" i="9"/>
  <c r="CV35" i="9"/>
  <c r="CH35" i="9"/>
  <c r="BT35" i="9"/>
  <c r="BF35" i="9"/>
  <c r="AR35" i="9"/>
  <c r="AD35" i="9"/>
  <c r="P35" i="9"/>
  <c r="LZ34" i="9"/>
  <c r="LL34" i="9"/>
  <c r="KX34" i="9"/>
  <c r="KJ34" i="9"/>
  <c r="JV34" i="9"/>
  <c r="JH34" i="9"/>
  <c r="IT34" i="9"/>
  <c r="IF34" i="9"/>
  <c r="HR34" i="9"/>
  <c r="HD34" i="9"/>
  <c r="GP34" i="9"/>
  <c r="GB34" i="9"/>
  <c r="FN34" i="9"/>
  <c r="EZ34" i="9"/>
  <c r="EL34" i="9"/>
  <c r="DX34" i="9"/>
  <c r="DJ34" i="9"/>
  <c r="CV34" i="9"/>
  <c r="CH34" i="9"/>
  <c r="BT34" i="9"/>
  <c r="BF34" i="9"/>
  <c r="AR34" i="9"/>
  <c r="AD34" i="9"/>
  <c r="P34" i="9"/>
  <c r="LZ33" i="9"/>
  <c r="LL33" i="9"/>
  <c r="KX33" i="9"/>
  <c r="KJ33" i="9"/>
  <c r="JV33" i="9"/>
  <c r="JH33" i="9"/>
  <c r="IT33" i="9"/>
  <c r="IF33" i="9"/>
  <c r="HR33" i="9"/>
  <c r="HD33" i="9"/>
  <c r="GP33" i="9"/>
  <c r="GB33" i="9"/>
  <c r="FN33" i="9"/>
  <c r="EZ33" i="9"/>
  <c r="EL33" i="9"/>
  <c r="DX33" i="9"/>
  <c r="DJ33" i="9"/>
  <c r="CV33" i="9"/>
  <c r="CH33" i="9"/>
  <c r="BT33" i="9"/>
  <c r="BF33" i="9"/>
  <c r="AR33" i="9"/>
  <c r="AD33" i="9"/>
  <c r="P33" i="9"/>
  <c r="LY29" i="9"/>
  <c r="LX29" i="9"/>
  <c r="LW29" i="9"/>
  <c r="LV29" i="9"/>
  <c r="LU29" i="9"/>
  <c r="LT29" i="9"/>
  <c r="LS29" i="9"/>
  <c r="LR29" i="9"/>
  <c r="LQ29" i="9"/>
  <c r="LP29" i="9"/>
  <c r="LO29" i="9"/>
  <c r="LN29" i="9"/>
  <c r="LK29" i="9"/>
  <c r="LJ29" i="9"/>
  <c r="LI29" i="9"/>
  <c r="LH29" i="9"/>
  <c r="LG29" i="9"/>
  <c r="LF29" i="9"/>
  <c r="LE29" i="9"/>
  <c r="LD29" i="9"/>
  <c r="LC29" i="9"/>
  <c r="LB29" i="9"/>
  <c r="LA29" i="9"/>
  <c r="KZ29" i="9"/>
  <c r="KW29" i="9"/>
  <c r="KV29" i="9"/>
  <c r="KU29" i="9"/>
  <c r="KT29" i="9"/>
  <c r="KS29" i="9"/>
  <c r="KR29" i="9"/>
  <c r="KQ29" i="9"/>
  <c r="KP29" i="9"/>
  <c r="KO29" i="9"/>
  <c r="KN29" i="9"/>
  <c r="KM29" i="9"/>
  <c r="KL29" i="9"/>
  <c r="KI29" i="9"/>
  <c r="KH29" i="9"/>
  <c r="KG29" i="9"/>
  <c r="KF29" i="9"/>
  <c r="KE29" i="9"/>
  <c r="KD29" i="9"/>
  <c r="KC29" i="9"/>
  <c r="KB29" i="9"/>
  <c r="KA29" i="9"/>
  <c r="JZ29" i="9"/>
  <c r="JY29" i="9"/>
  <c r="JX29" i="9"/>
  <c r="JU29" i="9"/>
  <c r="JT29" i="9"/>
  <c r="JS29" i="9"/>
  <c r="JR29" i="9"/>
  <c r="JQ29" i="9"/>
  <c r="JP29" i="9"/>
  <c r="JO29" i="9"/>
  <c r="JN29" i="9"/>
  <c r="JM29" i="9"/>
  <c r="JL29" i="9"/>
  <c r="JK29" i="9"/>
  <c r="JJ29" i="9"/>
  <c r="JG29" i="9"/>
  <c r="JF29" i="9"/>
  <c r="JE29" i="9"/>
  <c r="JD29" i="9"/>
  <c r="JC29" i="9"/>
  <c r="JB29" i="9"/>
  <c r="JA29" i="9"/>
  <c r="IZ29" i="9"/>
  <c r="IY29" i="9"/>
  <c r="IX29" i="9"/>
  <c r="IW29" i="9"/>
  <c r="IV29" i="9"/>
  <c r="IS29" i="9"/>
  <c r="IR29" i="9"/>
  <c r="IQ29" i="9"/>
  <c r="IP29" i="9"/>
  <c r="IO29" i="9"/>
  <c r="IN29" i="9"/>
  <c r="IM29" i="9"/>
  <c r="IL29" i="9"/>
  <c r="IK29" i="9"/>
  <c r="IJ29" i="9"/>
  <c r="II29" i="9"/>
  <c r="IH29" i="9"/>
  <c r="IE29" i="9"/>
  <c r="ID29" i="9"/>
  <c r="IC29" i="9"/>
  <c r="IB29" i="9"/>
  <c r="IA29" i="9"/>
  <c r="HZ29" i="9"/>
  <c r="HY29" i="9"/>
  <c r="HX29" i="9"/>
  <c r="HW29" i="9"/>
  <c r="HV29" i="9"/>
  <c r="HU29" i="9"/>
  <c r="HT29" i="9"/>
  <c r="HQ29" i="9"/>
  <c r="HP29" i="9"/>
  <c r="HO29" i="9"/>
  <c r="HN29" i="9"/>
  <c r="HM29" i="9"/>
  <c r="HL29" i="9"/>
  <c r="HK29" i="9"/>
  <c r="HJ29" i="9"/>
  <c r="HI29" i="9"/>
  <c r="HH29" i="9"/>
  <c r="HG29" i="9"/>
  <c r="HF29" i="9"/>
  <c r="HC29" i="9"/>
  <c r="HB29" i="9"/>
  <c r="HA29" i="9"/>
  <c r="GZ29" i="9"/>
  <c r="GY29" i="9"/>
  <c r="GX29" i="9"/>
  <c r="GW29" i="9"/>
  <c r="GV29" i="9"/>
  <c r="GU29" i="9"/>
  <c r="GT29" i="9"/>
  <c r="GS29" i="9"/>
  <c r="GR29" i="9"/>
  <c r="GO29" i="9"/>
  <c r="GN29" i="9"/>
  <c r="GM29" i="9"/>
  <c r="GL29" i="9"/>
  <c r="GK29" i="9"/>
  <c r="GJ29" i="9"/>
  <c r="GI29" i="9"/>
  <c r="GH29" i="9"/>
  <c r="GG29" i="9"/>
  <c r="GF29" i="9"/>
  <c r="GE29" i="9"/>
  <c r="GD29" i="9"/>
  <c r="GA29" i="9"/>
  <c r="FZ29" i="9"/>
  <c r="FY29" i="9"/>
  <c r="FX29" i="9"/>
  <c r="FW29" i="9"/>
  <c r="FV29" i="9"/>
  <c r="FU29" i="9"/>
  <c r="FT29" i="9"/>
  <c r="FS29" i="9"/>
  <c r="FR29" i="9"/>
  <c r="FQ29" i="9"/>
  <c r="FP29" i="9"/>
  <c r="FM29" i="9"/>
  <c r="FL29" i="9"/>
  <c r="FK29" i="9"/>
  <c r="FJ29" i="9"/>
  <c r="FI29" i="9"/>
  <c r="FH29" i="9"/>
  <c r="FG29" i="9"/>
  <c r="FF29" i="9"/>
  <c r="FE29" i="9"/>
  <c r="FD29" i="9"/>
  <c r="FC29" i="9"/>
  <c r="FB29" i="9"/>
  <c r="EY29" i="9"/>
  <c r="EX29" i="9"/>
  <c r="EW29" i="9"/>
  <c r="EV29" i="9"/>
  <c r="EU29" i="9"/>
  <c r="ET29" i="9"/>
  <c r="ES29" i="9"/>
  <c r="ER29" i="9"/>
  <c r="EQ29" i="9"/>
  <c r="EP29" i="9"/>
  <c r="EO29" i="9"/>
  <c r="EN29" i="9"/>
  <c r="EK29" i="9"/>
  <c r="EJ29" i="9"/>
  <c r="EI29" i="9"/>
  <c r="EH29" i="9"/>
  <c r="EG29" i="9"/>
  <c r="EF29" i="9"/>
  <c r="EE29" i="9"/>
  <c r="ED29" i="9"/>
  <c r="EC29" i="9"/>
  <c r="EB29" i="9"/>
  <c r="EA29" i="9"/>
  <c r="DZ29" i="9"/>
  <c r="DW29" i="9"/>
  <c r="DV29" i="9"/>
  <c r="DU29" i="9"/>
  <c r="DT29" i="9"/>
  <c r="DS29" i="9"/>
  <c r="DR29" i="9"/>
  <c r="DQ29" i="9"/>
  <c r="DP29" i="9"/>
  <c r="DO29" i="9"/>
  <c r="DN29" i="9"/>
  <c r="DM29" i="9"/>
  <c r="DL29" i="9"/>
  <c r="DI29" i="9"/>
  <c r="DH29" i="9"/>
  <c r="DG29" i="9"/>
  <c r="DF29" i="9"/>
  <c r="DE29" i="9"/>
  <c r="DD29" i="9"/>
  <c r="DC29" i="9"/>
  <c r="DB29" i="9"/>
  <c r="DA29" i="9"/>
  <c r="CZ29" i="9"/>
  <c r="CY29" i="9"/>
  <c r="CX29" i="9"/>
  <c r="CU29" i="9"/>
  <c r="CT29" i="9"/>
  <c r="CS29" i="9"/>
  <c r="CR29" i="9"/>
  <c r="CQ29" i="9"/>
  <c r="CP29" i="9"/>
  <c r="CO29" i="9"/>
  <c r="CN29" i="9"/>
  <c r="CM29" i="9"/>
  <c r="CL29" i="9"/>
  <c r="CK29" i="9"/>
  <c r="CJ29" i="9"/>
  <c r="CG29" i="9"/>
  <c r="CF29" i="9"/>
  <c r="CE29" i="9"/>
  <c r="CD29" i="9"/>
  <c r="CC29" i="9"/>
  <c r="CB29" i="9"/>
  <c r="CA29" i="9"/>
  <c r="BZ29" i="9"/>
  <c r="BY29" i="9"/>
  <c r="BX29" i="9"/>
  <c r="BW29" i="9"/>
  <c r="BV29" i="9"/>
  <c r="BS29" i="9"/>
  <c r="BR29" i="9"/>
  <c r="BQ29" i="9"/>
  <c r="BP29" i="9"/>
  <c r="BO29" i="9"/>
  <c r="BN29" i="9"/>
  <c r="BM29" i="9"/>
  <c r="BL29" i="9"/>
  <c r="BK29" i="9"/>
  <c r="BJ29" i="9"/>
  <c r="BI29" i="9"/>
  <c r="BH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C29" i="9"/>
  <c r="AB29" i="9"/>
  <c r="AA29" i="9"/>
  <c r="Z29" i="9"/>
  <c r="Y29" i="9"/>
  <c r="X29" i="9"/>
  <c r="W29" i="9"/>
  <c r="V29" i="9"/>
  <c r="U29" i="9"/>
  <c r="T29" i="9"/>
  <c r="S29" i="9"/>
  <c r="R29" i="9"/>
  <c r="O29" i="9"/>
  <c r="N29" i="9"/>
  <c r="M29" i="9"/>
  <c r="L29" i="9"/>
  <c r="K29" i="9"/>
  <c r="J29" i="9"/>
  <c r="I29" i="9"/>
  <c r="H29" i="9"/>
  <c r="G29" i="9"/>
  <c r="F29" i="9"/>
  <c r="E29" i="9"/>
  <c r="D29" i="9"/>
  <c r="LZ27" i="9"/>
  <c r="LL27" i="9"/>
  <c r="KX27" i="9"/>
  <c r="KJ27" i="9"/>
  <c r="JV27" i="9"/>
  <c r="JH27" i="9"/>
  <c r="IT27" i="9"/>
  <c r="IF27" i="9"/>
  <c r="HR27" i="9"/>
  <c r="HD27" i="9"/>
  <c r="GP27" i="9"/>
  <c r="GB27" i="9"/>
  <c r="FN27" i="9"/>
  <c r="EZ27" i="9"/>
  <c r="EL27" i="9"/>
  <c r="DX27" i="9"/>
  <c r="DJ27" i="9"/>
  <c r="CV27" i="9"/>
  <c r="CH27" i="9"/>
  <c r="BT27" i="9"/>
  <c r="BF27" i="9"/>
  <c r="AR27" i="9"/>
  <c r="AD27" i="9"/>
  <c r="P27" i="9"/>
  <c r="LZ26" i="9"/>
  <c r="LL26" i="9"/>
  <c r="KX26" i="9"/>
  <c r="KJ26" i="9"/>
  <c r="JV26" i="9"/>
  <c r="JH26" i="9"/>
  <c r="IT26" i="9"/>
  <c r="IF26" i="9"/>
  <c r="HR26" i="9"/>
  <c r="HD26" i="9"/>
  <c r="GP26" i="9"/>
  <c r="GB26" i="9"/>
  <c r="FN26" i="9"/>
  <c r="EZ26" i="9"/>
  <c r="EL26" i="9"/>
  <c r="DX26" i="9"/>
  <c r="DJ26" i="9"/>
  <c r="CV26" i="9"/>
  <c r="CH26" i="9"/>
  <c r="BT26" i="9"/>
  <c r="BF26" i="9"/>
  <c r="AR26" i="9"/>
  <c r="AD26" i="9"/>
  <c r="P26" i="9"/>
  <c r="LY23" i="9"/>
  <c r="LX23" i="9"/>
  <c r="LW23" i="9"/>
  <c r="LV23" i="9"/>
  <c r="LU23" i="9"/>
  <c r="LT23" i="9"/>
  <c r="LS23" i="9"/>
  <c r="LR23" i="9"/>
  <c r="LQ23" i="9"/>
  <c r="LP23" i="9"/>
  <c r="LO23" i="9"/>
  <c r="LN23" i="9"/>
  <c r="LK23" i="9"/>
  <c r="LJ23" i="9"/>
  <c r="LI23" i="9"/>
  <c r="LH23" i="9"/>
  <c r="LG23" i="9"/>
  <c r="LF23" i="9"/>
  <c r="LE23" i="9"/>
  <c r="LD23" i="9"/>
  <c r="LC23" i="9"/>
  <c r="LB23" i="9"/>
  <c r="LA23" i="9"/>
  <c r="KZ23" i="9"/>
  <c r="KW23" i="9"/>
  <c r="KV23" i="9"/>
  <c r="KU23" i="9"/>
  <c r="KT23" i="9"/>
  <c r="KS23" i="9"/>
  <c r="KR23" i="9"/>
  <c r="KQ23" i="9"/>
  <c r="KP23" i="9"/>
  <c r="KO23" i="9"/>
  <c r="KN23" i="9"/>
  <c r="KM23" i="9"/>
  <c r="KL23" i="9"/>
  <c r="KI23" i="9"/>
  <c r="KH23" i="9"/>
  <c r="KG23" i="9"/>
  <c r="KF23" i="9"/>
  <c r="KE23" i="9"/>
  <c r="KD23" i="9"/>
  <c r="KC23" i="9"/>
  <c r="KB23" i="9"/>
  <c r="KA23" i="9"/>
  <c r="JZ23" i="9"/>
  <c r="JY23" i="9"/>
  <c r="JX23" i="9"/>
  <c r="JU23" i="9"/>
  <c r="JT23" i="9"/>
  <c r="JS23" i="9"/>
  <c r="JR23" i="9"/>
  <c r="JQ23" i="9"/>
  <c r="JP23" i="9"/>
  <c r="JO23" i="9"/>
  <c r="JN23" i="9"/>
  <c r="JM23" i="9"/>
  <c r="JL23" i="9"/>
  <c r="JK23" i="9"/>
  <c r="JJ23" i="9"/>
  <c r="JG23" i="9"/>
  <c r="JF23" i="9"/>
  <c r="JE23" i="9"/>
  <c r="JD23" i="9"/>
  <c r="JC23" i="9"/>
  <c r="JB23" i="9"/>
  <c r="JA23" i="9"/>
  <c r="IZ23" i="9"/>
  <c r="IY23" i="9"/>
  <c r="IX23" i="9"/>
  <c r="IW23" i="9"/>
  <c r="IV23" i="9"/>
  <c r="IS23" i="9"/>
  <c r="IR23" i="9"/>
  <c r="IQ23" i="9"/>
  <c r="IP23" i="9"/>
  <c r="IO23" i="9"/>
  <c r="IN23" i="9"/>
  <c r="IM23" i="9"/>
  <c r="IL23" i="9"/>
  <c r="IK23" i="9"/>
  <c r="IJ23" i="9"/>
  <c r="II23" i="9"/>
  <c r="IH23" i="9"/>
  <c r="IE23" i="9"/>
  <c r="ID23" i="9"/>
  <c r="IC23" i="9"/>
  <c r="IB23" i="9"/>
  <c r="IA23" i="9"/>
  <c r="HZ23" i="9"/>
  <c r="HY23" i="9"/>
  <c r="HX23" i="9"/>
  <c r="HW23" i="9"/>
  <c r="HV23" i="9"/>
  <c r="HU23" i="9"/>
  <c r="HT23" i="9"/>
  <c r="HQ23" i="9"/>
  <c r="HP23" i="9"/>
  <c r="HO23" i="9"/>
  <c r="HN23" i="9"/>
  <c r="HM23" i="9"/>
  <c r="HL23" i="9"/>
  <c r="HK23" i="9"/>
  <c r="HJ23" i="9"/>
  <c r="HI23" i="9"/>
  <c r="HH23" i="9"/>
  <c r="HG23" i="9"/>
  <c r="HF23" i="9"/>
  <c r="HC23" i="9"/>
  <c r="HB23" i="9"/>
  <c r="HA23" i="9"/>
  <c r="GZ23" i="9"/>
  <c r="GY23" i="9"/>
  <c r="GX23" i="9"/>
  <c r="GW23" i="9"/>
  <c r="GV23" i="9"/>
  <c r="GU23" i="9"/>
  <c r="GT23" i="9"/>
  <c r="GS23" i="9"/>
  <c r="GR23" i="9"/>
  <c r="GO23" i="9"/>
  <c r="GN23" i="9"/>
  <c r="GM23" i="9"/>
  <c r="GL23" i="9"/>
  <c r="GK23" i="9"/>
  <c r="GJ23" i="9"/>
  <c r="GI23" i="9"/>
  <c r="GH23" i="9"/>
  <c r="GG23" i="9"/>
  <c r="GF23" i="9"/>
  <c r="GE23" i="9"/>
  <c r="GD23" i="9"/>
  <c r="GA23" i="9"/>
  <c r="FZ23" i="9"/>
  <c r="FY23" i="9"/>
  <c r="FX23" i="9"/>
  <c r="FW23" i="9"/>
  <c r="FV23" i="9"/>
  <c r="FU23" i="9"/>
  <c r="FT23" i="9"/>
  <c r="FS23" i="9"/>
  <c r="FR23" i="9"/>
  <c r="FQ23" i="9"/>
  <c r="FP23" i="9"/>
  <c r="FM23" i="9"/>
  <c r="FL23" i="9"/>
  <c r="FK23" i="9"/>
  <c r="FJ23" i="9"/>
  <c r="FI23" i="9"/>
  <c r="FH23" i="9"/>
  <c r="FG23" i="9"/>
  <c r="FF23" i="9"/>
  <c r="FE23" i="9"/>
  <c r="FD23" i="9"/>
  <c r="FC23" i="9"/>
  <c r="FB23" i="9"/>
  <c r="EY23" i="9"/>
  <c r="EX23" i="9"/>
  <c r="EW23" i="9"/>
  <c r="EV23" i="9"/>
  <c r="EU23" i="9"/>
  <c r="ET23" i="9"/>
  <c r="ES23" i="9"/>
  <c r="ER23" i="9"/>
  <c r="EQ23" i="9"/>
  <c r="EP23" i="9"/>
  <c r="EO23" i="9"/>
  <c r="EN23" i="9"/>
  <c r="EK23" i="9"/>
  <c r="EJ23" i="9"/>
  <c r="EI23" i="9"/>
  <c r="EH23" i="9"/>
  <c r="EG23" i="9"/>
  <c r="EF23" i="9"/>
  <c r="EE23" i="9"/>
  <c r="ED23" i="9"/>
  <c r="EC23" i="9"/>
  <c r="EB23" i="9"/>
  <c r="EA23" i="9"/>
  <c r="DZ23" i="9"/>
  <c r="DW23" i="9"/>
  <c r="DV23" i="9"/>
  <c r="DU23" i="9"/>
  <c r="DT23" i="9"/>
  <c r="DS23" i="9"/>
  <c r="DR23" i="9"/>
  <c r="DQ23" i="9"/>
  <c r="DP23" i="9"/>
  <c r="DO23" i="9"/>
  <c r="DN23" i="9"/>
  <c r="DM23" i="9"/>
  <c r="DL23" i="9"/>
  <c r="DI23" i="9"/>
  <c r="DH23" i="9"/>
  <c r="DG23" i="9"/>
  <c r="DF23" i="9"/>
  <c r="DE23" i="9"/>
  <c r="DD23" i="9"/>
  <c r="DC23" i="9"/>
  <c r="DB23" i="9"/>
  <c r="DA23" i="9"/>
  <c r="CZ23" i="9"/>
  <c r="CY23" i="9"/>
  <c r="CX23" i="9"/>
  <c r="CU23" i="9"/>
  <c r="CT23" i="9"/>
  <c r="CS23" i="9"/>
  <c r="CR23" i="9"/>
  <c r="CQ23" i="9"/>
  <c r="CP23" i="9"/>
  <c r="CO23" i="9"/>
  <c r="CN23" i="9"/>
  <c r="CM23" i="9"/>
  <c r="CL23" i="9"/>
  <c r="CK23" i="9"/>
  <c r="CJ23" i="9"/>
  <c r="CG23" i="9"/>
  <c r="CF23" i="9"/>
  <c r="CE23" i="9"/>
  <c r="CD23" i="9"/>
  <c r="CC23" i="9"/>
  <c r="CB23" i="9"/>
  <c r="CA23" i="9"/>
  <c r="BZ23" i="9"/>
  <c r="BY23" i="9"/>
  <c r="BX23" i="9"/>
  <c r="BW23" i="9"/>
  <c r="BV23" i="9"/>
  <c r="BS23" i="9"/>
  <c r="BR23" i="9"/>
  <c r="BQ23" i="9"/>
  <c r="BP23" i="9"/>
  <c r="BO23" i="9"/>
  <c r="BN23" i="9"/>
  <c r="BM23" i="9"/>
  <c r="BL23" i="9"/>
  <c r="BK23" i="9"/>
  <c r="BJ23" i="9"/>
  <c r="BI23" i="9"/>
  <c r="BH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C23" i="9"/>
  <c r="AB23" i="9"/>
  <c r="AA23" i="9"/>
  <c r="Z23" i="9"/>
  <c r="Y23" i="9"/>
  <c r="X23" i="9"/>
  <c r="W23" i="9"/>
  <c r="V23" i="9"/>
  <c r="U23" i="9"/>
  <c r="T23" i="9"/>
  <c r="S23" i="9"/>
  <c r="R23" i="9"/>
  <c r="O23" i="9"/>
  <c r="N23" i="9"/>
  <c r="M23" i="9"/>
  <c r="L23" i="9"/>
  <c r="K23" i="9"/>
  <c r="J23" i="9"/>
  <c r="I23" i="9"/>
  <c r="H23" i="9"/>
  <c r="G23" i="9"/>
  <c r="F23" i="9"/>
  <c r="E23" i="9"/>
  <c r="D23" i="9"/>
  <c r="LZ22" i="9"/>
  <c r="LL22" i="9"/>
  <c r="KX22" i="9"/>
  <c r="KJ22" i="9"/>
  <c r="JV22" i="9"/>
  <c r="JH22" i="9"/>
  <c r="IT22" i="9"/>
  <c r="IF22" i="9"/>
  <c r="HR22" i="9"/>
  <c r="HD22" i="9"/>
  <c r="GP22" i="9"/>
  <c r="GB22" i="9"/>
  <c r="FN22" i="9"/>
  <c r="EZ22" i="9"/>
  <c r="EL22" i="9"/>
  <c r="DX22" i="9"/>
  <c r="DJ22" i="9"/>
  <c r="CV22" i="9"/>
  <c r="CH22" i="9"/>
  <c r="BT22" i="9"/>
  <c r="BF22" i="9"/>
  <c r="AR22" i="9"/>
  <c r="AD22" i="9"/>
  <c r="P22" i="9"/>
  <c r="LZ21" i="9"/>
  <c r="LL21" i="9"/>
  <c r="KX21" i="9"/>
  <c r="KJ21" i="9"/>
  <c r="JV21" i="9"/>
  <c r="JH21" i="9"/>
  <c r="IT21" i="9"/>
  <c r="IF21" i="9"/>
  <c r="HR21" i="9"/>
  <c r="HD21" i="9"/>
  <c r="GP21" i="9"/>
  <c r="GB21" i="9"/>
  <c r="FN21" i="9"/>
  <c r="EZ21" i="9"/>
  <c r="EL21" i="9"/>
  <c r="DX21" i="9"/>
  <c r="DJ21" i="9"/>
  <c r="CV21" i="9"/>
  <c r="CH21" i="9"/>
  <c r="BT21" i="9"/>
  <c r="BF21" i="9"/>
  <c r="AR21" i="9"/>
  <c r="AD21" i="9"/>
  <c r="P21" i="9"/>
  <c r="LZ20" i="9"/>
  <c r="LL20" i="9"/>
  <c r="KX20" i="9"/>
  <c r="KJ20" i="9"/>
  <c r="JV20" i="9"/>
  <c r="JH20" i="9"/>
  <c r="IT20" i="9"/>
  <c r="IF20" i="9"/>
  <c r="HR20" i="9"/>
  <c r="HD20" i="9"/>
  <c r="GP20" i="9"/>
  <c r="GB20" i="9"/>
  <c r="FN20" i="9"/>
  <c r="EZ20" i="9"/>
  <c r="EL20" i="9"/>
  <c r="DX20" i="9"/>
  <c r="DJ20" i="9"/>
  <c r="CV20" i="9"/>
  <c r="CH20" i="9"/>
  <c r="BT20" i="9"/>
  <c r="BF20" i="9"/>
  <c r="AR20" i="9"/>
  <c r="AD20" i="9"/>
  <c r="P20" i="9"/>
  <c r="LZ19" i="9"/>
  <c r="LL19" i="9"/>
  <c r="KX19" i="9"/>
  <c r="KJ19" i="9"/>
  <c r="JV19" i="9"/>
  <c r="JH19" i="9"/>
  <c r="IT19" i="9"/>
  <c r="IF19" i="9"/>
  <c r="HR19" i="9"/>
  <c r="HD19" i="9"/>
  <c r="GP19" i="9"/>
  <c r="GB19" i="9"/>
  <c r="FN19" i="9"/>
  <c r="EZ19" i="9"/>
  <c r="EL19" i="9"/>
  <c r="DX19" i="9"/>
  <c r="DJ19" i="9"/>
  <c r="CV19" i="9"/>
  <c r="CH19" i="9"/>
  <c r="BT19" i="9"/>
  <c r="BF19" i="9"/>
  <c r="AR19" i="9"/>
  <c r="AD19" i="9"/>
  <c r="P19" i="9"/>
  <c r="LZ18" i="9"/>
  <c r="LL18" i="9"/>
  <c r="KX18" i="9"/>
  <c r="KJ18" i="9"/>
  <c r="JV18" i="9"/>
  <c r="JH18" i="9"/>
  <c r="IT18" i="9"/>
  <c r="IF18" i="9"/>
  <c r="HR18" i="9"/>
  <c r="HD18" i="9"/>
  <c r="GP18" i="9"/>
  <c r="GB18" i="9"/>
  <c r="FN18" i="9"/>
  <c r="EZ18" i="9"/>
  <c r="EL18" i="9"/>
  <c r="DX18" i="9"/>
  <c r="DJ18" i="9"/>
  <c r="CV18" i="9"/>
  <c r="CH18" i="9"/>
  <c r="BT18" i="9"/>
  <c r="BF18" i="9"/>
  <c r="AR18" i="9"/>
  <c r="AD18" i="9"/>
  <c r="P18" i="9"/>
  <c r="LZ17" i="9"/>
  <c r="LL17" i="9"/>
  <c r="KX17" i="9"/>
  <c r="KJ17" i="9"/>
  <c r="JV17" i="9"/>
  <c r="JH17" i="9"/>
  <c r="IT17" i="9"/>
  <c r="IF17" i="9"/>
  <c r="HR17" i="9"/>
  <c r="HD17" i="9"/>
  <c r="GP17" i="9"/>
  <c r="GB17" i="9"/>
  <c r="FN17" i="9"/>
  <c r="EZ17" i="9"/>
  <c r="EL17" i="9"/>
  <c r="DX17" i="9"/>
  <c r="DJ17" i="9"/>
  <c r="CV17" i="9"/>
  <c r="CH17" i="9"/>
  <c r="BT17" i="9"/>
  <c r="BF17" i="9"/>
  <c r="AR17" i="9"/>
  <c r="AD17" i="9"/>
  <c r="P17" i="9"/>
  <c r="LZ16" i="9"/>
  <c r="LL16" i="9"/>
  <c r="KX16" i="9"/>
  <c r="KJ16" i="9"/>
  <c r="JV16" i="9"/>
  <c r="JH16" i="9"/>
  <c r="IT16" i="9"/>
  <c r="IF16" i="9"/>
  <c r="HR16" i="9"/>
  <c r="HD16" i="9"/>
  <c r="GP16" i="9"/>
  <c r="GB16" i="9"/>
  <c r="FN16" i="9"/>
  <c r="EZ16" i="9"/>
  <c r="EL16" i="9"/>
  <c r="DX16" i="9"/>
  <c r="DJ16" i="9"/>
  <c r="CV16" i="9"/>
  <c r="CH16" i="9"/>
  <c r="BT16" i="9"/>
  <c r="BF16" i="9"/>
  <c r="AR16" i="9"/>
  <c r="AD16" i="9"/>
  <c r="P16" i="9"/>
  <c r="LZ15" i="9"/>
  <c r="LL15" i="9"/>
  <c r="KX15" i="9"/>
  <c r="KJ15" i="9"/>
  <c r="JV15" i="9"/>
  <c r="JH15" i="9"/>
  <c r="IT15" i="9"/>
  <c r="IF15" i="9"/>
  <c r="HR15" i="9"/>
  <c r="HD15" i="9"/>
  <c r="GP15" i="9"/>
  <c r="GB15" i="9"/>
  <c r="FN15" i="9"/>
  <c r="EZ15" i="9"/>
  <c r="EL15" i="9"/>
  <c r="DX15" i="9"/>
  <c r="DJ15" i="9"/>
  <c r="CV15" i="9"/>
  <c r="CH15" i="9"/>
  <c r="BT15" i="9"/>
  <c r="BF15" i="9"/>
  <c r="AR15" i="9"/>
  <c r="AD15" i="9"/>
  <c r="P15" i="9"/>
  <c r="LY12" i="9"/>
  <c r="LX12" i="9"/>
  <c r="LW12" i="9"/>
  <c r="LV12" i="9"/>
  <c r="LU12" i="9"/>
  <c r="LT12" i="9"/>
  <c r="LS12" i="9"/>
  <c r="LR12" i="9"/>
  <c r="LQ12" i="9"/>
  <c r="LP12" i="9"/>
  <c r="LO12" i="9"/>
  <c r="LN12" i="9"/>
  <c r="LK12" i="9"/>
  <c r="LJ12" i="9"/>
  <c r="LI12" i="9"/>
  <c r="LH12" i="9"/>
  <c r="LG12" i="9"/>
  <c r="LF12" i="9"/>
  <c r="LE12" i="9"/>
  <c r="LD12" i="9"/>
  <c r="LC12" i="9"/>
  <c r="LB12" i="9"/>
  <c r="LA12" i="9"/>
  <c r="KZ12" i="9"/>
  <c r="KW12" i="9"/>
  <c r="KV12" i="9"/>
  <c r="KU12" i="9"/>
  <c r="KT12" i="9"/>
  <c r="KS12" i="9"/>
  <c r="KR12" i="9"/>
  <c r="KQ12" i="9"/>
  <c r="KP12" i="9"/>
  <c r="KO12" i="9"/>
  <c r="KN12" i="9"/>
  <c r="KM12" i="9"/>
  <c r="KL12" i="9"/>
  <c r="KI12" i="9"/>
  <c r="KH12" i="9"/>
  <c r="KG12" i="9"/>
  <c r="KF12" i="9"/>
  <c r="KE12" i="9"/>
  <c r="KD12" i="9"/>
  <c r="KC12" i="9"/>
  <c r="KB12" i="9"/>
  <c r="KA12" i="9"/>
  <c r="JZ12" i="9"/>
  <c r="JY12" i="9"/>
  <c r="JX12" i="9"/>
  <c r="JU12" i="9"/>
  <c r="JT12" i="9"/>
  <c r="JS12" i="9"/>
  <c r="JR12" i="9"/>
  <c r="JQ12" i="9"/>
  <c r="JP12" i="9"/>
  <c r="JO12" i="9"/>
  <c r="JN12" i="9"/>
  <c r="JM12" i="9"/>
  <c r="JL12" i="9"/>
  <c r="JK12" i="9"/>
  <c r="JJ12" i="9"/>
  <c r="JG12" i="9"/>
  <c r="JF12" i="9"/>
  <c r="JE12" i="9"/>
  <c r="JD12" i="9"/>
  <c r="JC12" i="9"/>
  <c r="JB12" i="9"/>
  <c r="JA12" i="9"/>
  <c r="IZ12" i="9"/>
  <c r="IY12" i="9"/>
  <c r="IX12" i="9"/>
  <c r="IW12" i="9"/>
  <c r="IV12" i="9"/>
  <c r="IS12" i="9"/>
  <c r="IR12" i="9"/>
  <c r="IQ12" i="9"/>
  <c r="IP12" i="9"/>
  <c r="IO12" i="9"/>
  <c r="IN12" i="9"/>
  <c r="IM12" i="9"/>
  <c r="IL12" i="9"/>
  <c r="IK12" i="9"/>
  <c r="IJ12" i="9"/>
  <c r="II12" i="9"/>
  <c r="IH12" i="9"/>
  <c r="IE12" i="9"/>
  <c r="ID12" i="9"/>
  <c r="IC12" i="9"/>
  <c r="IB12" i="9"/>
  <c r="IA12" i="9"/>
  <c r="HZ12" i="9"/>
  <c r="HY12" i="9"/>
  <c r="HX12" i="9"/>
  <c r="HW12" i="9"/>
  <c r="HV12" i="9"/>
  <c r="HU12" i="9"/>
  <c r="HT12" i="9"/>
  <c r="HQ12" i="9"/>
  <c r="HP12" i="9"/>
  <c r="HO12" i="9"/>
  <c r="HN12" i="9"/>
  <c r="HM12" i="9"/>
  <c r="HL12" i="9"/>
  <c r="HK12" i="9"/>
  <c r="HJ12" i="9"/>
  <c r="HI12" i="9"/>
  <c r="HH12" i="9"/>
  <c r="HG12" i="9"/>
  <c r="HF12" i="9"/>
  <c r="HC12" i="9"/>
  <c r="HB12" i="9"/>
  <c r="HA12" i="9"/>
  <c r="GZ12" i="9"/>
  <c r="GY12" i="9"/>
  <c r="GX12" i="9"/>
  <c r="GW12" i="9"/>
  <c r="GV12" i="9"/>
  <c r="GU12" i="9"/>
  <c r="GT12" i="9"/>
  <c r="GS12" i="9"/>
  <c r="GR12" i="9"/>
  <c r="GO12" i="9"/>
  <c r="GN12" i="9"/>
  <c r="GM12" i="9"/>
  <c r="GL12" i="9"/>
  <c r="GK12" i="9"/>
  <c r="GJ12" i="9"/>
  <c r="GI12" i="9"/>
  <c r="GH12" i="9"/>
  <c r="GG12" i="9"/>
  <c r="GF12" i="9"/>
  <c r="GE12" i="9"/>
  <c r="GD12" i="9"/>
  <c r="GA12" i="9"/>
  <c r="FZ12" i="9"/>
  <c r="FY12" i="9"/>
  <c r="FX12" i="9"/>
  <c r="FW12" i="9"/>
  <c r="FV12" i="9"/>
  <c r="FU12" i="9"/>
  <c r="FT12" i="9"/>
  <c r="FS12" i="9"/>
  <c r="FR12" i="9"/>
  <c r="FQ12" i="9"/>
  <c r="FP12" i="9"/>
  <c r="FM12" i="9"/>
  <c r="FL12" i="9"/>
  <c r="FK12" i="9"/>
  <c r="FJ12" i="9"/>
  <c r="FI12" i="9"/>
  <c r="FH12" i="9"/>
  <c r="FG12" i="9"/>
  <c r="FF12" i="9"/>
  <c r="FE12" i="9"/>
  <c r="FD12" i="9"/>
  <c r="FC12" i="9"/>
  <c r="FB12" i="9"/>
  <c r="EY12" i="9"/>
  <c r="EX12" i="9"/>
  <c r="EW12" i="9"/>
  <c r="EV12" i="9"/>
  <c r="EU12" i="9"/>
  <c r="ET12" i="9"/>
  <c r="ES12" i="9"/>
  <c r="ER12" i="9"/>
  <c r="EQ12" i="9"/>
  <c r="EP12" i="9"/>
  <c r="EO12" i="9"/>
  <c r="EN12" i="9"/>
  <c r="EK12" i="9"/>
  <c r="EJ12" i="9"/>
  <c r="EI12" i="9"/>
  <c r="EH12" i="9"/>
  <c r="EG12" i="9"/>
  <c r="EF12" i="9"/>
  <c r="EE12" i="9"/>
  <c r="ED12" i="9"/>
  <c r="EC12" i="9"/>
  <c r="EB12" i="9"/>
  <c r="EA12" i="9"/>
  <c r="DZ12" i="9"/>
  <c r="DW12" i="9"/>
  <c r="DV12" i="9"/>
  <c r="DU12" i="9"/>
  <c r="DT12" i="9"/>
  <c r="DS12" i="9"/>
  <c r="DR12" i="9"/>
  <c r="DQ12" i="9"/>
  <c r="DP12" i="9"/>
  <c r="DO12" i="9"/>
  <c r="DN12" i="9"/>
  <c r="DM12" i="9"/>
  <c r="DL12" i="9"/>
  <c r="DI12" i="9"/>
  <c r="DH12" i="9"/>
  <c r="DG12" i="9"/>
  <c r="DF12" i="9"/>
  <c r="DE12" i="9"/>
  <c r="DD12" i="9"/>
  <c r="DC12" i="9"/>
  <c r="DB12" i="9"/>
  <c r="DA12" i="9"/>
  <c r="CZ12" i="9"/>
  <c r="CY12" i="9"/>
  <c r="CX12" i="9"/>
  <c r="CU12" i="9"/>
  <c r="CT12" i="9"/>
  <c r="CS12" i="9"/>
  <c r="CR12" i="9"/>
  <c r="CQ12" i="9"/>
  <c r="CP12" i="9"/>
  <c r="CO12" i="9"/>
  <c r="CN12" i="9"/>
  <c r="CM12" i="9"/>
  <c r="CL12" i="9"/>
  <c r="CK12" i="9"/>
  <c r="CJ12" i="9"/>
  <c r="CG12" i="9"/>
  <c r="CF12" i="9"/>
  <c r="CE12" i="9"/>
  <c r="CD12" i="9"/>
  <c r="CC12" i="9"/>
  <c r="CB12" i="9"/>
  <c r="CA12" i="9"/>
  <c r="BZ12" i="9"/>
  <c r="BY12" i="9"/>
  <c r="BX12" i="9"/>
  <c r="BW12" i="9"/>
  <c r="BV12" i="9"/>
  <c r="BS12" i="9"/>
  <c r="BR12" i="9"/>
  <c r="BQ12" i="9"/>
  <c r="BP12" i="9"/>
  <c r="BO12" i="9"/>
  <c r="BN12" i="9"/>
  <c r="BM12" i="9"/>
  <c r="BL12" i="9"/>
  <c r="BK12" i="9"/>
  <c r="BJ12" i="9"/>
  <c r="BI12" i="9"/>
  <c r="BH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C12" i="9"/>
  <c r="AB12" i="9"/>
  <c r="AA12" i="9"/>
  <c r="Z12" i="9"/>
  <c r="Y12" i="9"/>
  <c r="X12" i="9"/>
  <c r="W12" i="9"/>
  <c r="V12" i="9"/>
  <c r="U12" i="9"/>
  <c r="T12" i="9"/>
  <c r="S12" i="9"/>
  <c r="R12" i="9"/>
  <c r="O12" i="9"/>
  <c r="N12" i="9"/>
  <c r="M12" i="9"/>
  <c r="L12" i="9"/>
  <c r="K12" i="9"/>
  <c r="J12" i="9"/>
  <c r="I12" i="9"/>
  <c r="H12" i="9"/>
  <c r="G12" i="9"/>
  <c r="F12" i="9"/>
  <c r="E12" i="9"/>
  <c r="D12" i="9"/>
  <c r="LZ10" i="9"/>
  <c r="LL10" i="9"/>
  <c r="KX10" i="9"/>
  <c r="KJ10" i="9"/>
  <c r="JV10" i="9"/>
  <c r="JH10" i="9"/>
  <c r="IT10" i="9"/>
  <c r="IF10" i="9"/>
  <c r="HR10" i="9"/>
  <c r="HD10" i="9"/>
  <c r="GP10" i="9"/>
  <c r="GB10" i="9"/>
  <c r="FN10" i="9"/>
  <c r="EZ10" i="9"/>
  <c r="EL10" i="9"/>
  <c r="DX10" i="9"/>
  <c r="DJ10" i="9"/>
  <c r="CV10" i="9"/>
  <c r="CH10" i="9"/>
  <c r="BT10" i="9"/>
  <c r="BF10" i="9"/>
  <c r="AR10" i="9"/>
  <c r="AD10" i="9"/>
  <c r="P10" i="9"/>
  <c r="LZ9" i="9"/>
  <c r="LL9" i="9"/>
  <c r="KX9" i="9"/>
  <c r="KJ9" i="9"/>
  <c r="JV9" i="9"/>
  <c r="JH9" i="9"/>
  <c r="IT9" i="9"/>
  <c r="IF9" i="9"/>
  <c r="HR9" i="9"/>
  <c r="HD9" i="9"/>
  <c r="GP9" i="9"/>
  <c r="GB9" i="9"/>
  <c r="FN9" i="9"/>
  <c r="EZ9" i="9"/>
  <c r="EL9" i="9"/>
  <c r="DX9" i="9"/>
  <c r="DJ9" i="9"/>
  <c r="CV9" i="9"/>
  <c r="CH9" i="9"/>
  <c r="BT9" i="9"/>
  <c r="BF9" i="9"/>
  <c r="AR9" i="9"/>
  <c r="AD9" i="9"/>
  <c r="P9" i="9"/>
  <c r="MC7" i="9"/>
  <c r="MD7" i="9" s="1"/>
  <c r="ME7" i="9" s="1"/>
  <c r="MF7" i="9" s="1"/>
  <c r="MG7" i="9" s="1"/>
  <c r="MH7" i="9" s="1"/>
  <c r="MI7" i="9" s="1"/>
  <c r="MJ7" i="9" s="1"/>
  <c r="MK7" i="9" s="1"/>
  <c r="ML7" i="9" s="1"/>
  <c r="MM7" i="9" s="1"/>
  <c r="MN7" i="9" s="1"/>
  <c r="MC6" i="9"/>
  <c r="MD6" i="9" s="1"/>
  <c r="ME6" i="9" s="1"/>
  <c r="MF6" i="9" s="1"/>
  <c r="MG6" i="9" s="1"/>
  <c r="MH6" i="9" s="1"/>
  <c r="MI6" i="9" s="1"/>
  <c r="MJ6" i="9" s="1"/>
  <c r="MK6" i="9" s="1"/>
  <c r="ML6" i="9" s="1"/>
  <c r="MM6" i="9" s="1"/>
  <c r="MN6" i="9" s="1"/>
  <c r="LL6" i="9"/>
  <c r="HD6" i="9" s="1"/>
  <c r="GP6" i="9"/>
  <c r="GP1" i="9" s="1"/>
  <c r="CV6" i="9"/>
  <c r="CV1" i="9" s="1"/>
  <c r="CH6" i="9"/>
  <c r="BT6" i="9"/>
  <c r="BT1" i="9" s="1"/>
  <c r="AD6" i="9"/>
  <c r="AR6" i="9" s="1"/>
  <c r="BF6" i="9" s="1"/>
  <c r="MC5" i="9"/>
  <c r="MD5" i="9" s="1"/>
  <c r="ME5" i="9" s="1"/>
  <c r="MF5" i="9" s="1"/>
  <c r="MG5" i="9" s="1"/>
  <c r="MH5" i="9" s="1"/>
  <c r="MI5" i="9" s="1"/>
  <c r="MJ5" i="9" s="1"/>
  <c r="MK5" i="9" s="1"/>
  <c r="ML5" i="9" s="1"/>
  <c r="MM5" i="9" s="1"/>
  <c r="MN5" i="9" s="1"/>
  <c r="MC4" i="9"/>
  <c r="MD4" i="9" s="1"/>
  <c r="ME4" i="9" s="1"/>
  <c r="MF4" i="9" s="1"/>
  <c r="MG4" i="9" s="1"/>
  <c r="MH4" i="9" s="1"/>
  <c r="MI4" i="9" s="1"/>
  <c r="MJ4" i="9" s="1"/>
  <c r="MK4" i="9" s="1"/>
  <c r="ML4" i="9" s="1"/>
  <c r="MM4" i="9" s="1"/>
  <c r="MN4" i="9" s="1"/>
  <c r="LZ4" i="9"/>
  <c r="LL4" i="9"/>
  <c r="KX4" i="9"/>
  <c r="KJ4" i="9"/>
  <c r="JV4" i="9"/>
  <c r="JH4" i="9"/>
  <c r="IT4" i="9"/>
  <c r="IF4" i="9"/>
  <c r="HR4" i="9"/>
  <c r="HD4" i="9"/>
  <c r="GP4" i="9"/>
  <c r="GB4" i="9"/>
  <c r="FN4" i="9"/>
  <c r="EZ4" i="9"/>
  <c r="EL4" i="9"/>
  <c r="DX4" i="9"/>
  <c r="DJ4" i="9"/>
  <c r="CV4" i="9"/>
  <c r="CH4" i="9"/>
  <c r="BT4" i="9"/>
  <c r="BF4" i="9"/>
  <c r="AR4" i="9"/>
  <c r="AD4" i="9"/>
  <c r="P4" i="9"/>
  <c r="MM3" i="9"/>
  <c r="ML3" i="9"/>
  <c r="MK3" i="9"/>
  <c r="MJ3" i="9"/>
  <c r="MI3" i="9"/>
  <c r="MH3" i="9"/>
  <c r="MG3" i="9"/>
  <c r="MF3" i="9"/>
  <c r="ME3" i="9"/>
  <c r="MD3" i="9"/>
  <c r="MC3" i="9"/>
  <c r="MB3" i="9"/>
  <c r="LZ3" i="9"/>
  <c r="LL3" i="9"/>
  <c r="KX3" i="9"/>
  <c r="KJ3" i="9"/>
  <c r="JV3" i="9"/>
  <c r="JH3" i="9"/>
  <c r="IT3" i="9"/>
  <c r="IF3" i="9"/>
  <c r="HR3" i="9"/>
  <c r="HD3" i="9"/>
  <c r="GP3" i="9"/>
  <c r="GB3" i="9"/>
  <c r="FN3" i="9"/>
  <c r="EZ3" i="9"/>
  <c r="EL3" i="9"/>
  <c r="DX3" i="9"/>
  <c r="DJ3" i="9"/>
  <c r="CV3" i="9"/>
  <c r="CH3" i="9"/>
  <c r="BT3" i="9"/>
  <c r="BF3" i="9"/>
  <c r="AR3" i="9"/>
  <c r="AD3" i="9"/>
  <c r="P3" i="9"/>
  <c r="LL1" i="9"/>
  <c r="KX1" i="9"/>
  <c r="CH1" i="9"/>
  <c r="P1" i="9"/>
  <c r="IP116" i="9" l="1"/>
  <c r="IM255" i="9"/>
  <c r="DP255" i="9"/>
  <c r="KB255" i="9"/>
  <c r="BY255" i="9"/>
  <c r="EQ255" i="9"/>
  <c r="JM255" i="9"/>
  <c r="GD58" i="9"/>
  <c r="GE58" i="9" s="1"/>
  <c r="GF58" i="9" s="1"/>
  <c r="R237" i="9"/>
  <c r="BV237" i="9"/>
  <c r="EN237" i="9"/>
  <c r="FP237" i="9"/>
  <c r="GD237" i="9"/>
  <c r="IH237" i="9"/>
  <c r="JJ237" i="9"/>
  <c r="KL237" i="9"/>
  <c r="IL98" i="9"/>
  <c r="IL114" i="9" s="1"/>
  <c r="JB100" i="9"/>
  <c r="JB120" i="9" s="1"/>
  <c r="JB98" i="9"/>
  <c r="JB114" i="9" s="1"/>
  <c r="X255" i="9"/>
  <c r="AZ255" i="9"/>
  <c r="DD255" i="9"/>
  <c r="EF255" i="9"/>
  <c r="HL255" i="9"/>
  <c r="JP255" i="9"/>
  <c r="KD255" i="9"/>
  <c r="LZ255" i="9"/>
  <c r="FM98" i="9"/>
  <c r="FM114" i="9" s="1"/>
  <c r="FM116" i="9" s="1"/>
  <c r="J255" i="9"/>
  <c r="AL255" i="9"/>
  <c r="FV255" i="9"/>
  <c r="GX255" i="9"/>
  <c r="JB255" i="9"/>
  <c r="KR255" i="9"/>
  <c r="HD258" i="9"/>
  <c r="CN98" i="9"/>
  <c r="CN114" i="9" s="1"/>
  <c r="CN116" i="9" s="1"/>
  <c r="IL116" i="9"/>
  <c r="DN98" i="9"/>
  <c r="DN114" i="9" s="1"/>
  <c r="DN116" i="9" s="1"/>
  <c r="DB200" i="9"/>
  <c r="DO200" i="9"/>
  <c r="CT200" i="9"/>
  <c r="KP98" i="9"/>
  <c r="KP100" i="9" s="1"/>
  <c r="KP120" i="9" s="1"/>
  <c r="KP133" i="9" s="1"/>
  <c r="JU237" i="9"/>
  <c r="KW237" i="9"/>
  <c r="CS237" i="9"/>
  <c r="BC255" i="9"/>
  <c r="CE255" i="9"/>
  <c r="EW255" i="9"/>
  <c r="HO255" i="9"/>
  <c r="HY98" i="9"/>
  <c r="HY114" i="9" s="1"/>
  <c r="HY116" i="9" s="1"/>
  <c r="LF200" i="9"/>
  <c r="LB116" i="9"/>
  <c r="GY98" i="9"/>
  <c r="GY114" i="9" s="1"/>
  <c r="GY116" i="9" s="1"/>
  <c r="BC98" i="9"/>
  <c r="BC114" i="9" s="1"/>
  <c r="BC116" i="9" s="1"/>
  <c r="BQ98" i="9"/>
  <c r="CE98" i="9"/>
  <c r="CE114" i="9" s="1"/>
  <c r="CE116" i="9" s="1"/>
  <c r="CS98" i="9"/>
  <c r="CS114" i="9" s="1"/>
  <c r="CS116" i="9" s="1"/>
  <c r="DG98" i="9"/>
  <c r="DG114" i="9" s="1"/>
  <c r="DG116" i="9" s="1"/>
  <c r="DU98" i="9"/>
  <c r="DU114" i="9" s="1"/>
  <c r="DU116" i="9" s="1"/>
  <c r="EW98" i="9"/>
  <c r="EW114" i="9" s="1"/>
  <c r="EW116" i="9" s="1"/>
  <c r="FK98" i="9"/>
  <c r="FK114" i="9" s="1"/>
  <c r="FK116" i="9" s="1"/>
  <c r="GM98" i="9"/>
  <c r="GM114" i="9" s="1"/>
  <c r="GM116" i="9" s="1"/>
  <c r="IC98" i="9"/>
  <c r="IQ98" i="9"/>
  <c r="IQ114" i="9" s="1"/>
  <c r="IQ116" i="9" s="1"/>
  <c r="CF98" i="9"/>
  <c r="CF114" i="9" s="1"/>
  <c r="CF116" i="9" s="1"/>
  <c r="CT98" i="9"/>
  <c r="CT114" i="9" s="1"/>
  <c r="CT116" i="9" s="1"/>
  <c r="FL98" i="9"/>
  <c r="FL114" i="9" s="1"/>
  <c r="FL116" i="9" s="1"/>
  <c r="ID98" i="9"/>
  <c r="ID114" i="9" s="1"/>
  <c r="ID116" i="9" s="1"/>
  <c r="EE200" i="9"/>
  <c r="GI200" i="9"/>
  <c r="HK200" i="9"/>
  <c r="IM200" i="9"/>
  <c r="JO200" i="9"/>
  <c r="JN200" i="9"/>
  <c r="DZ98" i="9"/>
  <c r="DZ114" i="9" s="1"/>
  <c r="IF82" i="9"/>
  <c r="BE98" i="9"/>
  <c r="BE114" i="9" s="1"/>
  <c r="BE116" i="9" s="1"/>
  <c r="CG98" i="9"/>
  <c r="CG114" i="9" s="1"/>
  <c r="CG116" i="9" s="1"/>
  <c r="EK98" i="9"/>
  <c r="EK114" i="9" s="1"/>
  <c r="EK116" i="9" s="1"/>
  <c r="EY98" i="9"/>
  <c r="EY114" i="9" s="1"/>
  <c r="EY116" i="9" s="1"/>
  <c r="HQ98" i="9"/>
  <c r="HQ114" i="9" s="1"/>
  <c r="HQ116" i="9" s="1"/>
  <c r="CB200" i="9"/>
  <c r="L255" i="9"/>
  <c r="CR255" i="9"/>
  <c r="DF255" i="9"/>
  <c r="EH255" i="9"/>
  <c r="EV255" i="9"/>
  <c r="FJ255" i="9"/>
  <c r="IB255" i="9"/>
  <c r="IP255" i="9"/>
  <c r="BD98" i="9"/>
  <c r="BD114" i="9" s="1"/>
  <c r="BD116" i="9" s="1"/>
  <c r="DH98" i="9"/>
  <c r="DH114" i="9" s="1"/>
  <c r="DH116" i="9" s="1"/>
  <c r="HP98" i="9"/>
  <c r="HP100" i="9" s="1"/>
  <c r="HP120" i="9" s="1"/>
  <c r="DC200" i="9"/>
  <c r="ES200" i="9"/>
  <c r="GW200" i="9"/>
  <c r="HY200" i="9"/>
  <c r="KC200" i="9"/>
  <c r="K255" i="9"/>
  <c r="Y255" i="9"/>
  <c r="AM255" i="9"/>
  <c r="CQ255" i="9"/>
  <c r="DS255" i="9"/>
  <c r="EU255" i="9"/>
  <c r="FI255" i="9"/>
  <c r="FW255" i="9"/>
  <c r="GK255" i="9"/>
  <c r="GY255" i="9"/>
  <c r="IO255" i="9"/>
  <c r="JC255" i="9"/>
  <c r="JQ255" i="9"/>
  <c r="LG255" i="9"/>
  <c r="HR82" i="9"/>
  <c r="AQ98" i="9"/>
  <c r="AQ114" i="9" s="1"/>
  <c r="AQ116" i="9" s="1"/>
  <c r="BS98" i="9"/>
  <c r="BS114" i="9" s="1"/>
  <c r="BS116" i="9" s="1"/>
  <c r="HC98" i="9"/>
  <c r="HC114" i="9" s="1"/>
  <c r="HC116" i="9" s="1"/>
  <c r="JV94" i="9"/>
  <c r="GM255" i="9"/>
  <c r="IQ255" i="9"/>
  <c r="KG255" i="9"/>
  <c r="ED98" i="9"/>
  <c r="KB98" i="9"/>
  <c r="KB114" i="9" s="1"/>
  <c r="KB116" i="9" s="1"/>
  <c r="LD98" i="9"/>
  <c r="LD114" i="9" s="1"/>
  <c r="LD116" i="9" s="1"/>
  <c r="LR98" i="9"/>
  <c r="LR114" i="9" s="1"/>
  <c r="KJ258" i="9"/>
  <c r="FD98" i="9"/>
  <c r="FD114" i="9" s="1"/>
  <c r="FD116" i="9" s="1"/>
  <c r="CM98" i="9"/>
  <c r="CM114" i="9" s="1"/>
  <c r="CM116" i="9" s="1"/>
  <c r="JB116" i="9"/>
  <c r="JP98" i="9"/>
  <c r="JP114" i="9" s="1"/>
  <c r="JP116" i="9" s="1"/>
  <c r="GO188" i="9"/>
  <c r="HQ188" i="9"/>
  <c r="IE188" i="9"/>
  <c r="IS188" i="9"/>
  <c r="JU188" i="9"/>
  <c r="LK188" i="9"/>
  <c r="DP188" i="9"/>
  <c r="ED188" i="9"/>
  <c r="GG188" i="9"/>
  <c r="T255" i="9"/>
  <c r="CL255" i="9"/>
  <c r="CZ255" i="9"/>
  <c r="FD255" i="9"/>
  <c r="GF255" i="9"/>
  <c r="HH255" i="9"/>
  <c r="IJ255" i="9"/>
  <c r="IX255" i="9"/>
  <c r="JL255" i="9"/>
  <c r="E255" i="9"/>
  <c r="S255" i="9"/>
  <c r="P251" i="9"/>
  <c r="AD251" i="9"/>
  <c r="AR251" i="9"/>
  <c r="BF251" i="9"/>
  <c r="BT251" i="9"/>
  <c r="IT251" i="9"/>
  <c r="JH251" i="9"/>
  <c r="JV251" i="9"/>
  <c r="KJ251" i="9"/>
  <c r="KX251" i="9"/>
  <c r="LL251" i="9"/>
  <c r="FM255" i="9"/>
  <c r="EX255" i="9"/>
  <c r="ID255" i="9"/>
  <c r="LZ225" i="9"/>
  <c r="CQ98" i="9"/>
  <c r="CQ114" i="9" s="1"/>
  <c r="CQ116" i="9" s="1"/>
  <c r="FP188" i="9"/>
  <c r="GD188" i="9"/>
  <c r="GD189" i="9" s="1"/>
  <c r="GE189" i="9" s="1"/>
  <c r="GF189" i="9" s="1"/>
  <c r="GR188" i="9"/>
  <c r="IV188" i="9"/>
  <c r="KZ188" i="9"/>
  <c r="LP98" i="9"/>
  <c r="LP114" i="9" s="1"/>
  <c r="HR228" i="9"/>
  <c r="F200" i="9"/>
  <c r="T200" i="9"/>
  <c r="AH200" i="9"/>
  <c r="EP200" i="9"/>
  <c r="IX200" i="9"/>
  <c r="JZ200" i="9"/>
  <c r="LB200" i="9"/>
  <c r="EO200" i="9"/>
  <c r="LA200" i="9"/>
  <c r="BT193" i="9"/>
  <c r="CH193" i="9"/>
  <c r="CV193" i="9"/>
  <c r="DX193" i="9"/>
  <c r="EZ193" i="9"/>
  <c r="FN193" i="9"/>
  <c r="GB193" i="9"/>
  <c r="GP193" i="9"/>
  <c r="HT200" i="9"/>
  <c r="JH193" i="9"/>
  <c r="KJ193" i="9"/>
  <c r="LL193" i="9"/>
  <c r="GO200" i="9"/>
  <c r="IS200" i="9"/>
  <c r="BR200" i="9"/>
  <c r="GN200" i="9"/>
  <c r="HB200" i="9"/>
  <c r="ID200" i="9"/>
  <c r="BQ200" i="9"/>
  <c r="HA200" i="9"/>
  <c r="CD200" i="9"/>
  <c r="CQ200" i="9"/>
  <c r="KT237" i="9"/>
  <c r="M98" i="9"/>
  <c r="M114" i="9" s="1"/>
  <c r="M116" i="9" s="1"/>
  <c r="U200" i="9"/>
  <c r="EC200" i="9"/>
  <c r="HI200" i="9"/>
  <c r="IK200" i="9"/>
  <c r="JM200" i="9"/>
  <c r="DB225" i="9"/>
  <c r="AH225" i="9"/>
  <c r="P207" i="9"/>
  <c r="AD207" i="9"/>
  <c r="AR207" i="9"/>
  <c r="BT207" i="9"/>
  <c r="IT207" i="9"/>
  <c r="JH207" i="9"/>
  <c r="JV207" i="9"/>
  <c r="HB225" i="9"/>
  <c r="FN219" i="9"/>
  <c r="GP219" i="9"/>
  <c r="HD219" i="9"/>
  <c r="IF219" i="9"/>
  <c r="JH219" i="9"/>
  <c r="JV219" i="9"/>
  <c r="KX219" i="9"/>
  <c r="LL219" i="9"/>
  <c r="FF237" i="9"/>
  <c r="AI237" i="9"/>
  <c r="BN98" i="9"/>
  <c r="BN114" i="9" s="1"/>
  <c r="BN116" i="9" s="1"/>
  <c r="AD172" i="9"/>
  <c r="LL172" i="9"/>
  <c r="HP188" i="9"/>
  <c r="EZ12" i="9"/>
  <c r="AR23" i="9"/>
  <c r="CD98" i="9"/>
  <c r="CD100" i="9" s="1"/>
  <c r="CD120" i="9" s="1"/>
  <c r="CD134" i="9" s="1"/>
  <c r="GL98" i="9"/>
  <c r="GL114" i="9" s="1"/>
  <c r="GL116" i="9" s="1"/>
  <c r="JK188" i="9"/>
  <c r="CL188" i="9"/>
  <c r="CZ188" i="9"/>
  <c r="DN188" i="9"/>
  <c r="EB188" i="9"/>
  <c r="EP188" i="9"/>
  <c r="GF188" i="9"/>
  <c r="HH188" i="9"/>
  <c r="JL188" i="9"/>
  <c r="JZ188" i="9"/>
  <c r="KN188" i="9"/>
  <c r="LB188" i="9"/>
  <c r="D188" i="9"/>
  <c r="AD178" i="9"/>
  <c r="AR178" i="9"/>
  <c r="CV178" i="9"/>
  <c r="GB178" i="9"/>
  <c r="GP178" i="9"/>
  <c r="AZ98" i="9"/>
  <c r="AZ114" i="9" s="1"/>
  <c r="AZ116" i="9" s="1"/>
  <c r="AD166" i="9"/>
  <c r="LL166" i="9"/>
  <c r="EZ172" i="9"/>
  <c r="DX12" i="9"/>
  <c r="HD23" i="9"/>
  <c r="LZ23" i="9"/>
  <c r="KJ29" i="9"/>
  <c r="CV45" i="9"/>
  <c r="EL45" i="9"/>
  <c r="GB45" i="9"/>
  <c r="HR45" i="9"/>
  <c r="JV45" i="9"/>
  <c r="LZ45" i="9"/>
  <c r="CH57" i="9"/>
  <c r="DJ57" i="9"/>
  <c r="EZ57" i="9"/>
  <c r="GB57" i="9"/>
  <c r="HD57" i="9"/>
  <c r="IT57" i="9"/>
  <c r="JH57" i="9"/>
  <c r="KZ98" i="9"/>
  <c r="KZ114" i="9" s="1"/>
  <c r="KZ116" i="9" s="1"/>
  <c r="BT82" i="9"/>
  <c r="CH82" i="9"/>
  <c r="DL98" i="9"/>
  <c r="DL114" i="9" s="1"/>
  <c r="DL116" i="9" s="1"/>
  <c r="EL82" i="9"/>
  <c r="EZ82" i="9"/>
  <c r="FN82" i="9"/>
  <c r="GB82" i="9"/>
  <c r="JH82" i="9"/>
  <c r="JV82" i="9"/>
  <c r="KJ82" i="9"/>
  <c r="KM98" i="9"/>
  <c r="KM114" i="9" s="1"/>
  <c r="KM116" i="9" s="1"/>
  <c r="LA98" i="9"/>
  <c r="LA114" i="9" s="1"/>
  <c r="LA116" i="9" s="1"/>
  <c r="DM98" i="9"/>
  <c r="DM114" i="9" s="1"/>
  <c r="DM116" i="9" s="1"/>
  <c r="LU241" i="9"/>
  <c r="LU257" i="9" s="1"/>
  <c r="HD166" i="9"/>
  <c r="KX172" i="9"/>
  <c r="JZ98" i="9"/>
  <c r="JZ114" i="9" s="1"/>
  <c r="JZ116" i="9" s="1"/>
  <c r="CZ98" i="9"/>
  <c r="CZ114" i="9" s="1"/>
  <c r="CZ116" i="9" s="1"/>
  <c r="AF98" i="9"/>
  <c r="AF114" i="9" s="1"/>
  <c r="AF116" i="9" s="1"/>
  <c r="AM237" i="9"/>
  <c r="CQ237" i="9"/>
  <c r="GK237" i="9"/>
  <c r="AL237" i="9"/>
  <c r="CV235" i="9"/>
  <c r="EZ235" i="9"/>
  <c r="DA98" i="9"/>
  <c r="DA114" i="9" s="1"/>
  <c r="DA116" i="9" s="1"/>
  <c r="DO98" i="9"/>
  <c r="DO114" i="9" s="1"/>
  <c r="DO116" i="9" s="1"/>
  <c r="E98" i="9"/>
  <c r="E114" i="9" s="1"/>
  <c r="E116" i="9" s="1"/>
  <c r="S98" i="9"/>
  <c r="S114" i="9" s="1"/>
  <c r="S116" i="9" s="1"/>
  <c r="AG98" i="9"/>
  <c r="AG114" i="9" s="1"/>
  <c r="AG116" i="9" s="1"/>
  <c r="AT98" i="9"/>
  <c r="AT114" i="9" s="1"/>
  <c r="AT116" i="9" s="1"/>
  <c r="BH98" i="9"/>
  <c r="BH114" i="9" s="1"/>
  <c r="BH116" i="9" s="1"/>
  <c r="GD95" i="9"/>
  <c r="GE95" i="9" s="1"/>
  <c r="GD98" i="9"/>
  <c r="GD100" i="9" s="1"/>
  <c r="GD120" i="9" s="1"/>
  <c r="GR98" i="9"/>
  <c r="IH98" i="9"/>
  <c r="IH114" i="9" s="1"/>
  <c r="KP114" i="9"/>
  <c r="KP116" i="9" s="1"/>
  <c r="IP237" i="9"/>
  <c r="DD98" i="9"/>
  <c r="DD114" i="9" s="1"/>
  <c r="DD116" i="9" s="1"/>
  <c r="HZ98" i="9"/>
  <c r="HZ114" i="9" s="1"/>
  <c r="HZ116" i="9" s="1"/>
  <c r="HR6" i="9"/>
  <c r="GP166" i="9"/>
  <c r="AR172" i="9"/>
  <c r="EL172" i="9"/>
  <c r="CT188" i="9"/>
  <c r="BF23" i="9"/>
  <c r="LL23" i="9"/>
  <c r="DJ29" i="9"/>
  <c r="JH29" i="9"/>
  <c r="KX29" i="9"/>
  <c r="DX45" i="9"/>
  <c r="FN45" i="9"/>
  <c r="HD45" i="9"/>
  <c r="JH45" i="9"/>
  <c r="KJ45" i="9"/>
  <c r="EB98" i="9"/>
  <c r="EB114" i="9" s="1"/>
  <c r="EB116" i="9" s="1"/>
  <c r="D98" i="9"/>
  <c r="D114" i="9" s="1"/>
  <c r="AD94" i="9"/>
  <c r="R98" i="9"/>
  <c r="AR94" i="9"/>
  <c r="Y237" i="9"/>
  <c r="BO237" i="9"/>
  <c r="EU237" i="9"/>
  <c r="LG237" i="9"/>
  <c r="BT235" i="9"/>
  <c r="DX235" i="9"/>
  <c r="FN235" i="9"/>
  <c r="J225" i="9"/>
  <c r="X225" i="9"/>
  <c r="AL225" i="9"/>
  <c r="AZ225" i="9"/>
  <c r="CB225" i="9"/>
  <c r="LF225" i="9"/>
  <c r="AD209" i="9"/>
  <c r="AR209" i="9"/>
  <c r="BF209" i="9"/>
  <c r="BT209" i="9"/>
  <c r="CH209" i="9"/>
  <c r="GB209" i="9"/>
  <c r="GP209" i="9"/>
  <c r="HD209" i="9"/>
  <c r="P221" i="9"/>
  <c r="AR221" i="9"/>
  <c r="BF221" i="9"/>
  <c r="BT221" i="9"/>
  <c r="CH221" i="9"/>
  <c r="DJ221" i="9"/>
  <c r="DX221" i="9"/>
  <c r="EL221" i="9"/>
  <c r="EZ221" i="9"/>
  <c r="HR221" i="9"/>
  <c r="IF221" i="9"/>
  <c r="AA237" i="9"/>
  <c r="BQ237" i="9"/>
  <c r="DU237" i="9"/>
  <c r="FK237" i="9"/>
  <c r="GM237" i="9"/>
  <c r="HO237" i="9"/>
  <c r="IC237" i="9"/>
  <c r="JE237" i="9"/>
  <c r="KG237" i="9"/>
  <c r="LI237" i="9"/>
  <c r="BB237" i="9"/>
  <c r="KF237" i="9"/>
  <c r="P166" i="9"/>
  <c r="KX166" i="9"/>
  <c r="P172" i="9"/>
  <c r="CV172" i="9"/>
  <c r="CH12" i="9"/>
  <c r="KX23" i="9"/>
  <c r="CH29" i="9"/>
  <c r="FN29" i="9"/>
  <c r="JV29" i="9"/>
  <c r="LZ29" i="9"/>
  <c r="K237" i="9"/>
  <c r="BA237" i="9"/>
  <c r="CC237" i="9"/>
  <c r="KE237" i="9"/>
  <c r="CB237" i="9"/>
  <c r="IM237" i="9"/>
  <c r="CH235" i="9"/>
  <c r="EL235" i="9"/>
  <c r="CV29" i="9"/>
  <c r="CO98" i="9"/>
  <c r="CO114" i="9" s="1"/>
  <c r="CO116" i="9" s="1"/>
  <c r="IM98" i="9"/>
  <c r="IM114" i="9" s="1"/>
  <c r="IM116" i="9" s="1"/>
  <c r="JA98" i="9"/>
  <c r="JA114" i="9" s="1"/>
  <c r="JA116" i="9" s="1"/>
  <c r="BM98" i="9"/>
  <c r="BM114" i="9" s="1"/>
  <c r="BM116" i="9" s="1"/>
  <c r="CL98" i="9"/>
  <c r="CL114" i="9" s="1"/>
  <c r="CL116" i="9" s="1"/>
  <c r="FR98" i="9"/>
  <c r="FR114" i="9" s="1"/>
  <c r="FR116" i="9" s="1"/>
  <c r="DQ188" i="9"/>
  <c r="JF200" i="9"/>
  <c r="CE200" i="9"/>
  <c r="GY225" i="9"/>
  <c r="IA225" i="9"/>
  <c r="IO225" i="9"/>
  <c r="AD210" i="9"/>
  <c r="AR210" i="9"/>
  <c r="IF210" i="9"/>
  <c r="IT210" i="9"/>
  <c r="DX222" i="9"/>
  <c r="EL222" i="9"/>
  <c r="EZ222" i="9"/>
  <c r="FN222" i="9"/>
  <c r="GP222" i="9"/>
  <c r="HD222" i="9"/>
  <c r="HR222" i="9"/>
  <c r="CF237" i="9"/>
  <c r="DH237" i="9"/>
  <c r="FL237" i="9"/>
  <c r="FZ237" i="9"/>
  <c r="GN237" i="9"/>
  <c r="HB237" i="9"/>
  <c r="HP237" i="9"/>
  <c r="ID237" i="9"/>
  <c r="JT237" i="9"/>
  <c r="KH237" i="9"/>
  <c r="KV237" i="9"/>
  <c r="DS237" i="9"/>
  <c r="KB100" i="9"/>
  <c r="KB120" i="9" s="1"/>
  <c r="KB134" i="9" s="1"/>
  <c r="DB98" i="9"/>
  <c r="DB114" i="9" s="1"/>
  <c r="DB116" i="9" s="1"/>
  <c r="IZ98" i="9"/>
  <c r="IZ114" i="9" s="1"/>
  <c r="IZ116" i="9" s="1"/>
  <c r="BZ98" i="9"/>
  <c r="BZ114" i="9" s="1"/>
  <c r="BZ116" i="9" s="1"/>
  <c r="F98" i="9"/>
  <c r="F114" i="9" s="1"/>
  <c r="F116" i="9" s="1"/>
  <c r="T98" i="9"/>
  <c r="T114" i="9" s="1"/>
  <c r="T116" i="9" s="1"/>
  <c r="AH98" i="9"/>
  <c r="AH114" i="9" s="1"/>
  <c r="AH116" i="9" s="1"/>
  <c r="AU98" i="9"/>
  <c r="AU114" i="9" s="1"/>
  <c r="AU116" i="9" s="1"/>
  <c r="CY98" i="9"/>
  <c r="CY114" i="9" s="1"/>
  <c r="CY116" i="9" s="1"/>
  <c r="EA98" i="9"/>
  <c r="EA114" i="9" s="1"/>
  <c r="EA116" i="9" s="1"/>
  <c r="FQ98" i="9"/>
  <c r="GE98" i="9"/>
  <c r="GE114" i="9" s="1"/>
  <c r="GE116" i="9" s="1"/>
  <c r="HL98" i="9"/>
  <c r="HL114" i="9" s="1"/>
  <c r="HL116" i="9" s="1"/>
  <c r="LF98" i="9"/>
  <c r="LF114" i="9" s="1"/>
  <c r="LF116" i="9" s="1"/>
  <c r="BY98" i="9"/>
  <c r="BY114" i="9" s="1"/>
  <c r="BY116" i="9" s="1"/>
  <c r="EQ98" i="9"/>
  <c r="EQ114" i="9" s="1"/>
  <c r="EQ116" i="9" s="1"/>
  <c r="FE98" i="9"/>
  <c r="FE114" i="9" s="1"/>
  <c r="FE116" i="9" s="1"/>
  <c r="FS98" i="9"/>
  <c r="FS114" i="9" s="1"/>
  <c r="FS116" i="9" s="1"/>
  <c r="GG98" i="9"/>
  <c r="GG114" i="9" s="1"/>
  <c r="GG116" i="9" s="1"/>
  <c r="GU98" i="9"/>
  <c r="GU114" i="9" s="1"/>
  <c r="GU116" i="9" s="1"/>
  <c r="HW98" i="9"/>
  <c r="HW114" i="9" s="1"/>
  <c r="HW116" i="9" s="1"/>
  <c r="IK98" i="9"/>
  <c r="IK114" i="9" s="1"/>
  <c r="IK116" i="9" s="1"/>
  <c r="KN98" i="9"/>
  <c r="KN114" i="9" s="1"/>
  <c r="KN116" i="9" s="1"/>
  <c r="EB200" i="9"/>
  <c r="KN200" i="9"/>
  <c r="BT194" i="9"/>
  <c r="CV194" i="9"/>
  <c r="DJ194" i="9"/>
  <c r="HR194" i="9"/>
  <c r="IF194" i="9"/>
  <c r="JH194" i="9"/>
  <c r="JV194" i="9"/>
  <c r="KX194" i="9"/>
  <c r="LL194" i="9"/>
  <c r="HQ200" i="9"/>
  <c r="IC200" i="9"/>
  <c r="DR255" i="9"/>
  <c r="HZ255" i="9"/>
  <c r="DQ255" i="9"/>
  <c r="AD1" i="9"/>
  <c r="JC100" i="9"/>
  <c r="JC120" i="9" s="1"/>
  <c r="JC134" i="9" s="1"/>
  <c r="BA98" i="9"/>
  <c r="BA114" i="9" s="1"/>
  <c r="BA116" i="9" s="1"/>
  <c r="HM98" i="9"/>
  <c r="HM114" i="9" s="1"/>
  <c r="AM98" i="9"/>
  <c r="AM114" i="9" s="1"/>
  <c r="AM116" i="9" s="1"/>
  <c r="JC98" i="9"/>
  <c r="JC114" i="9" s="1"/>
  <c r="JC116" i="9" s="1"/>
  <c r="ED100" i="9"/>
  <c r="ED120" i="9" s="1"/>
  <c r="ED114" i="9"/>
  <c r="ED116" i="9" s="1"/>
  <c r="LC98" i="9"/>
  <c r="LC114" i="9" s="1"/>
  <c r="LC116" i="9" s="1"/>
  <c r="AL188" i="9"/>
  <c r="AZ188" i="9"/>
  <c r="BN188" i="9"/>
  <c r="CB188" i="9"/>
  <c r="DD188" i="9"/>
  <c r="DR188" i="9"/>
  <c r="EF188" i="9"/>
  <c r="ET188" i="9"/>
  <c r="P182" i="9"/>
  <c r="AR182" i="9"/>
  <c r="BF182" i="9"/>
  <c r="CH182" i="9"/>
  <c r="DP200" i="9"/>
  <c r="FF200" i="9"/>
  <c r="IZ200" i="9"/>
  <c r="KB200" i="9"/>
  <c r="KA200" i="9"/>
  <c r="GT200" i="9"/>
  <c r="AF200" i="9"/>
  <c r="CH195" i="9"/>
  <c r="CV195" i="9"/>
  <c r="DX195" i="9"/>
  <c r="EL195" i="9"/>
  <c r="EZ195" i="9"/>
  <c r="FN195" i="9"/>
  <c r="GB195" i="9"/>
  <c r="GP195" i="9"/>
  <c r="GR200" i="9"/>
  <c r="IF195" i="9"/>
  <c r="IT195" i="9"/>
  <c r="HC200" i="9"/>
  <c r="HP200" i="9"/>
  <c r="P239" i="9"/>
  <c r="DE255" i="9"/>
  <c r="AN98" i="9"/>
  <c r="AN114" i="9" s="1"/>
  <c r="AN116" i="9" s="1"/>
  <c r="CA98" i="9"/>
  <c r="CA114" i="9" s="1"/>
  <c r="CA116" i="9" s="1"/>
  <c r="DQ98" i="9"/>
  <c r="DQ100" i="9" s="1"/>
  <c r="DQ120" i="9" s="1"/>
  <c r="HK98" i="9"/>
  <c r="HK114" i="9" s="1"/>
  <c r="HK116" i="9" s="1"/>
  <c r="AM188" i="9"/>
  <c r="DJ183" i="9"/>
  <c r="BF196" i="9"/>
  <c r="JV196" i="9"/>
  <c r="AQ200" i="9"/>
  <c r="AA98" i="9"/>
  <c r="AA114" i="9" s="1"/>
  <c r="AA116" i="9" s="1"/>
  <c r="LW98" i="9"/>
  <c r="LW114" i="9" s="1"/>
  <c r="LS98" i="9"/>
  <c r="LS114" i="9" s="1"/>
  <c r="L188" i="9"/>
  <c r="Z188" i="9"/>
  <c r="AN188" i="9"/>
  <c r="BB188" i="9"/>
  <c r="CH184" i="9"/>
  <c r="CV184" i="9"/>
  <c r="GB184" i="9"/>
  <c r="GP184" i="9"/>
  <c r="HD184" i="9"/>
  <c r="HR184" i="9"/>
  <c r="IF184" i="9"/>
  <c r="IT184" i="9"/>
  <c r="V237" i="9"/>
  <c r="AX237" i="9"/>
  <c r="BL237" i="9"/>
  <c r="BZ237" i="9"/>
  <c r="CN237" i="9"/>
  <c r="ED237" i="9"/>
  <c r="GS237" i="9"/>
  <c r="P232" i="9"/>
  <c r="AD232" i="9"/>
  <c r="AR232" i="9"/>
  <c r="CH232" i="9"/>
  <c r="DJ232" i="9"/>
  <c r="EL232" i="9"/>
  <c r="EZ232" i="9"/>
  <c r="FN232" i="9"/>
  <c r="GB232" i="9"/>
  <c r="GP232" i="9"/>
  <c r="IT232" i="9"/>
  <c r="JO98" i="9"/>
  <c r="JO114" i="9" s="1"/>
  <c r="JO116" i="9" s="1"/>
  <c r="BO188" i="9"/>
  <c r="JH196" i="9"/>
  <c r="N98" i="9"/>
  <c r="N114" i="9" s="1"/>
  <c r="N116" i="9" s="1"/>
  <c r="FZ98" i="9"/>
  <c r="FZ114" i="9" s="1"/>
  <c r="FZ116" i="9" s="1"/>
  <c r="KH98" i="9"/>
  <c r="KH114" i="9" s="1"/>
  <c r="KH116" i="9" s="1"/>
  <c r="IQ188" i="9"/>
  <c r="KU188" i="9"/>
  <c r="KE188" i="9"/>
  <c r="KS188" i="9"/>
  <c r="P185" i="9"/>
  <c r="AD185" i="9"/>
  <c r="AR185" i="9"/>
  <c r="GP185" i="9"/>
  <c r="HR185" i="9"/>
  <c r="IF185" i="9"/>
  <c r="IT185" i="9"/>
  <c r="AV225" i="9"/>
  <c r="BX225" i="9"/>
  <c r="CL225" i="9"/>
  <c r="EB225" i="9"/>
  <c r="EP225" i="9"/>
  <c r="BT205" i="9"/>
  <c r="CH205" i="9"/>
  <c r="DJ205" i="9"/>
  <c r="EL205" i="9"/>
  <c r="EZ205" i="9"/>
  <c r="FN205" i="9"/>
  <c r="GB205" i="9"/>
  <c r="IF205" i="9"/>
  <c r="JV205" i="9"/>
  <c r="BQ225" i="9"/>
  <c r="DE225" i="9"/>
  <c r="AR217" i="9"/>
  <c r="BT217" i="9"/>
  <c r="CV217" i="9"/>
  <c r="DJ217" i="9"/>
  <c r="DX217" i="9"/>
  <c r="FN217" i="9"/>
  <c r="GB217" i="9"/>
  <c r="GP217" i="9"/>
  <c r="KJ217" i="9"/>
  <c r="KX217" i="9"/>
  <c r="AK237" i="9"/>
  <c r="AY237" i="9"/>
  <c r="BM237" i="9"/>
  <c r="CA237" i="9"/>
  <c r="DQ237" i="9"/>
  <c r="FU237" i="9"/>
  <c r="H237" i="9"/>
  <c r="DB237" i="9"/>
  <c r="GF237" i="9"/>
  <c r="P233" i="9"/>
  <c r="AD233" i="9"/>
  <c r="AR233" i="9"/>
  <c r="BF233" i="9"/>
  <c r="BT233" i="9"/>
  <c r="CV233" i="9"/>
  <c r="DJ233" i="9"/>
  <c r="DX233" i="9"/>
  <c r="JR98" i="9"/>
  <c r="JR114" i="9" s="1"/>
  <c r="JR116" i="9" s="1"/>
  <c r="AY98" i="9"/>
  <c r="AY114" i="9" s="1"/>
  <c r="AY116" i="9" s="1"/>
  <c r="EE98" i="9"/>
  <c r="EE114" i="9" s="1"/>
  <c r="EE116" i="9" s="1"/>
  <c r="BA188" i="9"/>
  <c r="AR196" i="9"/>
  <c r="IT196" i="9"/>
  <c r="AD12" i="9"/>
  <c r="AR12" i="9"/>
  <c r="FM100" i="9"/>
  <c r="FM120" i="9" s="1"/>
  <c r="FM134" i="9" s="1"/>
  <c r="HC100" i="9"/>
  <c r="HC120" i="9" s="1"/>
  <c r="HC133" i="9" s="1"/>
  <c r="HQ100" i="9"/>
  <c r="HQ120" i="9" s="1"/>
  <c r="HQ124" i="9" s="1"/>
  <c r="JV57" i="9"/>
  <c r="LY98" i="9"/>
  <c r="LY114" i="9" s="1"/>
  <c r="GZ98" i="9"/>
  <c r="GZ114" i="9" s="1"/>
  <c r="GZ116" i="9" s="1"/>
  <c r="Z200" i="9"/>
  <c r="AN200" i="9"/>
  <c r="BB200" i="9"/>
  <c r="IB200" i="9"/>
  <c r="JR200" i="9"/>
  <c r="BO200" i="9"/>
  <c r="IA200" i="9"/>
  <c r="EQ200" i="9"/>
  <c r="GE200" i="9"/>
  <c r="DO225" i="9"/>
  <c r="BT206" i="9"/>
  <c r="CH206" i="9"/>
  <c r="CV206" i="9"/>
  <c r="DX206" i="9"/>
  <c r="HR206" i="9"/>
  <c r="IF206" i="9"/>
  <c r="IT206" i="9"/>
  <c r="P218" i="9"/>
  <c r="AD218" i="9"/>
  <c r="AR218" i="9"/>
  <c r="BF218" i="9"/>
  <c r="CH218" i="9"/>
  <c r="IT218" i="9"/>
  <c r="JH218" i="9"/>
  <c r="JV218" i="9"/>
  <c r="BN237" i="9"/>
  <c r="DD237" i="9"/>
  <c r="EF237" i="9"/>
  <c r="FH237" i="9"/>
  <c r="KR237" i="9"/>
  <c r="IL237" i="9"/>
  <c r="FS237" i="9"/>
  <c r="CL237" i="9"/>
  <c r="P234" i="9"/>
  <c r="AD234" i="9"/>
  <c r="BF234" i="9"/>
  <c r="CH234" i="9"/>
  <c r="DJ234" i="9"/>
  <c r="FN234" i="9"/>
  <c r="GB234" i="9"/>
  <c r="ID188" i="9"/>
  <c r="IR188" i="9"/>
  <c r="JF188" i="9"/>
  <c r="LJ188" i="9"/>
  <c r="CR188" i="9"/>
  <c r="KF188" i="9"/>
  <c r="BF186" i="9"/>
  <c r="BT186" i="9"/>
  <c r="CH186" i="9"/>
  <c r="CV186" i="9"/>
  <c r="GP186" i="9"/>
  <c r="HR186" i="9"/>
  <c r="IF186" i="9"/>
  <c r="LL186" i="9"/>
  <c r="AZ200" i="9"/>
  <c r="CP200" i="9"/>
  <c r="DD200" i="9"/>
  <c r="DR200" i="9"/>
  <c r="EF200" i="9"/>
  <c r="HZ200" i="9"/>
  <c r="JB200" i="9"/>
  <c r="CO200" i="9"/>
  <c r="JA200" i="9"/>
  <c r="S200" i="9"/>
  <c r="P197" i="9"/>
  <c r="AD197" i="9"/>
  <c r="EL197" i="9"/>
  <c r="FN197" i="9"/>
  <c r="FP200" i="9"/>
  <c r="GP197" i="9"/>
  <c r="HD197" i="9"/>
  <c r="I225" i="9"/>
  <c r="W225" i="9"/>
  <c r="AK225" i="9"/>
  <c r="AY225" i="9"/>
  <c r="BM225" i="9"/>
  <c r="CO225" i="9"/>
  <c r="DC225" i="9"/>
  <c r="KC225" i="9"/>
  <c r="GV225" i="9"/>
  <c r="AD208" i="9"/>
  <c r="AR208" i="9"/>
  <c r="BF208" i="9"/>
  <c r="CV208" i="9"/>
  <c r="DJ208" i="9"/>
  <c r="DX208" i="9"/>
  <c r="EL208" i="9"/>
  <c r="EZ208" i="9"/>
  <c r="HR208" i="9"/>
  <c r="IF208" i="9"/>
  <c r="AC225" i="9"/>
  <c r="CH220" i="9"/>
  <c r="DX220" i="9"/>
  <c r="EL220" i="9"/>
  <c r="EZ220" i="9"/>
  <c r="FN220" i="9"/>
  <c r="GP220" i="9"/>
  <c r="HR220" i="9"/>
  <c r="IF220" i="9"/>
  <c r="KJ220" i="9"/>
  <c r="LL220" i="9"/>
  <c r="CD237" i="9"/>
  <c r="JD237" i="9"/>
  <c r="KS237" i="9"/>
  <c r="ES237" i="9"/>
  <c r="IK237" i="9"/>
  <c r="AB255" i="9"/>
  <c r="CF255" i="9"/>
  <c r="DH255" i="9"/>
  <c r="EJ255" i="9"/>
  <c r="FL255" i="9"/>
  <c r="HP255" i="9"/>
  <c r="IR255" i="9"/>
  <c r="KV255" i="9"/>
  <c r="LJ255" i="9"/>
  <c r="BN255" i="9"/>
  <c r="LG98" i="9"/>
  <c r="LG114" i="9" s="1"/>
  <c r="LG116" i="9" s="1"/>
  <c r="BL98" i="9"/>
  <c r="BL114" i="9" s="1"/>
  <c r="BL116" i="9" s="1"/>
  <c r="ER98" i="9"/>
  <c r="ER114" i="9" s="1"/>
  <c r="ER116" i="9" s="1"/>
  <c r="JN98" i="9"/>
  <c r="JN114" i="9" s="1"/>
  <c r="JN116" i="9" s="1"/>
  <c r="KA98" i="9"/>
  <c r="KA114" i="9" s="1"/>
  <c r="KA116" i="9" s="1"/>
  <c r="LQ98" i="9"/>
  <c r="LQ114" i="9" s="1"/>
  <c r="AR112" i="9"/>
  <c r="GB112" i="9"/>
  <c r="HD112" i="9"/>
  <c r="KJ112" i="9"/>
  <c r="KX112" i="9"/>
  <c r="LZ112" i="9"/>
  <c r="CY188" i="9"/>
  <c r="DM188" i="9"/>
  <c r="EA188" i="9"/>
  <c r="EO188" i="9"/>
  <c r="FC188" i="9"/>
  <c r="HG188" i="9"/>
  <c r="HU188" i="9"/>
  <c r="KM188" i="9"/>
  <c r="LA188" i="9"/>
  <c r="P177" i="9"/>
  <c r="AD177" i="9"/>
  <c r="BF177" i="9"/>
  <c r="BT177" i="9"/>
  <c r="CH177" i="9"/>
  <c r="DJ177" i="9"/>
  <c r="DX177" i="9"/>
  <c r="EL177" i="9"/>
  <c r="EZ177" i="9"/>
  <c r="FN177" i="9"/>
  <c r="HD177" i="9"/>
  <c r="IF177" i="9"/>
  <c r="AB188" i="9"/>
  <c r="AA188" i="9"/>
  <c r="AO200" i="9"/>
  <c r="FJ225" i="9"/>
  <c r="FX225" i="9"/>
  <c r="GL225" i="9"/>
  <c r="EU225" i="9"/>
  <c r="LD225" i="9"/>
  <c r="GP211" i="9"/>
  <c r="HR211" i="9"/>
  <c r="FN223" i="9"/>
  <c r="GB223" i="9"/>
  <c r="GP223" i="9"/>
  <c r="HD223" i="9"/>
  <c r="HR223" i="9"/>
  <c r="IT223" i="9"/>
  <c r="JH223" i="9"/>
  <c r="JV223" i="9"/>
  <c r="LL223" i="9"/>
  <c r="AQ237" i="9"/>
  <c r="EK237" i="9"/>
  <c r="FY98" i="9"/>
  <c r="FY114" i="9" s="1"/>
  <c r="FY116" i="9" s="1"/>
  <c r="JS98" i="9"/>
  <c r="JS114" i="9" s="1"/>
  <c r="JS116" i="9" s="1"/>
  <c r="KG98" i="9"/>
  <c r="KG114" i="9" s="1"/>
  <c r="KG116" i="9" s="1"/>
  <c r="CP98" i="9"/>
  <c r="CP114" i="9" s="1"/>
  <c r="CP116" i="9" s="1"/>
  <c r="DR98" i="9"/>
  <c r="DR114" i="9" s="1"/>
  <c r="DR116" i="9" s="1"/>
  <c r="GX98" i="9"/>
  <c r="GX114" i="9" s="1"/>
  <c r="GX116" i="9" s="1"/>
  <c r="KC98" i="9"/>
  <c r="KC100" i="9" s="1"/>
  <c r="KC120" i="9" s="1"/>
  <c r="KQ98" i="9"/>
  <c r="KQ114" i="9" s="1"/>
  <c r="KQ116" i="9" s="1"/>
  <c r="BY188" i="9"/>
  <c r="CM188" i="9"/>
  <c r="GU188" i="9"/>
  <c r="IY188" i="9"/>
  <c r="JM188" i="9"/>
  <c r="GT188" i="9"/>
  <c r="S188" i="9"/>
  <c r="AD179" i="9"/>
  <c r="AR179" i="9"/>
  <c r="CH179" i="9"/>
  <c r="DJ179" i="9"/>
  <c r="DX179" i="9"/>
  <c r="EZ179" i="9"/>
  <c r="FN179" i="9"/>
  <c r="HR179" i="9"/>
  <c r="EY188" i="9"/>
  <c r="O200" i="9"/>
  <c r="BR225" i="9"/>
  <c r="GN225" i="9"/>
  <c r="CV213" i="9"/>
  <c r="DJ213" i="9"/>
  <c r="DX213" i="9"/>
  <c r="EL213" i="9"/>
  <c r="GP213" i="9"/>
  <c r="AW255" i="9"/>
  <c r="BK255" i="9"/>
  <c r="CM255" i="9"/>
  <c r="DO255" i="9"/>
  <c r="FE255" i="9"/>
  <c r="HW255" i="9"/>
  <c r="IK255" i="9"/>
  <c r="IY255" i="9"/>
  <c r="P252" i="9"/>
  <c r="AD252" i="9"/>
  <c r="BT252" i="9"/>
  <c r="EZ252" i="9"/>
  <c r="FN252" i="9"/>
  <c r="GB252" i="9"/>
  <c r="IF252" i="9"/>
  <c r="IT252" i="9"/>
  <c r="JH252" i="9"/>
  <c r="JV252" i="9"/>
  <c r="KJ252" i="9"/>
  <c r="KX252" i="9"/>
  <c r="KZ255" i="9"/>
  <c r="EY255" i="9"/>
  <c r="EX98" i="9"/>
  <c r="EX114" i="9" s="1"/>
  <c r="EX116" i="9" s="1"/>
  <c r="DE98" i="9"/>
  <c r="DE114" i="9" s="1"/>
  <c r="DE116" i="9" s="1"/>
  <c r="EG98" i="9"/>
  <c r="EG100" i="9" s="1"/>
  <c r="EG120" i="9" s="1"/>
  <c r="EU98" i="9"/>
  <c r="EU114" i="9" s="1"/>
  <c r="EU116" i="9" s="1"/>
  <c r="FW98" i="9"/>
  <c r="FW114" i="9" s="1"/>
  <c r="FW116" i="9" s="1"/>
  <c r="GK98" i="9"/>
  <c r="GK114" i="9" s="1"/>
  <c r="GK116" i="9" s="1"/>
  <c r="JQ98" i="9"/>
  <c r="JQ114" i="9" s="1"/>
  <c r="JQ116" i="9" s="1"/>
  <c r="KD98" i="9"/>
  <c r="KD114" i="9" s="1"/>
  <c r="KD116" i="9" s="1"/>
  <c r="H188" i="9"/>
  <c r="BL188" i="9"/>
  <c r="BZ188" i="9"/>
  <c r="CN188" i="9"/>
  <c r="DB188" i="9"/>
  <c r="GH188" i="9"/>
  <c r="IL188" i="9"/>
  <c r="IZ188" i="9"/>
  <c r="KP188" i="9"/>
  <c r="DJ180" i="9"/>
  <c r="DX180" i="9"/>
  <c r="EL180" i="9"/>
  <c r="D200" i="9"/>
  <c r="KL200" i="9"/>
  <c r="GA200" i="9"/>
  <c r="DG200" i="9"/>
  <c r="JD200" i="9"/>
  <c r="AJ255" i="9"/>
  <c r="AX255" i="9"/>
  <c r="BL255" i="9"/>
  <c r="BZ255" i="9"/>
  <c r="HJ255" i="9"/>
  <c r="HX255" i="9"/>
  <c r="IL255" i="9"/>
  <c r="IZ255" i="9"/>
  <c r="KP255" i="9"/>
  <c r="LD255" i="9"/>
  <c r="DA255" i="9"/>
  <c r="EC255" i="9"/>
  <c r="EP255" i="9"/>
  <c r="EA255" i="9"/>
  <c r="BF253" i="9"/>
  <c r="BT253" i="9"/>
  <c r="CV253" i="9"/>
  <c r="DJ253" i="9"/>
  <c r="DZ255" i="9"/>
  <c r="EZ253" i="9"/>
  <c r="FN253" i="9"/>
  <c r="GB253" i="9"/>
  <c r="HD253" i="9"/>
  <c r="KX253" i="9"/>
  <c r="LL253" i="9"/>
  <c r="CR98" i="9"/>
  <c r="CR114" i="9" s="1"/>
  <c r="CR116" i="9" s="1"/>
  <c r="DT98" i="9"/>
  <c r="DT114" i="9" s="1"/>
  <c r="DT116" i="9" s="1"/>
  <c r="EH98" i="9"/>
  <c r="EH114" i="9" s="1"/>
  <c r="EH116" i="9" s="1"/>
  <c r="FJ98" i="9"/>
  <c r="FJ114" i="9" s="1"/>
  <c r="FJ116" i="9" s="1"/>
  <c r="FX98" i="9"/>
  <c r="FX114" i="9" s="1"/>
  <c r="FX116" i="9" s="1"/>
  <c r="JD98" i="9"/>
  <c r="JD114" i="9" s="1"/>
  <c r="JD116" i="9" s="1"/>
  <c r="AR258" i="9"/>
  <c r="AY188" i="9"/>
  <c r="BM188" i="9"/>
  <c r="ES188" i="9"/>
  <c r="KQ188" i="9"/>
  <c r="CH181" i="9"/>
  <c r="DJ181" i="9"/>
  <c r="DX181" i="9"/>
  <c r="EL181" i="9"/>
  <c r="EZ181" i="9"/>
  <c r="FN181" i="9"/>
  <c r="GB181" i="9"/>
  <c r="KJ181" i="9"/>
  <c r="KX181" i="9"/>
  <c r="FC200" i="9"/>
  <c r="GS200" i="9"/>
  <c r="IW200" i="9"/>
  <c r="JK200" i="9"/>
  <c r="KM200" i="9"/>
  <c r="AD192" i="9"/>
  <c r="AR192" i="9"/>
  <c r="DJ192" i="9"/>
  <c r="FB200" i="9"/>
  <c r="KJ192" i="9"/>
  <c r="KX192" i="9"/>
  <c r="IQ200" i="9"/>
  <c r="IP200" i="9"/>
  <c r="JC200" i="9"/>
  <c r="W255" i="9"/>
  <c r="AK255" i="9"/>
  <c r="AY255" i="9"/>
  <c r="CA255" i="9"/>
  <c r="ES255" i="9"/>
  <c r="GW255" i="9"/>
  <c r="HK255" i="9"/>
  <c r="HY255" i="9"/>
  <c r="JO255" i="9"/>
  <c r="KQ255" i="9"/>
  <c r="CN255" i="9"/>
  <c r="JZ255" i="9"/>
  <c r="DM255" i="9"/>
  <c r="CC200" i="9"/>
  <c r="HM200" i="9"/>
  <c r="IO200" i="9"/>
  <c r="IN200" i="9"/>
  <c r="FG200" i="9"/>
  <c r="H200" i="9"/>
  <c r="FD200" i="9"/>
  <c r="FQ200" i="9"/>
  <c r="AD198" i="9"/>
  <c r="GP198" i="9"/>
  <c r="HD198" i="9"/>
  <c r="HR198" i="9"/>
  <c r="IT198" i="9"/>
  <c r="JH198" i="9"/>
  <c r="JV198" i="9"/>
  <c r="KJ198" i="9"/>
  <c r="FY225" i="9"/>
  <c r="HO225" i="9"/>
  <c r="LB225" i="9"/>
  <c r="P212" i="9"/>
  <c r="AR212" i="9"/>
  <c r="BF212" i="9"/>
  <c r="BT212" i="9"/>
  <c r="CH212" i="9"/>
  <c r="CV212" i="9"/>
  <c r="DJ212" i="9"/>
  <c r="DX212" i="9"/>
  <c r="EL212" i="9"/>
  <c r="EZ212" i="9"/>
  <c r="GB212" i="9"/>
  <c r="LL212" i="9"/>
  <c r="CU237" i="9"/>
  <c r="FM237" i="9"/>
  <c r="GO237" i="9"/>
  <c r="HC237" i="9"/>
  <c r="JG237" i="9"/>
  <c r="KI237" i="9"/>
  <c r="DF237" i="9"/>
  <c r="AO255" i="9"/>
  <c r="BQ255" i="9"/>
  <c r="CS255" i="9"/>
  <c r="DU255" i="9"/>
  <c r="FK255" i="9"/>
  <c r="IC255" i="9"/>
  <c r="LI255" i="9"/>
  <c r="GZ255" i="9"/>
  <c r="KT255" i="9"/>
  <c r="CC255" i="9"/>
  <c r="KS255" i="9"/>
  <c r="BM255" i="9"/>
  <c r="M200" i="9"/>
  <c r="AA200" i="9"/>
  <c r="BC200" i="9"/>
  <c r="GM200" i="9"/>
  <c r="HO200" i="9"/>
  <c r="LI200" i="9"/>
  <c r="HN200" i="9"/>
  <c r="KS200" i="9"/>
  <c r="KQ200" i="9"/>
  <c r="ED200" i="9"/>
  <c r="FT200" i="9"/>
  <c r="DI225" i="9"/>
  <c r="EK225" i="9"/>
  <c r="KI225" i="9"/>
  <c r="DH225" i="9"/>
  <c r="DX214" i="9"/>
  <c r="EL214" i="9"/>
  <c r="GP214" i="9"/>
  <c r="HD214" i="9"/>
  <c r="HR214" i="9"/>
  <c r="IF214" i="9"/>
  <c r="IT214" i="9"/>
  <c r="JH214" i="9"/>
  <c r="JV214" i="9"/>
  <c r="KJ214" i="9"/>
  <c r="KX214" i="9"/>
  <c r="AG237" i="9"/>
  <c r="CY237" i="9"/>
  <c r="DM237" i="9"/>
  <c r="EA237" i="9"/>
  <c r="EO237" i="9"/>
  <c r="FC237" i="9"/>
  <c r="FQ237" i="9"/>
  <c r="HU237" i="9"/>
  <c r="JH229" i="9"/>
  <c r="JV229" i="9"/>
  <c r="KJ229" i="9"/>
  <c r="IR237" i="9"/>
  <c r="O255" i="9"/>
  <c r="AQ255" i="9"/>
  <c r="BS255" i="9"/>
  <c r="CU255" i="9"/>
  <c r="EK255" i="9"/>
  <c r="HC255" i="9"/>
  <c r="HQ255" i="9"/>
  <c r="KI255" i="9"/>
  <c r="KW255" i="9"/>
  <c r="LK255" i="9"/>
  <c r="BR255" i="9"/>
  <c r="FZ255" i="9"/>
  <c r="BA255" i="9"/>
  <c r="IT182" i="9"/>
  <c r="JV182" i="9"/>
  <c r="KJ182" i="9"/>
  <c r="N200" i="9"/>
  <c r="AP200" i="9"/>
  <c r="FZ200" i="9"/>
  <c r="LJ200" i="9"/>
  <c r="KF200" i="9"/>
  <c r="KD200" i="9"/>
  <c r="DQ200" i="9"/>
  <c r="KP200" i="9"/>
  <c r="LD200" i="9"/>
  <c r="LZ200" i="9"/>
  <c r="CJ225" i="9"/>
  <c r="DL225" i="9"/>
  <c r="JJ225" i="9"/>
  <c r="P215" i="9"/>
  <c r="AD215" i="9"/>
  <c r="BF215" i="9"/>
  <c r="HD215" i="9"/>
  <c r="HR215" i="9"/>
  <c r="IF215" i="9"/>
  <c r="JV215" i="9"/>
  <c r="KJ215" i="9"/>
  <c r="KX215" i="9"/>
  <c r="LL215" i="9"/>
  <c r="O225" i="9"/>
  <c r="F237" i="9"/>
  <c r="T237" i="9"/>
  <c r="BX237" i="9"/>
  <c r="DN237" i="9"/>
  <c r="EP237" i="9"/>
  <c r="FD237" i="9"/>
  <c r="LA237" i="9"/>
  <c r="AD230" i="9"/>
  <c r="BF230" i="9"/>
  <c r="BT230" i="9"/>
  <c r="CV230" i="9"/>
  <c r="LL230" i="9"/>
  <c r="BS237" i="9"/>
  <c r="IE237" i="9"/>
  <c r="P249" i="9"/>
  <c r="R255" i="9"/>
  <c r="AT255" i="9"/>
  <c r="BV255" i="9"/>
  <c r="DL255" i="9"/>
  <c r="GD255" i="9"/>
  <c r="GR255" i="9"/>
  <c r="JJ255" i="9"/>
  <c r="JX255" i="9"/>
  <c r="KL255" i="9"/>
  <c r="BE255" i="9"/>
  <c r="AA255" i="9"/>
  <c r="AN255" i="9"/>
  <c r="GL255" i="9"/>
  <c r="GP183" i="9"/>
  <c r="HD183" i="9"/>
  <c r="HR183" i="9"/>
  <c r="IF183" i="9"/>
  <c r="JH183" i="9"/>
  <c r="JV183" i="9"/>
  <c r="KJ183" i="9"/>
  <c r="KX183" i="9"/>
  <c r="LL183" i="9"/>
  <c r="AC200" i="9"/>
  <c r="BS200" i="9"/>
  <c r="LK200" i="9"/>
  <c r="AB200" i="9"/>
  <c r="BW225" i="9"/>
  <c r="CK225" i="9"/>
  <c r="CY225" i="9"/>
  <c r="GE225" i="9"/>
  <c r="II225" i="9"/>
  <c r="LA225" i="9"/>
  <c r="P204" i="9"/>
  <c r="AD204" i="9"/>
  <c r="AR204" i="9"/>
  <c r="BF204" i="9"/>
  <c r="BT204" i="9"/>
  <c r="CH204" i="9"/>
  <c r="DJ204" i="9"/>
  <c r="DX204" i="9"/>
  <c r="JV204" i="9"/>
  <c r="KJ204" i="9"/>
  <c r="LL204" i="9"/>
  <c r="IP225" i="9"/>
  <c r="LC225" i="9"/>
  <c r="AD216" i="9"/>
  <c r="AR216" i="9"/>
  <c r="DX216" i="9"/>
  <c r="EL216" i="9"/>
  <c r="EZ216" i="9"/>
  <c r="GB216" i="9"/>
  <c r="GP216" i="9"/>
  <c r="IT216" i="9"/>
  <c r="CM237" i="9"/>
  <c r="DA237" i="9"/>
  <c r="EQ237" i="9"/>
  <c r="JM237" i="9"/>
  <c r="EB237" i="9"/>
  <c r="P231" i="9"/>
  <c r="AD231" i="9"/>
  <c r="AR231" i="9"/>
  <c r="BF231" i="9"/>
  <c r="CV231" i="9"/>
  <c r="DX231" i="9"/>
  <c r="EL231" i="9"/>
  <c r="EZ231" i="9"/>
  <c r="GP231" i="9"/>
  <c r="HD231" i="9"/>
  <c r="HF237" i="9"/>
  <c r="IF231" i="9"/>
  <c r="KJ231" i="9"/>
  <c r="GL237" i="9"/>
  <c r="AG255" i="9"/>
  <c r="CY255" i="9"/>
  <c r="FQ255" i="9"/>
  <c r="HU255" i="9"/>
  <c r="IW255" i="9"/>
  <c r="JK255" i="9"/>
  <c r="JY255" i="9"/>
  <c r="KM255" i="9"/>
  <c r="AF255" i="9"/>
  <c r="CV250" i="9"/>
  <c r="DJ250" i="9"/>
  <c r="DX250" i="9"/>
  <c r="HD250" i="9"/>
  <c r="HR250" i="9"/>
  <c r="IT250" i="9"/>
  <c r="JH250" i="9"/>
  <c r="IS255" i="9"/>
  <c r="N255" i="9"/>
  <c r="AP255" i="9"/>
  <c r="BD255" i="9"/>
  <c r="FW100" i="9"/>
  <c r="FW120" i="9" s="1"/>
  <c r="AB98" i="9"/>
  <c r="E100" i="9"/>
  <c r="E120" i="9" s="1"/>
  <c r="CV12" i="9"/>
  <c r="GV98" i="9"/>
  <c r="GV114" i="9" s="1"/>
  <c r="GV116" i="9" s="1"/>
  <c r="GB177" i="9"/>
  <c r="GK100" i="9"/>
  <c r="GK120" i="9" s="1"/>
  <c r="KX82" i="9"/>
  <c r="BF12" i="9"/>
  <c r="DJ12" i="9"/>
  <c r="P45" i="9"/>
  <c r="DJ45" i="9"/>
  <c r="IF45" i="9"/>
  <c r="IT45" i="9"/>
  <c r="CV57" i="9"/>
  <c r="DX57" i="9"/>
  <c r="HR57" i="9"/>
  <c r="IF57" i="9"/>
  <c r="BR98" i="9"/>
  <c r="BR114" i="9" s="1"/>
  <c r="BR116" i="9" s="1"/>
  <c r="BT94" i="9"/>
  <c r="JF98" i="9"/>
  <c r="JF114" i="9" s="1"/>
  <c r="JF116" i="9" s="1"/>
  <c r="D116" i="9"/>
  <c r="CM100" i="9"/>
  <c r="CM120" i="9" s="1"/>
  <c r="AD23" i="9"/>
  <c r="AD29" i="9"/>
  <c r="DN100" i="9"/>
  <c r="DN120" i="9" s="1"/>
  <c r="JV12" i="9"/>
  <c r="KX45" i="9"/>
  <c r="LL45" i="9"/>
  <c r="KJ57" i="9"/>
  <c r="KX57" i="9"/>
  <c r="LL57" i="9"/>
  <c r="L98" i="9"/>
  <c r="Z98" i="9"/>
  <c r="HU98" i="9"/>
  <c r="II98" i="9"/>
  <c r="II114" i="9" s="1"/>
  <c r="II116" i="9" s="1"/>
  <c r="IW98" i="9"/>
  <c r="IW114" i="9" s="1"/>
  <c r="IW116" i="9" s="1"/>
  <c r="JK98" i="9"/>
  <c r="JX98" i="9"/>
  <c r="JX114" i="9" s="1"/>
  <c r="KJ94" i="9"/>
  <c r="KW98" i="9"/>
  <c r="KW114" i="9" s="1"/>
  <c r="KW116" i="9" s="1"/>
  <c r="DZ116" i="9"/>
  <c r="BB98" i="9"/>
  <c r="FN12" i="9"/>
  <c r="P23" i="9"/>
  <c r="P29" i="9"/>
  <c r="BF29" i="9"/>
  <c r="IH116" i="9"/>
  <c r="JJ98" i="9"/>
  <c r="KV98" i="9"/>
  <c r="KV114" i="9" s="1"/>
  <c r="KV116" i="9" s="1"/>
  <c r="EL23" i="9"/>
  <c r="EZ23" i="9"/>
  <c r="FN23" i="9"/>
  <c r="GB23" i="9"/>
  <c r="HR23" i="9"/>
  <c r="IF23" i="9"/>
  <c r="IT23" i="9"/>
  <c r="JH23" i="9"/>
  <c r="JV23" i="9"/>
  <c r="KJ23" i="9"/>
  <c r="DX29" i="9"/>
  <c r="LZ57" i="9"/>
  <c r="HH98" i="9"/>
  <c r="HH114" i="9" s="1"/>
  <c r="HH116" i="9" s="1"/>
  <c r="IT12" i="9"/>
  <c r="HY100" i="9"/>
  <c r="HY120" i="9" s="1"/>
  <c r="AR115" i="9"/>
  <c r="HC134" i="9"/>
  <c r="DX94" i="9"/>
  <c r="LJ98" i="9"/>
  <c r="LB100" i="9"/>
  <c r="LB120" i="9" s="1"/>
  <c r="EL29" i="9"/>
  <c r="EZ29" i="9"/>
  <c r="EC98" i="9"/>
  <c r="Y98" i="9"/>
  <c r="IT82" i="9"/>
  <c r="EL12" i="9"/>
  <c r="AR29" i="9"/>
  <c r="BT29" i="9"/>
  <c r="IV98" i="9"/>
  <c r="IV114" i="9" s="1"/>
  <c r="KI98" i="9"/>
  <c r="KI114" i="9" s="1"/>
  <c r="KI116" i="9" s="1"/>
  <c r="KO100" i="9"/>
  <c r="KO120" i="9" s="1"/>
  <c r="GB29" i="9"/>
  <c r="CB98" i="9"/>
  <c r="CB114" i="9" s="1"/>
  <c r="CB116" i="9" s="1"/>
  <c r="DP98" i="9"/>
  <c r="FF98" i="9"/>
  <c r="FF114" i="9" s="1"/>
  <c r="FF116" i="9" s="1"/>
  <c r="FT98" i="9"/>
  <c r="FT114" i="9" s="1"/>
  <c r="FT116" i="9" s="1"/>
  <c r="GH98" i="9"/>
  <c r="GH114" i="9" s="1"/>
  <c r="GH116" i="9" s="1"/>
  <c r="HX98" i="9"/>
  <c r="HX114" i="9" s="1"/>
  <c r="HX116" i="9" s="1"/>
  <c r="BO98" i="9"/>
  <c r="BO114" i="9" s="1"/>
  <c r="BO116" i="9" s="1"/>
  <c r="HM116" i="9"/>
  <c r="BF82" i="9"/>
  <c r="HD82" i="9"/>
  <c r="AL98" i="9"/>
  <c r="AL114" i="9" s="1"/>
  <c r="AL116" i="9" s="1"/>
  <c r="DC98" i="9"/>
  <c r="DC114" i="9" s="1"/>
  <c r="DC116" i="9" s="1"/>
  <c r="IF112" i="9"/>
  <c r="JG98" i="9"/>
  <c r="JG114" i="9" s="1"/>
  <c r="JG116" i="9" s="1"/>
  <c r="AP98" i="9"/>
  <c r="AP114" i="9" s="1"/>
  <c r="AP116" i="9" s="1"/>
  <c r="BP98" i="9"/>
  <c r="BP114" i="9" s="1"/>
  <c r="BP116" i="9" s="1"/>
  <c r="CC98" i="9"/>
  <c r="ES98" i="9"/>
  <c r="ES114" i="9" s="1"/>
  <c r="ES116" i="9" s="1"/>
  <c r="FG98" i="9"/>
  <c r="FG114" i="9" s="1"/>
  <c r="FG116" i="9" s="1"/>
  <c r="FU98" i="9"/>
  <c r="FU114" i="9" s="1"/>
  <c r="FU116" i="9" s="1"/>
  <c r="GW98" i="9"/>
  <c r="GW114" i="9" s="1"/>
  <c r="GW116" i="9" s="1"/>
  <c r="HJ98" i="9"/>
  <c r="IJ98" i="9"/>
  <c r="IJ114" i="9" s="1"/>
  <c r="IJ116" i="9" s="1"/>
  <c r="IX98" i="9"/>
  <c r="IX114" i="9" s="1"/>
  <c r="IX116" i="9" s="1"/>
  <c r="LL94" i="9"/>
  <c r="LN98" i="9"/>
  <c r="LN114" i="9" s="1"/>
  <c r="IC114" i="9"/>
  <c r="IC116" i="9" s="1"/>
  <c r="IC100" i="9"/>
  <c r="IC120" i="9" s="1"/>
  <c r="BH258" i="9"/>
  <c r="BT258" i="9" s="1"/>
  <c r="BT115" i="9"/>
  <c r="CH258" i="9"/>
  <c r="CH115" i="9"/>
  <c r="EK100" i="9"/>
  <c r="EK120" i="9" s="1"/>
  <c r="GM100" i="9"/>
  <c r="GM120" i="9" s="1"/>
  <c r="AO98" i="9"/>
  <c r="AO114" i="9" s="1"/>
  <c r="AO116" i="9" s="1"/>
  <c r="HI98" i="9"/>
  <c r="HI114" i="9" s="1"/>
  <c r="HI116" i="9" s="1"/>
  <c r="HV98" i="9"/>
  <c r="HV114" i="9" s="1"/>
  <c r="HV116" i="9" s="1"/>
  <c r="AC98" i="9"/>
  <c r="DF98" i="9"/>
  <c r="DF114" i="9" s="1"/>
  <c r="DF116" i="9" s="1"/>
  <c r="DS98" i="9"/>
  <c r="EF98" i="9"/>
  <c r="ET98" i="9"/>
  <c r="FH98" i="9"/>
  <c r="FH114" i="9" s="1"/>
  <c r="FH116" i="9" s="1"/>
  <c r="GJ98" i="9"/>
  <c r="GJ114" i="9" s="1"/>
  <c r="GJ116" i="9" s="1"/>
  <c r="JM98" i="9"/>
  <c r="JM114" i="9" s="1"/>
  <c r="JM116" i="9" s="1"/>
  <c r="LO98" i="9"/>
  <c r="DZ100" i="9"/>
  <c r="DZ120" i="9" s="1"/>
  <c r="EL258" i="9"/>
  <c r="EL115" i="9"/>
  <c r="IF12" i="9"/>
  <c r="CV23" i="9"/>
  <c r="FL100" i="9"/>
  <c r="FL120" i="9" s="1"/>
  <c r="IT29" i="9"/>
  <c r="BT45" i="9"/>
  <c r="BT57" i="9"/>
  <c r="GP12" i="9"/>
  <c r="DJ23" i="9"/>
  <c r="AD45" i="9"/>
  <c r="AD57" i="9"/>
  <c r="IN98" i="9"/>
  <c r="IN114" i="9" s="1"/>
  <c r="IN116" i="9" s="1"/>
  <c r="AR82" i="9"/>
  <c r="LZ82" i="9"/>
  <c r="AM100" i="9"/>
  <c r="AM120" i="9" s="1"/>
  <c r="BA100" i="9"/>
  <c r="BA120" i="9" s="1"/>
  <c r="FD100" i="9"/>
  <c r="FD120" i="9" s="1"/>
  <c r="JH12" i="9"/>
  <c r="IA98" i="9"/>
  <c r="FI98" i="9"/>
  <c r="FI114" i="9" s="1"/>
  <c r="FI116" i="9" s="1"/>
  <c r="G98" i="9"/>
  <c r="G114" i="9" s="1"/>
  <c r="G116" i="9" s="1"/>
  <c r="U98" i="9"/>
  <c r="U114" i="9" s="1"/>
  <c r="U116" i="9" s="1"/>
  <c r="AI98" i="9"/>
  <c r="AI114" i="9" s="1"/>
  <c r="AI116" i="9" s="1"/>
  <c r="AV98" i="9"/>
  <c r="AV114" i="9" s="1"/>
  <c r="AV116" i="9" s="1"/>
  <c r="BI98" i="9"/>
  <c r="BI114" i="9" s="1"/>
  <c r="BI116" i="9" s="1"/>
  <c r="BV98" i="9"/>
  <c r="BV114" i="9" s="1"/>
  <c r="CV94" i="9"/>
  <c r="CX98" i="9"/>
  <c r="CX114" i="9" s="1"/>
  <c r="DJ94" i="9"/>
  <c r="DW98" i="9"/>
  <c r="EJ98" i="9"/>
  <c r="EJ114" i="9" s="1"/>
  <c r="EJ116" i="9" s="1"/>
  <c r="HB98" i="9"/>
  <c r="HB114" i="9" s="1"/>
  <c r="HB116" i="9" s="1"/>
  <c r="HO98" i="9"/>
  <c r="IB98" i="9"/>
  <c r="IB114" i="9" s="1"/>
  <c r="IB116" i="9" s="1"/>
  <c r="IO98" i="9"/>
  <c r="IO114" i="9" s="1"/>
  <c r="IO116" i="9" s="1"/>
  <c r="LE98" i="9"/>
  <c r="LE114" i="9" s="1"/>
  <c r="LE116" i="9" s="1"/>
  <c r="AQ100" i="9"/>
  <c r="AQ120" i="9" s="1"/>
  <c r="EQ100" i="9"/>
  <c r="EQ120" i="9" s="1"/>
  <c r="IP100" i="9"/>
  <c r="IP120" i="9" s="1"/>
  <c r="P112" i="9"/>
  <c r="AD112" i="9"/>
  <c r="BT183" i="9"/>
  <c r="GB12" i="9"/>
  <c r="HD12" i="9"/>
  <c r="BT23" i="9"/>
  <c r="DX23" i="9"/>
  <c r="IF29" i="9"/>
  <c r="CH45" i="9"/>
  <c r="BF57" i="9"/>
  <c r="AD82" i="9"/>
  <c r="CU98" i="9"/>
  <c r="CU114" i="9" s="1"/>
  <c r="CU116" i="9" s="1"/>
  <c r="CG100" i="9"/>
  <c r="CG120" i="9" s="1"/>
  <c r="HR12" i="9"/>
  <c r="KI100" i="9"/>
  <c r="KI120" i="9" s="1"/>
  <c r="HN98" i="9"/>
  <c r="HN114" i="9" s="1"/>
  <c r="HN116" i="9" s="1"/>
  <c r="DV98" i="9"/>
  <c r="DV114" i="9" s="1"/>
  <c r="DV116" i="9" s="1"/>
  <c r="EI98" i="9"/>
  <c r="EI114" i="9" s="1"/>
  <c r="EI116" i="9" s="1"/>
  <c r="EV98" i="9"/>
  <c r="EV114" i="9" s="1"/>
  <c r="EV116" i="9" s="1"/>
  <c r="H98" i="9"/>
  <c r="H114" i="9" s="1"/>
  <c r="H116" i="9" s="1"/>
  <c r="V98" i="9"/>
  <c r="V114" i="9" s="1"/>
  <c r="V116" i="9" s="1"/>
  <c r="CK98" i="9"/>
  <c r="GO98" i="9"/>
  <c r="KE98" i="9"/>
  <c r="KE114" i="9" s="1"/>
  <c r="KE116" i="9" s="1"/>
  <c r="KR98" i="9"/>
  <c r="KR114" i="9" s="1"/>
  <c r="KR116" i="9" s="1"/>
  <c r="LT98" i="9"/>
  <c r="LT114" i="9" s="1"/>
  <c r="GR100" i="9"/>
  <c r="BT112" i="9"/>
  <c r="CV112" i="9"/>
  <c r="DJ112" i="9"/>
  <c r="DX112" i="9"/>
  <c r="EL112" i="9"/>
  <c r="FN112" i="9"/>
  <c r="GI98" i="9"/>
  <c r="GI114" i="9" s="1"/>
  <c r="GI116" i="9" s="1"/>
  <c r="BF94" i="9"/>
  <c r="CO100" i="9"/>
  <c r="CO120" i="9" s="1"/>
  <c r="CH23" i="9"/>
  <c r="HR29" i="9"/>
  <c r="AR45" i="9"/>
  <c r="P57" i="9"/>
  <c r="P82" i="9"/>
  <c r="FV98" i="9"/>
  <c r="FV114" i="9" s="1"/>
  <c r="FV116" i="9" s="1"/>
  <c r="LL82" i="9"/>
  <c r="HD1" i="9"/>
  <c r="LZ6" i="9"/>
  <c r="AA100" i="9"/>
  <c r="AA120" i="9" s="1"/>
  <c r="BC100" i="9"/>
  <c r="BC120" i="9" s="1"/>
  <c r="GU100" i="9"/>
  <c r="GU120" i="9" s="1"/>
  <c r="HW100" i="9"/>
  <c r="HW120" i="9" s="1"/>
  <c r="KJ12" i="9"/>
  <c r="HA98" i="9"/>
  <c r="HA114" i="9" s="1"/>
  <c r="HA116" i="9" s="1"/>
  <c r="AW98" i="9"/>
  <c r="AW114" i="9" s="1"/>
  <c r="AW116" i="9" s="1"/>
  <c r="BJ98" i="9"/>
  <c r="BJ114" i="9" s="1"/>
  <c r="BJ116" i="9" s="1"/>
  <c r="BW98" i="9"/>
  <c r="BW114" i="9" s="1"/>
  <c r="BW116" i="9" s="1"/>
  <c r="CJ98" i="9"/>
  <c r="CJ114" i="9" s="1"/>
  <c r="CV82" i="9"/>
  <c r="DI98" i="9"/>
  <c r="I98" i="9"/>
  <c r="I114" i="9" s="1"/>
  <c r="I116" i="9" s="1"/>
  <c r="AK98" i="9"/>
  <c r="AK114" i="9" s="1"/>
  <c r="AK116" i="9" s="1"/>
  <c r="AX98" i="9"/>
  <c r="AX114" i="9" s="1"/>
  <c r="AX116" i="9" s="1"/>
  <c r="BK98" i="9"/>
  <c r="BX98" i="9"/>
  <c r="BX114" i="9" s="1"/>
  <c r="BX116" i="9" s="1"/>
  <c r="EL94" i="9"/>
  <c r="EZ94" i="9"/>
  <c r="FN94" i="9"/>
  <c r="GB94" i="9"/>
  <c r="GR114" i="9"/>
  <c r="HD94" i="9"/>
  <c r="JE98" i="9"/>
  <c r="JE114" i="9" s="1"/>
  <c r="JE116" i="9" s="1"/>
  <c r="KF98" i="9"/>
  <c r="KS98" i="9"/>
  <c r="LU98" i="9"/>
  <c r="LU114" i="9" s="1"/>
  <c r="EN98" i="9"/>
  <c r="EN114" i="9" s="1"/>
  <c r="AU100" i="9"/>
  <c r="AU120" i="9" s="1"/>
  <c r="CT100" i="9"/>
  <c r="CT120" i="9" s="1"/>
  <c r="GP112" i="9"/>
  <c r="BF1" i="9"/>
  <c r="GP29" i="9"/>
  <c r="DJ6" i="9"/>
  <c r="BD100" i="9"/>
  <c r="BD120" i="9" s="1"/>
  <c r="IL100" i="9"/>
  <c r="IL120" i="9" s="1"/>
  <c r="LL12" i="9"/>
  <c r="GP23" i="9"/>
  <c r="LL29" i="9"/>
  <c r="EZ45" i="9"/>
  <c r="EL57" i="9"/>
  <c r="GN98" i="9"/>
  <c r="GN114" i="9" s="1"/>
  <c r="GN116" i="9" s="1"/>
  <c r="AJ98" i="9"/>
  <c r="AJ114" i="9" s="1"/>
  <c r="AJ116" i="9" s="1"/>
  <c r="DJ82" i="9"/>
  <c r="DX82" i="9"/>
  <c r="J98" i="9"/>
  <c r="J114" i="9" s="1"/>
  <c r="J116" i="9" s="1"/>
  <c r="X98" i="9"/>
  <c r="X114" i="9" s="1"/>
  <c r="X116" i="9" s="1"/>
  <c r="FC98" i="9"/>
  <c r="FC114" i="9" s="1"/>
  <c r="FC116" i="9" s="1"/>
  <c r="GS98" i="9"/>
  <c r="GS114" i="9" s="1"/>
  <c r="GS116" i="9" s="1"/>
  <c r="HF98" i="9"/>
  <c r="HF114" i="9" s="1"/>
  <c r="HR94" i="9"/>
  <c r="IE98" i="9"/>
  <c r="IE114" i="9" s="1"/>
  <c r="IE116" i="9" s="1"/>
  <c r="IR98" i="9"/>
  <c r="IR114" i="9" s="1"/>
  <c r="IR116" i="9" s="1"/>
  <c r="JT98" i="9"/>
  <c r="JT114" i="9" s="1"/>
  <c r="JT116" i="9" s="1"/>
  <c r="KT98" i="9"/>
  <c r="KT114" i="9" s="1"/>
  <c r="KT116" i="9" s="1"/>
  <c r="LH98" i="9"/>
  <c r="LH114" i="9" s="1"/>
  <c r="LH116" i="9" s="1"/>
  <c r="LV98" i="9"/>
  <c r="LV114" i="9" s="1"/>
  <c r="BQ114" i="9"/>
  <c r="BQ116" i="9" s="1"/>
  <c r="BQ100" i="9"/>
  <c r="BQ120" i="9" s="1"/>
  <c r="HR112" i="9"/>
  <c r="O98" i="9"/>
  <c r="O114" i="9" s="1"/>
  <c r="O116" i="9" s="1"/>
  <c r="HD29" i="9"/>
  <c r="BF45" i="9"/>
  <c r="AR57" i="9"/>
  <c r="KM100" i="9"/>
  <c r="KM120" i="9" s="1"/>
  <c r="LZ12" i="9"/>
  <c r="AZ100" i="9"/>
  <c r="AZ120" i="9" s="1"/>
  <c r="EO98" i="9"/>
  <c r="EO114" i="9" s="1"/>
  <c r="EO116" i="9" s="1"/>
  <c r="FB98" i="9"/>
  <c r="FB114" i="9" s="1"/>
  <c r="FN57" i="9"/>
  <c r="GA98" i="9"/>
  <c r="GA114" i="9" s="1"/>
  <c r="GA116" i="9" s="1"/>
  <c r="W98" i="9"/>
  <c r="W114" i="9" s="1"/>
  <c r="W116" i="9" s="1"/>
  <c r="K98" i="9"/>
  <c r="EP98" i="9"/>
  <c r="EP114" i="9" s="1"/>
  <c r="EP116" i="9" s="1"/>
  <c r="GF98" i="9"/>
  <c r="GF114" i="9" s="1"/>
  <c r="GF116" i="9" s="1"/>
  <c r="GT98" i="9"/>
  <c r="HG98" i="9"/>
  <c r="HG114" i="9" s="1"/>
  <c r="HG116" i="9" s="1"/>
  <c r="HT98" i="9"/>
  <c r="IF94" i="9"/>
  <c r="IS98" i="9"/>
  <c r="JU98" i="9"/>
  <c r="JU114" i="9" s="1"/>
  <c r="JU116" i="9" s="1"/>
  <c r="KU98" i="9"/>
  <c r="KU114" i="9" s="1"/>
  <c r="KU116" i="9" s="1"/>
  <c r="LI98" i="9"/>
  <c r="JH112" i="9"/>
  <c r="JV112" i="9"/>
  <c r="CH94" i="9"/>
  <c r="IT112" i="9"/>
  <c r="CV258" i="9"/>
  <c r="T188" i="9"/>
  <c r="IT94" i="9"/>
  <c r="CV115" i="9"/>
  <c r="KX12" i="9"/>
  <c r="JH94" i="9"/>
  <c r="FP98" i="9"/>
  <c r="FP114" i="9" s="1"/>
  <c r="DX258" i="9"/>
  <c r="DX115" i="9"/>
  <c r="P178" i="9"/>
  <c r="BF112" i="9"/>
  <c r="AR1" i="9"/>
  <c r="P12" i="9"/>
  <c r="GP45" i="9"/>
  <c r="IY98" i="9"/>
  <c r="IY114" i="9" s="1"/>
  <c r="IY116" i="9" s="1"/>
  <c r="JL98" i="9"/>
  <c r="JL114" i="9" s="1"/>
  <c r="JL116" i="9" s="1"/>
  <c r="JY98" i="9"/>
  <c r="KL98" i="9"/>
  <c r="KX94" i="9"/>
  <c r="LK98" i="9"/>
  <c r="LK114" i="9" s="1"/>
  <c r="LK116" i="9" s="1"/>
  <c r="LX98" i="9"/>
  <c r="LX114" i="9" s="1"/>
  <c r="CH112" i="9"/>
  <c r="LL112" i="9"/>
  <c r="JV258" i="9"/>
  <c r="JV115" i="9"/>
  <c r="P216" i="9"/>
  <c r="GP57" i="9"/>
  <c r="KJ115" i="9"/>
  <c r="BP188" i="9"/>
  <c r="BH188" i="9"/>
  <c r="LZ94" i="9"/>
  <c r="LL258" i="9"/>
  <c r="LL115" i="9"/>
  <c r="GP82" i="9"/>
  <c r="BS100" i="9"/>
  <c r="BS120" i="9" s="1"/>
  <c r="BT12" i="9"/>
  <c r="GP94" i="9"/>
  <c r="EZ112" i="9"/>
  <c r="BF183" i="9"/>
  <c r="DJ258" i="9"/>
  <c r="DJ115" i="9"/>
  <c r="HR166" i="9"/>
  <c r="IT166" i="9"/>
  <c r="CV183" i="9"/>
  <c r="IT205" i="9"/>
  <c r="EZ258" i="9"/>
  <c r="EZ115" i="9"/>
  <c r="CH172" i="9"/>
  <c r="DJ172" i="9"/>
  <c r="DX172" i="9"/>
  <c r="JH206" i="9"/>
  <c r="KJ206" i="9"/>
  <c r="FN258" i="9"/>
  <c r="FN115" i="9"/>
  <c r="FN172" i="9"/>
  <c r="GB172" i="9"/>
  <c r="HD172" i="9"/>
  <c r="IT172" i="9"/>
  <c r="IT258" i="9"/>
  <c r="IT115" i="9"/>
  <c r="JH258" i="9"/>
  <c r="JH115" i="9"/>
  <c r="EZ186" i="9"/>
  <c r="FN186" i="9"/>
  <c r="P258" i="9"/>
  <c r="P115" i="9"/>
  <c r="GB258" i="9"/>
  <c r="GB115" i="9"/>
  <c r="LZ172" i="9"/>
  <c r="FG188" i="9"/>
  <c r="CV181" i="9"/>
  <c r="AD258" i="9"/>
  <c r="AD115" i="9"/>
  <c r="GP258" i="9"/>
  <c r="GP115" i="9"/>
  <c r="BT155" i="9"/>
  <c r="IF166" i="9"/>
  <c r="FB188" i="9"/>
  <c r="FN176" i="9"/>
  <c r="GA188" i="9"/>
  <c r="GN188" i="9"/>
  <c r="HB188" i="9"/>
  <c r="HO188" i="9"/>
  <c r="BF178" i="9"/>
  <c r="BT178" i="9"/>
  <c r="CH178" i="9"/>
  <c r="BF194" i="9"/>
  <c r="GP155" i="9"/>
  <c r="KJ166" i="9"/>
  <c r="LZ166" i="9"/>
  <c r="GB176" i="9"/>
  <c r="DJ178" i="9"/>
  <c r="DX178" i="9"/>
  <c r="EL178" i="9"/>
  <c r="EZ178" i="9"/>
  <c r="FN178" i="9"/>
  <c r="P186" i="9"/>
  <c r="AD186" i="9"/>
  <c r="AR186" i="9"/>
  <c r="CH194" i="9"/>
  <c r="BF258" i="9"/>
  <c r="BF115" i="9"/>
  <c r="HR258" i="9"/>
  <c r="HR115" i="9"/>
  <c r="KX155" i="9"/>
  <c r="AH188" i="9"/>
  <c r="FQ188" i="9"/>
  <c r="HD176" i="9"/>
  <c r="AD182" i="9"/>
  <c r="IF258" i="9"/>
  <c r="IF115" i="9"/>
  <c r="LL155" i="9"/>
  <c r="G188" i="9"/>
  <c r="U188" i="9"/>
  <c r="DA188" i="9"/>
  <c r="DO188" i="9"/>
  <c r="EC188" i="9"/>
  <c r="EQ188" i="9"/>
  <c r="DJ186" i="9"/>
  <c r="DX186" i="9"/>
  <c r="EL186" i="9"/>
  <c r="LZ155" i="9"/>
  <c r="CF188" i="9"/>
  <c r="IC188" i="9"/>
  <c r="BT182" i="9"/>
  <c r="HD195" i="9"/>
  <c r="AR155" i="9"/>
  <c r="CC188" i="9"/>
  <c r="CQ188" i="9"/>
  <c r="EG188" i="9"/>
  <c r="AR177" i="9"/>
  <c r="HD178" i="9"/>
  <c r="HR178" i="9"/>
  <c r="IF178" i="9"/>
  <c r="JV178" i="9"/>
  <c r="CV180" i="9"/>
  <c r="JH184" i="9"/>
  <c r="P191" i="9"/>
  <c r="CG200" i="9"/>
  <c r="FN212" i="9"/>
  <c r="FH225" i="9"/>
  <c r="CH207" i="9"/>
  <c r="HD212" i="9"/>
  <c r="CH155" i="9"/>
  <c r="M188" i="9"/>
  <c r="EZ180" i="9"/>
  <c r="HD180" i="9"/>
  <c r="DX182" i="9"/>
  <c r="FN182" i="9"/>
  <c r="GB182" i="9"/>
  <c r="HD182" i="9"/>
  <c r="HR182" i="9"/>
  <c r="IF182" i="9"/>
  <c r="JH182" i="9"/>
  <c r="GP208" i="9"/>
  <c r="IT221" i="9"/>
  <c r="DX155" i="9"/>
  <c r="HZ188" i="9"/>
  <c r="GP177" i="9"/>
  <c r="JV203" i="9"/>
  <c r="EZ155" i="9"/>
  <c r="CG188" i="9"/>
  <c r="IA188" i="9"/>
  <c r="HR177" i="9"/>
  <c r="FK188" i="9"/>
  <c r="CH192" i="9"/>
  <c r="CV192" i="9"/>
  <c r="EO225" i="9"/>
  <c r="HU225" i="9"/>
  <c r="IW225" i="9"/>
  <c r="FN155" i="9"/>
  <c r="AR166" i="9"/>
  <c r="BF166" i="9"/>
  <c r="CH166" i="9"/>
  <c r="DX166" i="9"/>
  <c r="GB166" i="9"/>
  <c r="BT176" i="9"/>
  <c r="EN188" i="9"/>
  <c r="EZ176" i="9"/>
  <c r="FM188" i="9"/>
  <c r="FZ188" i="9"/>
  <c r="GM188" i="9"/>
  <c r="HA188" i="9"/>
  <c r="HN188" i="9"/>
  <c r="IB188" i="9"/>
  <c r="IP188" i="9"/>
  <c r="JD188" i="9"/>
  <c r="BF179" i="9"/>
  <c r="CV179" i="9"/>
  <c r="P181" i="9"/>
  <c r="AD181" i="9"/>
  <c r="BF181" i="9"/>
  <c r="BT181" i="9"/>
  <c r="AD183" i="9"/>
  <c r="AR183" i="9"/>
  <c r="EL192" i="9"/>
  <c r="EL155" i="9"/>
  <c r="JH166" i="9"/>
  <c r="JV166" i="9"/>
  <c r="BF172" i="9"/>
  <c r="BT172" i="9"/>
  <c r="Y188" i="9"/>
  <c r="CA188" i="9"/>
  <c r="CO188" i="9"/>
  <c r="EE188" i="9"/>
  <c r="ER188" i="9"/>
  <c r="FE188" i="9"/>
  <c r="FR188" i="9"/>
  <c r="GE188" i="9"/>
  <c r="GS188" i="9"/>
  <c r="LL176" i="9"/>
  <c r="AD180" i="9"/>
  <c r="AR180" i="9"/>
  <c r="BT180" i="9"/>
  <c r="CH180" i="9"/>
  <c r="DJ182" i="9"/>
  <c r="GB186" i="9"/>
  <c r="KO200" i="9"/>
  <c r="P192" i="9"/>
  <c r="BF192" i="9"/>
  <c r="BT192" i="9"/>
  <c r="EL194" i="9"/>
  <c r="IT194" i="9"/>
  <c r="LC200" i="9"/>
  <c r="AR197" i="9"/>
  <c r="BF197" i="9"/>
  <c r="BT197" i="9"/>
  <c r="EC225" i="9"/>
  <c r="HR209" i="9"/>
  <c r="IT209" i="9"/>
  <c r="GP212" i="9"/>
  <c r="N188" i="9"/>
  <c r="AO188" i="9"/>
  <c r="BQ188" i="9"/>
  <c r="CD188" i="9"/>
  <c r="EH188" i="9"/>
  <c r="EU188" i="9"/>
  <c r="FH188" i="9"/>
  <c r="FU188" i="9"/>
  <c r="KA188" i="9"/>
  <c r="KO188" i="9"/>
  <c r="LC188" i="9"/>
  <c r="IT177" i="9"/>
  <c r="JV177" i="9"/>
  <c r="KJ177" i="9"/>
  <c r="KX177" i="9"/>
  <c r="LL177" i="9"/>
  <c r="EL179" i="9"/>
  <c r="GP181" i="9"/>
  <c r="HR181" i="9"/>
  <c r="IF181" i="9"/>
  <c r="IT181" i="9"/>
  <c r="JH181" i="9"/>
  <c r="KX182" i="9"/>
  <c r="LL182" i="9"/>
  <c r="BT185" i="9"/>
  <c r="CH185" i="9"/>
  <c r="FN185" i="9"/>
  <c r="GB185" i="9"/>
  <c r="HD185" i="9"/>
  <c r="FH200" i="9"/>
  <c r="FV200" i="9"/>
  <c r="GJ200" i="9"/>
  <c r="GX200" i="9"/>
  <c r="HL200" i="9"/>
  <c r="HR195" i="9"/>
  <c r="CP225" i="9"/>
  <c r="LL213" i="9"/>
  <c r="HD155" i="9"/>
  <c r="O188" i="9"/>
  <c r="AC188" i="9"/>
  <c r="BD188" i="9"/>
  <c r="CS188" i="9"/>
  <c r="DG188" i="9"/>
  <c r="DU188" i="9"/>
  <c r="JN188" i="9"/>
  <c r="KB188" i="9"/>
  <c r="GP180" i="9"/>
  <c r="LL181" i="9"/>
  <c r="P184" i="9"/>
  <c r="AD184" i="9"/>
  <c r="AR184" i="9"/>
  <c r="BF184" i="9"/>
  <c r="LZ188" i="9"/>
  <c r="DS200" i="9"/>
  <c r="EU200" i="9"/>
  <c r="FI200" i="9"/>
  <c r="FW200" i="9"/>
  <c r="FR200" i="9"/>
  <c r="EL219" i="9"/>
  <c r="EZ219" i="9"/>
  <c r="AN237" i="9"/>
  <c r="IF155" i="9"/>
  <c r="BT166" i="9"/>
  <c r="GP172" i="9"/>
  <c r="P176" i="9"/>
  <c r="R188" i="9"/>
  <c r="AD176" i="9"/>
  <c r="AQ188" i="9"/>
  <c r="HK188" i="9"/>
  <c r="HY188" i="9"/>
  <c r="IM188" i="9"/>
  <c r="JA188" i="9"/>
  <c r="JO188" i="9"/>
  <c r="KC188" i="9"/>
  <c r="LE188" i="9"/>
  <c r="HD179" i="9"/>
  <c r="IF180" i="9"/>
  <c r="IT180" i="9"/>
  <c r="JH180" i="9"/>
  <c r="JV180" i="9"/>
  <c r="KX180" i="9"/>
  <c r="LL180" i="9"/>
  <c r="DJ184" i="9"/>
  <c r="DX184" i="9"/>
  <c r="EL184" i="9"/>
  <c r="EZ184" i="9"/>
  <c r="FN184" i="9"/>
  <c r="JH185" i="9"/>
  <c r="JV185" i="9"/>
  <c r="KJ185" i="9"/>
  <c r="KX185" i="9"/>
  <c r="LL185" i="9"/>
  <c r="BP200" i="9"/>
  <c r="DJ193" i="9"/>
  <c r="EL193" i="9"/>
  <c r="JS200" i="9"/>
  <c r="FE200" i="9"/>
  <c r="JH195" i="9"/>
  <c r="KJ195" i="9"/>
  <c r="P198" i="9"/>
  <c r="CV205" i="9"/>
  <c r="GP205" i="9"/>
  <c r="HD205" i="9"/>
  <c r="HR205" i="9"/>
  <c r="JF225" i="9"/>
  <c r="HP225" i="9"/>
  <c r="HP241" i="9" s="1"/>
  <c r="HP243" i="9" s="1"/>
  <c r="GB219" i="9"/>
  <c r="IT155" i="9"/>
  <c r="CV166" i="9"/>
  <c r="DJ166" i="9"/>
  <c r="HR172" i="9"/>
  <c r="IF172" i="9"/>
  <c r="E188" i="9"/>
  <c r="AT188" i="9"/>
  <c r="GY188" i="9"/>
  <c r="HL188" i="9"/>
  <c r="IN188" i="9"/>
  <c r="JB188" i="9"/>
  <c r="JP188" i="9"/>
  <c r="KR188" i="9"/>
  <c r="JH178" i="9"/>
  <c r="IT179" i="9"/>
  <c r="JH179" i="9"/>
  <c r="JV179" i="9"/>
  <c r="KJ179" i="9"/>
  <c r="LL179" i="9"/>
  <c r="P183" i="9"/>
  <c r="DU200" i="9"/>
  <c r="EI200" i="9"/>
  <c r="HD193" i="9"/>
  <c r="HR193" i="9"/>
  <c r="IF193" i="9"/>
  <c r="HA225" i="9"/>
  <c r="BT208" i="9"/>
  <c r="FN208" i="9"/>
  <c r="GB208" i="9"/>
  <c r="AD155" i="9"/>
  <c r="KJ155" i="9"/>
  <c r="EL166" i="9"/>
  <c r="EZ166" i="9"/>
  <c r="FN166" i="9"/>
  <c r="JH172" i="9"/>
  <c r="JV172" i="9"/>
  <c r="KJ172" i="9"/>
  <c r="F188" i="9"/>
  <c r="AG188" i="9"/>
  <c r="AU188" i="9"/>
  <c r="DX176" i="9"/>
  <c r="DZ188" i="9"/>
  <c r="EL176" i="9"/>
  <c r="FL188" i="9"/>
  <c r="FY188" i="9"/>
  <c r="GL188" i="9"/>
  <c r="GZ188" i="9"/>
  <c r="HM188" i="9"/>
  <c r="IO188" i="9"/>
  <c r="JQ188" i="9"/>
  <c r="KJ178" i="9"/>
  <c r="KX178" i="9"/>
  <c r="IT193" i="9"/>
  <c r="EG200" i="9"/>
  <c r="HR196" i="9"/>
  <c r="IF196" i="9"/>
  <c r="JH205" i="9"/>
  <c r="HD208" i="9"/>
  <c r="FN211" i="9"/>
  <c r="FP225" i="9"/>
  <c r="GB211" i="9"/>
  <c r="KX220" i="9"/>
  <c r="P155" i="9"/>
  <c r="GB155" i="9"/>
  <c r="AP188" i="9"/>
  <c r="BC188" i="9"/>
  <c r="CP188" i="9"/>
  <c r="DC188" i="9"/>
  <c r="FD188" i="9"/>
  <c r="GP176" i="9"/>
  <c r="HC188" i="9"/>
  <c r="JC188" i="9"/>
  <c r="KD188" i="9"/>
  <c r="LD188" i="9"/>
  <c r="IT178" i="9"/>
  <c r="GB179" i="9"/>
  <c r="GP179" i="9"/>
  <c r="FN180" i="9"/>
  <c r="GB180" i="9"/>
  <c r="CV182" i="9"/>
  <c r="CH183" i="9"/>
  <c r="CF200" i="9"/>
  <c r="CS200" i="9"/>
  <c r="DF200" i="9"/>
  <c r="EH200" i="9"/>
  <c r="EV200" i="9"/>
  <c r="HG200" i="9"/>
  <c r="KJ194" i="9"/>
  <c r="ER200" i="9"/>
  <c r="JN225" i="9"/>
  <c r="DU225" i="9"/>
  <c r="P211" i="9"/>
  <c r="AD211" i="9"/>
  <c r="BF211" i="9"/>
  <c r="EZ211" i="9"/>
  <c r="KX212" i="9"/>
  <c r="P214" i="9"/>
  <c r="DJ214" i="9"/>
  <c r="FN214" i="9"/>
  <c r="GB214" i="9"/>
  <c r="GB221" i="9"/>
  <c r="HD221" i="9"/>
  <c r="IT228" i="9"/>
  <c r="AF188" i="9"/>
  <c r="AR176" i="9"/>
  <c r="BE188" i="9"/>
  <c r="BR188" i="9"/>
  <c r="CE188" i="9"/>
  <c r="DE188" i="9"/>
  <c r="DS188" i="9"/>
  <c r="FF188" i="9"/>
  <c r="FS188" i="9"/>
  <c r="HF188" i="9"/>
  <c r="HR176" i="9"/>
  <c r="JE188" i="9"/>
  <c r="JR188" i="9"/>
  <c r="LF188" i="9"/>
  <c r="IF179" i="9"/>
  <c r="HR180" i="9"/>
  <c r="EL182" i="9"/>
  <c r="EZ182" i="9"/>
  <c r="DX183" i="9"/>
  <c r="EL183" i="9"/>
  <c r="EZ183" i="9"/>
  <c r="FN183" i="9"/>
  <c r="GB183" i="9"/>
  <c r="BF185" i="9"/>
  <c r="HD186" i="9"/>
  <c r="BH200" i="9"/>
  <c r="BV200" i="9"/>
  <c r="CH191" i="9"/>
  <c r="CU200" i="9"/>
  <c r="DH200" i="9"/>
  <c r="DV200" i="9"/>
  <c r="DX192" i="9"/>
  <c r="GG200" i="9"/>
  <c r="JV193" i="9"/>
  <c r="CR200" i="9"/>
  <c r="DE200" i="9"/>
  <c r="AR198" i="9"/>
  <c r="BF198" i="9"/>
  <c r="CH198" i="9"/>
  <c r="GB198" i="9"/>
  <c r="FI225" i="9"/>
  <c r="FW225" i="9"/>
  <c r="GK225" i="9"/>
  <c r="CV204" i="9"/>
  <c r="KX205" i="9"/>
  <c r="LL205" i="9"/>
  <c r="IQ225" i="9"/>
  <c r="BF155" i="9"/>
  <c r="HR155" i="9"/>
  <c r="BF176" i="9"/>
  <c r="BS188" i="9"/>
  <c r="DF188" i="9"/>
  <c r="DT188" i="9"/>
  <c r="FT188" i="9"/>
  <c r="HT188" i="9"/>
  <c r="IF176" i="9"/>
  <c r="JS188" i="9"/>
  <c r="KG188" i="9"/>
  <c r="KT188" i="9"/>
  <c r="LG188" i="9"/>
  <c r="JH177" i="9"/>
  <c r="P179" i="9"/>
  <c r="HD181" i="9"/>
  <c r="JV184" i="9"/>
  <c r="KJ184" i="9"/>
  <c r="KX184" i="9"/>
  <c r="LL184" i="9"/>
  <c r="AG200" i="9"/>
  <c r="AU200" i="9"/>
  <c r="BI200" i="9"/>
  <c r="BW200" i="9"/>
  <c r="CJ200" i="9"/>
  <c r="CV191" i="9"/>
  <c r="DI200" i="9"/>
  <c r="EZ192" i="9"/>
  <c r="FN192" i="9"/>
  <c r="KX193" i="9"/>
  <c r="BD200" i="9"/>
  <c r="JP200" i="9"/>
  <c r="AR203" i="9"/>
  <c r="CH203" i="9"/>
  <c r="CV203" i="9"/>
  <c r="DV225" i="9"/>
  <c r="EI225" i="9"/>
  <c r="EV225" i="9"/>
  <c r="HN225" i="9"/>
  <c r="KD225" i="9"/>
  <c r="JG225" i="9"/>
  <c r="BF207" i="9"/>
  <c r="JH208" i="9"/>
  <c r="JV208" i="9"/>
  <c r="KJ208" i="9"/>
  <c r="KX208" i="9"/>
  <c r="LL208" i="9"/>
  <c r="HD211" i="9"/>
  <c r="LL214" i="9"/>
  <c r="JV217" i="9"/>
  <c r="JV221" i="9"/>
  <c r="KJ221" i="9"/>
  <c r="KX221" i="9"/>
  <c r="LL221" i="9"/>
  <c r="IH188" i="9"/>
  <c r="IT176" i="9"/>
  <c r="JG188" i="9"/>
  <c r="JT188" i="9"/>
  <c r="KH188" i="9"/>
  <c r="LH188" i="9"/>
  <c r="CV177" i="9"/>
  <c r="LL178" i="9"/>
  <c r="P180" i="9"/>
  <c r="GP182" i="9"/>
  <c r="CV185" i="9"/>
  <c r="DJ185" i="9"/>
  <c r="DX185" i="9"/>
  <c r="EL185" i="9"/>
  <c r="EZ185" i="9"/>
  <c r="IT186" i="9"/>
  <c r="JH186" i="9"/>
  <c r="JV186" i="9"/>
  <c r="KJ186" i="9"/>
  <c r="KX186" i="9"/>
  <c r="G200" i="9"/>
  <c r="AV200" i="9"/>
  <c r="BJ200" i="9"/>
  <c r="GB191" i="9"/>
  <c r="GP191" i="9"/>
  <c r="HD191" i="9"/>
  <c r="HR191" i="9"/>
  <c r="IF191" i="9"/>
  <c r="IT191" i="9"/>
  <c r="IV200" i="9"/>
  <c r="JH191" i="9"/>
  <c r="JU200" i="9"/>
  <c r="KH200" i="9"/>
  <c r="KU200" i="9"/>
  <c r="LH200" i="9"/>
  <c r="IT192" i="9"/>
  <c r="JH192" i="9"/>
  <c r="JV192" i="9"/>
  <c r="LL192" i="9"/>
  <c r="ET200" i="9"/>
  <c r="BE200" i="9"/>
  <c r="R200" i="9"/>
  <c r="IF198" i="9"/>
  <c r="CX225" i="9"/>
  <c r="DJ203" i="9"/>
  <c r="DW225" i="9"/>
  <c r="EJ225" i="9"/>
  <c r="EW225" i="9"/>
  <c r="FK225" i="9"/>
  <c r="EZ204" i="9"/>
  <c r="IT204" i="9"/>
  <c r="JH204" i="9"/>
  <c r="KX204" i="9"/>
  <c r="BF206" i="9"/>
  <c r="BP225" i="9"/>
  <c r="P210" i="9"/>
  <c r="LL211" i="9"/>
  <c r="I188" i="9"/>
  <c r="V188" i="9"/>
  <c r="AI188" i="9"/>
  <c r="AV188" i="9"/>
  <c r="BI188" i="9"/>
  <c r="BV188" i="9"/>
  <c r="CH176" i="9"/>
  <c r="CU188" i="9"/>
  <c r="DH188" i="9"/>
  <c r="DV188" i="9"/>
  <c r="EI188" i="9"/>
  <c r="EV188" i="9"/>
  <c r="FI188" i="9"/>
  <c r="FV188" i="9"/>
  <c r="GI188" i="9"/>
  <c r="GV188" i="9"/>
  <c r="HI188" i="9"/>
  <c r="HV188" i="9"/>
  <c r="II188" i="9"/>
  <c r="JH176" i="9"/>
  <c r="DL188" i="9"/>
  <c r="HU200" i="9"/>
  <c r="II200" i="9"/>
  <c r="JJ200" i="9"/>
  <c r="JV191" i="9"/>
  <c r="KI200" i="9"/>
  <c r="KV200" i="9"/>
  <c r="BF195" i="9"/>
  <c r="BT195" i="9"/>
  <c r="E200" i="9"/>
  <c r="CV197" i="9"/>
  <c r="DJ197" i="9"/>
  <c r="DX197" i="9"/>
  <c r="EZ197" i="9"/>
  <c r="GB197" i="9"/>
  <c r="KX198" i="9"/>
  <c r="LL198" i="9"/>
  <c r="BJ225" i="9"/>
  <c r="DX203" i="9"/>
  <c r="EX225" i="9"/>
  <c r="FL225" i="9"/>
  <c r="KF225" i="9"/>
  <c r="LH225" i="9"/>
  <c r="DJ207" i="9"/>
  <c r="HD207" i="9"/>
  <c r="HR207" i="9"/>
  <c r="IF207" i="9"/>
  <c r="P209" i="9"/>
  <c r="AD213" i="9"/>
  <c r="AR213" i="9"/>
  <c r="BF213" i="9"/>
  <c r="BT213" i="9"/>
  <c r="CH213" i="9"/>
  <c r="HR218" i="9"/>
  <c r="DJ223" i="9"/>
  <c r="EZ223" i="9"/>
  <c r="CV155" i="9"/>
  <c r="JH155" i="9"/>
  <c r="J188" i="9"/>
  <c r="W188" i="9"/>
  <c r="AJ188" i="9"/>
  <c r="AW188" i="9"/>
  <c r="BJ188" i="9"/>
  <c r="BW188" i="9"/>
  <c r="CJ188" i="9"/>
  <c r="CV176" i="9"/>
  <c r="DI188" i="9"/>
  <c r="JX188" i="9"/>
  <c r="KJ176" i="9"/>
  <c r="KW188" i="9"/>
  <c r="BT179" i="9"/>
  <c r="KX179" i="9"/>
  <c r="BF180" i="9"/>
  <c r="KJ180" i="9"/>
  <c r="IT183" i="9"/>
  <c r="GF200" i="9"/>
  <c r="HH200" i="9"/>
  <c r="HV200" i="9"/>
  <c r="IJ200" i="9"/>
  <c r="JX200" i="9"/>
  <c r="KJ191" i="9"/>
  <c r="KW200" i="9"/>
  <c r="JQ200" i="9"/>
  <c r="BT196" i="9"/>
  <c r="CH196" i="9"/>
  <c r="DJ196" i="9"/>
  <c r="GP196" i="9"/>
  <c r="HD196" i="9"/>
  <c r="AI225" i="9"/>
  <c r="AW225" i="9"/>
  <c r="BK225" i="9"/>
  <c r="BY225" i="9"/>
  <c r="CM225" i="9"/>
  <c r="CZ225" i="9"/>
  <c r="DM225" i="9"/>
  <c r="DZ225" i="9"/>
  <c r="EL203" i="9"/>
  <c r="EY225" i="9"/>
  <c r="KU225" i="9"/>
  <c r="LI225" i="9"/>
  <c r="KJ207" i="9"/>
  <c r="KX207" i="9"/>
  <c r="LL207" i="9"/>
  <c r="BT210" i="9"/>
  <c r="FN210" i="9"/>
  <c r="GB210" i="9"/>
  <c r="GP210" i="9"/>
  <c r="HD210" i="9"/>
  <c r="HR210" i="9"/>
  <c r="DJ155" i="9"/>
  <c r="JV155" i="9"/>
  <c r="K188" i="9"/>
  <c r="X188" i="9"/>
  <c r="AK188" i="9"/>
  <c r="EK188" i="9"/>
  <c r="EX188" i="9"/>
  <c r="FX188" i="9"/>
  <c r="GK188" i="9"/>
  <c r="GX188" i="9"/>
  <c r="HX188" i="9"/>
  <c r="IK188" i="9"/>
  <c r="IX188" i="9"/>
  <c r="JY188" i="9"/>
  <c r="KL188" i="9"/>
  <c r="KX176" i="9"/>
  <c r="AR181" i="9"/>
  <c r="JV181" i="9"/>
  <c r="BT184" i="9"/>
  <c r="FS200" i="9"/>
  <c r="GU200" i="9"/>
  <c r="HW200" i="9"/>
  <c r="IY200" i="9"/>
  <c r="JL200" i="9"/>
  <c r="JY200" i="9"/>
  <c r="KX191" i="9"/>
  <c r="P194" i="9"/>
  <c r="AD194" i="9"/>
  <c r="AR194" i="9"/>
  <c r="DT200" i="9"/>
  <c r="DJ195" i="9"/>
  <c r="HR197" i="9"/>
  <c r="IF197" i="9"/>
  <c r="JH197" i="9"/>
  <c r="GB203" i="9"/>
  <c r="GD225" i="9"/>
  <c r="IF203" i="9"/>
  <c r="IV225" i="9"/>
  <c r="JH203" i="9"/>
  <c r="JU225" i="9"/>
  <c r="KH225" i="9"/>
  <c r="KV225" i="9"/>
  <c r="DG225" i="9"/>
  <c r="DJ206" i="9"/>
  <c r="JH210" i="9"/>
  <c r="JV210" i="9"/>
  <c r="KJ210" i="9"/>
  <c r="KX210" i="9"/>
  <c r="LL210" i="9"/>
  <c r="AD212" i="9"/>
  <c r="EZ213" i="9"/>
  <c r="FN213" i="9"/>
  <c r="KJ213" i="9"/>
  <c r="KX213" i="9"/>
  <c r="IT215" i="9"/>
  <c r="JH215" i="9"/>
  <c r="HR231" i="9"/>
  <c r="AD191" i="9"/>
  <c r="AR191" i="9"/>
  <c r="BF191" i="9"/>
  <c r="BT191" i="9"/>
  <c r="FU200" i="9"/>
  <c r="GH200" i="9"/>
  <c r="GV200" i="9"/>
  <c r="HJ200" i="9"/>
  <c r="HX200" i="9"/>
  <c r="IL200" i="9"/>
  <c r="KZ200" i="9"/>
  <c r="LL191" i="9"/>
  <c r="P196" i="9"/>
  <c r="AD196" i="9"/>
  <c r="KJ196" i="9"/>
  <c r="KX196" i="9"/>
  <c r="LL196" i="9"/>
  <c r="CH197" i="9"/>
  <c r="AJ225" i="9"/>
  <c r="AX225" i="9"/>
  <c r="BL225" i="9"/>
  <c r="BZ225" i="9"/>
  <c r="FB225" i="9"/>
  <c r="FN203" i="9"/>
  <c r="GA225" i="9"/>
  <c r="HQ225" i="9"/>
  <c r="KG225" i="9"/>
  <c r="KJ205" i="9"/>
  <c r="EL206" i="9"/>
  <c r="EZ206" i="9"/>
  <c r="FN206" i="9"/>
  <c r="GB206" i="9"/>
  <c r="GP206" i="9"/>
  <c r="HD206" i="9"/>
  <c r="IT208" i="9"/>
  <c r="CV209" i="9"/>
  <c r="DJ209" i="9"/>
  <c r="DX209" i="9"/>
  <c r="EL209" i="9"/>
  <c r="EZ209" i="9"/>
  <c r="FN209" i="9"/>
  <c r="IF211" i="9"/>
  <c r="IT211" i="9"/>
  <c r="JH211" i="9"/>
  <c r="JV211" i="9"/>
  <c r="KJ211" i="9"/>
  <c r="KX211" i="9"/>
  <c r="P213" i="9"/>
  <c r="EL217" i="9"/>
  <c r="HD217" i="9"/>
  <c r="IF217" i="9"/>
  <c r="JH217" i="9"/>
  <c r="JH221" i="9"/>
  <c r="EZ228" i="9"/>
  <c r="GP228" i="9"/>
  <c r="KU237" i="9"/>
  <c r="GB231" i="9"/>
  <c r="IT219" i="9"/>
  <c r="JV228" i="9"/>
  <c r="AI200" i="9"/>
  <c r="AW200" i="9"/>
  <c r="BK200" i="9"/>
  <c r="BX200" i="9"/>
  <c r="CK200" i="9"/>
  <c r="CX200" i="9"/>
  <c r="DJ191" i="9"/>
  <c r="DW200" i="9"/>
  <c r="EJ200" i="9"/>
  <c r="EW200" i="9"/>
  <c r="FJ200" i="9"/>
  <c r="FX200" i="9"/>
  <c r="GK200" i="9"/>
  <c r="GY200" i="9"/>
  <c r="GB192" i="9"/>
  <c r="GP192" i="9"/>
  <c r="HD192" i="9"/>
  <c r="HR192" i="9"/>
  <c r="IF192" i="9"/>
  <c r="P193" i="9"/>
  <c r="AD193" i="9"/>
  <c r="AR193" i="9"/>
  <c r="BF193" i="9"/>
  <c r="DX194" i="9"/>
  <c r="K225" i="9"/>
  <c r="Y225" i="9"/>
  <c r="AM225" i="9"/>
  <c r="BO225" i="9"/>
  <c r="DD225" i="9"/>
  <c r="EQ225" i="9"/>
  <c r="HV225" i="9"/>
  <c r="IJ225" i="9"/>
  <c r="IX225" i="9"/>
  <c r="JK225" i="9"/>
  <c r="JX225" i="9"/>
  <c r="KJ203" i="9"/>
  <c r="KW225" i="9"/>
  <c r="LJ225" i="9"/>
  <c r="EL204" i="9"/>
  <c r="P205" i="9"/>
  <c r="AD205" i="9"/>
  <c r="AR205" i="9"/>
  <c r="BF205" i="9"/>
  <c r="CV207" i="9"/>
  <c r="P208" i="9"/>
  <c r="BF210" i="9"/>
  <c r="HR212" i="9"/>
  <c r="IF212" i="9"/>
  <c r="IT212" i="9"/>
  <c r="JH212" i="9"/>
  <c r="JV212" i="9"/>
  <c r="KJ212" i="9"/>
  <c r="GB222" i="9"/>
  <c r="DO237" i="9"/>
  <c r="EC237" i="9"/>
  <c r="JH231" i="9"/>
  <c r="JV231" i="9"/>
  <c r="P235" i="9"/>
  <c r="AR235" i="9"/>
  <c r="I200" i="9"/>
  <c r="V200" i="9"/>
  <c r="AJ200" i="9"/>
  <c r="AX200" i="9"/>
  <c r="BL200" i="9"/>
  <c r="BY200" i="9"/>
  <c r="CL200" i="9"/>
  <c r="CY200" i="9"/>
  <c r="DL200" i="9"/>
  <c r="DX191" i="9"/>
  <c r="EK200" i="9"/>
  <c r="EX200" i="9"/>
  <c r="FK200" i="9"/>
  <c r="FY200" i="9"/>
  <c r="GL200" i="9"/>
  <c r="GZ200" i="9"/>
  <c r="EZ194" i="9"/>
  <c r="FN194" i="9"/>
  <c r="GB194" i="9"/>
  <c r="GP194" i="9"/>
  <c r="HD194" i="9"/>
  <c r="JV195" i="9"/>
  <c r="L225" i="9"/>
  <c r="Z225" i="9"/>
  <c r="BB225" i="9"/>
  <c r="ER225" i="9"/>
  <c r="GG225" i="9"/>
  <c r="GU225" i="9"/>
  <c r="HI225" i="9"/>
  <c r="HW225" i="9"/>
  <c r="IK225" i="9"/>
  <c r="IY225" i="9"/>
  <c r="JL225" i="9"/>
  <c r="JY225" i="9"/>
  <c r="KL225" i="9"/>
  <c r="KX203" i="9"/>
  <c r="LK225" i="9"/>
  <c r="FN204" i="9"/>
  <c r="GB204" i="9"/>
  <c r="GP204" i="9"/>
  <c r="HD204" i="9"/>
  <c r="HR204" i="9"/>
  <c r="IF204" i="9"/>
  <c r="JV206" i="9"/>
  <c r="DX207" i="9"/>
  <c r="EL207" i="9"/>
  <c r="EZ207" i="9"/>
  <c r="FN207" i="9"/>
  <c r="GB207" i="9"/>
  <c r="GP207" i="9"/>
  <c r="IF209" i="9"/>
  <c r="CH210" i="9"/>
  <c r="CV210" i="9"/>
  <c r="DJ210" i="9"/>
  <c r="DX210" i="9"/>
  <c r="EL210" i="9"/>
  <c r="EZ210" i="9"/>
  <c r="AD214" i="9"/>
  <c r="AR214" i="9"/>
  <c r="BF214" i="9"/>
  <c r="BT214" i="9"/>
  <c r="CH214" i="9"/>
  <c r="CV214" i="9"/>
  <c r="BT220" i="9"/>
  <c r="CV220" i="9"/>
  <c r="DJ220" i="9"/>
  <c r="DP237" i="9"/>
  <c r="J200" i="9"/>
  <c r="W200" i="9"/>
  <c r="AK200" i="9"/>
  <c r="AY200" i="9"/>
  <c r="BM200" i="9"/>
  <c r="BZ200" i="9"/>
  <c r="CM200" i="9"/>
  <c r="CZ200" i="9"/>
  <c r="DM200" i="9"/>
  <c r="DZ200" i="9"/>
  <c r="EL191" i="9"/>
  <c r="EY200" i="9"/>
  <c r="FL200" i="9"/>
  <c r="JE200" i="9"/>
  <c r="KE200" i="9"/>
  <c r="KR200" i="9"/>
  <c r="LE200" i="9"/>
  <c r="P195" i="9"/>
  <c r="AD195" i="9"/>
  <c r="AR195" i="9"/>
  <c r="KX195" i="9"/>
  <c r="LL195" i="9"/>
  <c r="CV196" i="9"/>
  <c r="BT198" i="9"/>
  <c r="GD200" i="9"/>
  <c r="M225" i="9"/>
  <c r="AO225" i="9"/>
  <c r="BC225" i="9"/>
  <c r="GH225" i="9"/>
  <c r="HJ225" i="9"/>
  <c r="HX225" i="9"/>
  <c r="IL225" i="9"/>
  <c r="KX206" i="9"/>
  <c r="LL206" i="9"/>
  <c r="JH209" i="9"/>
  <c r="JV209" i="9"/>
  <c r="KJ209" i="9"/>
  <c r="KX209" i="9"/>
  <c r="LL209" i="9"/>
  <c r="GB213" i="9"/>
  <c r="BF216" i="9"/>
  <c r="BT216" i="9"/>
  <c r="CH216" i="9"/>
  <c r="CV216" i="9"/>
  <c r="DJ216" i="9"/>
  <c r="GP218" i="9"/>
  <c r="HD218" i="9"/>
  <c r="CO237" i="9"/>
  <c r="DC237" i="9"/>
  <c r="GB229" i="9"/>
  <c r="IF229" i="9"/>
  <c r="HR232" i="9"/>
  <c r="K200" i="9"/>
  <c r="X200" i="9"/>
  <c r="AL200" i="9"/>
  <c r="BN200" i="9"/>
  <c r="CA200" i="9"/>
  <c r="CN200" i="9"/>
  <c r="DA200" i="9"/>
  <c r="DN200" i="9"/>
  <c r="EA200" i="9"/>
  <c r="EN200" i="9"/>
  <c r="EZ191" i="9"/>
  <c r="FM200" i="9"/>
  <c r="IR200" i="9"/>
  <c r="DX196" i="9"/>
  <c r="EL196" i="9"/>
  <c r="EZ196" i="9"/>
  <c r="FN196" i="9"/>
  <c r="GB196" i="9"/>
  <c r="IT197" i="9"/>
  <c r="CV198" i="9"/>
  <c r="DJ198" i="9"/>
  <c r="DX198" i="9"/>
  <c r="EL198" i="9"/>
  <c r="EZ198" i="9"/>
  <c r="FN198" i="9"/>
  <c r="AB225" i="9"/>
  <c r="ET225" i="9"/>
  <c r="GI225" i="9"/>
  <c r="GW225" i="9"/>
  <c r="HK225" i="9"/>
  <c r="HY225" i="9"/>
  <c r="JA225" i="9"/>
  <c r="KA225" i="9"/>
  <c r="KN225" i="9"/>
  <c r="AR211" i="9"/>
  <c r="HD213" i="9"/>
  <c r="HR213" i="9"/>
  <c r="IF213" i="9"/>
  <c r="IT213" i="9"/>
  <c r="JH213" i="9"/>
  <c r="JV213" i="9"/>
  <c r="AR215" i="9"/>
  <c r="HD216" i="9"/>
  <c r="HR216" i="9"/>
  <c r="JV216" i="9"/>
  <c r="KJ216" i="9"/>
  <c r="KX216" i="9"/>
  <c r="LL216" i="9"/>
  <c r="IF218" i="9"/>
  <c r="IT220" i="9"/>
  <c r="JH220" i="9"/>
  <c r="JV220" i="9"/>
  <c r="AX188" i="9"/>
  <c r="BK188" i="9"/>
  <c r="BX188" i="9"/>
  <c r="CK188" i="9"/>
  <c r="CX188" i="9"/>
  <c r="DJ176" i="9"/>
  <c r="DW188" i="9"/>
  <c r="EJ188" i="9"/>
  <c r="EW188" i="9"/>
  <c r="FJ188" i="9"/>
  <c r="FW188" i="9"/>
  <c r="GJ188" i="9"/>
  <c r="GW188" i="9"/>
  <c r="HJ188" i="9"/>
  <c r="HW188" i="9"/>
  <c r="IJ188" i="9"/>
  <c r="IW188" i="9"/>
  <c r="JJ188" i="9"/>
  <c r="JV176" i="9"/>
  <c r="KI188" i="9"/>
  <c r="KV188" i="9"/>
  <c r="LI188" i="9"/>
  <c r="L200" i="9"/>
  <c r="Y200" i="9"/>
  <c r="AM200" i="9"/>
  <c r="BA200" i="9"/>
  <c r="BA257" i="9" s="1"/>
  <c r="BA259" i="9" s="1"/>
  <c r="FN191" i="9"/>
  <c r="IE200" i="9"/>
  <c r="JG200" i="9"/>
  <c r="JT200" i="9"/>
  <c r="KG200" i="9"/>
  <c r="KT200" i="9"/>
  <c r="LG200" i="9"/>
  <c r="JV197" i="9"/>
  <c r="KJ197" i="9"/>
  <c r="KX197" i="9"/>
  <c r="LL197" i="9"/>
  <c r="FV225" i="9"/>
  <c r="GJ225" i="9"/>
  <c r="GX225" i="9"/>
  <c r="HL225" i="9"/>
  <c r="IN225" i="9"/>
  <c r="JO225" i="9"/>
  <c r="DX205" i="9"/>
  <c r="P206" i="9"/>
  <c r="AD206" i="9"/>
  <c r="AR206" i="9"/>
  <c r="CH208" i="9"/>
  <c r="BT211" i="9"/>
  <c r="CH211" i="9"/>
  <c r="CV211" i="9"/>
  <c r="DJ211" i="9"/>
  <c r="DX211" i="9"/>
  <c r="EL211" i="9"/>
  <c r="EZ214" i="9"/>
  <c r="BT215" i="9"/>
  <c r="DJ215" i="9"/>
  <c r="EZ215" i="9"/>
  <c r="FN215" i="9"/>
  <c r="GB215" i="9"/>
  <c r="GP215" i="9"/>
  <c r="KX229" i="9"/>
  <c r="AT200" i="9"/>
  <c r="HF200" i="9"/>
  <c r="N225" i="9"/>
  <c r="AA225" i="9"/>
  <c r="AN225" i="9"/>
  <c r="BA225" i="9"/>
  <c r="BN225" i="9"/>
  <c r="CA225" i="9"/>
  <c r="CN225" i="9"/>
  <c r="DA225" i="9"/>
  <c r="DN225" i="9"/>
  <c r="EA225" i="9"/>
  <c r="EN225" i="9"/>
  <c r="EZ203" i="9"/>
  <c r="FM225" i="9"/>
  <c r="FZ225" i="9"/>
  <c r="GM225" i="9"/>
  <c r="GZ225" i="9"/>
  <c r="HM225" i="9"/>
  <c r="HZ225" i="9"/>
  <c r="IM225" i="9"/>
  <c r="IZ225" i="9"/>
  <c r="JM225" i="9"/>
  <c r="JZ225" i="9"/>
  <c r="KM225" i="9"/>
  <c r="KZ225" i="9"/>
  <c r="LL203" i="9"/>
  <c r="LL217" i="9"/>
  <c r="KJ218" i="9"/>
  <c r="LL218" i="9"/>
  <c r="IF222" i="9"/>
  <c r="JH222" i="9"/>
  <c r="JV222" i="9"/>
  <c r="KJ222" i="9"/>
  <c r="AF225" i="9"/>
  <c r="BV225" i="9"/>
  <c r="X237" i="9"/>
  <c r="AZ237" i="9"/>
  <c r="CP237" i="9"/>
  <c r="JN237" i="9"/>
  <c r="IT231" i="9"/>
  <c r="IH200" i="9"/>
  <c r="D225" i="9"/>
  <c r="P203" i="9"/>
  <c r="AP225" i="9"/>
  <c r="CC225" i="9"/>
  <c r="DP225" i="9"/>
  <c r="FC225" i="9"/>
  <c r="GO225" i="9"/>
  <c r="IB225" i="9"/>
  <c r="JB225" i="9"/>
  <c r="KB225" i="9"/>
  <c r="KO225" i="9"/>
  <c r="L237" i="9"/>
  <c r="Z237" i="9"/>
  <c r="BP237" i="9"/>
  <c r="HK237" i="9"/>
  <c r="AR230" i="9"/>
  <c r="LL231" i="9"/>
  <c r="FN233" i="9"/>
  <c r="GB233" i="9"/>
  <c r="KJ233" i="9"/>
  <c r="HD235" i="9"/>
  <c r="IF235" i="9"/>
  <c r="E225" i="9"/>
  <c r="R225" i="9"/>
  <c r="AD203" i="9"/>
  <c r="AQ225" i="9"/>
  <c r="BD225" i="9"/>
  <c r="CD225" i="9"/>
  <c r="CQ225" i="9"/>
  <c r="DQ225" i="9"/>
  <c r="ED225" i="9"/>
  <c r="FD225" i="9"/>
  <c r="FQ225" i="9"/>
  <c r="GP203" i="9"/>
  <c r="HC225" i="9"/>
  <c r="IC225" i="9"/>
  <c r="JC225" i="9"/>
  <c r="JP225" i="9"/>
  <c r="KP225" i="9"/>
  <c r="CH215" i="9"/>
  <c r="CV215" i="9"/>
  <c r="FN216" i="9"/>
  <c r="HT225" i="9"/>
  <c r="M237" i="9"/>
  <c r="HL237" i="9"/>
  <c r="CH230" i="9"/>
  <c r="F225" i="9"/>
  <c r="S225" i="9"/>
  <c r="BE225" i="9"/>
  <c r="CE225" i="9"/>
  <c r="CR225" i="9"/>
  <c r="DR225" i="9"/>
  <c r="EE225" i="9"/>
  <c r="FE225" i="9"/>
  <c r="FR225" i="9"/>
  <c r="GR225" i="9"/>
  <c r="HD203" i="9"/>
  <c r="ID225" i="9"/>
  <c r="JD225" i="9"/>
  <c r="JQ225" i="9"/>
  <c r="KQ225" i="9"/>
  <c r="DX215" i="9"/>
  <c r="EL215" i="9"/>
  <c r="P217" i="9"/>
  <c r="AD217" i="9"/>
  <c r="N237" i="9"/>
  <c r="HM237" i="9"/>
  <c r="JP237" i="9"/>
  <c r="DJ230" i="9"/>
  <c r="DX230" i="9"/>
  <c r="EL230" i="9"/>
  <c r="FN230" i="9"/>
  <c r="GP230" i="9"/>
  <c r="IT230" i="9"/>
  <c r="KX230" i="9"/>
  <c r="LW241" i="9"/>
  <c r="G225" i="9"/>
  <c r="T225" i="9"/>
  <c r="AG225" i="9"/>
  <c r="AT225" i="9"/>
  <c r="BF203" i="9"/>
  <c r="BS225" i="9"/>
  <c r="CF225" i="9"/>
  <c r="CS225" i="9"/>
  <c r="DF225" i="9"/>
  <c r="DS225" i="9"/>
  <c r="EF225" i="9"/>
  <c r="ES225" i="9"/>
  <c r="FF225" i="9"/>
  <c r="FS225" i="9"/>
  <c r="GF225" i="9"/>
  <c r="GS225" i="9"/>
  <c r="HF225" i="9"/>
  <c r="HR203" i="9"/>
  <c r="IE225" i="9"/>
  <c r="IR225" i="9"/>
  <c r="JE225" i="9"/>
  <c r="JR225" i="9"/>
  <c r="KE225" i="9"/>
  <c r="KR225" i="9"/>
  <c r="LE225" i="9"/>
  <c r="BF217" i="9"/>
  <c r="AD220" i="9"/>
  <c r="BF220" i="9"/>
  <c r="AD221" i="9"/>
  <c r="P229" i="9"/>
  <c r="BT229" i="9"/>
  <c r="CV229" i="9"/>
  <c r="DJ229" i="9"/>
  <c r="DX229" i="9"/>
  <c r="EL229" i="9"/>
  <c r="JF237" i="9"/>
  <c r="JS237" i="9"/>
  <c r="BF232" i="9"/>
  <c r="CV232" i="9"/>
  <c r="H225" i="9"/>
  <c r="U225" i="9"/>
  <c r="AU225" i="9"/>
  <c r="BH225" i="9"/>
  <c r="BT203" i="9"/>
  <c r="CG225" i="9"/>
  <c r="CT225" i="9"/>
  <c r="DT225" i="9"/>
  <c r="EG225" i="9"/>
  <c r="FG225" i="9"/>
  <c r="FT225" i="9"/>
  <c r="GT225" i="9"/>
  <c r="HG225" i="9"/>
  <c r="IS225" i="9"/>
  <c r="JS225" i="9"/>
  <c r="KS225" i="9"/>
  <c r="CH217" i="9"/>
  <c r="P219" i="9"/>
  <c r="AR219" i="9"/>
  <c r="BT219" i="9"/>
  <c r="CH219" i="9"/>
  <c r="CV219" i="9"/>
  <c r="DJ219" i="9"/>
  <c r="DX219" i="9"/>
  <c r="P223" i="9"/>
  <c r="AD223" i="9"/>
  <c r="AR223" i="9"/>
  <c r="BF223" i="9"/>
  <c r="CH223" i="9"/>
  <c r="CV223" i="9"/>
  <c r="DX228" i="9"/>
  <c r="GP229" i="9"/>
  <c r="HD229" i="9"/>
  <c r="HR229" i="9"/>
  <c r="DX232" i="9"/>
  <c r="V225" i="9"/>
  <c r="BI225" i="9"/>
  <c r="CU225" i="9"/>
  <c r="EH225" i="9"/>
  <c r="FU225" i="9"/>
  <c r="HH225" i="9"/>
  <c r="IH225" i="9"/>
  <c r="IT203" i="9"/>
  <c r="JT225" i="9"/>
  <c r="KT225" i="9"/>
  <c r="LG225" i="9"/>
  <c r="IF216" i="9"/>
  <c r="CV218" i="9"/>
  <c r="DJ218" i="9"/>
  <c r="DX218" i="9"/>
  <c r="EZ218" i="9"/>
  <c r="FN218" i="9"/>
  <c r="GB218" i="9"/>
  <c r="AD222" i="9"/>
  <c r="AR222" i="9"/>
  <c r="BF222" i="9"/>
  <c r="BT222" i="9"/>
  <c r="CV222" i="9"/>
  <c r="DJ222" i="9"/>
  <c r="DX223" i="9"/>
  <c r="EL223" i="9"/>
  <c r="FN228" i="9"/>
  <c r="GB228" i="9"/>
  <c r="LH237" i="9"/>
  <c r="IT229" i="9"/>
  <c r="BT218" i="9"/>
  <c r="HR219" i="9"/>
  <c r="LX241" i="9"/>
  <c r="AB237" i="9"/>
  <c r="AO237" i="9"/>
  <c r="BC237" i="9"/>
  <c r="HH237" i="9"/>
  <c r="IJ237" i="9"/>
  <c r="IW237" i="9"/>
  <c r="JK237" i="9"/>
  <c r="JX237" i="9"/>
  <c r="KJ228" i="9"/>
  <c r="LJ237" i="9"/>
  <c r="KX231" i="9"/>
  <c r="CH233" i="9"/>
  <c r="AR234" i="9"/>
  <c r="DJ235" i="9"/>
  <c r="AT237" i="9"/>
  <c r="AD249" i="9"/>
  <c r="EZ217" i="9"/>
  <c r="KX218" i="9"/>
  <c r="CV221" i="9"/>
  <c r="P222" i="9"/>
  <c r="IT222" i="9"/>
  <c r="IF223" i="9"/>
  <c r="D237" i="9"/>
  <c r="P228" i="9"/>
  <c r="AC237" i="9"/>
  <c r="AP237" i="9"/>
  <c r="BD237" i="9"/>
  <c r="GH237" i="9"/>
  <c r="GU237" i="9"/>
  <c r="HW237" i="9"/>
  <c r="IX237" i="9"/>
  <c r="JL237" i="9"/>
  <c r="JY237" i="9"/>
  <c r="KX228" i="9"/>
  <c r="LK237" i="9"/>
  <c r="AD229" i="9"/>
  <c r="AR229" i="9"/>
  <c r="BF229" i="9"/>
  <c r="LL229" i="9"/>
  <c r="BT234" i="9"/>
  <c r="AR249" i="9"/>
  <c r="BF249" i="9"/>
  <c r="JH216" i="9"/>
  <c r="AD219" i="9"/>
  <c r="GB220" i="9"/>
  <c r="E237" i="9"/>
  <c r="AD228" i="9"/>
  <c r="EH237" i="9"/>
  <c r="HJ237" i="9"/>
  <c r="HX237" i="9"/>
  <c r="IY237" i="9"/>
  <c r="JZ237" i="9"/>
  <c r="KM237" i="9"/>
  <c r="KZ237" i="9"/>
  <c r="LL228" i="9"/>
  <c r="CH229" i="9"/>
  <c r="JA237" i="9"/>
  <c r="HD232" i="9"/>
  <c r="CV234" i="9"/>
  <c r="DL237" i="9"/>
  <c r="BF219" i="9"/>
  <c r="HD220" i="9"/>
  <c r="BF228" i="9"/>
  <c r="CH228" i="9"/>
  <c r="FW237" i="9"/>
  <c r="GJ237" i="9"/>
  <c r="GW237" i="9"/>
  <c r="HY237" i="9"/>
  <c r="IZ237" i="9"/>
  <c r="IA237" i="9"/>
  <c r="EZ230" i="9"/>
  <c r="IF232" i="9"/>
  <c r="EZ233" i="9"/>
  <c r="EZ234" i="9"/>
  <c r="GB235" i="9"/>
  <c r="GP235" i="9"/>
  <c r="LP241" i="9"/>
  <c r="EL218" i="9"/>
  <c r="KJ219" i="9"/>
  <c r="KX222" i="9"/>
  <c r="LL222" i="9"/>
  <c r="KJ223" i="9"/>
  <c r="KX223" i="9"/>
  <c r="BI237" i="9"/>
  <c r="CX237" i="9"/>
  <c r="DJ228" i="9"/>
  <c r="DW237" i="9"/>
  <c r="EJ237" i="9"/>
  <c r="EW237" i="9"/>
  <c r="FJ237" i="9"/>
  <c r="FX237" i="9"/>
  <c r="GX237" i="9"/>
  <c r="HZ237" i="9"/>
  <c r="IN237" i="9"/>
  <c r="JO237" i="9"/>
  <c r="KB237" i="9"/>
  <c r="KO237" i="9"/>
  <c r="LB237" i="9"/>
  <c r="GB230" i="9"/>
  <c r="JV232" i="9"/>
  <c r="KJ232" i="9"/>
  <c r="KX232" i="9"/>
  <c r="LL232" i="9"/>
  <c r="HR235" i="9"/>
  <c r="HR217" i="9"/>
  <c r="P220" i="9"/>
  <c r="FN221" i="9"/>
  <c r="CH222" i="9"/>
  <c r="BT223" i="9"/>
  <c r="AV237" i="9"/>
  <c r="CK237" i="9"/>
  <c r="EX237" i="9"/>
  <c r="FY237" i="9"/>
  <c r="GY237" i="9"/>
  <c r="IO237" i="9"/>
  <c r="JB237" i="9"/>
  <c r="KC237" i="9"/>
  <c r="KP237" i="9"/>
  <c r="LC237" i="9"/>
  <c r="HA237" i="9"/>
  <c r="HD230" i="9"/>
  <c r="HR230" i="9"/>
  <c r="IF230" i="9"/>
  <c r="BT231" i="9"/>
  <c r="CH231" i="9"/>
  <c r="GP233" i="9"/>
  <c r="HD233" i="9"/>
  <c r="IF233" i="9"/>
  <c r="JH233" i="9"/>
  <c r="JV233" i="9"/>
  <c r="GP234" i="9"/>
  <c r="HR234" i="9"/>
  <c r="IT234" i="9"/>
  <c r="JV234" i="9"/>
  <c r="LL234" i="9"/>
  <c r="JH235" i="9"/>
  <c r="KX235" i="9"/>
  <c r="LL235" i="9"/>
  <c r="IT217" i="9"/>
  <c r="AR220" i="9"/>
  <c r="GP221" i="9"/>
  <c r="I237" i="9"/>
  <c r="BK237" i="9"/>
  <c r="BY237" i="9"/>
  <c r="CZ237" i="9"/>
  <c r="DZ237" i="9"/>
  <c r="EL228" i="9"/>
  <c r="EY237" i="9"/>
  <c r="GZ237" i="9"/>
  <c r="HN237" i="9"/>
  <c r="IB237" i="9"/>
  <c r="JC237" i="9"/>
  <c r="JQ237" i="9"/>
  <c r="KD237" i="9"/>
  <c r="EZ229" i="9"/>
  <c r="FB237" i="9"/>
  <c r="FN229" i="9"/>
  <c r="GA237" i="9"/>
  <c r="JV230" i="9"/>
  <c r="KJ230" i="9"/>
  <c r="DJ231" i="9"/>
  <c r="KX233" i="9"/>
  <c r="LL233" i="9"/>
  <c r="O237" i="9"/>
  <c r="KA237" i="9"/>
  <c r="KN237" i="9"/>
  <c r="EL233" i="9"/>
  <c r="DX234" i="9"/>
  <c r="EL234" i="9"/>
  <c r="P246" i="9"/>
  <c r="S237" i="9"/>
  <c r="AF237" i="9"/>
  <c r="AR228" i="9"/>
  <c r="BE237" i="9"/>
  <c r="BR237" i="9"/>
  <c r="CE237" i="9"/>
  <c r="CR237" i="9"/>
  <c r="DE237" i="9"/>
  <c r="DR237" i="9"/>
  <c r="EE237" i="9"/>
  <c r="ER237" i="9"/>
  <c r="FE237" i="9"/>
  <c r="FR237" i="9"/>
  <c r="GE237" i="9"/>
  <c r="GE241" i="9" s="1"/>
  <c r="GE243" i="9" s="1"/>
  <c r="GR237" i="9"/>
  <c r="GD238" i="9" s="1"/>
  <c r="GE238" i="9" s="1"/>
  <c r="HD228" i="9"/>
  <c r="HQ237" i="9"/>
  <c r="IQ237" i="9"/>
  <c r="KQ237" i="9"/>
  <c r="LD237" i="9"/>
  <c r="LD241" i="9" s="1"/>
  <c r="LD243" i="9" s="1"/>
  <c r="P230" i="9"/>
  <c r="JH232" i="9"/>
  <c r="IT235" i="9"/>
  <c r="LV241" i="9"/>
  <c r="LV257" i="9" s="1"/>
  <c r="F255" i="9"/>
  <c r="CH249" i="9"/>
  <c r="DW255" i="9"/>
  <c r="G237" i="9"/>
  <c r="JR237" i="9"/>
  <c r="LE237" i="9"/>
  <c r="HD234" i="9"/>
  <c r="JV235" i="9"/>
  <c r="KJ235" i="9"/>
  <c r="JH249" i="9"/>
  <c r="JV249" i="9"/>
  <c r="BF252" i="9"/>
  <c r="U237" i="9"/>
  <c r="AH237" i="9"/>
  <c r="AU237" i="9"/>
  <c r="BH237" i="9"/>
  <c r="BT228" i="9"/>
  <c r="CG237" i="9"/>
  <c r="CT237" i="9"/>
  <c r="DG237" i="9"/>
  <c r="DT237" i="9"/>
  <c r="EG237" i="9"/>
  <c r="ET237" i="9"/>
  <c r="FG237" i="9"/>
  <c r="FT237" i="9"/>
  <c r="GG237" i="9"/>
  <c r="GT237" i="9"/>
  <c r="HG237" i="9"/>
  <c r="HT237" i="9"/>
  <c r="IF228" i="9"/>
  <c r="IS237" i="9"/>
  <c r="LF237" i="9"/>
  <c r="FN231" i="9"/>
  <c r="BT232" i="9"/>
  <c r="HR233" i="9"/>
  <c r="IF234" i="9"/>
  <c r="CK255" i="9"/>
  <c r="KX249" i="9"/>
  <c r="IT233" i="9"/>
  <c r="JH234" i="9"/>
  <c r="AD235" i="9"/>
  <c r="LL252" i="9"/>
  <c r="J237" i="9"/>
  <c r="W237" i="9"/>
  <c r="AJ237" i="9"/>
  <c r="AW237" i="9"/>
  <c r="BJ237" i="9"/>
  <c r="BW237" i="9"/>
  <c r="CJ237" i="9"/>
  <c r="CV228" i="9"/>
  <c r="DI237" i="9"/>
  <c r="DV237" i="9"/>
  <c r="EI237" i="9"/>
  <c r="EV237" i="9"/>
  <c r="FI237" i="9"/>
  <c r="FV237" i="9"/>
  <c r="GI237" i="9"/>
  <c r="GV237" i="9"/>
  <c r="HI237" i="9"/>
  <c r="HV237" i="9"/>
  <c r="II237" i="9"/>
  <c r="IV237" i="9"/>
  <c r="JH228" i="9"/>
  <c r="JH230" i="9"/>
  <c r="KJ234" i="9"/>
  <c r="KX234" i="9"/>
  <c r="BF235" i="9"/>
  <c r="LN241" i="9"/>
  <c r="LN257" i="9" s="1"/>
  <c r="LZ237" i="9"/>
  <c r="CH250" i="9"/>
  <c r="HB255" i="9"/>
  <c r="LY241" i="9"/>
  <c r="LY257" i="9" s="1"/>
  <c r="CX255" i="9"/>
  <c r="EL249" i="9"/>
  <c r="EZ249" i="9"/>
  <c r="FB255" i="9"/>
  <c r="FN249" i="9"/>
  <c r="GA255" i="9"/>
  <c r="GP252" i="9"/>
  <c r="HR252" i="9"/>
  <c r="KJ249" i="9"/>
  <c r="CP255" i="9"/>
  <c r="DC255" i="9"/>
  <c r="LQ241" i="9"/>
  <c r="LQ257" i="9" s="1"/>
  <c r="GU255" i="9"/>
  <c r="LL249" i="9"/>
  <c r="JF255" i="9"/>
  <c r="P253" i="9"/>
  <c r="LR241" i="9"/>
  <c r="LR257" i="9" s="1"/>
  <c r="EE255" i="9"/>
  <c r="FG255" i="9"/>
  <c r="FT255" i="9"/>
  <c r="GH255" i="9"/>
  <c r="HM255" i="9"/>
  <c r="CH251" i="9"/>
  <c r="CV251" i="9"/>
  <c r="GP251" i="9"/>
  <c r="IF251" i="9"/>
  <c r="CH253" i="9"/>
  <c r="DX253" i="9"/>
  <c r="EL253" i="9"/>
  <c r="LS241" i="9"/>
  <c r="LS257" i="9" s="1"/>
  <c r="M255" i="9"/>
  <c r="AD250" i="9"/>
  <c r="AR250" i="9"/>
  <c r="LT241" i="9"/>
  <c r="LT257" i="9" s="1"/>
  <c r="GJ255" i="9"/>
  <c r="BF250" i="9"/>
  <c r="BT250" i="9"/>
  <c r="G255" i="9"/>
  <c r="AV255" i="9"/>
  <c r="BI255" i="9"/>
  <c r="BW255" i="9"/>
  <c r="CJ255" i="9"/>
  <c r="CV249" i="9"/>
  <c r="DI255" i="9"/>
  <c r="DV255" i="9"/>
  <c r="EI255" i="9"/>
  <c r="FX255" i="9"/>
  <c r="GP253" i="9"/>
  <c r="H255" i="9"/>
  <c r="V255" i="9"/>
  <c r="AI255" i="9"/>
  <c r="BJ255" i="9"/>
  <c r="BX255" i="9"/>
  <c r="DJ249" i="9"/>
  <c r="FY255" i="9"/>
  <c r="KO255" i="9"/>
  <c r="LB255" i="9"/>
  <c r="EZ250" i="9"/>
  <c r="FN250" i="9"/>
  <c r="FP255" i="9"/>
  <c r="GB250" i="9"/>
  <c r="GO255" i="9"/>
  <c r="HR253" i="9"/>
  <c r="IF253" i="9"/>
  <c r="I255" i="9"/>
  <c r="DX249" i="9"/>
  <c r="KC255" i="9"/>
  <c r="LC255" i="9"/>
  <c r="DN255" i="9"/>
  <c r="FC255" i="9"/>
  <c r="GP250" i="9"/>
  <c r="EO255" i="9"/>
  <c r="GB249" i="9"/>
  <c r="GP249" i="9"/>
  <c r="JD255" i="9"/>
  <c r="JR255" i="9"/>
  <c r="KE255" i="9"/>
  <c r="LE255" i="9"/>
  <c r="IF250" i="9"/>
  <c r="Z255" i="9"/>
  <c r="CB255" i="9"/>
  <c r="CO255" i="9"/>
  <c r="DB255" i="9"/>
  <c r="EB255" i="9"/>
  <c r="GE255" i="9"/>
  <c r="HD249" i="9"/>
  <c r="JE255" i="9"/>
  <c r="KF255" i="9"/>
  <c r="BP255" i="9"/>
  <c r="AR252" i="9"/>
  <c r="BB255" i="9"/>
  <c r="BO255" i="9"/>
  <c r="FR255" i="9"/>
  <c r="GS255" i="9"/>
  <c r="HF255" i="9"/>
  <c r="HR249" i="9"/>
  <c r="IE255" i="9"/>
  <c r="JT255" i="9"/>
  <c r="D255" i="9"/>
  <c r="P250" i="9"/>
  <c r="AC255" i="9"/>
  <c r="JV250" i="9"/>
  <c r="KJ250" i="9"/>
  <c r="KX250" i="9"/>
  <c r="LL250" i="9"/>
  <c r="FN251" i="9"/>
  <c r="GB251" i="9"/>
  <c r="EN255" i="9"/>
  <c r="LO241" i="9"/>
  <c r="LO257" i="9" s="1"/>
  <c r="CD255" i="9"/>
  <c r="ED255" i="9"/>
  <c r="ER255" i="9"/>
  <c r="IH255" i="9"/>
  <c r="IT249" i="9"/>
  <c r="JG255" i="9"/>
  <c r="KU255" i="9"/>
  <c r="HD251" i="9"/>
  <c r="HR251" i="9"/>
  <c r="CH252" i="9"/>
  <c r="CV252" i="9"/>
  <c r="DJ252" i="9"/>
  <c r="DX252" i="9"/>
  <c r="EL252" i="9"/>
  <c r="AR253" i="9"/>
  <c r="GN255" i="9"/>
  <c r="HA255" i="9"/>
  <c r="HN255" i="9"/>
  <c r="IA255" i="9"/>
  <c r="IN255" i="9"/>
  <c r="JA255" i="9"/>
  <c r="JN255" i="9"/>
  <c r="KA255" i="9"/>
  <c r="KN255" i="9"/>
  <c r="LA255" i="9"/>
  <c r="IV255" i="9"/>
  <c r="DJ251" i="9"/>
  <c r="DX251" i="9"/>
  <c r="EL251" i="9"/>
  <c r="EZ251" i="9"/>
  <c r="FF255" i="9"/>
  <c r="FS255" i="9"/>
  <c r="GG255" i="9"/>
  <c r="GT255" i="9"/>
  <c r="HG255" i="9"/>
  <c r="HT255" i="9"/>
  <c r="IF249" i="9"/>
  <c r="JS255" i="9"/>
  <c r="LF255" i="9"/>
  <c r="EL250" i="9"/>
  <c r="HD252" i="9"/>
  <c r="IT253" i="9"/>
  <c r="JH253" i="9"/>
  <c r="JV253" i="9"/>
  <c r="KJ253" i="9"/>
  <c r="U255" i="9"/>
  <c r="AH255" i="9"/>
  <c r="AU255" i="9"/>
  <c r="BH255" i="9"/>
  <c r="BT249" i="9"/>
  <c r="CG255" i="9"/>
  <c r="CT255" i="9"/>
  <c r="DG255" i="9"/>
  <c r="DT255" i="9"/>
  <c r="EG255" i="9"/>
  <c r="ET255" i="9"/>
  <c r="FH255" i="9"/>
  <c r="FU255" i="9"/>
  <c r="GI255" i="9"/>
  <c r="GV255" i="9"/>
  <c r="HI255" i="9"/>
  <c r="HV255" i="9"/>
  <c r="II255" i="9"/>
  <c r="JU255" i="9"/>
  <c r="KH255" i="9"/>
  <c r="LH255" i="9"/>
  <c r="AD253" i="9"/>
  <c r="JB134" i="9" l="1"/>
  <c r="JB124" i="9"/>
  <c r="HP114" i="9"/>
  <c r="HP116" i="9" s="1"/>
  <c r="KC114" i="9"/>
  <c r="KC116" i="9" s="1"/>
  <c r="HC124" i="9"/>
  <c r="HQ133" i="9"/>
  <c r="KT241" i="9"/>
  <c r="KT243" i="9" s="1"/>
  <c r="IE100" i="9"/>
  <c r="IE120" i="9" s="1"/>
  <c r="X100" i="9"/>
  <c r="X120" i="9" s="1"/>
  <c r="X133" i="9" s="1"/>
  <c r="HQ134" i="9"/>
  <c r="EB241" i="9"/>
  <c r="EB243" i="9" s="1"/>
  <c r="KL241" i="9"/>
  <c r="KL243" i="9" s="1"/>
  <c r="KE241" i="9"/>
  <c r="KE243" i="9" s="1"/>
  <c r="CS100" i="9"/>
  <c r="CS120" i="9" s="1"/>
  <c r="DG100" i="9"/>
  <c r="DG120" i="9" s="1"/>
  <c r="JP100" i="9"/>
  <c r="JP120" i="9" s="1"/>
  <c r="FK100" i="9"/>
  <c r="FK120" i="9" s="1"/>
  <c r="FK124" i="9" s="1"/>
  <c r="CQ100" i="9"/>
  <c r="CQ120" i="9" s="1"/>
  <c r="FS100" i="9"/>
  <c r="FS120" i="9" s="1"/>
  <c r="EY100" i="9"/>
  <c r="EY120" i="9" s="1"/>
  <c r="ID100" i="9"/>
  <c r="ID120" i="9" s="1"/>
  <c r="ID134" i="9" s="1"/>
  <c r="JE100" i="9"/>
  <c r="JE120" i="9" s="1"/>
  <c r="JE134" i="9" s="1"/>
  <c r="DH100" i="9"/>
  <c r="DH120" i="9" s="1"/>
  <c r="DH133" i="9" s="1"/>
  <c r="CN100" i="9"/>
  <c r="CN120" i="9" s="1"/>
  <c r="GX100" i="9"/>
  <c r="GX120" i="9" s="1"/>
  <c r="CE100" i="9"/>
  <c r="CE120" i="9" s="1"/>
  <c r="AF100" i="9"/>
  <c r="AF120" i="9" s="1"/>
  <c r="FK133" i="9"/>
  <c r="DU100" i="9"/>
  <c r="DU120" i="9" s="1"/>
  <c r="BN100" i="9"/>
  <c r="BN120" i="9" s="1"/>
  <c r="FK134" i="9"/>
  <c r="EP241" i="9"/>
  <c r="EP243" i="9" s="1"/>
  <c r="GV241" i="9"/>
  <c r="GV243" i="9" s="1"/>
  <c r="GY100" i="9"/>
  <c r="GY120" i="9" s="1"/>
  <c r="GY134" i="9" s="1"/>
  <c r="JB133" i="9"/>
  <c r="LW100" i="9"/>
  <c r="LW120" i="9" s="1"/>
  <c r="LW134" i="9" s="1"/>
  <c r="IT98" i="9"/>
  <c r="IT100" i="9" s="1"/>
  <c r="IT120" i="9" s="1"/>
  <c r="IQ100" i="9"/>
  <c r="IQ120" i="9" s="1"/>
  <c r="IQ133" i="9" s="1"/>
  <c r="GN241" i="9"/>
  <c r="GN243" i="9" s="1"/>
  <c r="BM100" i="9"/>
  <c r="BM120" i="9" s="1"/>
  <c r="IN100" i="9"/>
  <c r="IN120" i="9" s="1"/>
  <c r="CB241" i="9"/>
  <c r="CB243" i="9" s="1"/>
  <c r="IO100" i="9"/>
  <c r="IO120" i="9" s="1"/>
  <c r="JV255" i="9"/>
  <c r="CY241" i="9"/>
  <c r="CY243" i="9" s="1"/>
  <c r="EW100" i="9"/>
  <c r="EW120" i="9" s="1"/>
  <c r="EW133" i="9" s="1"/>
  <c r="IK100" i="9"/>
  <c r="IK120" i="9" s="1"/>
  <c r="IK133" i="9" s="1"/>
  <c r="R241" i="9"/>
  <c r="R243" i="9" s="1"/>
  <c r="GS100" i="9"/>
  <c r="GS120" i="9" s="1"/>
  <c r="GS133" i="9" s="1"/>
  <c r="AP100" i="9"/>
  <c r="AP120" i="9" s="1"/>
  <c r="AP124" i="9" s="1"/>
  <c r="BZ100" i="9"/>
  <c r="BZ120" i="9" s="1"/>
  <c r="DM100" i="9"/>
  <c r="DM120" i="9" s="1"/>
  <c r="IH100" i="9"/>
  <c r="IH120" i="9" s="1"/>
  <c r="EW241" i="9"/>
  <c r="EW243" i="9" s="1"/>
  <c r="CF100" i="9"/>
  <c r="CF120" i="9" s="1"/>
  <c r="CF133" i="9" s="1"/>
  <c r="BE100" i="9"/>
  <c r="BE120" i="9" s="1"/>
  <c r="BE124" i="9" s="1"/>
  <c r="LE241" i="9"/>
  <c r="LE243" i="9" s="1"/>
  <c r="IH241" i="9"/>
  <c r="IH243" i="9" s="1"/>
  <c r="CA241" i="9"/>
  <c r="CA243" i="9" s="1"/>
  <c r="AB257" i="9"/>
  <c r="AB259" i="9" s="1"/>
  <c r="BO100" i="9"/>
  <c r="BO120" i="9" s="1"/>
  <c r="BO133" i="9" s="1"/>
  <c r="FC100" i="9"/>
  <c r="FC120" i="9" s="1"/>
  <c r="FC133" i="9" s="1"/>
  <c r="BL241" i="9"/>
  <c r="BL243" i="9" s="1"/>
  <c r="DP257" i="9"/>
  <c r="DP259" i="9" s="1"/>
  <c r="IR257" i="9"/>
  <c r="IR259" i="9" s="1"/>
  <c r="AG100" i="9"/>
  <c r="AG120" i="9" s="1"/>
  <c r="AG133" i="9" s="1"/>
  <c r="KN100" i="9"/>
  <c r="KN120" i="9" s="1"/>
  <c r="KN124" i="9" s="1"/>
  <c r="KN132" i="9" s="1"/>
  <c r="FJ100" i="9"/>
  <c r="FJ120" i="9" s="1"/>
  <c r="FJ133" i="9" s="1"/>
  <c r="EU241" i="9"/>
  <c r="EU243" i="9" s="1"/>
  <c r="CZ100" i="9"/>
  <c r="CZ120" i="9" s="1"/>
  <c r="CZ134" i="9" s="1"/>
  <c r="GL241" i="9"/>
  <c r="GL243" i="9" s="1"/>
  <c r="DB241" i="9"/>
  <c r="DB243" i="9" s="1"/>
  <c r="H241" i="9"/>
  <c r="H243" i="9" s="1"/>
  <c r="IY241" i="9"/>
  <c r="IY243" i="9" s="1"/>
  <c r="IM100" i="9"/>
  <c r="IM120" i="9" s="1"/>
  <c r="AR255" i="9"/>
  <c r="IV257" i="9"/>
  <c r="IV259" i="9" s="1"/>
  <c r="FH100" i="9"/>
  <c r="FH120" i="9" s="1"/>
  <c r="FH134" i="9" s="1"/>
  <c r="IJ100" i="9"/>
  <c r="IJ120" i="9" s="1"/>
  <c r="IJ133" i="9" s="1"/>
  <c r="ID241" i="9"/>
  <c r="ID243" i="9" s="1"/>
  <c r="DQ257" i="9"/>
  <c r="DQ259" i="9" s="1"/>
  <c r="AL241" i="9"/>
  <c r="AL243" i="9" s="1"/>
  <c r="GT257" i="9"/>
  <c r="GT259" i="9" s="1"/>
  <c r="GF257" i="9"/>
  <c r="GF259" i="9" s="1"/>
  <c r="AL100" i="9"/>
  <c r="AL120" i="9" s="1"/>
  <c r="AL134" i="9" s="1"/>
  <c r="JQ100" i="9"/>
  <c r="JQ120" i="9" s="1"/>
  <c r="JQ124" i="9" s="1"/>
  <c r="JQ132" i="9" s="1"/>
  <c r="J241" i="9"/>
  <c r="J243" i="9" s="1"/>
  <c r="GB98" i="9"/>
  <c r="GJ100" i="9"/>
  <c r="GJ120" i="9" s="1"/>
  <c r="GJ124" i="9" s="1"/>
  <c r="DE241" i="9"/>
  <c r="DE243" i="9" s="1"/>
  <c r="DM257" i="9"/>
  <c r="DM259" i="9" s="1"/>
  <c r="FZ241" i="9"/>
  <c r="FZ243" i="9" s="1"/>
  <c r="CQ257" i="9"/>
  <c r="CQ259" i="9" s="1"/>
  <c r="KP124" i="9"/>
  <c r="KP132" i="9" s="1"/>
  <c r="BX241" i="9"/>
  <c r="BX243" i="9" s="1"/>
  <c r="ED241" i="9"/>
  <c r="ED243" i="9" s="1"/>
  <c r="FK241" i="9"/>
  <c r="FK243" i="9" s="1"/>
  <c r="LC100" i="9"/>
  <c r="LC120" i="9" s="1"/>
  <c r="FF241" i="9"/>
  <c r="FF243" i="9" s="1"/>
  <c r="JM257" i="9"/>
  <c r="JM259" i="9" s="1"/>
  <c r="AM241" i="9"/>
  <c r="AM243" i="9" s="1"/>
  <c r="BQ257" i="9"/>
  <c r="BQ259" i="9" s="1"/>
  <c r="CC257" i="9"/>
  <c r="CC259" i="9" s="1"/>
  <c r="N100" i="9"/>
  <c r="N120" i="9" s="1"/>
  <c r="N134" i="9" s="1"/>
  <c r="DE100" i="9"/>
  <c r="DE120" i="9" s="1"/>
  <c r="DE124" i="9" s="1"/>
  <c r="KP134" i="9"/>
  <c r="LP100" i="9"/>
  <c r="LP120" i="9" s="1"/>
  <c r="LP124" i="9" s="1"/>
  <c r="BN257" i="9"/>
  <c r="BN259" i="9" s="1"/>
  <c r="HM100" i="9"/>
  <c r="HM120" i="9" s="1"/>
  <c r="HM124" i="9" s="1"/>
  <c r="HM132" i="9" s="1"/>
  <c r="HB241" i="9"/>
  <c r="HB243" i="9" s="1"/>
  <c r="DU241" i="9"/>
  <c r="DU243" i="9" s="1"/>
  <c r="FS241" i="9"/>
  <c r="FS243" i="9" s="1"/>
  <c r="N241" i="9"/>
  <c r="N243" i="9" s="1"/>
  <c r="HG257" i="9"/>
  <c r="HG259" i="9" s="1"/>
  <c r="EE100" i="9"/>
  <c r="EE120" i="9" s="1"/>
  <c r="EE133" i="9" s="1"/>
  <c r="GW241" i="9"/>
  <c r="GW243" i="9" s="1"/>
  <c r="KR241" i="9"/>
  <c r="KR243" i="9" s="1"/>
  <c r="CC241" i="9"/>
  <c r="CC243" i="9" s="1"/>
  <c r="IL241" i="9"/>
  <c r="IL243" i="9" s="1"/>
  <c r="Y241" i="9"/>
  <c r="Y243" i="9" s="1"/>
  <c r="IZ100" i="9"/>
  <c r="IZ120" i="9" s="1"/>
  <c r="IZ133" i="9" s="1"/>
  <c r="DQ114" i="9"/>
  <c r="DQ116" i="9" s="1"/>
  <c r="BQ241" i="9"/>
  <c r="BQ243" i="9" s="1"/>
  <c r="DD100" i="9"/>
  <c r="DD120" i="9" s="1"/>
  <c r="DD134" i="9" s="1"/>
  <c r="FW241" i="9"/>
  <c r="FW243" i="9" s="1"/>
  <c r="JK241" i="9"/>
  <c r="JK243" i="9" s="1"/>
  <c r="GU257" i="9"/>
  <c r="GU259" i="9" s="1"/>
  <c r="GW100" i="9"/>
  <c r="GW120" i="9" s="1"/>
  <c r="GW134" i="9" s="1"/>
  <c r="AO100" i="9"/>
  <c r="AO120" i="9" s="1"/>
  <c r="AO133" i="9" s="1"/>
  <c r="FD241" i="9"/>
  <c r="FD243" i="9" s="1"/>
  <c r="DF241" i="9"/>
  <c r="DF243" i="9" s="1"/>
  <c r="CY257" i="9"/>
  <c r="CY259" i="9" s="1"/>
  <c r="JV98" i="9"/>
  <c r="CQ241" i="9"/>
  <c r="CQ243" i="9" s="1"/>
  <c r="EF241" i="9"/>
  <c r="EF243" i="9" s="1"/>
  <c r="JU257" i="9"/>
  <c r="JU259" i="9" s="1"/>
  <c r="LR243" i="9"/>
  <c r="HK257" i="9"/>
  <c r="HK259" i="9" s="1"/>
  <c r="KX98" i="9"/>
  <c r="KX100" i="9" s="1"/>
  <c r="KX120" i="9" s="1"/>
  <c r="GD114" i="9"/>
  <c r="JF100" i="9"/>
  <c r="JF120" i="9" s="1"/>
  <c r="JF124" i="9" s="1"/>
  <c r="DN241" i="9"/>
  <c r="DN243" i="9" s="1"/>
  <c r="FP241" i="9"/>
  <c r="FP243" i="9" s="1"/>
  <c r="CR257" i="9"/>
  <c r="CR259" i="9" s="1"/>
  <c r="FU241" i="9"/>
  <c r="FU243" i="9" s="1"/>
  <c r="FY100" i="9"/>
  <c r="FY120" i="9" s="1"/>
  <c r="LD100" i="9"/>
  <c r="LD120" i="9" s="1"/>
  <c r="EP257" i="9"/>
  <c r="EP259" i="9" s="1"/>
  <c r="EH100" i="9"/>
  <c r="EH120" i="9" s="1"/>
  <c r="GJ241" i="9"/>
  <c r="GJ243" i="9" s="1"/>
  <c r="KW100" i="9"/>
  <c r="KW120" i="9" s="1"/>
  <c r="KW133" i="9" s="1"/>
  <c r="KU257" i="9"/>
  <c r="KU259" i="9" s="1"/>
  <c r="BO257" i="9"/>
  <c r="BO259" i="9" s="1"/>
  <c r="LB241" i="9"/>
  <c r="LB243" i="9" s="1"/>
  <c r="DM241" i="9"/>
  <c r="DM243" i="9" s="1"/>
  <c r="CF241" i="9"/>
  <c r="CF243" i="9" s="1"/>
  <c r="GM241" i="9"/>
  <c r="GM243" i="9" s="1"/>
  <c r="AK241" i="9"/>
  <c r="AK243" i="9" s="1"/>
  <c r="LS243" i="9"/>
  <c r="GV100" i="9"/>
  <c r="GV120" i="9" s="1"/>
  <c r="GV133" i="9" s="1"/>
  <c r="FR100" i="9"/>
  <c r="FR120" i="9" s="1"/>
  <c r="FR124" i="9" s="1"/>
  <c r="LL98" i="9"/>
  <c r="LL100" i="9" s="1"/>
  <c r="LL120" i="9" s="1"/>
  <c r="FV100" i="9"/>
  <c r="FV120" i="9" s="1"/>
  <c r="FV124" i="9" s="1"/>
  <c r="AY100" i="9"/>
  <c r="AY120" i="9" s="1"/>
  <c r="AY134" i="9" s="1"/>
  <c r="M100" i="9"/>
  <c r="M120" i="9" s="1"/>
  <c r="M133" i="9" s="1"/>
  <c r="JS100" i="9"/>
  <c r="JS120" i="9" s="1"/>
  <c r="JO100" i="9"/>
  <c r="JO120" i="9" s="1"/>
  <c r="JO124" i="9" s="1"/>
  <c r="EA100" i="9"/>
  <c r="EA120" i="9" s="1"/>
  <c r="EA134" i="9" s="1"/>
  <c r="EB257" i="9"/>
  <c r="EB259" i="9" s="1"/>
  <c r="CM257" i="9"/>
  <c r="CM259" i="9" s="1"/>
  <c r="FU100" i="9"/>
  <c r="FU120" i="9" s="1"/>
  <c r="FU134" i="9" s="1"/>
  <c r="LZ241" i="9"/>
  <c r="LZ243" i="9" s="1"/>
  <c r="GI241" i="9"/>
  <c r="GI243" i="9" s="1"/>
  <c r="AJ241" i="9"/>
  <c r="AJ243" i="9" s="1"/>
  <c r="DT241" i="9"/>
  <c r="DT243" i="9" s="1"/>
  <c r="KO241" i="9"/>
  <c r="KO243" i="9" s="1"/>
  <c r="CU241" i="9"/>
  <c r="CU243" i="9" s="1"/>
  <c r="AA257" i="9"/>
  <c r="AA259" i="9" s="1"/>
  <c r="DH257" i="9"/>
  <c r="DH259" i="9" s="1"/>
  <c r="G100" i="9"/>
  <c r="G120" i="9" s="1"/>
  <c r="G134" i="9" s="1"/>
  <c r="GH100" i="9"/>
  <c r="GH120" i="9" s="1"/>
  <c r="GH134" i="9" s="1"/>
  <c r="AN100" i="9"/>
  <c r="AN120" i="9" s="1"/>
  <c r="AN133" i="9" s="1"/>
  <c r="BY100" i="9"/>
  <c r="BY120" i="9" s="1"/>
  <c r="BY124" i="9" s="1"/>
  <c r="KN134" i="9"/>
  <c r="I100" i="9"/>
  <c r="I120" i="9" s="1"/>
  <c r="I134" i="9" s="1"/>
  <c r="GL100" i="9"/>
  <c r="GL120" i="9" s="1"/>
  <c r="GL134" i="9" s="1"/>
  <c r="IE241" i="9"/>
  <c r="IE243" i="9" s="1"/>
  <c r="T241" i="9"/>
  <c r="T243" i="9" s="1"/>
  <c r="LS100" i="9"/>
  <c r="LS120" i="9" s="1"/>
  <c r="LS134" i="9" s="1"/>
  <c r="JE241" i="9"/>
  <c r="JE243" i="9" s="1"/>
  <c r="LG241" i="9"/>
  <c r="LG243" i="9" s="1"/>
  <c r="CY100" i="9"/>
  <c r="CY120" i="9" s="1"/>
  <c r="CY134" i="9" s="1"/>
  <c r="JG241" i="9"/>
  <c r="JG243" i="9" s="1"/>
  <c r="KV100" i="9"/>
  <c r="KV120" i="9" s="1"/>
  <c r="KV133" i="9" s="1"/>
  <c r="GG100" i="9"/>
  <c r="GG120" i="9" s="1"/>
  <c r="GG133" i="9" s="1"/>
  <c r="FV241" i="9"/>
  <c r="FV243" i="9" s="1"/>
  <c r="W241" i="9"/>
  <c r="W243" i="9" s="1"/>
  <c r="DR241" i="9"/>
  <c r="DR243" i="9" s="1"/>
  <c r="HA241" i="9"/>
  <c r="HA243" i="9" s="1"/>
  <c r="IS257" i="9"/>
  <c r="IS259" i="9" s="1"/>
  <c r="DC241" i="9"/>
  <c r="DC243" i="9" s="1"/>
  <c r="FT100" i="9"/>
  <c r="FT120" i="9" s="1"/>
  <c r="FT134" i="9" s="1"/>
  <c r="LQ100" i="9"/>
  <c r="LQ120" i="9" s="1"/>
  <c r="LQ133" i="9" s="1"/>
  <c r="FX100" i="9"/>
  <c r="FX120" i="9" s="1"/>
  <c r="FX134" i="9" s="1"/>
  <c r="CU100" i="9"/>
  <c r="CU120" i="9" s="1"/>
  <c r="CU134" i="9" s="1"/>
  <c r="F241" i="9"/>
  <c r="F243" i="9" s="1"/>
  <c r="KX200" i="9"/>
  <c r="BL257" i="9"/>
  <c r="BL259" i="9" s="1"/>
  <c r="JA100" i="9"/>
  <c r="JA120" i="9" s="1"/>
  <c r="JA134" i="9" s="1"/>
  <c r="IC241" i="9"/>
  <c r="IC243" i="9" s="1"/>
  <c r="S100" i="9"/>
  <c r="S120" i="9" s="1"/>
  <c r="KP257" i="9"/>
  <c r="KP259" i="9" s="1"/>
  <c r="LA241" i="9"/>
  <c r="LA243" i="9" s="1"/>
  <c r="JD100" i="9"/>
  <c r="JD120" i="9" s="1"/>
  <c r="CT257" i="9"/>
  <c r="CT259" i="9" s="1"/>
  <c r="KD100" i="9"/>
  <c r="KD120" i="9" s="1"/>
  <c r="KD124" i="9" s="1"/>
  <c r="HW241" i="9"/>
  <c r="HW243" i="9" s="1"/>
  <c r="GS241" i="9"/>
  <c r="GS243" i="9" s="1"/>
  <c r="EQ241" i="9"/>
  <c r="EQ243" i="9" s="1"/>
  <c r="KF257" i="9"/>
  <c r="KF259" i="9" s="1"/>
  <c r="ET257" i="9"/>
  <c r="ET259" i="9" s="1"/>
  <c r="AP257" i="9"/>
  <c r="AP259" i="9" s="1"/>
  <c r="LR100" i="9"/>
  <c r="LR120" i="9" s="1"/>
  <c r="LR133" i="9" s="1"/>
  <c r="BR100" i="9"/>
  <c r="BR120" i="9" s="1"/>
  <c r="BR124" i="9" s="1"/>
  <c r="D100" i="9"/>
  <c r="D120" i="9" s="1"/>
  <c r="D124" i="9" s="1"/>
  <c r="HF241" i="9"/>
  <c r="HF243" i="9" s="1"/>
  <c r="ID257" i="9"/>
  <c r="ID259" i="9" s="1"/>
  <c r="HO241" i="9"/>
  <c r="HO243" i="9" s="1"/>
  <c r="BO241" i="9"/>
  <c r="BO243" i="9" s="1"/>
  <c r="IP241" i="9"/>
  <c r="IP243" i="9" s="1"/>
  <c r="EB100" i="9"/>
  <c r="EB120" i="9" s="1"/>
  <c r="KB257" i="9"/>
  <c r="KB259" i="9" s="1"/>
  <c r="LV100" i="9"/>
  <c r="LV120" i="9" s="1"/>
  <c r="W100" i="9"/>
  <c r="W120" i="9" s="1"/>
  <c r="W134" i="9" s="1"/>
  <c r="CR100" i="9"/>
  <c r="CR120" i="9" s="1"/>
  <c r="GA241" i="9"/>
  <c r="GA243" i="9" s="1"/>
  <c r="KM241" i="9"/>
  <c r="KM243" i="9" s="1"/>
  <c r="AZ241" i="9"/>
  <c r="AZ243" i="9" s="1"/>
  <c r="KI257" i="9"/>
  <c r="KI259" i="9" s="1"/>
  <c r="KV241" i="9"/>
  <c r="KV243" i="9" s="1"/>
  <c r="AO257" i="9"/>
  <c r="AO259" i="9" s="1"/>
  <c r="FF100" i="9"/>
  <c r="FF120" i="9" s="1"/>
  <c r="FF134" i="9" s="1"/>
  <c r="FN98" i="9"/>
  <c r="FN100" i="9" s="1"/>
  <c r="FN120" i="9" s="1"/>
  <c r="DB100" i="9"/>
  <c r="DB120" i="9" s="1"/>
  <c r="DB124" i="9" s="1"/>
  <c r="CD133" i="9"/>
  <c r="JC133" i="9"/>
  <c r="HR1" i="9"/>
  <c r="IF6" i="9"/>
  <c r="EZ237" i="9"/>
  <c r="JL241" i="9"/>
  <c r="JL243" i="9" s="1"/>
  <c r="JU241" i="9"/>
  <c r="JU243" i="9" s="1"/>
  <c r="V241" i="9"/>
  <c r="V243" i="9" s="1"/>
  <c r="BT225" i="9"/>
  <c r="FC257" i="9"/>
  <c r="FC259" i="9" s="1"/>
  <c r="KM257" i="9"/>
  <c r="KM259" i="9" s="1"/>
  <c r="JV225" i="9"/>
  <c r="DW257" i="9"/>
  <c r="DW259" i="9" s="1"/>
  <c r="BM241" i="9"/>
  <c r="BM243" i="9" s="1"/>
  <c r="KW241" i="9"/>
  <c r="KW243" i="9" s="1"/>
  <c r="GK241" i="9"/>
  <c r="GK243" i="9" s="1"/>
  <c r="GH257" i="9"/>
  <c r="GH259" i="9" s="1"/>
  <c r="KH241" i="9"/>
  <c r="KH243" i="9" s="1"/>
  <c r="EK257" i="9"/>
  <c r="EK259" i="9" s="1"/>
  <c r="AQ257" i="9"/>
  <c r="AQ259" i="9" s="1"/>
  <c r="EO241" i="9"/>
  <c r="EO243" i="9" s="1"/>
  <c r="DF100" i="9"/>
  <c r="DF120" i="9" s="1"/>
  <c r="DF133" i="9" s="1"/>
  <c r="JH98" i="9"/>
  <c r="JH100" i="9" s="1"/>
  <c r="JH120" i="9" s="1"/>
  <c r="GI100" i="9"/>
  <c r="GI120" i="9" s="1"/>
  <c r="GI124" i="9" s="1"/>
  <c r="FG100" i="9"/>
  <c r="FG120" i="9" s="1"/>
  <c r="FG124" i="9" s="1"/>
  <c r="KH100" i="9"/>
  <c r="KH120" i="9" s="1"/>
  <c r="KH124" i="9" s="1"/>
  <c r="CL100" i="9"/>
  <c r="CL120" i="9" s="1"/>
  <c r="CL133" i="9" s="1"/>
  <c r="CD124" i="9"/>
  <c r="CD132" i="9" s="1"/>
  <c r="FM133" i="9"/>
  <c r="EA133" i="9"/>
  <c r="FY133" i="9"/>
  <c r="CX100" i="9"/>
  <c r="CX120" i="9" s="1"/>
  <c r="CX133" i="9" s="1"/>
  <c r="JC124" i="9"/>
  <c r="JC129" i="9" s="1"/>
  <c r="DJ98" i="9"/>
  <c r="DJ100" i="9" s="1"/>
  <c r="DJ120" i="9" s="1"/>
  <c r="DS241" i="9"/>
  <c r="DS243" i="9" s="1"/>
  <c r="GO241" i="9"/>
  <c r="GO243" i="9" s="1"/>
  <c r="EJ257" i="9"/>
  <c r="EJ259" i="9" s="1"/>
  <c r="FM241" i="9"/>
  <c r="FM243" i="9" s="1"/>
  <c r="LJ257" i="9"/>
  <c r="LJ259" i="9" s="1"/>
  <c r="HD200" i="9"/>
  <c r="FL241" i="9"/>
  <c r="FL243" i="9" s="1"/>
  <c r="ES100" i="9"/>
  <c r="ES120" i="9" s="1"/>
  <c r="ES134" i="9" s="1"/>
  <c r="AH100" i="9"/>
  <c r="AH120" i="9" s="1"/>
  <c r="AH133" i="9" s="1"/>
  <c r="KU100" i="9"/>
  <c r="KU120" i="9" s="1"/>
  <c r="KU133" i="9" s="1"/>
  <c r="FM124" i="9"/>
  <c r="FM132" i="9" s="1"/>
  <c r="JZ241" i="9"/>
  <c r="JZ243" i="9" s="1"/>
  <c r="IS241" i="9"/>
  <c r="IS243" i="9" s="1"/>
  <c r="CT241" i="9"/>
  <c r="CT243" i="9" s="1"/>
  <c r="EE241" i="9"/>
  <c r="EE243" i="9" s="1"/>
  <c r="CZ241" i="9"/>
  <c r="CZ243" i="9" s="1"/>
  <c r="AV241" i="9"/>
  <c r="AV243" i="9" s="1"/>
  <c r="IX241" i="9"/>
  <c r="IX243" i="9" s="1"/>
  <c r="CS241" i="9"/>
  <c r="CS243" i="9" s="1"/>
  <c r="CD241" i="9"/>
  <c r="CD243" i="9" s="1"/>
  <c r="JZ257" i="9"/>
  <c r="JZ259" i="9" s="1"/>
  <c r="EA241" i="9"/>
  <c r="EA243" i="9" s="1"/>
  <c r="JT241" i="9"/>
  <c r="JT243" i="9" s="1"/>
  <c r="AY241" i="9"/>
  <c r="AY243" i="9" s="1"/>
  <c r="LK257" i="9"/>
  <c r="LK259" i="9" s="1"/>
  <c r="KH257" i="9"/>
  <c r="KH259" i="9" s="1"/>
  <c r="IW100" i="9"/>
  <c r="IW120" i="9" s="1"/>
  <c r="IW124" i="9" s="1"/>
  <c r="KG100" i="9"/>
  <c r="KG120" i="9" s="1"/>
  <c r="KG134" i="9" s="1"/>
  <c r="JU100" i="9"/>
  <c r="JU120" i="9" s="1"/>
  <c r="JU134" i="9" s="1"/>
  <c r="BJ100" i="9"/>
  <c r="BJ120" i="9" s="1"/>
  <c r="BJ134" i="9" s="1"/>
  <c r="BI100" i="9"/>
  <c r="BI120" i="9" s="1"/>
  <c r="BI134" i="9" s="1"/>
  <c r="GZ100" i="9"/>
  <c r="GZ120" i="9" s="1"/>
  <c r="P255" i="9"/>
  <c r="DV241" i="9"/>
  <c r="DV243" i="9" s="1"/>
  <c r="H257" i="9"/>
  <c r="H259" i="9" s="1"/>
  <c r="IZ257" i="9"/>
  <c r="IZ259" i="9" s="1"/>
  <c r="KG241" i="9"/>
  <c r="KG243" i="9" s="1"/>
  <c r="IP257" i="9"/>
  <c r="IP259" i="9" s="1"/>
  <c r="HR98" i="9"/>
  <c r="HR100" i="9" s="1"/>
  <c r="HR120" i="9" s="1"/>
  <c r="HM134" i="9"/>
  <c r="BH100" i="9"/>
  <c r="BH120" i="9" s="1"/>
  <c r="BF255" i="9"/>
  <c r="HR237" i="9"/>
  <c r="JQ241" i="9"/>
  <c r="JQ243" i="9" s="1"/>
  <c r="BX257" i="9"/>
  <c r="BX259" i="9" s="1"/>
  <c r="JY257" i="9"/>
  <c r="JY259" i="9" s="1"/>
  <c r="LV243" i="9"/>
  <c r="KJ255" i="9"/>
  <c r="CE241" i="9"/>
  <c r="CE243" i="9" s="1"/>
  <c r="O241" i="9"/>
  <c r="O243" i="9" s="1"/>
  <c r="JC241" i="9"/>
  <c r="JC243" i="9" s="1"/>
  <c r="KC241" i="9"/>
  <c r="KC243" i="9" s="1"/>
  <c r="EH241" i="9"/>
  <c r="EH243" i="9" s="1"/>
  <c r="JP241" i="9"/>
  <c r="JP243" i="9" s="1"/>
  <c r="Z241" i="9"/>
  <c r="Z243" i="9" s="1"/>
  <c r="EY257" i="9"/>
  <c r="EY259" i="9" s="1"/>
  <c r="DI257" i="9"/>
  <c r="DI259" i="9" s="1"/>
  <c r="FI257" i="9"/>
  <c r="FI259" i="9" s="1"/>
  <c r="I257" i="9"/>
  <c r="AG241" i="9"/>
  <c r="AG243" i="9" s="1"/>
  <c r="LF257" i="9"/>
  <c r="LF259" i="9" s="1"/>
  <c r="G257" i="9"/>
  <c r="G259" i="9" s="1"/>
  <c r="LA100" i="9"/>
  <c r="LA120" i="9" s="1"/>
  <c r="LA134" i="9" s="1"/>
  <c r="LY100" i="9"/>
  <c r="LY120" i="9" s="1"/>
  <c r="LY124" i="9" s="1"/>
  <c r="HH100" i="9"/>
  <c r="HH120" i="9" s="1"/>
  <c r="HH134" i="9" s="1"/>
  <c r="CD114" i="9"/>
  <c r="CD116" i="9" s="1"/>
  <c r="GE100" i="9"/>
  <c r="GE120" i="9" s="1"/>
  <c r="GE134" i="9" s="1"/>
  <c r="HK100" i="9"/>
  <c r="HK120" i="9" s="1"/>
  <c r="HK134" i="9" s="1"/>
  <c r="KB124" i="9"/>
  <c r="KB132" i="9" s="1"/>
  <c r="HM133" i="9"/>
  <c r="FQ100" i="9"/>
  <c r="FQ120" i="9" s="1"/>
  <c r="FQ114" i="9"/>
  <c r="FQ116" i="9" s="1"/>
  <c r="R100" i="9"/>
  <c r="R120" i="9" s="1"/>
  <c r="R114" i="9"/>
  <c r="R116" i="9" s="1"/>
  <c r="KA100" i="9"/>
  <c r="KA120" i="9" s="1"/>
  <c r="F100" i="9"/>
  <c r="F120" i="9" s="1"/>
  <c r="EA257" i="9"/>
  <c r="EA259" i="9" s="1"/>
  <c r="AT100" i="9"/>
  <c r="AT120" i="9" s="1"/>
  <c r="IY100" i="9"/>
  <c r="IY120" i="9" s="1"/>
  <c r="IB257" i="9"/>
  <c r="IB259" i="9" s="1"/>
  <c r="EG114" i="9"/>
  <c r="EG116" i="9" s="1"/>
  <c r="DB257" i="9"/>
  <c r="DB259" i="9" s="1"/>
  <c r="II241" i="9"/>
  <c r="II243" i="9" s="1"/>
  <c r="GG241" i="9"/>
  <c r="GG243" i="9" s="1"/>
  <c r="AH241" i="9"/>
  <c r="AH243" i="9" s="1"/>
  <c r="HQ241" i="9"/>
  <c r="HQ243" i="9" s="1"/>
  <c r="BR241" i="9"/>
  <c r="BR243" i="9" s="1"/>
  <c r="GF241" i="9"/>
  <c r="GF243" i="9" s="1"/>
  <c r="HL241" i="9"/>
  <c r="HL243" i="9" s="1"/>
  <c r="HC241" i="9"/>
  <c r="HC243" i="9" s="1"/>
  <c r="EC241" i="9"/>
  <c r="EC243" i="9" s="1"/>
  <c r="IK257" i="9"/>
  <c r="IK259" i="9" s="1"/>
  <c r="HU241" i="9"/>
  <c r="HU243" i="9" s="1"/>
  <c r="EV257" i="9"/>
  <c r="EV259" i="9" s="1"/>
  <c r="LT243" i="9"/>
  <c r="CG257" i="9"/>
  <c r="CG259" i="9" s="1"/>
  <c r="LY243" i="9"/>
  <c r="JL100" i="9"/>
  <c r="JL120" i="9" s="1"/>
  <c r="JL134" i="9" s="1"/>
  <c r="IX100" i="9"/>
  <c r="IX120" i="9" s="1"/>
  <c r="IX124" i="9" s="1"/>
  <c r="V100" i="9"/>
  <c r="V120" i="9" s="1"/>
  <c r="V134" i="9" s="1"/>
  <c r="KB133" i="9"/>
  <c r="FZ100" i="9"/>
  <c r="FZ120" i="9" s="1"/>
  <c r="JN100" i="9"/>
  <c r="JN120" i="9" s="1"/>
  <c r="DL100" i="9"/>
  <c r="DL120" i="9" s="1"/>
  <c r="CM241" i="9"/>
  <c r="CM243" i="9" s="1"/>
  <c r="LU243" i="9"/>
  <c r="KQ241" i="9"/>
  <c r="KQ243" i="9" s="1"/>
  <c r="KD241" i="9"/>
  <c r="KD243" i="9" s="1"/>
  <c r="BI241" i="9"/>
  <c r="BI243" i="9" s="1"/>
  <c r="IW241" i="9"/>
  <c r="IW243" i="9" s="1"/>
  <c r="DA241" i="9"/>
  <c r="DA243" i="9" s="1"/>
  <c r="IE257" i="9"/>
  <c r="IE259" i="9" s="1"/>
  <c r="JK257" i="9"/>
  <c r="JK259" i="9" s="1"/>
  <c r="IO257" i="9"/>
  <c r="IO259" i="9" s="1"/>
  <c r="HP257" i="9"/>
  <c r="HP259" i="9" s="1"/>
  <c r="DT100" i="9"/>
  <c r="DT120" i="9" s="1"/>
  <c r="DT134" i="9" s="1"/>
  <c r="II100" i="9"/>
  <c r="II120" i="9" s="1"/>
  <c r="II124" i="9" s="1"/>
  <c r="HD255" i="9"/>
  <c r="FT241" i="9"/>
  <c r="FT243" i="9" s="1"/>
  <c r="U241" i="9"/>
  <c r="U243" i="9" s="1"/>
  <c r="JA241" i="9"/>
  <c r="JA243" i="9" s="1"/>
  <c r="HH257" i="9"/>
  <c r="HH259" i="9" s="1"/>
  <c r="KF241" i="9"/>
  <c r="KF243" i="9" s="1"/>
  <c r="BA241" i="9"/>
  <c r="BA243" i="9" s="1"/>
  <c r="IK241" i="9"/>
  <c r="IK243" i="9" s="1"/>
  <c r="CL241" i="9"/>
  <c r="CL243" i="9" s="1"/>
  <c r="DO241" i="9"/>
  <c r="DO243" i="9" s="1"/>
  <c r="IY257" i="9"/>
  <c r="IY259" i="9" s="1"/>
  <c r="CP257" i="9"/>
  <c r="CP259" i="9" s="1"/>
  <c r="GL257" i="9"/>
  <c r="GL259" i="9" s="1"/>
  <c r="EU257" i="9"/>
  <c r="EU259" i="9" s="1"/>
  <c r="LE100" i="9"/>
  <c r="LE120" i="9" s="1"/>
  <c r="LE133" i="9" s="1"/>
  <c r="KR100" i="9"/>
  <c r="KR120" i="9" s="1"/>
  <c r="KR133" i="9" s="1"/>
  <c r="CH98" i="9"/>
  <c r="CH100" i="9" s="1"/>
  <c r="CH120" i="9" s="1"/>
  <c r="JZ100" i="9"/>
  <c r="JZ120" i="9" s="1"/>
  <c r="JZ134" i="9" s="1"/>
  <c r="O100" i="9"/>
  <c r="O120" i="9" s="1"/>
  <c r="O133" i="9" s="1"/>
  <c r="KZ100" i="9"/>
  <c r="KZ120" i="9" s="1"/>
  <c r="KZ134" i="9" s="1"/>
  <c r="P98" i="9"/>
  <c r="FE100" i="9"/>
  <c r="FE120" i="9" s="1"/>
  <c r="FE124" i="9" s="1"/>
  <c r="AD98" i="9"/>
  <c r="AD100" i="9" s="1"/>
  <c r="AD120" i="9" s="1"/>
  <c r="DC100" i="9"/>
  <c r="DC120" i="9" s="1"/>
  <c r="DO100" i="9"/>
  <c r="DO120" i="9" s="1"/>
  <c r="DO124" i="9" s="1"/>
  <c r="JD124" i="9"/>
  <c r="JD132" i="9" s="1"/>
  <c r="HL100" i="9"/>
  <c r="HL120" i="9" s="1"/>
  <c r="HL134" i="9" s="1"/>
  <c r="GA100" i="9"/>
  <c r="GA120" i="9" s="1"/>
  <c r="GA134" i="9" s="1"/>
  <c r="EX100" i="9"/>
  <c r="EX120" i="9" s="1"/>
  <c r="CA100" i="9"/>
  <c r="CA120" i="9" s="1"/>
  <c r="BL100" i="9"/>
  <c r="BL120" i="9" s="1"/>
  <c r="ED257" i="9"/>
  <c r="ED259" i="9" s="1"/>
  <c r="AX241" i="9"/>
  <c r="AX243" i="9" s="1"/>
  <c r="JB257" i="9"/>
  <c r="JB259" i="9" s="1"/>
  <c r="JM241" i="9"/>
  <c r="JM243" i="9" s="1"/>
  <c r="LC257" i="9"/>
  <c r="LC259" i="9" s="1"/>
  <c r="M257" i="9"/>
  <c r="M259" i="9" s="1"/>
  <c r="T100" i="9"/>
  <c r="T120" i="9" s="1"/>
  <c r="T124" i="9" s="1"/>
  <c r="IF98" i="9"/>
  <c r="IF100" i="9" s="1"/>
  <c r="IF120" i="9" s="1"/>
  <c r="LA257" i="9"/>
  <c r="LA259" i="9" s="1"/>
  <c r="AD255" i="9"/>
  <c r="KN241" i="9"/>
  <c r="KN243" i="9" s="1"/>
  <c r="S257" i="9"/>
  <c r="S259" i="9" s="1"/>
  <c r="F257" i="9"/>
  <c r="F259" i="9" s="1"/>
  <c r="EU100" i="9"/>
  <c r="EU120" i="9" s="1"/>
  <c r="EU134" i="9" s="1"/>
  <c r="JX100" i="9"/>
  <c r="JX120" i="9" s="1"/>
  <c r="JX133" i="9" s="1"/>
  <c r="HV100" i="9"/>
  <c r="HV120" i="9" s="1"/>
  <c r="HV124" i="9" s="1"/>
  <c r="IV100" i="9"/>
  <c r="IV120" i="9" s="1"/>
  <c r="IV134" i="9" s="1"/>
  <c r="KP241" i="9"/>
  <c r="KP243" i="9" s="1"/>
  <c r="GH241" i="9"/>
  <c r="GH243" i="9" s="1"/>
  <c r="IM241" i="9"/>
  <c r="IM243" i="9" s="1"/>
  <c r="BY257" i="9"/>
  <c r="BY259" i="9" s="1"/>
  <c r="CH200" i="9"/>
  <c r="BE257" i="9"/>
  <c r="BE259" i="9" s="1"/>
  <c r="P100" i="9"/>
  <c r="P120" i="9" s="1"/>
  <c r="P133" i="9" s="1"/>
  <c r="ER100" i="9"/>
  <c r="ER120" i="9" s="1"/>
  <c r="CB257" i="9"/>
  <c r="CB259" i="9" s="1"/>
  <c r="HI241" i="9"/>
  <c r="HI243" i="9" s="1"/>
  <c r="BJ241" i="9"/>
  <c r="BJ243" i="9" s="1"/>
  <c r="FG241" i="9"/>
  <c r="FG243" i="9" s="1"/>
  <c r="FX241" i="9"/>
  <c r="FX243" i="9" s="1"/>
  <c r="E241" i="9"/>
  <c r="E243" i="9" s="1"/>
  <c r="DH241" i="9"/>
  <c r="DH243" i="9" s="1"/>
  <c r="AA241" i="9"/>
  <c r="AA243" i="9" s="1"/>
  <c r="FQ241" i="9"/>
  <c r="FQ243" i="9" s="1"/>
  <c r="AN257" i="9"/>
  <c r="AN259" i="9" s="1"/>
  <c r="AL257" i="9"/>
  <c r="AL259" i="9" s="1"/>
  <c r="DD241" i="9"/>
  <c r="DD243" i="9" s="1"/>
  <c r="IL257" i="9"/>
  <c r="IL259" i="9" s="1"/>
  <c r="LI241" i="9"/>
  <c r="LI243" i="9" s="1"/>
  <c r="BW257" i="9"/>
  <c r="BW259" i="9" s="1"/>
  <c r="IQ257" i="9"/>
  <c r="IQ259" i="9" s="1"/>
  <c r="BC257" i="9"/>
  <c r="BC259" i="9" s="1"/>
  <c r="IF200" i="9"/>
  <c r="KR257" i="9"/>
  <c r="KR259" i="9" s="1"/>
  <c r="GO257" i="9"/>
  <c r="GO259" i="9" s="1"/>
  <c r="HO257" i="9"/>
  <c r="HO259" i="9" s="1"/>
  <c r="KE100" i="9"/>
  <c r="KE120" i="9" s="1"/>
  <c r="KE134" i="9" s="1"/>
  <c r="JR100" i="9"/>
  <c r="JR120" i="9" s="1"/>
  <c r="JR133" i="9" s="1"/>
  <c r="JM100" i="9"/>
  <c r="JM120" i="9" s="1"/>
  <c r="JM134" i="9" s="1"/>
  <c r="DR100" i="9"/>
  <c r="DR120" i="9" s="1"/>
  <c r="DR133" i="9" s="1"/>
  <c r="CP100" i="9"/>
  <c r="CP120" i="9" s="1"/>
  <c r="CP124" i="9" s="1"/>
  <c r="BF98" i="9"/>
  <c r="BF100" i="9" s="1"/>
  <c r="BF120" i="9" s="1"/>
  <c r="LF100" i="9"/>
  <c r="LF120" i="9" s="1"/>
  <c r="LF124" i="9" s="1"/>
  <c r="KJ98" i="9"/>
  <c r="KJ100" i="9" s="1"/>
  <c r="KJ120" i="9" s="1"/>
  <c r="LG100" i="9"/>
  <c r="LG120" i="9" s="1"/>
  <c r="KQ100" i="9"/>
  <c r="KQ120" i="9" s="1"/>
  <c r="DA100" i="9"/>
  <c r="DA120" i="9" s="1"/>
  <c r="HZ100" i="9"/>
  <c r="HZ120" i="9" s="1"/>
  <c r="CZ257" i="9"/>
  <c r="CZ259" i="9" s="1"/>
  <c r="DZ257" i="9"/>
  <c r="EL188" i="9"/>
  <c r="JT100" i="9"/>
  <c r="JT120" i="9" s="1"/>
  <c r="KS257" i="9"/>
  <c r="KS259" i="9" s="1"/>
  <c r="KS241" i="9"/>
  <c r="KS243" i="9" s="1"/>
  <c r="EF257" i="9"/>
  <c r="EF259" i="9" s="1"/>
  <c r="GR116" i="9"/>
  <c r="EF114" i="9"/>
  <c r="EF116" i="9" s="1"/>
  <c r="EF100" i="9"/>
  <c r="EF120" i="9" s="1"/>
  <c r="GN100" i="9"/>
  <c r="GN120" i="9" s="1"/>
  <c r="GK134" i="9"/>
  <c r="GK133" i="9"/>
  <c r="GK124" i="9"/>
  <c r="GA124" i="9"/>
  <c r="GA133" i="9"/>
  <c r="EL255" i="9"/>
  <c r="GB255" i="9"/>
  <c r="JR241" i="9"/>
  <c r="JR243" i="9" s="1"/>
  <c r="IR241" i="9"/>
  <c r="IR243" i="9" s="1"/>
  <c r="DX225" i="9"/>
  <c r="AQ241" i="9"/>
  <c r="AQ243" i="9" s="1"/>
  <c r="GP225" i="9"/>
  <c r="GD226" i="9"/>
  <c r="GE226" i="9" s="1"/>
  <c r="GF226" i="9" s="1"/>
  <c r="GD241" i="9"/>
  <c r="GD243" i="9" s="1"/>
  <c r="IX257" i="9"/>
  <c r="IX259" i="9" s="1"/>
  <c r="JH188" i="9"/>
  <c r="DL257" i="9"/>
  <c r="DX188" i="9"/>
  <c r="EI257" i="9"/>
  <c r="EI259" i="9" s="1"/>
  <c r="BT200" i="9"/>
  <c r="AU257" i="9"/>
  <c r="AU259" i="9" s="1"/>
  <c r="JF257" i="9"/>
  <c r="JF259" i="9" s="1"/>
  <c r="DR257" i="9"/>
  <c r="DR259" i="9" s="1"/>
  <c r="LZ98" i="9"/>
  <c r="LZ100" i="9" s="1"/>
  <c r="LZ120" i="9" s="1"/>
  <c r="IP124" i="9"/>
  <c r="IP134" i="9"/>
  <c r="IP133" i="9"/>
  <c r="DS114" i="9"/>
  <c r="DS116" i="9" s="1"/>
  <c r="DS100" i="9"/>
  <c r="DS120" i="9" s="1"/>
  <c r="BT98" i="9"/>
  <c r="FB241" i="9"/>
  <c r="FB243" i="9" s="1"/>
  <c r="FN237" i="9"/>
  <c r="Y114" i="9"/>
  <c r="Y116" i="9" s="1"/>
  <c r="Y100" i="9"/>
  <c r="Y120" i="9" s="1"/>
  <c r="BY241" i="9"/>
  <c r="BY243" i="9" s="1"/>
  <c r="CH237" i="9"/>
  <c r="DW114" i="9"/>
  <c r="DW116" i="9" s="1"/>
  <c r="DW100" i="9"/>
  <c r="DW120" i="9" s="1"/>
  <c r="FN225" i="9"/>
  <c r="JL257" i="9"/>
  <c r="JL259" i="9" s="1"/>
  <c r="AF257" i="9"/>
  <c r="AR188" i="9"/>
  <c r="KN257" i="9"/>
  <c r="KN259" i="9" s="1"/>
  <c r="BZ257" i="9"/>
  <c r="BZ259" i="9" s="1"/>
  <c r="BZ241" i="9"/>
  <c r="BZ243" i="9" s="1"/>
  <c r="DN257" i="9"/>
  <c r="DN259" i="9" s="1"/>
  <c r="DX255" i="9"/>
  <c r="KQ257" i="9"/>
  <c r="KQ259" i="9" s="1"/>
  <c r="KE257" i="9"/>
  <c r="KE259" i="9" s="1"/>
  <c r="BB241" i="9"/>
  <c r="BB243" i="9" s="1"/>
  <c r="BB257" i="9"/>
  <c r="BB259" i="9" s="1"/>
  <c r="P200" i="9"/>
  <c r="JN257" i="9"/>
  <c r="JN259" i="9" s="1"/>
  <c r="CA257" i="9"/>
  <c r="CA259" i="9" s="1"/>
  <c r="FS124" i="9"/>
  <c r="FS134" i="9"/>
  <c r="FS133" i="9"/>
  <c r="JY114" i="9"/>
  <c r="JY116" i="9" s="1"/>
  <c r="JY100" i="9"/>
  <c r="JY120" i="9" s="1"/>
  <c r="CK114" i="9"/>
  <c r="CK116" i="9" s="1"/>
  <c r="CK100" i="9"/>
  <c r="CK120" i="9" s="1"/>
  <c r="AR98" i="9"/>
  <c r="AR100" i="9" s="1"/>
  <c r="AR120" i="9" s="1"/>
  <c r="DN134" i="9"/>
  <c r="DN133" i="9"/>
  <c r="DN124" i="9"/>
  <c r="I259" i="9"/>
  <c r="CG133" i="9"/>
  <c r="CG134" i="9"/>
  <c r="CG124" i="9"/>
  <c r="HU257" i="9"/>
  <c r="HU259" i="9" s="1"/>
  <c r="KX255" i="9"/>
  <c r="GB237" i="9"/>
  <c r="IT225" i="9"/>
  <c r="Z257" i="9"/>
  <c r="Z259" i="9" s="1"/>
  <c r="KJ200" i="9"/>
  <c r="JX257" i="9"/>
  <c r="KJ188" i="9"/>
  <c r="BS257" i="9"/>
  <c r="BS259" i="9" s="1"/>
  <c r="BS241" i="9"/>
  <c r="BS243" i="9" s="1"/>
  <c r="FH257" i="9"/>
  <c r="FH259" i="9" s="1"/>
  <c r="DA257" i="9"/>
  <c r="DA259" i="9" s="1"/>
  <c r="IE134" i="9"/>
  <c r="IE133" i="9"/>
  <c r="IE124" i="9"/>
  <c r="ES133" i="9"/>
  <c r="ES124" i="9"/>
  <c r="GB100" i="9"/>
  <c r="GB120" i="9" s="1"/>
  <c r="LV133" i="9"/>
  <c r="LV134" i="9"/>
  <c r="LV124" i="9"/>
  <c r="LL200" i="9"/>
  <c r="KZ257" i="9"/>
  <c r="JR257" i="9"/>
  <c r="JR259" i="9" s="1"/>
  <c r="JJ257" i="9"/>
  <c r="JV188" i="9"/>
  <c r="AR200" i="9"/>
  <c r="AI241" i="9"/>
  <c r="AI243" i="9" s="1"/>
  <c r="AW241" i="9"/>
  <c r="AW243" i="9" s="1"/>
  <c r="BP241" i="9"/>
  <c r="BP243" i="9" s="1"/>
  <c r="CN241" i="9"/>
  <c r="CN243" i="9" s="1"/>
  <c r="CV225" i="9"/>
  <c r="JJ241" i="9"/>
  <c r="JJ243" i="9" s="1"/>
  <c r="GG257" i="9"/>
  <c r="GG259" i="9" s="1"/>
  <c r="FH241" i="9"/>
  <c r="FH243" i="9" s="1"/>
  <c r="LQ134" i="9"/>
  <c r="HU114" i="9"/>
  <c r="HU116" i="9" s="1"/>
  <c r="HU100" i="9"/>
  <c r="HU120" i="9" s="1"/>
  <c r="EQ134" i="9"/>
  <c r="EQ124" i="9"/>
  <c r="EQ133" i="9"/>
  <c r="DC124" i="9"/>
  <c r="DC133" i="9"/>
  <c r="DC134" i="9"/>
  <c r="GJ133" i="9"/>
  <c r="GJ134" i="9"/>
  <c r="LX257" i="9"/>
  <c r="LX243" i="9"/>
  <c r="P225" i="9"/>
  <c r="D257" i="9"/>
  <c r="CN257" i="9"/>
  <c r="CN259" i="9" s="1"/>
  <c r="EH257" i="9"/>
  <c r="EH259" i="9" s="1"/>
  <c r="GD257" i="9"/>
  <c r="HT114" i="9"/>
  <c r="HT100" i="9"/>
  <c r="HT120" i="9" s="1"/>
  <c r="BB114" i="9"/>
  <c r="BB116" i="9" s="1"/>
  <c r="BF116" i="9" s="1"/>
  <c r="BB100" i="9"/>
  <c r="BB120" i="9" s="1"/>
  <c r="Z114" i="9"/>
  <c r="Z116" i="9" s="1"/>
  <c r="Z100" i="9"/>
  <c r="Z120" i="9" s="1"/>
  <c r="CC114" i="9"/>
  <c r="CC116" i="9" s="1"/>
  <c r="CC100" i="9"/>
  <c r="CC120" i="9" s="1"/>
  <c r="GB200" i="9"/>
  <c r="CO257" i="9"/>
  <c r="CO259" i="9" s="1"/>
  <c r="JD257" i="9"/>
  <c r="JD259" i="9" s="1"/>
  <c r="JD241" i="9"/>
  <c r="JD243" i="9" s="1"/>
  <c r="KL114" i="9"/>
  <c r="KL100" i="9"/>
  <c r="KL120" i="9" s="1"/>
  <c r="GO114" i="9"/>
  <c r="GO116" i="9" s="1"/>
  <c r="GO100" i="9"/>
  <c r="GO120" i="9" s="1"/>
  <c r="CH255" i="9"/>
  <c r="EJ241" i="9"/>
  <c r="EJ243" i="9" s="1"/>
  <c r="LP257" i="9"/>
  <c r="LP243" i="9"/>
  <c r="L241" i="9"/>
  <c r="L243" i="9" s="1"/>
  <c r="L257" i="9"/>
  <c r="IT200" i="9"/>
  <c r="AM257" i="9"/>
  <c r="AM259" i="9" s="1"/>
  <c r="KI241" i="9"/>
  <c r="KI243" i="9" s="1"/>
  <c r="IA257" i="9"/>
  <c r="IA259" i="9" s="1"/>
  <c r="FQ257" i="9"/>
  <c r="FQ259" i="9" s="1"/>
  <c r="GB188" i="9"/>
  <c r="JJ114" i="9"/>
  <c r="JJ100" i="9"/>
  <c r="JJ120" i="9" s="1"/>
  <c r="KT100" i="9"/>
  <c r="KT120" i="9" s="1"/>
  <c r="DI114" i="9"/>
  <c r="DI116" i="9" s="1"/>
  <c r="DI100" i="9"/>
  <c r="DI120" i="9" s="1"/>
  <c r="EE257" i="9"/>
  <c r="EE259" i="9" s="1"/>
  <c r="IN124" i="9"/>
  <c r="IN133" i="9"/>
  <c r="IN134" i="9"/>
  <c r="K241" i="9"/>
  <c r="K243" i="9" s="1"/>
  <c r="DZ241" i="9"/>
  <c r="DZ243" i="9" s="1"/>
  <c r="EL237" i="9"/>
  <c r="DW241" i="9"/>
  <c r="DW243" i="9" s="1"/>
  <c r="LJ241" i="9"/>
  <c r="LJ243" i="9" s="1"/>
  <c r="ES257" i="9"/>
  <c r="ES259" i="9" s="1"/>
  <c r="ES241" i="9"/>
  <c r="ES243" i="9" s="1"/>
  <c r="LW257" i="9"/>
  <c r="LW243" i="9"/>
  <c r="HD225" i="9"/>
  <c r="GR257" i="9"/>
  <c r="EL200" i="9"/>
  <c r="JT257" i="9"/>
  <c r="JT259" i="9" s="1"/>
  <c r="LL188" i="9"/>
  <c r="FN200" i="9"/>
  <c r="GW124" i="9"/>
  <c r="BH257" i="9"/>
  <c r="BT188" i="9"/>
  <c r="JG100" i="9"/>
  <c r="JG120" i="9" s="1"/>
  <c r="FT124" i="9"/>
  <c r="FT133" i="9"/>
  <c r="CT134" i="9"/>
  <c r="CT133" i="9"/>
  <c r="CT124" i="9"/>
  <c r="CE133" i="9"/>
  <c r="CE124" i="9"/>
  <c r="CE134" i="9"/>
  <c r="CQ134" i="9"/>
  <c r="CQ124" i="9"/>
  <c r="CQ133" i="9"/>
  <c r="CX116" i="9"/>
  <c r="BO124" i="9"/>
  <c r="BO134" i="9"/>
  <c r="IH134" i="9"/>
  <c r="IH133" i="9"/>
  <c r="IH124" i="9"/>
  <c r="L114" i="9"/>
  <c r="L100" i="9"/>
  <c r="L120" i="9" s="1"/>
  <c r="FI100" i="9"/>
  <c r="FI120" i="9" s="1"/>
  <c r="FN255" i="9"/>
  <c r="ET241" i="9"/>
  <c r="ET243" i="9" s="1"/>
  <c r="IQ241" i="9"/>
  <c r="IQ243" i="9" s="1"/>
  <c r="CR241" i="9"/>
  <c r="CR243" i="9" s="1"/>
  <c r="KA241" i="9"/>
  <c r="KA243" i="9" s="1"/>
  <c r="BK241" i="9"/>
  <c r="BK243" i="9" s="1"/>
  <c r="LC241" i="9"/>
  <c r="LC243" i="9" s="1"/>
  <c r="GU241" i="9"/>
  <c r="GU243" i="9" s="1"/>
  <c r="M241" i="9"/>
  <c r="M243" i="9" s="1"/>
  <c r="BN241" i="9"/>
  <c r="BN243" i="9" s="1"/>
  <c r="IW257" i="9"/>
  <c r="IW259" i="9" s="1"/>
  <c r="CX257" i="9"/>
  <c r="DJ188" i="9"/>
  <c r="DP241" i="9"/>
  <c r="DP243" i="9" s="1"/>
  <c r="KX225" i="9"/>
  <c r="GP237" i="9"/>
  <c r="HX257" i="9"/>
  <c r="HX259" i="9" s="1"/>
  <c r="CJ257" i="9"/>
  <c r="CV188" i="9"/>
  <c r="DV257" i="9"/>
  <c r="DV259" i="9" s="1"/>
  <c r="JG257" i="9"/>
  <c r="JG259" i="9" s="1"/>
  <c r="CV200" i="9"/>
  <c r="LG257" i="9"/>
  <c r="LG259" i="9" s="1"/>
  <c r="JE257" i="9"/>
  <c r="JE259" i="9" s="1"/>
  <c r="LQ243" i="9"/>
  <c r="LO243" i="9"/>
  <c r="AG257" i="9"/>
  <c r="AG259" i="9" s="1"/>
  <c r="JP257" i="9"/>
  <c r="JP259" i="9" s="1"/>
  <c r="R257" i="9"/>
  <c r="AD188" i="9"/>
  <c r="DU257" i="9"/>
  <c r="DU259" i="9" s="1"/>
  <c r="CD257" i="9"/>
  <c r="CD259" i="9" s="1"/>
  <c r="U257" i="9"/>
  <c r="U259" i="9" s="1"/>
  <c r="DD257" i="9"/>
  <c r="DD259" i="9" s="1"/>
  <c r="GF100" i="9"/>
  <c r="GF120" i="9" s="1"/>
  <c r="CF134" i="9"/>
  <c r="CF124" i="9"/>
  <c r="BP257" i="9"/>
  <c r="BP259" i="9" s="1"/>
  <c r="GT114" i="9"/>
  <c r="GT116" i="9" s="1"/>
  <c r="GT100" i="9"/>
  <c r="GT120" i="9" s="1"/>
  <c r="EP100" i="9"/>
  <c r="EP120" i="9" s="1"/>
  <c r="HP134" i="9"/>
  <c r="HP133" i="9"/>
  <c r="HP124" i="9"/>
  <c r="AU134" i="9"/>
  <c r="AU133" i="9"/>
  <c r="AU124" i="9"/>
  <c r="EZ98" i="9"/>
  <c r="EZ100" i="9" s="1"/>
  <c r="EZ120" i="9" s="1"/>
  <c r="CJ116" i="9"/>
  <c r="BC124" i="9"/>
  <c r="BC133" i="9"/>
  <c r="BC134" i="9"/>
  <c r="AQ134" i="9"/>
  <c r="AQ124" i="9"/>
  <c r="AQ133" i="9"/>
  <c r="CV98" i="9"/>
  <c r="CV100" i="9" s="1"/>
  <c r="CV120" i="9" s="1"/>
  <c r="KH134" i="9"/>
  <c r="KH133" i="9"/>
  <c r="BA133" i="9"/>
  <c r="BA134" i="9"/>
  <c r="BA124" i="9"/>
  <c r="AC114" i="9"/>
  <c r="AC100" i="9"/>
  <c r="AC120" i="9" s="1"/>
  <c r="AY257" i="9"/>
  <c r="AY259" i="9" s="1"/>
  <c r="BM257" i="9"/>
  <c r="BM259" i="9" s="1"/>
  <c r="BX100" i="9"/>
  <c r="BX120" i="9" s="1"/>
  <c r="FK132" i="9"/>
  <c r="FK129" i="9"/>
  <c r="IF225" i="9"/>
  <c r="EZ200" i="9"/>
  <c r="KJ225" i="9"/>
  <c r="EN116" i="9"/>
  <c r="EN100" i="9"/>
  <c r="EN120" i="9" s="1"/>
  <c r="IT255" i="9"/>
  <c r="DX200" i="9"/>
  <c r="GK257" i="9"/>
  <c r="GK259" i="9" s="1"/>
  <c r="KG257" i="9"/>
  <c r="KG259" i="9" s="1"/>
  <c r="HF257" i="9"/>
  <c r="HR188" i="9"/>
  <c r="DT124" i="9"/>
  <c r="DT133" i="9"/>
  <c r="BD134" i="9"/>
  <c r="BD124" i="9"/>
  <c r="BD133" i="9"/>
  <c r="FL133" i="9"/>
  <c r="FL134" i="9"/>
  <c r="FL124" i="9"/>
  <c r="IY134" i="9"/>
  <c r="IY133" i="9"/>
  <c r="IY124" i="9"/>
  <c r="GM134" i="9"/>
  <c r="GM133" i="9"/>
  <c r="GM124" i="9"/>
  <c r="KO133" i="9"/>
  <c r="KO124" i="9"/>
  <c r="KO134" i="9"/>
  <c r="IO133" i="9"/>
  <c r="IO124" i="9"/>
  <c r="IO134" i="9"/>
  <c r="CV255" i="9"/>
  <c r="DJ255" i="9"/>
  <c r="EI241" i="9"/>
  <c r="EI243" i="9" s="1"/>
  <c r="LL255" i="9"/>
  <c r="LF241" i="9"/>
  <c r="LF243" i="9" s="1"/>
  <c r="DG241" i="9"/>
  <c r="DG243" i="9" s="1"/>
  <c r="BE241" i="9"/>
  <c r="BE243" i="9" s="1"/>
  <c r="IB241" i="9"/>
  <c r="IB243" i="9" s="1"/>
  <c r="JB241" i="9"/>
  <c r="JB243" i="9" s="1"/>
  <c r="JO241" i="9"/>
  <c r="JO243" i="9" s="1"/>
  <c r="BD241" i="9"/>
  <c r="BD243" i="9" s="1"/>
  <c r="HJ257" i="9"/>
  <c r="HJ259" i="9" s="1"/>
  <c r="BK257" i="9"/>
  <c r="BK259" i="9" s="1"/>
  <c r="DQ241" i="9"/>
  <c r="DQ243" i="9" s="1"/>
  <c r="EK241" i="9"/>
  <c r="EK243" i="9" s="1"/>
  <c r="FX257" i="9"/>
  <c r="FX259" i="9" s="1"/>
  <c r="AW257" i="9"/>
  <c r="AW259" i="9" s="1"/>
  <c r="II257" i="9"/>
  <c r="II259" i="9" s="1"/>
  <c r="JS257" i="9"/>
  <c r="JS259" i="9" s="1"/>
  <c r="FS257" i="9"/>
  <c r="FS259" i="9" s="1"/>
  <c r="KD257" i="9"/>
  <c r="KD259" i="9" s="1"/>
  <c r="GB225" i="9"/>
  <c r="HM257" i="9"/>
  <c r="HM259" i="9" s="1"/>
  <c r="HL257" i="9"/>
  <c r="HL259" i="9" s="1"/>
  <c r="LE257" i="9"/>
  <c r="LE259" i="9" s="1"/>
  <c r="BD257" i="9"/>
  <c r="BD259" i="9" s="1"/>
  <c r="N257" i="9"/>
  <c r="HA257" i="9"/>
  <c r="HA259" i="9" s="1"/>
  <c r="CL257" i="9"/>
  <c r="CL259" i="9" s="1"/>
  <c r="HB257" i="9"/>
  <c r="HB259" i="9" s="1"/>
  <c r="AZ257" i="9"/>
  <c r="AZ259" i="9" s="1"/>
  <c r="FC241" i="9"/>
  <c r="FC243" i="9" s="1"/>
  <c r="AF133" i="9"/>
  <c r="AF124" i="9"/>
  <c r="AF134" i="9"/>
  <c r="K114" i="9"/>
  <c r="K100" i="9"/>
  <c r="K120" i="9" s="1"/>
  <c r="DG124" i="9"/>
  <c r="DG133" i="9"/>
  <c r="DG134" i="9"/>
  <c r="BK114" i="9"/>
  <c r="BT114" i="9" s="1"/>
  <c r="BK100" i="9"/>
  <c r="BK120" i="9" s="1"/>
  <c r="CO134" i="9"/>
  <c r="CO124" i="9"/>
  <c r="CO133" i="9"/>
  <c r="GR120" i="9"/>
  <c r="DD133" i="9"/>
  <c r="KC134" i="9"/>
  <c r="KC124" i="9"/>
  <c r="KC133" i="9"/>
  <c r="DZ133" i="9"/>
  <c r="DZ134" i="9"/>
  <c r="DZ124" i="9"/>
  <c r="EK134" i="9"/>
  <c r="EK133" i="9"/>
  <c r="EK124" i="9"/>
  <c r="HI100" i="9"/>
  <c r="HI120" i="9" s="1"/>
  <c r="AR116" i="9"/>
  <c r="JO129" i="9"/>
  <c r="JO132" i="9"/>
  <c r="HQ129" i="9"/>
  <c r="HQ132" i="9"/>
  <c r="AV100" i="9"/>
  <c r="AV120" i="9" s="1"/>
  <c r="BV100" i="9"/>
  <c r="BV120" i="9" s="1"/>
  <c r="EJ100" i="9"/>
  <c r="EJ120" i="9" s="1"/>
  <c r="JX241" i="9"/>
  <c r="JX243" i="9" s="1"/>
  <c r="KJ237" i="9"/>
  <c r="CK257" i="9"/>
  <c r="CK259" i="9" s="1"/>
  <c r="KZ241" i="9"/>
  <c r="KZ243" i="9" s="1"/>
  <c r="LL237" i="9"/>
  <c r="HN257" i="9"/>
  <c r="HN259" i="9" s="1"/>
  <c r="GD134" i="9"/>
  <c r="GD124" i="9"/>
  <c r="GD133" i="9"/>
  <c r="JH255" i="9"/>
  <c r="GR241" i="9"/>
  <c r="HD237" i="9"/>
  <c r="IO241" i="9"/>
  <c r="IO243" i="9" s="1"/>
  <c r="IJ241" i="9"/>
  <c r="IJ243" i="9" s="1"/>
  <c r="CP241" i="9"/>
  <c r="CP243" i="9" s="1"/>
  <c r="GW257" i="9"/>
  <c r="GW259" i="9" s="1"/>
  <c r="AJ257" i="9"/>
  <c r="AJ259" i="9" s="1"/>
  <c r="GZ257" i="9"/>
  <c r="GZ259" i="9" s="1"/>
  <c r="KC257" i="9"/>
  <c r="KC259" i="9" s="1"/>
  <c r="GS257" i="9"/>
  <c r="GS259" i="9" s="1"/>
  <c r="AH257" i="9"/>
  <c r="AH259" i="9" s="1"/>
  <c r="CS134" i="9"/>
  <c r="CS133" i="9"/>
  <c r="CS124" i="9"/>
  <c r="FP116" i="9"/>
  <c r="KM134" i="9"/>
  <c r="KM133" i="9"/>
  <c r="KM124" i="9"/>
  <c r="BE133" i="9"/>
  <c r="BQ134" i="9"/>
  <c r="BQ133" i="9"/>
  <c r="BQ124" i="9"/>
  <c r="KS114" i="9"/>
  <c r="KS116" i="9" s="1"/>
  <c r="KS100" i="9"/>
  <c r="KS120" i="9" s="1"/>
  <c r="LZ1" i="9"/>
  <c r="MB1" i="9" s="1"/>
  <c r="MC1" i="9" s="1"/>
  <c r="MD1" i="9" s="1"/>
  <c r="ME1" i="9" s="1"/>
  <c r="MF1" i="9" s="1"/>
  <c r="MG1" i="9" s="1"/>
  <c r="MH1" i="9" s="1"/>
  <c r="MI1" i="9" s="1"/>
  <c r="MJ1" i="9" s="1"/>
  <c r="MK1" i="9" s="1"/>
  <c r="ML1" i="9" s="1"/>
  <c r="MM1" i="9" s="1"/>
  <c r="MN1" i="9" s="1"/>
  <c r="MN3" i="9"/>
  <c r="II134" i="9"/>
  <c r="II133" i="9"/>
  <c r="LO114" i="9"/>
  <c r="LZ114" i="9" s="1"/>
  <c r="LO100" i="9"/>
  <c r="LO120" i="9" s="1"/>
  <c r="JF134" i="9"/>
  <c r="HC132" i="9"/>
  <c r="HC129" i="9"/>
  <c r="LX100" i="9"/>
  <c r="LX120" i="9" s="1"/>
  <c r="J100" i="9"/>
  <c r="J120" i="9" s="1"/>
  <c r="BP100" i="9"/>
  <c r="BP120" i="9" s="1"/>
  <c r="DV100" i="9"/>
  <c r="DV120" i="9" s="1"/>
  <c r="HM129" i="9"/>
  <c r="FI241" i="9"/>
  <c r="FI243" i="9" s="1"/>
  <c r="EN241" i="9"/>
  <c r="EN243" i="9" s="1"/>
  <c r="DG257" i="9"/>
  <c r="DG259" i="9" s="1"/>
  <c r="EL98" i="9"/>
  <c r="EL100" i="9" s="1"/>
  <c r="EL120" i="9" s="1"/>
  <c r="E134" i="9"/>
  <c r="E124" i="9"/>
  <c r="E133" i="9"/>
  <c r="EV241" i="9"/>
  <c r="EV243" i="9" s="1"/>
  <c r="LN100" i="9"/>
  <c r="LN120" i="9" s="1"/>
  <c r="HF116" i="9"/>
  <c r="DX98" i="9"/>
  <c r="DX100" i="9" s="1"/>
  <c r="DX120" i="9" s="1"/>
  <c r="IN241" i="9"/>
  <c r="IN243" i="9" s="1"/>
  <c r="LK241" i="9"/>
  <c r="LK243" i="9" s="1"/>
  <c r="BT255" i="9"/>
  <c r="G241" i="9"/>
  <c r="G243" i="9" s="1"/>
  <c r="DI241" i="9"/>
  <c r="DI243" i="9" s="1"/>
  <c r="CG241" i="9"/>
  <c r="CG243" i="9" s="1"/>
  <c r="AR237" i="9"/>
  <c r="AF241" i="9"/>
  <c r="AF243" i="9" s="1"/>
  <c r="GZ241" i="9"/>
  <c r="GZ243" i="9" s="1"/>
  <c r="GY241" i="9"/>
  <c r="GY243" i="9" s="1"/>
  <c r="HZ241" i="9"/>
  <c r="HZ243" i="9" s="1"/>
  <c r="AC241" i="9"/>
  <c r="AC243" i="9" s="1"/>
  <c r="HH241" i="9"/>
  <c r="HH243" i="9" s="1"/>
  <c r="BF225" i="9"/>
  <c r="LL225" i="9"/>
  <c r="HR200" i="9"/>
  <c r="GJ257" i="9"/>
  <c r="GJ259" i="9" s="1"/>
  <c r="CO241" i="9"/>
  <c r="CO243" i="9" s="1"/>
  <c r="EL225" i="9"/>
  <c r="W257" i="9"/>
  <c r="W259" i="9" s="1"/>
  <c r="HI257" i="9"/>
  <c r="HI259" i="9" s="1"/>
  <c r="BI257" i="9"/>
  <c r="BI259" i="9" s="1"/>
  <c r="HT257" i="9"/>
  <c r="IF188" i="9"/>
  <c r="DS257" i="9"/>
  <c r="DS259" i="9" s="1"/>
  <c r="HC257" i="9"/>
  <c r="HC259" i="9" s="1"/>
  <c r="AT257" i="9"/>
  <c r="BF188" i="9"/>
  <c r="JO257" i="9"/>
  <c r="JO259" i="9" s="1"/>
  <c r="O257" i="9"/>
  <c r="KO257" i="9"/>
  <c r="KO259" i="9" s="1"/>
  <c r="GE257" i="9"/>
  <c r="GE259" i="9" s="1"/>
  <c r="FZ257" i="9"/>
  <c r="FZ259" i="9" s="1"/>
  <c r="IC257" i="9"/>
  <c r="IC259" i="9" s="1"/>
  <c r="LN243" i="9"/>
  <c r="FP257" i="9"/>
  <c r="GA257" i="9"/>
  <c r="GA259" i="9" s="1"/>
  <c r="BS134" i="9"/>
  <c r="BS124" i="9"/>
  <c r="BS133" i="9"/>
  <c r="LI114" i="9"/>
  <c r="LI100" i="9"/>
  <c r="LI120" i="9" s="1"/>
  <c r="KF114" i="9"/>
  <c r="KF116" i="9" s="1"/>
  <c r="KF100" i="9"/>
  <c r="KF120" i="9" s="1"/>
  <c r="IK134" i="9"/>
  <c r="HJ114" i="9"/>
  <c r="HJ116" i="9" s="1"/>
  <c r="HJ100" i="9"/>
  <c r="HJ120" i="9" s="1"/>
  <c r="DP114" i="9"/>
  <c r="DP100" i="9"/>
  <c r="DP120" i="9" s="1"/>
  <c r="LK100" i="9"/>
  <c r="LK120" i="9" s="1"/>
  <c r="JX116" i="9"/>
  <c r="LB257" i="9"/>
  <c r="LB259" i="9" s="1"/>
  <c r="LH100" i="9"/>
  <c r="LH120" i="9" s="1"/>
  <c r="AB114" i="9"/>
  <c r="AB100" i="9"/>
  <c r="AB120" i="9" s="1"/>
  <c r="I241" i="9"/>
  <c r="I243" i="9" s="1"/>
  <c r="DJ237" i="9"/>
  <c r="CX241" i="9"/>
  <c r="CX243" i="9" s="1"/>
  <c r="KT257" i="9"/>
  <c r="KT259" i="9" s="1"/>
  <c r="Y257" i="9"/>
  <c r="Y259" i="9" s="1"/>
  <c r="HZ257" i="9"/>
  <c r="HZ259" i="9" s="1"/>
  <c r="BN133" i="9"/>
  <c r="BN124" i="9"/>
  <c r="BN134" i="9"/>
  <c r="LJ114" i="9"/>
  <c r="LJ116" i="9" s="1"/>
  <c r="LJ100" i="9"/>
  <c r="LJ120" i="9" s="1"/>
  <c r="HW257" i="9"/>
  <c r="HW259" i="9" s="1"/>
  <c r="BJ257" i="9"/>
  <c r="BJ259" i="9" s="1"/>
  <c r="CU257" i="9"/>
  <c r="CU259" i="9" s="1"/>
  <c r="IH257" i="9"/>
  <c r="IT188" i="9"/>
  <c r="AR114" i="9"/>
  <c r="HN241" i="9"/>
  <c r="HN243" i="9" s="1"/>
  <c r="LH241" i="9"/>
  <c r="LH243" i="9" s="1"/>
  <c r="HV257" i="9"/>
  <c r="HV259" i="9" s="1"/>
  <c r="GM257" i="9"/>
  <c r="GM259" i="9" s="1"/>
  <c r="IF255" i="9"/>
  <c r="IV241" i="9"/>
  <c r="IV243" i="9" s="1"/>
  <c r="JH237" i="9"/>
  <c r="HT241" i="9"/>
  <c r="HT243" i="9" s="1"/>
  <c r="IF237" i="9"/>
  <c r="FR241" i="9"/>
  <c r="FR243" i="9" s="1"/>
  <c r="S241" i="9"/>
  <c r="S243" i="9" s="1"/>
  <c r="FY241" i="9"/>
  <c r="FY243" i="9" s="1"/>
  <c r="GX241" i="9"/>
  <c r="GX243" i="9" s="1"/>
  <c r="IA241" i="9"/>
  <c r="IA243" i="9" s="1"/>
  <c r="HX241" i="9"/>
  <c r="HX243" i="9" s="1"/>
  <c r="KX237" i="9"/>
  <c r="AT241" i="9"/>
  <c r="AT243" i="9" s="1"/>
  <c r="BF237" i="9"/>
  <c r="BC241" i="9"/>
  <c r="BC243" i="9" s="1"/>
  <c r="AD237" i="9"/>
  <c r="JS241" i="9"/>
  <c r="JS243" i="9" s="1"/>
  <c r="X241" i="9"/>
  <c r="X243" i="9" s="1"/>
  <c r="EZ225" i="9"/>
  <c r="BF200" i="9"/>
  <c r="FW257" i="9"/>
  <c r="FW259" i="9" s="1"/>
  <c r="DJ200" i="9"/>
  <c r="AK257" i="9"/>
  <c r="AK259" i="9" s="1"/>
  <c r="J257" i="9"/>
  <c r="GV257" i="9"/>
  <c r="GV259" i="9" s="1"/>
  <c r="AV257" i="9"/>
  <c r="AV259" i="9" s="1"/>
  <c r="DJ225" i="9"/>
  <c r="FT257" i="9"/>
  <c r="FT259" i="9" s="1"/>
  <c r="DE257" i="9"/>
  <c r="DE259" i="9" s="1"/>
  <c r="FY257" i="9"/>
  <c r="FY259" i="9" s="1"/>
  <c r="E257" i="9"/>
  <c r="JA257" i="9"/>
  <c r="JA259" i="9" s="1"/>
  <c r="AN241" i="9"/>
  <c r="AN243" i="9" s="1"/>
  <c r="KA257" i="9"/>
  <c r="KA259" i="9" s="1"/>
  <c r="FR257" i="9"/>
  <c r="FR259" i="9" s="1"/>
  <c r="FM257" i="9"/>
  <c r="FM259" i="9" s="1"/>
  <c r="CF257" i="9"/>
  <c r="CF259" i="9" s="1"/>
  <c r="EQ257" i="9"/>
  <c r="EQ259" i="9" s="1"/>
  <c r="HD188" i="9"/>
  <c r="FG257" i="9"/>
  <c r="FG259" i="9" s="1"/>
  <c r="GP98" i="9"/>
  <c r="GP100" i="9" s="1"/>
  <c r="GP120" i="9" s="1"/>
  <c r="AT134" i="9"/>
  <c r="AT133" i="9"/>
  <c r="AT124" i="9"/>
  <c r="IR100" i="9"/>
  <c r="IR120" i="9" s="1"/>
  <c r="T257" i="9"/>
  <c r="T259" i="9" s="1"/>
  <c r="DX6" i="9"/>
  <c r="DJ1" i="9"/>
  <c r="HW133" i="9"/>
  <c r="HW134" i="9"/>
  <c r="HW124" i="9"/>
  <c r="HO114" i="9"/>
  <c r="HO116" i="9" s="1"/>
  <c r="HO100" i="9"/>
  <c r="HO120" i="9" s="1"/>
  <c r="DM133" i="9"/>
  <c r="DM134" i="9"/>
  <c r="DM124" i="9"/>
  <c r="HG100" i="9"/>
  <c r="HG120" i="9" s="1"/>
  <c r="AW100" i="9"/>
  <c r="AW120" i="9" s="1"/>
  <c r="IC134" i="9"/>
  <c r="IC124" i="9"/>
  <c r="IC133" i="9"/>
  <c r="LB134" i="9"/>
  <c r="LB124" i="9"/>
  <c r="LB133" i="9"/>
  <c r="EO100" i="9"/>
  <c r="EO120" i="9" s="1"/>
  <c r="HY134" i="9"/>
  <c r="HY133" i="9"/>
  <c r="HY124" i="9"/>
  <c r="JP133" i="9"/>
  <c r="JP124" i="9"/>
  <c r="JP134" i="9"/>
  <c r="JK114" i="9"/>
  <c r="JK116" i="9" s="1"/>
  <c r="JK100" i="9"/>
  <c r="JK120" i="9" s="1"/>
  <c r="FB100" i="9"/>
  <c r="FB120" i="9" s="1"/>
  <c r="HN100" i="9"/>
  <c r="HN120" i="9" s="1"/>
  <c r="FW134" i="9"/>
  <c r="FW133" i="9"/>
  <c r="FW124" i="9"/>
  <c r="LT100" i="9"/>
  <c r="LT120" i="9" s="1"/>
  <c r="CB100" i="9"/>
  <c r="CB120" i="9" s="1"/>
  <c r="EG241" i="9"/>
  <c r="EG243" i="9" s="1"/>
  <c r="IJ257" i="9"/>
  <c r="IJ259" i="9" s="1"/>
  <c r="GX257" i="9"/>
  <c r="GX259" i="9" s="1"/>
  <c r="JQ257" i="9"/>
  <c r="JQ259" i="9" s="1"/>
  <c r="FR134" i="9"/>
  <c r="BV116" i="9"/>
  <c r="HA100" i="9"/>
  <c r="HA120" i="9" s="1"/>
  <c r="EC114" i="9"/>
  <c r="EC100" i="9"/>
  <c r="EC120" i="9" s="1"/>
  <c r="KB241" i="9"/>
  <c r="KB243" i="9" s="1"/>
  <c r="IN257" i="9"/>
  <c r="IN259" i="9" s="1"/>
  <c r="DB133" i="9"/>
  <c r="AP241" i="9"/>
  <c r="AP243" i="9" s="1"/>
  <c r="EZ255" i="9"/>
  <c r="GP255" i="9"/>
  <c r="CJ241" i="9"/>
  <c r="CJ243" i="9" s="1"/>
  <c r="CV237" i="9"/>
  <c r="HG241" i="9"/>
  <c r="HG243" i="9" s="1"/>
  <c r="BT237" i="9"/>
  <c r="BH241" i="9"/>
  <c r="BH243" i="9" s="1"/>
  <c r="FE241" i="9"/>
  <c r="FE243" i="9" s="1"/>
  <c r="EY241" i="9"/>
  <c r="EY243" i="9" s="1"/>
  <c r="EX241" i="9"/>
  <c r="EX243" i="9" s="1"/>
  <c r="IZ241" i="9"/>
  <c r="IZ243" i="9" s="1"/>
  <c r="HJ241" i="9"/>
  <c r="HJ243" i="9" s="1"/>
  <c r="D241" i="9"/>
  <c r="D243" i="9" s="1"/>
  <c r="AO241" i="9"/>
  <c r="AO243" i="9" s="1"/>
  <c r="JF241" i="9"/>
  <c r="JF243" i="9" s="1"/>
  <c r="HK241" i="9"/>
  <c r="HK243" i="9" s="1"/>
  <c r="BV241" i="9"/>
  <c r="BV243" i="9" s="1"/>
  <c r="CH225" i="9"/>
  <c r="LI257" i="9"/>
  <c r="LI259" i="9" s="1"/>
  <c r="FJ257" i="9"/>
  <c r="FJ259" i="9" s="1"/>
  <c r="KU241" i="9"/>
  <c r="KU243" i="9" s="1"/>
  <c r="X257" i="9"/>
  <c r="X259" i="9" s="1"/>
  <c r="KW257" i="9"/>
  <c r="KW259" i="9" s="1"/>
  <c r="JV200" i="9"/>
  <c r="GI257" i="9"/>
  <c r="GI259" i="9" s="1"/>
  <c r="AI257" i="9"/>
  <c r="AI259" i="9" s="1"/>
  <c r="DT257" i="9"/>
  <c r="DT259" i="9" s="1"/>
  <c r="CE257" i="9"/>
  <c r="CE259" i="9" s="1"/>
  <c r="FD257" i="9"/>
  <c r="FD259" i="9" s="1"/>
  <c r="FL257" i="9"/>
  <c r="FL259" i="9" s="1"/>
  <c r="IM257" i="9"/>
  <c r="IM259" i="9" s="1"/>
  <c r="FE257" i="9"/>
  <c r="FE259" i="9" s="1"/>
  <c r="EC257" i="9"/>
  <c r="EC259" i="9" s="1"/>
  <c r="EO257" i="9"/>
  <c r="EO259" i="9" s="1"/>
  <c r="FB257" i="9"/>
  <c r="FN188" i="9"/>
  <c r="HF100" i="9"/>
  <c r="HF120" i="9" s="1"/>
  <c r="P188" i="9"/>
  <c r="FB116" i="9"/>
  <c r="FN116" i="9" s="1"/>
  <c r="FN114" i="9"/>
  <c r="BM133" i="9"/>
  <c r="BM134" i="9"/>
  <c r="BM124" i="9"/>
  <c r="IZ134" i="9"/>
  <c r="IZ124" i="9"/>
  <c r="IL134" i="9"/>
  <c r="IL133" i="9"/>
  <c r="IL124" i="9"/>
  <c r="GU134" i="9"/>
  <c r="GU133" i="9"/>
  <c r="GU124" i="9"/>
  <c r="KI133" i="9"/>
  <c r="KI134" i="9"/>
  <c r="KI124" i="9"/>
  <c r="LU100" i="9"/>
  <c r="LU120" i="9" s="1"/>
  <c r="ED134" i="9"/>
  <c r="ED124" i="9"/>
  <c r="ED133" i="9"/>
  <c r="EY133" i="9"/>
  <c r="EY134" i="9"/>
  <c r="EY124" i="9"/>
  <c r="AI100" i="9"/>
  <c r="AI120" i="9" s="1"/>
  <c r="GX134" i="9"/>
  <c r="GX133" i="9"/>
  <c r="GX124" i="9"/>
  <c r="AJ100" i="9"/>
  <c r="AJ120" i="9" s="1"/>
  <c r="IB100" i="9"/>
  <c r="IB120" i="9" s="1"/>
  <c r="AY133" i="9"/>
  <c r="AY124" i="9"/>
  <c r="CM133" i="9"/>
  <c r="CM124" i="9"/>
  <c r="CM134" i="9"/>
  <c r="CJ100" i="9"/>
  <c r="CJ120" i="9" s="1"/>
  <c r="EI100" i="9"/>
  <c r="EI120" i="9" s="1"/>
  <c r="EU133" i="9"/>
  <c r="AM133" i="9"/>
  <c r="AM124" i="9"/>
  <c r="AM134" i="9"/>
  <c r="JN241" i="9"/>
  <c r="JN243" i="9" s="1"/>
  <c r="LD257" i="9"/>
  <c r="LD259" i="9" s="1"/>
  <c r="CS257" i="9"/>
  <c r="CS259" i="9" s="1"/>
  <c r="AA134" i="9"/>
  <c r="AA124" i="9"/>
  <c r="AA133" i="9"/>
  <c r="HR225" i="9"/>
  <c r="AX257" i="9"/>
  <c r="AX259" i="9" s="1"/>
  <c r="EX257" i="9"/>
  <c r="EX259" i="9" s="1"/>
  <c r="BV257" i="9"/>
  <c r="CH188" i="9"/>
  <c r="FF257" i="9"/>
  <c r="FF259" i="9" s="1"/>
  <c r="JC257" i="9"/>
  <c r="JC259" i="9" s="1"/>
  <c r="GY257" i="9"/>
  <c r="GY259" i="9" s="1"/>
  <c r="AC257" i="9"/>
  <c r="AC259" i="9" s="1"/>
  <c r="HQ257" i="9"/>
  <c r="HQ259" i="9" s="1"/>
  <c r="GN257" i="9"/>
  <c r="GN259" i="9" s="1"/>
  <c r="HR255" i="9"/>
  <c r="HV241" i="9"/>
  <c r="HV243" i="9" s="1"/>
  <c r="BW241" i="9"/>
  <c r="BW243" i="9" s="1"/>
  <c r="GT241" i="9"/>
  <c r="GT243" i="9" s="1"/>
  <c r="AU241" i="9"/>
  <c r="AU243" i="9" s="1"/>
  <c r="ER241" i="9"/>
  <c r="ER243" i="9" s="1"/>
  <c r="CK241" i="9"/>
  <c r="CK243" i="9" s="1"/>
  <c r="FJ241" i="9"/>
  <c r="FJ243" i="9" s="1"/>
  <c r="HY241" i="9"/>
  <c r="HY243" i="9" s="1"/>
  <c r="DX237" i="9"/>
  <c r="DL241" i="9"/>
  <c r="DL243" i="9" s="1"/>
  <c r="JY241" i="9"/>
  <c r="JY243" i="9" s="1"/>
  <c r="AB241" i="9"/>
  <c r="AB243" i="9" s="1"/>
  <c r="HM241" i="9"/>
  <c r="HM243" i="9" s="1"/>
  <c r="AD225" i="9"/>
  <c r="AR225" i="9"/>
  <c r="KV257" i="9"/>
  <c r="KV259" i="9" s="1"/>
  <c r="EW257" i="9"/>
  <c r="EW259" i="9" s="1"/>
  <c r="GD201" i="9"/>
  <c r="GE201" i="9" s="1"/>
  <c r="GF201" i="9" s="1"/>
  <c r="GP200" i="9"/>
  <c r="JV237" i="9"/>
  <c r="JH225" i="9"/>
  <c r="KL257" i="9"/>
  <c r="KX188" i="9"/>
  <c r="K257" i="9"/>
  <c r="FV257" i="9"/>
  <c r="FV259" i="9" s="1"/>
  <c r="V257" i="9"/>
  <c r="V259" i="9" s="1"/>
  <c r="AD200" i="9"/>
  <c r="JH200" i="9"/>
  <c r="LH257" i="9"/>
  <c r="LH259" i="9" s="1"/>
  <c r="DF257" i="9"/>
  <c r="DF259" i="9" s="1"/>
  <c r="BR257" i="9"/>
  <c r="BR259" i="9" s="1"/>
  <c r="IT237" i="9"/>
  <c r="DC257" i="9"/>
  <c r="DC259" i="9" s="1"/>
  <c r="HY257" i="9"/>
  <c r="HY259" i="9" s="1"/>
  <c r="FU257" i="9"/>
  <c r="FU259" i="9" s="1"/>
  <c r="ER257" i="9"/>
  <c r="ER259" i="9" s="1"/>
  <c r="EN257" i="9"/>
  <c r="EZ188" i="9"/>
  <c r="FK257" i="9"/>
  <c r="FK259" i="9" s="1"/>
  <c r="EG257" i="9"/>
  <c r="EG259" i="9" s="1"/>
  <c r="DO257" i="9"/>
  <c r="DO259" i="9" s="1"/>
  <c r="GP188" i="9"/>
  <c r="BT100" i="9"/>
  <c r="BT120" i="9" s="1"/>
  <c r="GS124" i="9"/>
  <c r="GS134" i="9"/>
  <c r="IS114" i="9"/>
  <c r="IS100" i="9"/>
  <c r="IS120" i="9" s="1"/>
  <c r="AZ133" i="9"/>
  <c r="AZ134" i="9"/>
  <c r="AZ124" i="9"/>
  <c r="IM134" i="9"/>
  <c r="IM133" i="9"/>
  <c r="IM124" i="9"/>
  <c r="HX100" i="9"/>
  <c r="HX120" i="9" s="1"/>
  <c r="HD98" i="9"/>
  <c r="EE124" i="9"/>
  <c r="IA114" i="9"/>
  <c r="IA116" i="9" s="1"/>
  <c r="IA100" i="9"/>
  <c r="IA120" i="9" s="1"/>
  <c r="FD134" i="9"/>
  <c r="FD124" i="9"/>
  <c r="FD133" i="9"/>
  <c r="ET114" i="9"/>
  <c r="ET116" i="9" s="1"/>
  <c r="ET100" i="9"/>
  <c r="ET120" i="9" s="1"/>
  <c r="U100" i="9"/>
  <c r="U120" i="9" s="1"/>
  <c r="DQ134" i="9"/>
  <c r="DQ133" i="9"/>
  <c r="DQ124" i="9"/>
  <c r="FP100" i="9"/>
  <c r="FP120" i="9" s="1"/>
  <c r="IV116" i="9"/>
  <c r="JH116" i="9" s="1"/>
  <c r="JH114" i="9"/>
  <c r="HB100" i="9"/>
  <c r="HB120" i="9" s="1"/>
  <c r="EV100" i="9"/>
  <c r="EV120" i="9" s="1"/>
  <c r="H100" i="9"/>
  <c r="H120" i="9" s="1"/>
  <c r="JV100" i="9"/>
  <c r="JV120" i="9" s="1"/>
  <c r="AK100" i="9"/>
  <c r="AK120" i="9" s="1"/>
  <c r="AX100" i="9"/>
  <c r="AX120" i="9" s="1"/>
  <c r="BZ133" i="9"/>
  <c r="BZ134" i="9"/>
  <c r="BZ124" i="9"/>
  <c r="EG133" i="9"/>
  <c r="EG134" i="9"/>
  <c r="EG124" i="9"/>
  <c r="BW100" i="9"/>
  <c r="BW120" i="9" s="1"/>
  <c r="JB132" i="9"/>
  <c r="JB129" i="9"/>
  <c r="CN133" i="9" l="1"/>
  <c r="CN124" i="9"/>
  <c r="CN134" i="9"/>
  <c r="JF133" i="9"/>
  <c r="O124" i="9"/>
  <c r="O129" i="9" s="1"/>
  <c r="LR134" i="9"/>
  <c r="FG133" i="9"/>
  <c r="DE133" i="9"/>
  <c r="JE133" i="9"/>
  <c r="ID124" i="9"/>
  <c r="ID132" i="9" s="1"/>
  <c r="X124" i="9"/>
  <c r="X129" i="9" s="1"/>
  <c r="LY133" i="9"/>
  <c r="FV134" i="9"/>
  <c r="JE124" i="9"/>
  <c r="JZ133" i="9"/>
  <c r="M124" i="9"/>
  <c r="LP133" i="9"/>
  <c r="X134" i="9"/>
  <c r="FV133" i="9"/>
  <c r="HH133" i="9"/>
  <c r="FG134" i="9"/>
  <c r="ID133" i="9"/>
  <c r="GP114" i="9"/>
  <c r="LW133" i="9"/>
  <c r="JZ124" i="9"/>
  <c r="M134" i="9"/>
  <c r="LP134" i="9"/>
  <c r="HH124" i="9"/>
  <c r="GL124" i="9"/>
  <c r="GL129" i="9" s="1"/>
  <c r="KN129" i="9"/>
  <c r="JA124" i="9"/>
  <c r="JA132" i="9" s="1"/>
  <c r="CZ133" i="9"/>
  <c r="LW124" i="9"/>
  <c r="LW132" i="9" s="1"/>
  <c r="CL134" i="9"/>
  <c r="GL133" i="9"/>
  <c r="V133" i="9"/>
  <c r="LA133" i="9"/>
  <c r="IJ124" i="9"/>
  <c r="W133" i="9"/>
  <c r="V124" i="9"/>
  <c r="KN133" i="9"/>
  <c r="JU133" i="9"/>
  <c r="IK124" i="9"/>
  <c r="IJ134" i="9"/>
  <c r="W124" i="9"/>
  <c r="W129" i="9" s="1"/>
  <c r="JA133" i="9"/>
  <c r="DH134" i="9"/>
  <c r="DH124" i="9"/>
  <c r="O134" i="9"/>
  <c r="GY133" i="9"/>
  <c r="JU124" i="9"/>
  <c r="KX124" i="9"/>
  <c r="KX133" i="9"/>
  <c r="KX134" i="9"/>
  <c r="FE134" i="9"/>
  <c r="AO124" i="9"/>
  <c r="GI133" i="9"/>
  <c r="GI134" i="9"/>
  <c r="IW134" i="9"/>
  <c r="CZ124" i="9"/>
  <c r="CZ129" i="9" s="1"/>
  <c r="IF241" i="9"/>
  <c r="IF243" i="9" s="1"/>
  <c r="GD116" i="9"/>
  <c r="GP116" i="9" s="1"/>
  <c r="LR124" i="9"/>
  <c r="LR129" i="9" s="1"/>
  <c r="GW133" i="9"/>
  <c r="I124" i="9"/>
  <c r="I132" i="9" s="1"/>
  <c r="IQ134" i="9"/>
  <c r="KW134" i="9"/>
  <c r="FE133" i="9"/>
  <c r="AO134" i="9"/>
  <c r="CD129" i="9"/>
  <c r="I133" i="9"/>
  <c r="IW133" i="9"/>
  <c r="GY124" i="9"/>
  <c r="KE124" i="9"/>
  <c r="KE129" i="9" s="1"/>
  <c r="FJ124" i="9"/>
  <c r="FJ134" i="9"/>
  <c r="IQ124" i="9"/>
  <c r="DB134" i="9"/>
  <c r="P134" i="9"/>
  <c r="JQ129" i="9"/>
  <c r="KZ124" i="9"/>
  <c r="KZ132" i="9" s="1"/>
  <c r="LA124" i="9"/>
  <c r="LA132" i="9" s="1"/>
  <c r="KZ133" i="9"/>
  <c r="BR134" i="9"/>
  <c r="JQ133" i="9"/>
  <c r="FC124" i="9"/>
  <c r="FC132" i="9" s="1"/>
  <c r="AL133" i="9"/>
  <c r="BR133" i="9"/>
  <c r="AP133" i="9"/>
  <c r="HK124" i="9"/>
  <c r="DU124" i="9"/>
  <c r="DU133" i="9"/>
  <c r="DU134" i="9"/>
  <c r="AL124" i="9"/>
  <c r="AL129" i="9" s="1"/>
  <c r="FC134" i="9"/>
  <c r="BE134" i="9"/>
  <c r="KW124" i="9"/>
  <c r="AP134" i="9"/>
  <c r="HK133" i="9"/>
  <c r="DE134" i="9"/>
  <c r="KB129" i="9"/>
  <c r="EW134" i="9"/>
  <c r="JQ134" i="9"/>
  <c r="KP129" i="9"/>
  <c r="P124" i="9"/>
  <c r="P132" i="9" s="1"/>
  <c r="EW124" i="9"/>
  <c r="EW129" i="9" s="1"/>
  <c r="LS124" i="9"/>
  <c r="LS132" i="9" s="1"/>
  <c r="DD124" i="9"/>
  <c r="GH124" i="9"/>
  <c r="GH129" i="9" s="1"/>
  <c r="GH133" i="9"/>
  <c r="AG124" i="9"/>
  <c r="KD133" i="9"/>
  <c r="AG134" i="9"/>
  <c r="KD134" i="9"/>
  <c r="FH133" i="9"/>
  <c r="AH124" i="9"/>
  <c r="AH129" i="9" s="1"/>
  <c r="HL124" i="9"/>
  <c r="HL129" i="9" s="1"/>
  <c r="FH124" i="9"/>
  <c r="FH132" i="9" s="1"/>
  <c r="AH134" i="9"/>
  <c r="HL133" i="9"/>
  <c r="DF124" i="9"/>
  <c r="DF132" i="9" s="1"/>
  <c r="EE134" i="9"/>
  <c r="FR133" i="9"/>
  <c r="KV124" i="9"/>
  <c r="EZ241" i="9"/>
  <c r="EZ243" i="9" s="1"/>
  <c r="N124" i="9"/>
  <c r="GB114" i="9"/>
  <c r="GV124" i="9"/>
  <c r="GV129" i="9" s="1"/>
  <c r="LD134" i="9"/>
  <c r="LD133" i="9"/>
  <c r="LD124" i="9"/>
  <c r="KV134" i="9"/>
  <c r="N133" i="9"/>
  <c r="GB116" i="9"/>
  <c r="CU133" i="9"/>
  <c r="GV134" i="9"/>
  <c r="CY133" i="9"/>
  <c r="CY124" i="9"/>
  <c r="FY134" i="9"/>
  <c r="FY124" i="9"/>
  <c r="FM129" i="9"/>
  <c r="JD133" i="9"/>
  <c r="JD134" i="9"/>
  <c r="G133" i="9"/>
  <c r="JS133" i="9"/>
  <c r="JS134" i="9"/>
  <c r="JS124" i="9"/>
  <c r="LC134" i="9"/>
  <c r="LC133" i="9"/>
  <c r="LC124" i="9"/>
  <c r="G124" i="9"/>
  <c r="KG124" i="9"/>
  <c r="KG132" i="9" s="1"/>
  <c r="BY134" i="9"/>
  <c r="JR124" i="9"/>
  <c r="JR129" i="9" s="1"/>
  <c r="BF114" i="9"/>
  <c r="LY134" i="9"/>
  <c r="FU133" i="9"/>
  <c r="KE133" i="9"/>
  <c r="S134" i="9"/>
  <c r="S133" i="9"/>
  <c r="S124" i="9"/>
  <c r="EH133" i="9"/>
  <c r="EH134" i="9"/>
  <c r="EH124" i="9"/>
  <c r="CU124" i="9"/>
  <c r="CU129" i="9" s="1"/>
  <c r="DO134" i="9"/>
  <c r="GG134" i="9"/>
  <c r="KG133" i="9"/>
  <c r="JR134" i="9"/>
  <c r="D134" i="9"/>
  <c r="FX133" i="9"/>
  <c r="FU124" i="9"/>
  <c r="FU129" i="9" s="1"/>
  <c r="P241" i="9"/>
  <c r="P243" i="9" s="1"/>
  <c r="JD129" i="9"/>
  <c r="GG124" i="9"/>
  <c r="GG129" i="9" s="1"/>
  <c r="LF133" i="9"/>
  <c r="BY133" i="9"/>
  <c r="KJ116" i="9"/>
  <c r="AN134" i="9"/>
  <c r="D133" i="9"/>
  <c r="FX124" i="9"/>
  <c r="FX132" i="9" s="1"/>
  <c r="LS133" i="9"/>
  <c r="AN124" i="9"/>
  <c r="LQ124" i="9"/>
  <c r="JO134" i="9"/>
  <c r="JO133" i="9"/>
  <c r="EU124" i="9"/>
  <c r="EU132" i="9" s="1"/>
  <c r="EA124" i="9"/>
  <c r="EA129" i="9" s="1"/>
  <c r="EB133" i="9"/>
  <c r="EB134" i="9"/>
  <c r="EB124" i="9"/>
  <c r="KJ134" i="9"/>
  <c r="KJ133" i="9"/>
  <c r="KJ124" i="9"/>
  <c r="KJ132" i="9" s="1"/>
  <c r="KJ114" i="9"/>
  <c r="JC132" i="9"/>
  <c r="R134" i="9"/>
  <c r="R133" i="9"/>
  <c r="R124" i="9"/>
  <c r="IT241" i="9"/>
  <c r="IT243" i="9" s="1"/>
  <c r="DO133" i="9"/>
  <c r="KJ241" i="9"/>
  <c r="KJ243" i="9" s="1"/>
  <c r="IX133" i="9"/>
  <c r="DL134" i="9"/>
  <c r="DL133" i="9"/>
  <c r="DL124" i="9"/>
  <c r="BH124" i="9"/>
  <c r="BH133" i="9"/>
  <c r="BH134" i="9"/>
  <c r="FF133" i="9"/>
  <c r="BJ133" i="9"/>
  <c r="CL124" i="9"/>
  <c r="CL132" i="9" s="1"/>
  <c r="JX134" i="9"/>
  <c r="CV114" i="9"/>
  <c r="KU134" i="9"/>
  <c r="IX134" i="9"/>
  <c r="DR134" i="9"/>
  <c r="JN134" i="9"/>
  <c r="JN133" i="9"/>
  <c r="JN124" i="9"/>
  <c r="FQ134" i="9"/>
  <c r="FQ133" i="9"/>
  <c r="FQ124" i="9"/>
  <c r="JL124" i="9"/>
  <c r="JL129" i="9" s="1"/>
  <c r="GZ124" i="9"/>
  <c r="GZ133" i="9"/>
  <c r="GZ134" i="9"/>
  <c r="T134" i="9"/>
  <c r="KR124" i="9"/>
  <c r="KR129" i="9" s="1"/>
  <c r="JL133" i="9"/>
  <c r="DX241" i="9"/>
  <c r="DX243" i="9" s="1"/>
  <c r="LE134" i="9"/>
  <c r="BJ124" i="9"/>
  <c r="BJ129" i="9" s="1"/>
  <c r="JX124" i="9"/>
  <c r="KR134" i="9"/>
  <c r="FF124" i="9"/>
  <c r="FF132" i="9" s="1"/>
  <c r="GE124" i="9"/>
  <c r="GE132" i="9" s="1"/>
  <c r="HR241" i="9"/>
  <c r="HR243" i="9" s="1"/>
  <c r="CV116" i="9"/>
  <c r="KU124" i="9"/>
  <c r="KU129" i="9" s="1"/>
  <c r="HV133" i="9"/>
  <c r="BI133" i="9"/>
  <c r="DR124" i="9"/>
  <c r="HZ134" i="9"/>
  <c r="HZ124" i="9"/>
  <c r="HZ133" i="9"/>
  <c r="BL134" i="9"/>
  <c r="BL124" i="9"/>
  <c r="BL133" i="9"/>
  <c r="FZ133" i="9"/>
  <c r="FZ134" i="9"/>
  <c r="FZ124" i="9"/>
  <c r="IT6" i="9"/>
  <c r="IF1" i="9"/>
  <c r="LF134" i="9"/>
  <c r="KA134" i="9"/>
  <c r="KA124" i="9"/>
  <c r="KA133" i="9"/>
  <c r="IV124" i="9"/>
  <c r="IV129" i="9" s="1"/>
  <c r="BI124" i="9"/>
  <c r="BI132" i="9" s="1"/>
  <c r="CX124" i="9"/>
  <c r="CX129" i="9" s="1"/>
  <c r="DA133" i="9"/>
  <c r="DA134" i="9"/>
  <c r="DA124" i="9"/>
  <c r="CA134" i="9"/>
  <c r="CA124" i="9"/>
  <c r="CA133" i="9"/>
  <c r="GE133" i="9"/>
  <c r="JM124" i="9"/>
  <c r="JM132" i="9" s="1"/>
  <c r="IV133" i="9"/>
  <c r="DJ114" i="9"/>
  <c r="HV134" i="9"/>
  <c r="CX134" i="9"/>
  <c r="CP134" i="9"/>
  <c r="FN241" i="9"/>
  <c r="FN243" i="9" s="1"/>
  <c r="KQ133" i="9"/>
  <c r="KQ134" i="9"/>
  <c r="KQ124" i="9"/>
  <c r="EX124" i="9"/>
  <c r="EX134" i="9"/>
  <c r="EX133" i="9"/>
  <c r="F134" i="9"/>
  <c r="F124" i="9"/>
  <c r="F133" i="9"/>
  <c r="JA129" i="9"/>
  <c r="LE124" i="9"/>
  <c r="LE132" i="9" s="1"/>
  <c r="ER124" i="9"/>
  <c r="ER133" i="9"/>
  <c r="ER134" i="9"/>
  <c r="CP133" i="9"/>
  <c r="JM133" i="9"/>
  <c r="BF241" i="9"/>
  <c r="BF243" i="9" s="1"/>
  <c r="HR114" i="9"/>
  <c r="JH257" i="9"/>
  <c r="DJ116" i="9"/>
  <c r="LG133" i="9"/>
  <c r="LG124" i="9"/>
  <c r="LG134" i="9"/>
  <c r="T133" i="9"/>
  <c r="DF134" i="9"/>
  <c r="CR133" i="9"/>
  <c r="CR124" i="9"/>
  <c r="CR134" i="9"/>
  <c r="HR116" i="9"/>
  <c r="AD114" i="9"/>
  <c r="GP241" i="9"/>
  <c r="GP243" i="9" s="1"/>
  <c r="LZ257" i="9"/>
  <c r="EZ133" i="9"/>
  <c r="EZ124" i="9"/>
  <c r="EZ134" i="9"/>
  <c r="EL133" i="9"/>
  <c r="EL124" i="9"/>
  <c r="EL134" i="9"/>
  <c r="LZ124" i="9"/>
  <c r="LZ134" i="9"/>
  <c r="LZ133" i="9"/>
  <c r="GP124" i="9"/>
  <c r="GP133" i="9"/>
  <c r="GP134" i="9"/>
  <c r="EV134" i="9"/>
  <c r="EV133" i="9"/>
  <c r="EV124" i="9"/>
  <c r="KX257" i="9"/>
  <c r="KL259" i="9"/>
  <c r="FV129" i="9"/>
  <c r="FV132" i="9"/>
  <c r="CF132" i="9"/>
  <c r="CF129" i="9"/>
  <c r="HB134" i="9"/>
  <c r="HB124" i="9"/>
  <c r="HB133" i="9"/>
  <c r="CM129" i="9"/>
  <c r="CM132" i="9"/>
  <c r="CO129" i="9"/>
  <c r="CO132" i="9"/>
  <c r="HH132" i="9"/>
  <c r="HH129" i="9"/>
  <c r="HA134" i="9"/>
  <c r="HA124" i="9"/>
  <c r="HA133" i="9"/>
  <c r="AT132" i="9"/>
  <c r="AT129" i="9"/>
  <c r="KF134" i="9"/>
  <c r="KF133" i="9"/>
  <c r="KF124" i="9"/>
  <c r="DV134" i="9"/>
  <c r="DV124" i="9"/>
  <c r="DV133" i="9"/>
  <c r="N132" i="9"/>
  <c r="N129" i="9"/>
  <c r="BV134" i="9"/>
  <c r="BV124" i="9"/>
  <c r="BV133" i="9"/>
  <c r="BK133" i="9"/>
  <c r="BK134" i="9"/>
  <c r="BK124" i="9"/>
  <c r="DG132" i="9"/>
  <c r="DG129" i="9"/>
  <c r="D129" i="9"/>
  <c r="D132" i="9"/>
  <c r="IY129" i="9"/>
  <c r="IY132" i="9"/>
  <c r="IE132" i="9"/>
  <c r="IE129" i="9"/>
  <c r="FS129" i="9"/>
  <c r="FS132" i="9"/>
  <c r="DW133" i="9"/>
  <c r="DW134" i="9"/>
  <c r="DW124" i="9"/>
  <c r="IS116" i="9"/>
  <c r="IT116" i="9" s="1"/>
  <c r="IT114" i="9"/>
  <c r="AY132" i="9"/>
  <c r="AY129" i="9"/>
  <c r="DB132" i="9"/>
  <c r="DB129" i="9"/>
  <c r="CH114" i="9"/>
  <c r="HY129" i="9"/>
  <c r="HY132" i="9"/>
  <c r="M129" i="9"/>
  <c r="M132" i="9"/>
  <c r="LO133" i="9"/>
  <c r="LO134" i="9"/>
  <c r="LO124" i="9"/>
  <c r="AV134" i="9"/>
  <c r="AV133" i="9"/>
  <c r="AV124" i="9"/>
  <c r="HI134" i="9"/>
  <c r="HI133" i="9"/>
  <c r="HI124" i="9"/>
  <c r="BK116" i="9"/>
  <c r="HF259" i="9"/>
  <c r="HR259" i="9" s="1"/>
  <c r="HR257" i="9"/>
  <c r="EZ116" i="9"/>
  <c r="BX133" i="9"/>
  <c r="BX134" i="9"/>
  <c r="BX124" i="9"/>
  <c r="IH132" i="9"/>
  <c r="IH129" i="9"/>
  <c r="CQ132" i="9"/>
  <c r="CQ129" i="9"/>
  <c r="GI129" i="9"/>
  <c r="GI132" i="9"/>
  <c r="EQ132" i="9"/>
  <c r="EQ129" i="9"/>
  <c r="LV129" i="9"/>
  <c r="LV132" i="9"/>
  <c r="EF133" i="9"/>
  <c r="EF134" i="9"/>
  <c r="EF124" i="9"/>
  <c r="EG132" i="9"/>
  <c r="EG129" i="9"/>
  <c r="CV133" i="9"/>
  <c r="CV124" i="9"/>
  <c r="CV134" i="9"/>
  <c r="HT259" i="9"/>
  <c r="IF259" i="9" s="1"/>
  <c r="IF257" i="9"/>
  <c r="LQ132" i="9"/>
  <c r="LQ129" i="9"/>
  <c r="FD129" i="9"/>
  <c r="FD132" i="9"/>
  <c r="KD132" i="9"/>
  <c r="KD129" i="9"/>
  <c r="J259" i="9"/>
  <c r="BN132" i="9"/>
  <c r="BN129" i="9"/>
  <c r="LI116" i="9"/>
  <c r="LL116" i="9" s="1"/>
  <c r="LL114" i="9"/>
  <c r="LN133" i="9"/>
  <c r="LN124" i="9"/>
  <c r="LN134" i="9"/>
  <c r="BR132" i="9"/>
  <c r="BR129" i="9"/>
  <c r="EZ114" i="9"/>
  <c r="HP132" i="9"/>
  <c r="HP129" i="9"/>
  <c r="HK132" i="9"/>
  <c r="HK129" i="9"/>
  <c r="GO134" i="9"/>
  <c r="GO124" i="9"/>
  <c r="GO133" i="9"/>
  <c r="GB241" i="9"/>
  <c r="GB243" i="9" s="1"/>
  <c r="GN134" i="9"/>
  <c r="GN124" i="9"/>
  <c r="GN133" i="9"/>
  <c r="BZ129" i="9"/>
  <c r="BZ132" i="9"/>
  <c r="FP133" i="9"/>
  <c r="FP134" i="9"/>
  <c r="FP124" i="9"/>
  <c r="AI133" i="9"/>
  <c r="AI134" i="9"/>
  <c r="AI124" i="9"/>
  <c r="IL132" i="9"/>
  <c r="IL129" i="9"/>
  <c r="CH116" i="9"/>
  <c r="HW132" i="9"/>
  <c r="HW129" i="9"/>
  <c r="BY132" i="9"/>
  <c r="BY129" i="9"/>
  <c r="AR241" i="9"/>
  <c r="AR243" i="9" s="1"/>
  <c r="II129" i="9"/>
  <c r="II132" i="9"/>
  <c r="LL133" i="9"/>
  <c r="LL124" i="9"/>
  <c r="LL134" i="9"/>
  <c r="LL241" i="9"/>
  <c r="LL243" i="9" s="1"/>
  <c r="IO129" i="9"/>
  <c r="IO132" i="9"/>
  <c r="KH129" i="9"/>
  <c r="KH132" i="9"/>
  <c r="BC129" i="9"/>
  <c r="BC132" i="9"/>
  <c r="GF134" i="9"/>
  <c r="GF133" i="9"/>
  <c r="GF124" i="9"/>
  <c r="DJ257" i="9"/>
  <c r="CX259" i="9"/>
  <c r="DJ259" i="9" s="1"/>
  <c r="GW132" i="9"/>
  <c r="GW129" i="9"/>
  <c r="IN132" i="9"/>
  <c r="IN129" i="9"/>
  <c r="KL134" i="9"/>
  <c r="KL133" i="9"/>
  <c r="KL124" i="9"/>
  <c r="D259" i="9"/>
  <c r="P257" i="9"/>
  <c r="AR133" i="9"/>
  <c r="AR124" i="9"/>
  <c r="AR134" i="9"/>
  <c r="JE132" i="9"/>
  <c r="JE129" i="9"/>
  <c r="KE132" i="9"/>
  <c r="CH241" i="9"/>
  <c r="CH243" i="9" s="1"/>
  <c r="FG132" i="9"/>
  <c r="FG129" i="9"/>
  <c r="JP132" i="9"/>
  <c r="JP129" i="9"/>
  <c r="BH259" i="9"/>
  <c r="BT257" i="9"/>
  <c r="DC129" i="9"/>
  <c r="DC132" i="9"/>
  <c r="IS134" i="9"/>
  <c r="IS133" i="9"/>
  <c r="IS124" i="9"/>
  <c r="KV132" i="9"/>
  <c r="KV129" i="9"/>
  <c r="KX241" i="9"/>
  <c r="KX243" i="9" s="1"/>
  <c r="ED132" i="9"/>
  <c r="ED129" i="9"/>
  <c r="HF134" i="9"/>
  <c r="HF124" i="9"/>
  <c r="HF133" i="9"/>
  <c r="CB134" i="9"/>
  <c r="CB124" i="9"/>
  <c r="CB133" i="9"/>
  <c r="O259" i="9"/>
  <c r="T132" i="9"/>
  <c r="T129" i="9"/>
  <c r="BQ132" i="9"/>
  <c r="BQ129" i="9"/>
  <c r="JJ133" i="9"/>
  <c r="JJ134" i="9"/>
  <c r="JJ124" i="9"/>
  <c r="DQ132" i="9"/>
  <c r="DQ129" i="9"/>
  <c r="GS132" i="9"/>
  <c r="GS129" i="9"/>
  <c r="IB134" i="9"/>
  <c r="IB133" i="9"/>
  <c r="IB124" i="9"/>
  <c r="AG129" i="9"/>
  <c r="AG132" i="9"/>
  <c r="BT241" i="9"/>
  <c r="BT243" i="9" s="1"/>
  <c r="FR129" i="9"/>
  <c r="FR132" i="9"/>
  <c r="LT134" i="9"/>
  <c r="LT124" i="9"/>
  <c r="LT133" i="9"/>
  <c r="FW132" i="9"/>
  <c r="FW129" i="9"/>
  <c r="EO134" i="9"/>
  <c r="EO124" i="9"/>
  <c r="EO133" i="9"/>
  <c r="FN133" i="9"/>
  <c r="FN124" i="9"/>
  <c r="FN134" i="9"/>
  <c r="JX132" i="9"/>
  <c r="JX129" i="9"/>
  <c r="AP132" i="9"/>
  <c r="AP129" i="9"/>
  <c r="K133" i="9"/>
  <c r="K134" i="9"/>
  <c r="K124" i="9"/>
  <c r="GY129" i="9"/>
  <c r="GY132" i="9"/>
  <c r="JH259" i="9"/>
  <c r="L116" i="9"/>
  <c r="JG134" i="9"/>
  <c r="JG124" i="9"/>
  <c r="JG133" i="9"/>
  <c r="JV114" i="9"/>
  <c r="JJ116" i="9"/>
  <c r="JV116" i="9" s="1"/>
  <c r="GB133" i="9"/>
  <c r="GB124" i="9"/>
  <c r="GB134" i="9"/>
  <c r="Y134" i="9"/>
  <c r="Y124" i="9"/>
  <c r="Y133" i="9"/>
  <c r="HD114" i="9"/>
  <c r="V132" i="9"/>
  <c r="V129" i="9"/>
  <c r="ET134" i="9"/>
  <c r="ET133" i="9"/>
  <c r="ET124" i="9"/>
  <c r="AC116" i="9"/>
  <c r="EE132" i="9"/>
  <c r="EE129" i="9"/>
  <c r="IR134" i="9"/>
  <c r="IR124" i="9"/>
  <c r="IR133" i="9"/>
  <c r="GD259" i="9"/>
  <c r="GP259" i="9" s="1"/>
  <c r="GP257" i="9"/>
  <c r="HO133" i="9"/>
  <c r="HO134" i="9"/>
  <c r="HO124" i="9"/>
  <c r="LJ134" i="9"/>
  <c r="LJ133" i="9"/>
  <c r="LJ124" i="9"/>
  <c r="EP124" i="9"/>
  <c r="EP133" i="9"/>
  <c r="EP134" i="9"/>
  <c r="KX114" i="9"/>
  <c r="KL116" i="9"/>
  <c r="AX133" i="9"/>
  <c r="AX134" i="9"/>
  <c r="AX124" i="9"/>
  <c r="HX134" i="9"/>
  <c r="HX124" i="9"/>
  <c r="HX133" i="9"/>
  <c r="BV259" i="9"/>
  <c r="CH259" i="9" s="1"/>
  <c r="CH257" i="9"/>
  <c r="IZ132" i="9"/>
  <c r="IZ129" i="9"/>
  <c r="FB124" i="9"/>
  <c r="FB134" i="9"/>
  <c r="FB133" i="9"/>
  <c r="E259" i="9"/>
  <c r="AN132" i="9"/>
  <c r="AN129" i="9"/>
  <c r="LP132" i="9"/>
  <c r="LP129" i="9"/>
  <c r="KW132" i="9"/>
  <c r="KW129" i="9"/>
  <c r="KC129" i="9"/>
  <c r="KC132" i="9"/>
  <c r="DD129" i="9"/>
  <c r="DD132" i="9"/>
  <c r="K116" i="9"/>
  <c r="P114" i="9"/>
  <c r="BO132" i="9"/>
  <c r="BO129" i="9"/>
  <c r="IX132" i="9"/>
  <c r="IX129" i="9"/>
  <c r="EL241" i="9"/>
  <c r="EL243" i="9" s="1"/>
  <c r="Z133" i="9"/>
  <c r="Z134" i="9"/>
  <c r="Z124" i="9"/>
  <c r="KZ259" i="9"/>
  <c r="LL259" i="9" s="1"/>
  <c r="LL257" i="9"/>
  <c r="DS134" i="9"/>
  <c r="DS133" i="9"/>
  <c r="DS124" i="9"/>
  <c r="DL259" i="9"/>
  <c r="DX259" i="9" s="1"/>
  <c r="DX257" i="9"/>
  <c r="HD116" i="9"/>
  <c r="GX132" i="9"/>
  <c r="GX129" i="9"/>
  <c r="HN133" i="9"/>
  <c r="HN124" i="9"/>
  <c r="HN134" i="9"/>
  <c r="EN133" i="9"/>
  <c r="EN124" i="9"/>
  <c r="EN134" i="9"/>
  <c r="BA132" i="9"/>
  <c r="BA129" i="9"/>
  <c r="JF132" i="9"/>
  <c r="JF129" i="9"/>
  <c r="FI134" i="9"/>
  <c r="FI133" i="9"/>
  <c r="FI124" i="9"/>
  <c r="CH133" i="9"/>
  <c r="CH124" i="9"/>
  <c r="CH134" i="9"/>
  <c r="AK133" i="9"/>
  <c r="AK124" i="9"/>
  <c r="AK134" i="9"/>
  <c r="IM132" i="9"/>
  <c r="IM129" i="9"/>
  <c r="G132" i="9"/>
  <c r="G129" i="9"/>
  <c r="EN259" i="9"/>
  <c r="EZ259" i="9" s="1"/>
  <c r="EZ257" i="9"/>
  <c r="EI134" i="9"/>
  <c r="EI133" i="9"/>
  <c r="EI124" i="9"/>
  <c r="CV241" i="9"/>
  <c r="CV243" i="9" s="1"/>
  <c r="CZ132" i="9"/>
  <c r="JK134" i="9"/>
  <c r="JK133" i="9"/>
  <c r="JK124" i="9"/>
  <c r="LB132" i="9"/>
  <c r="LB129" i="9"/>
  <c r="DO132" i="9"/>
  <c r="DO129" i="9"/>
  <c r="DX1" i="9"/>
  <c r="EL6" i="9"/>
  <c r="FE129" i="9"/>
  <c r="FE132" i="9"/>
  <c r="JU132" i="9"/>
  <c r="JU129" i="9"/>
  <c r="DJ241" i="9"/>
  <c r="DJ243" i="9" s="1"/>
  <c r="AB134" i="9"/>
  <c r="AB124" i="9"/>
  <c r="AB133" i="9"/>
  <c r="LK134" i="9"/>
  <c r="LK133" i="9"/>
  <c r="LK124" i="9"/>
  <c r="IF133" i="9"/>
  <c r="IF134" i="9"/>
  <c r="IF124" i="9"/>
  <c r="BS132" i="9"/>
  <c r="BS129" i="9"/>
  <c r="AT259" i="9"/>
  <c r="BF259" i="9" s="1"/>
  <c r="BF257" i="9"/>
  <c r="E129" i="9"/>
  <c r="E132" i="9"/>
  <c r="BP133" i="9"/>
  <c r="BP124" i="9"/>
  <c r="BP134" i="9"/>
  <c r="KS133" i="9"/>
  <c r="KS134" i="9"/>
  <c r="KS124" i="9"/>
  <c r="CS132" i="9"/>
  <c r="CS129" i="9"/>
  <c r="LY132" i="9"/>
  <c r="LY129" i="9"/>
  <c r="AU132" i="9"/>
  <c r="AU129" i="9"/>
  <c r="HR133" i="9"/>
  <c r="HR134" i="9"/>
  <c r="HR124" i="9"/>
  <c r="FU132" i="9"/>
  <c r="L259" i="9"/>
  <c r="GJ132" i="9"/>
  <c r="GJ129" i="9"/>
  <c r="DE129" i="9"/>
  <c r="DE132" i="9"/>
  <c r="DR129" i="9"/>
  <c r="DR132" i="9"/>
  <c r="JT134" i="9"/>
  <c r="JT124" i="9"/>
  <c r="JT133" i="9"/>
  <c r="JH133" i="9"/>
  <c r="JH124" i="9"/>
  <c r="JH134" i="9"/>
  <c r="AW134" i="9"/>
  <c r="AW133" i="9"/>
  <c r="AW124" i="9"/>
  <c r="CG132" i="9"/>
  <c r="CG129" i="9"/>
  <c r="EK132" i="9"/>
  <c r="EK129" i="9"/>
  <c r="FL129" i="9"/>
  <c r="FL132" i="9"/>
  <c r="L134" i="9"/>
  <c r="L133" i="9"/>
  <c r="L124" i="9"/>
  <c r="FT129" i="9"/>
  <c r="FT132" i="9"/>
  <c r="JV257" i="9"/>
  <c r="JJ259" i="9"/>
  <c r="JV259" i="9" s="1"/>
  <c r="JV133" i="9"/>
  <c r="JV124" i="9"/>
  <c r="JV134" i="9"/>
  <c r="U134" i="9"/>
  <c r="U124" i="9"/>
  <c r="U133" i="9"/>
  <c r="CJ134" i="9"/>
  <c r="CJ133" i="9"/>
  <c r="CJ124" i="9"/>
  <c r="EC134" i="9"/>
  <c r="EC133" i="9"/>
  <c r="EC124" i="9"/>
  <c r="HG124" i="9"/>
  <c r="HG133" i="9"/>
  <c r="HG134" i="9"/>
  <c r="AB116" i="9"/>
  <c r="IK132" i="9"/>
  <c r="IK129" i="9"/>
  <c r="J134" i="9"/>
  <c r="J133" i="9"/>
  <c r="J124" i="9"/>
  <c r="BE132" i="9"/>
  <c r="BE129" i="9"/>
  <c r="AF129" i="9"/>
  <c r="AF132" i="9"/>
  <c r="N259" i="9"/>
  <c r="KO132" i="9"/>
  <c r="KO129" i="9"/>
  <c r="BD132" i="9"/>
  <c r="BD129" i="9"/>
  <c r="GT134" i="9"/>
  <c r="GT133" i="9"/>
  <c r="GT124" i="9"/>
  <c r="DI134" i="9"/>
  <c r="DI133" i="9"/>
  <c r="DI124" i="9"/>
  <c r="IJ132" i="9"/>
  <c r="IJ129" i="9"/>
  <c r="BB124" i="9"/>
  <c r="BB134" i="9"/>
  <c r="BB133" i="9"/>
  <c r="AD124" i="9"/>
  <c r="AD133" i="9"/>
  <c r="AD134" i="9"/>
  <c r="DJ133" i="9"/>
  <c r="DJ124" i="9"/>
  <c r="DJ134" i="9"/>
  <c r="CP132" i="9"/>
  <c r="CP129" i="9"/>
  <c r="IH259" i="9"/>
  <c r="IT259" i="9" s="1"/>
  <c r="IT257" i="9"/>
  <c r="DP116" i="9"/>
  <c r="DX116" i="9" s="1"/>
  <c r="DX114" i="9"/>
  <c r="DT129" i="9"/>
  <c r="DT132" i="9"/>
  <c r="CT132" i="9"/>
  <c r="CT129" i="9"/>
  <c r="BT134" i="9"/>
  <c r="BT124" i="9"/>
  <c r="BT133" i="9"/>
  <c r="EY129" i="9"/>
  <c r="EY132" i="9"/>
  <c r="GU132" i="9"/>
  <c r="GU129" i="9"/>
  <c r="EJ133" i="9"/>
  <c r="EJ124" i="9"/>
  <c r="EJ134" i="9"/>
  <c r="CC134" i="9"/>
  <c r="CC133" i="9"/>
  <c r="CC124" i="9"/>
  <c r="JV241" i="9"/>
  <c r="JV243" i="9" s="1"/>
  <c r="AA132" i="9"/>
  <c r="AA129" i="9"/>
  <c r="K259" i="9"/>
  <c r="LF132" i="9"/>
  <c r="LF129" i="9"/>
  <c r="BM129" i="9"/>
  <c r="BM132" i="9"/>
  <c r="FB259" i="9"/>
  <c r="FN259" i="9" s="1"/>
  <c r="FN257" i="9"/>
  <c r="EC116" i="9"/>
  <c r="EL116" i="9" s="1"/>
  <c r="EL114" i="9"/>
  <c r="DM129" i="9"/>
  <c r="DM132" i="9"/>
  <c r="AD241" i="9"/>
  <c r="AD243" i="9" s="1"/>
  <c r="LH134" i="9"/>
  <c r="LH133" i="9"/>
  <c r="LH124" i="9"/>
  <c r="LX134" i="9"/>
  <c r="LX133" i="9"/>
  <c r="LX124" i="9"/>
  <c r="X132" i="9"/>
  <c r="HD241" i="9"/>
  <c r="GR243" i="9"/>
  <c r="HD243" i="9" s="1"/>
  <c r="DZ129" i="9"/>
  <c r="DZ132" i="9"/>
  <c r="HD100" i="9"/>
  <c r="R259" i="9"/>
  <c r="AD259" i="9" s="1"/>
  <c r="AD257" i="9"/>
  <c r="CJ259" i="9"/>
  <c r="CV259" i="9" s="1"/>
  <c r="CV257" i="9"/>
  <c r="CE129" i="9"/>
  <c r="CE132" i="9"/>
  <c r="KX129" i="9"/>
  <c r="KX132" i="9"/>
  <c r="HU134" i="9"/>
  <c r="HU124" i="9"/>
  <c r="HU133" i="9"/>
  <c r="JX259" i="9"/>
  <c r="KJ259" i="9" s="1"/>
  <c r="KJ257" i="9"/>
  <c r="JY134" i="9"/>
  <c r="JY133" i="9"/>
  <c r="JY124" i="9"/>
  <c r="GA132" i="9"/>
  <c r="GA129" i="9"/>
  <c r="EL257" i="9"/>
  <c r="DZ259" i="9"/>
  <c r="EL259" i="9" s="1"/>
  <c r="AJ134" i="9"/>
  <c r="AJ133" i="9"/>
  <c r="AJ124" i="9"/>
  <c r="LU134" i="9"/>
  <c r="LU124" i="9"/>
  <c r="LU133" i="9"/>
  <c r="IF114" i="9"/>
  <c r="HT116" i="9"/>
  <c r="IF116" i="9" s="1"/>
  <c r="HJ133" i="9"/>
  <c r="HJ134" i="9"/>
  <c r="HJ124" i="9"/>
  <c r="LI133" i="9"/>
  <c r="LI134" i="9"/>
  <c r="LI124" i="9"/>
  <c r="GD132" i="9"/>
  <c r="GD129" i="9"/>
  <c r="IA134" i="9"/>
  <c r="IA124" i="9"/>
  <c r="IA133" i="9"/>
  <c r="CK133" i="9"/>
  <c r="CK124" i="9"/>
  <c r="CK134" i="9"/>
  <c r="IT124" i="9"/>
  <c r="IT133" i="9"/>
  <c r="IT134" i="9"/>
  <c r="BW134" i="9"/>
  <c r="BW124" i="9"/>
  <c r="BW133" i="9"/>
  <c r="H124" i="9"/>
  <c r="H133" i="9"/>
  <c r="H134" i="9"/>
  <c r="IW132" i="9"/>
  <c r="IW129" i="9"/>
  <c r="AZ129" i="9"/>
  <c r="AZ132" i="9"/>
  <c r="AM129" i="9"/>
  <c r="AM132" i="9"/>
  <c r="KI132" i="9"/>
  <c r="KI129" i="9"/>
  <c r="IC129" i="9"/>
  <c r="IC132" i="9"/>
  <c r="JH241" i="9"/>
  <c r="JH243" i="9" s="1"/>
  <c r="AO132" i="9"/>
  <c r="AO129" i="9"/>
  <c r="DP133" i="9"/>
  <c r="DP124" i="9"/>
  <c r="DP134" i="9"/>
  <c r="JZ132" i="9"/>
  <c r="JZ129" i="9"/>
  <c r="GB257" i="9"/>
  <c r="FP259" i="9"/>
  <c r="GB259" i="9" s="1"/>
  <c r="DX124" i="9"/>
  <c r="DX133" i="9"/>
  <c r="DX134" i="9"/>
  <c r="KM132" i="9"/>
  <c r="KM129" i="9"/>
  <c r="GR133" i="9"/>
  <c r="GR124" i="9"/>
  <c r="GR134" i="9"/>
  <c r="HD120" i="9"/>
  <c r="BF124" i="9"/>
  <c r="BF133" i="9"/>
  <c r="BF134" i="9"/>
  <c r="GM132" i="9"/>
  <c r="GM129" i="9"/>
  <c r="AC134" i="9"/>
  <c r="AC133" i="9"/>
  <c r="AC124" i="9"/>
  <c r="AQ132" i="9"/>
  <c r="AQ129" i="9"/>
  <c r="HV132" i="9"/>
  <c r="HV129" i="9"/>
  <c r="HD257" i="9"/>
  <c r="GR259" i="9"/>
  <c r="HD259" i="9" s="1"/>
  <c r="GL132" i="9"/>
  <c r="KT134" i="9"/>
  <c r="KT124" i="9"/>
  <c r="KT133" i="9"/>
  <c r="HT134" i="9"/>
  <c r="HT124" i="9"/>
  <c r="HT133" i="9"/>
  <c r="ES132" i="9"/>
  <c r="ES129" i="9"/>
  <c r="DN132" i="9"/>
  <c r="DN129" i="9"/>
  <c r="AF259" i="9"/>
  <c r="AR259" i="9" s="1"/>
  <c r="AR257" i="9"/>
  <c r="IP129" i="9"/>
  <c r="IP132" i="9"/>
  <c r="GK132" i="9"/>
  <c r="GK129" i="9"/>
  <c r="FH129" i="9" l="1"/>
  <c r="DH132" i="9"/>
  <c r="DH129" i="9"/>
  <c r="W132" i="9"/>
  <c r="LW129" i="9"/>
  <c r="JR132" i="9"/>
  <c r="AL132" i="9"/>
  <c r="KZ129" i="9"/>
  <c r="I129" i="9"/>
  <c r="JM129" i="9"/>
  <c r="O132" i="9"/>
  <c r="ID129" i="9"/>
  <c r="CN132" i="9"/>
  <c r="CN129" i="9"/>
  <c r="FJ132" i="9"/>
  <c r="FJ129" i="9"/>
  <c r="GH132" i="9"/>
  <c r="KJ129" i="9"/>
  <c r="EW132" i="9"/>
  <c r="KR132" i="9"/>
  <c r="KU132" i="9"/>
  <c r="P129" i="9"/>
  <c r="FC129" i="9"/>
  <c r="LR132" i="9"/>
  <c r="LA129" i="9"/>
  <c r="DF129" i="9"/>
  <c r="DU129" i="9"/>
  <c r="DU132" i="9"/>
  <c r="FX129" i="9"/>
  <c r="LS129" i="9"/>
  <c r="IQ132" i="9"/>
  <c r="IQ129" i="9"/>
  <c r="HL132" i="9"/>
  <c r="AH132" i="9"/>
  <c r="FY132" i="9"/>
  <c r="FY129" i="9"/>
  <c r="LE129" i="9"/>
  <c r="CU132" i="9"/>
  <c r="EB129" i="9"/>
  <c r="EB132" i="9"/>
  <c r="EA132" i="9"/>
  <c r="LC132" i="9"/>
  <c r="LC129" i="9"/>
  <c r="CY132" i="9"/>
  <c r="CY129" i="9"/>
  <c r="GG132" i="9"/>
  <c r="S129" i="9"/>
  <c r="S132" i="9"/>
  <c r="EU129" i="9"/>
  <c r="LD129" i="9"/>
  <c r="LD132" i="9"/>
  <c r="EH132" i="9"/>
  <c r="EH129" i="9"/>
  <c r="KG129" i="9"/>
  <c r="CX132" i="9"/>
  <c r="JS132" i="9"/>
  <c r="JS129" i="9"/>
  <c r="GV132" i="9"/>
  <c r="F132" i="9"/>
  <c r="F129" i="9"/>
  <c r="BL132" i="9"/>
  <c r="BL129" i="9"/>
  <c r="FQ129" i="9"/>
  <c r="FQ132" i="9"/>
  <c r="GE129" i="9"/>
  <c r="R132" i="9"/>
  <c r="R129" i="9"/>
  <c r="GZ132" i="9"/>
  <c r="GZ129" i="9"/>
  <c r="HZ132" i="9"/>
  <c r="HZ129" i="9"/>
  <c r="BJ132" i="9"/>
  <c r="IV132" i="9"/>
  <c r="CR132" i="9"/>
  <c r="CR129" i="9"/>
  <c r="EX129" i="9"/>
  <c r="EX132" i="9"/>
  <c r="JN132" i="9"/>
  <c r="JN129" i="9"/>
  <c r="CL129" i="9"/>
  <c r="KQ132" i="9"/>
  <c r="KQ129" i="9"/>
  <c r="BH129" i="9"/>
  <c r="BH132" i="9"/>
  <c r="FF129" i="9"/>
  <c r="DL132" i="9"/>
  <c r="DL129" i="9"/>
  <c r="JL132" i="9"/>
  <c r="JH6" i="9"/>
  <c r="IT1" i="9"/>
  <c r="P259" i="9"/>
  <c r="KA132" i="9"/>
  <c r="KA129" i="9"/>
  <c r="CA132" i="9"/>
  <c r="CA129" i="9"/>
  <c r="BI129" i="9"/>
  <c r="ER132" i="9"/>
  <c r="ER129" i="9"/>
  <c r="DA132" i="9"/>
  <c r="DA129" i="9"/>
  <c r="FZ132" i="9"/>
  <c r="FZ129" i="9"/>
  <c r="LG129" i="9"/>
  <c r="LG132" i="9"/>
  <c r="AX129" i="9"/>
  <c r="AX132" i="9"/>
  <c r="LO132" i="9"/>
  <c r="LO129" i="9"/>
  <c r="HR132" i="9"/>
  <c r="HR129" i="9"/>
  <c r="P116" i="9"/>
  <c r="HO129" i="9"/>
  <c r="HO132" i="9"/>
  <c r="GB132" i="9"/>
  <c r="GB129" i="9"/>
  <c r="FN129" i="9"/>
  <c r="FN132" i="9"/>
  <c r="KL132" i="9"/>
  <c r="KL129" i="9"/>
  <c r="HA132" i="9"/>
  <c r="HA129" i="9"/>
  <c r="CB129" i="9"/>
  <c r="CB132" i="9"/>
  <c r="HT132" i="9"/>
  <c r="HT129" i="9"/>
  <c r="DP132" i="9"/>
  <c r="DP129" i="9"/>
  <c r="AJ129" i="9"/>
  <c r="AJ132" i="9"/>
  <c r="DJ132" i="9"/>
  <c r="DJ129" i="9"/>
  <c r="EN132" i="9"/>
  <c r="EN129" i="9"/>
  <c r="DS129" i="9"/>
  <c r="DS132" i="9"/>
  <c r="JJ132" i="9"/>
  <c r="JJ129" i="9"/>
  <c r="CV129" i="9"/>
  <c r="CV132" i="9"/>
  <c r="BX129" i="9"/>
  <c r="BX132" i="9"/>
  <c r="DI129" i="9"/>
  <c r="DI132" i="9"/>
  <c r="BV132" i="9"/>
  <c r="BV129" i="9"/>
  <c r="BF132" i="9"/>
  <c r="BF129" i="9"/>
  <c r="LI132" i="9"/>
  <c r="LI129" i="9"/>
  <c r="LX129" i="9"/>
  <c r="LX132" i="9"/>
  <c r="GT129" i="9"/>
  <c r="GT132" i="9"/>
  <c r="AD116" i="9"/>
  <c r="BP132" i="9"/>
  <c r="BP129" i="9"/>
  <c r="ET132" i="9"/>
  <c r="ET129" i="9"/>
  <c r="HF132" i="9"/>
  <c r="HF129" i="9"/>
  <c r="HI129" i="9"/>
  <c r="HI132" i="9"/>
  <c r="FB129" i="9"/>
  <c r="FB132" i="9"/>
  <c r="LZ132" i="9"/>
  <c r="LZ129" i="9"/>
  <c r="EC132" i="9"/>
  <c r="EC129" i="9"/>
  <c r="JV132" i="9"/>
  <c r="JV129" i="9"/>
  <c r="BW129" i="9"/>
  <c r="BW132" i="9"/>
  <c r="IS132" i="9"/>
  <c r="IS129" i="9"/>
  <c r="KT132" i="9"/>
  <c r="KT129" i="9"/>
  <c r="HD124" i="9"/>
  <c r="GR132" i="9"/>
  <c r="GR129" i="9"/>
  <c r="HU132" i="9"/>
  <c r="HU129" i="9"/>
  <c r="BT132" i="9"/>
  <c r="BT129" i="9"/>
  <c r="EZ6" i="9"/>
  <c r="EL1" i="9"/>
  <c r="EI129" i="9"/>
  <c r="EI132" i="9"/>
  <c r="EO129" i="9"/>
  <c r="EO132" i="9"/>
  <c r="GN132" i="9"/>
  <c r="GN129" i="9"/>
  <c r="DV129" i="9"/>
  <c r="DV132" i="9"/>
  <c r="LH129" i="9"/>
  <c r="LH132" i="9"/>
  <c r="JT132" i="9"/>
  <c r="JT129" i="9"/>
  <c r="FP132" i="9"/>
  <c r="FP129" i="9"/>
  <c r="AW129" i="9"/>
  <c r="AW132" i="9"/>
  <c r="AC132" i="9"/>
  <c r="AC129" i="9"/>
  <c r="HD133" i="9"/>
  <c r="DX132" i="9"/>
  <c r="DX129" i="9"/>
  <c r="CK132" i="9"/>
  <c r="CK129" i="9"/>
  <c r="HJ132" i="9"/>
  <c r="HJ129" i="9"/>
  <c r="CC132" i="9"/>
  <c r="CC129" i="9"/>
  <c r="AD132" i="9"/>
  <c r="AD129" i="9"/>
  <c r="J132" i="9"/>
  <c r="J129" i="9"/>
  <c r="EF132" i="9"/>
  <c r="EF129" i="9"/>
  <c r="AV132" i="9"/>
  <c r="AV129" i="9"/>
  <c r="EV129" i="9"/>
  <c r="EV132" i="9"/>
  <c r="EL129" i="9"/>
  <c r="EL132" i="9"/>
  <c r="AB132" i="9"/>
  <c r="AB129" i="9"/>
  <c r="LL132" i="9"/>
  <c r="LL129" i="9"/>
  <c r="GP132" i="9"/>
  <c r="GP129" i="9"/>
  <c r="IF129" i="9"/>
  <c r="IF132" i="9"/>
  <c r="L132" i="9"/>
  <c r="L129" i="9"/>
  <c r="LK129" i="9"/>
  <c r="LK132" i="9"/>
  <c r="AK132" i="9"/>
  <c r="AK129" i="9"/>
  <c r="HN132" i="9"/>
  <c r="HN129" i="9"/>
  <c r="Z132" i="9"/>
  <c r="Z129" i="9"/>
  <c r="IR132" i="9"/>
  <c r="IR129" i="9"/>
  <c r="K132" i="9"/>
  <c r="K129" i="9"/>
  <c r="IB132" i="9"/>
  <c r="IB129" i="9"/>
  <c r="AR132" i="9"/>
  <c r="AR129" i="9"/>
  <c r="LN129" i="9"/>
  <c r="LN132" i="9"/>
  <c r="DW132" i="9"/>
  <c r="DW129" i="9"/>
  <c r="KF129" i="9"/>
  <c r="KF132" i="9"/>
  <c r="IA132" i="9"/>
  <c r="IA129" i="9"/>
  <c r="FI132" i="9"/>
  <c r="FI129" i="9"/>
  <c r="HG132" i="9"/>
  <c r="HG129" i="9"/>
  <c r="U132" i="9"/>
  <c r="U129" i="9"/>
  <c r="JH129" i="9"/>
  <c r="JH132" i="9"/>
  <c r="KS132" i="9"/>
  <c r="KS129" i="9"/>
  <c r="JG132" i="9"/>
  <c r="JG129" i="9"/>
  <c r="AI129" i="9"/>
  <c r="AI132" i="9"/>
  <c r="BK132" i="9"/>
  <c r="BK129" i="9"/>
  <c r="JK132" i="9"/>
  <c r="JK129" i="9"/>
  <c r="HD134" i="9"/>
  <c r="IT132" i="9"/>
  <c r="IT129" i="9"/>
  <c r="JY129" i="9"/>
  <c r="JY132" i="9"/>
  <c r="BB132" i="9"/>
  <c r="BB129" i="9"/>
  <c r="EP132" i="9"/>
  <c r="EP129" i="9"/>
  <c r="GO132" i="9"/>
  <c r="GO129" i="9"/>
  <c r="EZ132" i="9"/>
  <c r="EZ129" i="9"/>
  <c r="LU132" i="9"/>
  <c r="LU129" i="9"/>
  <c r="CJ132" i="9"/>
  <c r="CJ129" i="9"/>
  <c r="H132" i="9"/>
  <c r="H129" i="9"/>
  <c r="EJ132" i="9"/>
  <c r="EJ129" i="9"/>
  <c r="CH132" i="9"/>
  <c r="CH129" i="9"/>
  <c r="HX132" i="9"/>
  <c r="HX129" i="9"/>
  <c r="LJ132" i="9"/>
  <c r="LJ129" i="9"/>
  <c r="Y132" i="9"/>
  <c r="Y129" i="9"/>
  <c r="LT132" i="9"/>
  <c r="LT129" i="9"/>
  <c r="GF132" i="9"/>
  <c r="GF129" i="9"/>
  <c r="HB132" i="9"/>
  <c r="HB129" i="9"/>
  <c r="HD132" i="9" l="1"/>
  <c r="JH1" i="9"/>
  <c r="JV6" i="9"/>
  <c r="EZ1" i="9"/>
  <c r="FN6" i="9"/>
  <c r="HD129" i="9"/>
  <c r="KJ6" i="9" l="1"/>
  <c r="KJ1" i="9" s="1"/>
  <c r="JV1" i="9"/>
  <c r="FN1" i="9"/>
  <c r="GB6" i="9"/>
  <c r="MK80" i="9" s="1"/>
  <c r="MB184" i="9"/>
  <c r="MG69" i="9"/>
  <c r="MK160" i="9"/>
  <c r="ML63" i="9"/>
  <c r="MI234" i="9"/>
  <c r="MJ177" i="9"/>
  <c r="MI88" i="9"/>
  <c r="MB38" i="9"/>
  <c r="MJ183" i="9"/>
  <c r="MI109" i="9"/>
  <c r="MC19" i="9"/>
  <c r="MM78" i="9"/>
  <c r="MF62" i="9"/>
  <c r="MC48" i="9"/>
  <c r="MJ55" i="9"/>
  <c r="MB18" i="9"/>
  <c r="MD38" i="9"/>
  <c r="MB212" i="9"/>
  <c r="MF69" i="9"/>
  <c r="MH204" i="9"/>
  <c r="MM62" i="9"/>
  <c r="MK88" i="9"/>
  <c r="MM51" i="9"/>
  <c r="MI230" i="9"/>
  <c r="MD49" i="9"/>
  <c r="MD71" i="9"/>
  <c r="MF34" i="9"/>
  <c r="MJ176" i="9"/>
  <c r="MD107" i="9"/>
  <c r="MK153" i="9"/>
  <c r="MK257" i="9"/>
  <c r="MB126" i="9"/>
  <c r="MK61" i="9"/>
  <c r="MM50" i="9"/>
  <c r="MI212" i="9"/>
  <c r="MK34" i="9"/>
  <c r="MM39" i="9"/>
  <c r="MF48" i="9"/>
  <c r="MI77" i="9"/>
  <c r="MB50" i="9"/>
  <c r="MM61" i="9"/>
  <c r="ME17" i="9"/>
  <c r="MC106" i="9"/>
  <c r="MI204" i="9"/>
  <c r="MB197" i="9"/>
  <c r="MH10" i="9"/>
  <c r="MH15" i="9"/>
  <c r="MB77" i="9"/>
  <c r="MJ251" i="9"/>
  <c r="ML51" i="9"/>
  <c r="MM76" i="9"/>
  <c r="MK216" i="9"/>
  <c r="MB209" i="9"/>
  <c r="MF20" i="9"/>
  <c r="MB66" i="9"/>
  <c r="MC54" i="9"/>
  <c r="MK16" i="9"/>
  <c r="MI239" i="9"/>
  <c r="ML77" i="9"/>
  <c r="MK65" i="9"/>
  <c r="MB76" i="9"/>
  <c r="MJ160" i="9"/>
  <c r="MF85" i="9"/>
  <c r="MK194" i="9"/>
  <c r="MJ229" i="9"/>
  <c r="MC77" i="9"/>
  <c r="MI79" i="9"/>
  <c r="MK204" i="9"/>
  <c r="ME40" i="9"/>
  <c r="MF36" i="9"/>
  <c r="MB229" i="9"/>
  <c r="MG80" i="9"/>
  <c r="MI249" i="9"/>
  <c r="MK75" i="9"/>
  <c r="MD52" i="9"/>
  <c r="MI92" i="9"/>
  <c r="MD39" i="9"/>
  <c r="MK17" i="9"/>
  <c r="ME52" i="9"/>
  <c r="MJ198" i="9"/>
  <c r="MJ48" i="9"/>
  <c r="MB37" i="9"/>
  <c r="ML34" i="9"/>
  <c r="MJ209" i="9"/>
  <c r="MJ10" i="9"/>
  <c r="MI221" i="9"/>
  <c r="MB215" i="9"/>
  <c r="MB176" i="9"/>
  <c r="ME114" i="9"/>
  <c r="MJ114" i="9"/>
  <c r="MK182" i="9"/>
  <c r="MK114" i="9"/>
  <c r="MK63" i="9"/>
  <c r="MK126" i="9"/>
  <c r="MG20" i="9"/>
  <c r="MD42" i="9"/>
  <c r="MC74" i="9"/>
  <c r="MI89" i="9"/>
  <c r="ME71" i="9"/>
  <c r="MI75" i="9"/>
  <c r="MI48" i="9"/>
  <c r="MJ219" i="9"/>
  <c r="MH38" i="9"/>
  <c r="MI158" i="9"/>
  <c r="MI39" i="9"/>
  <c r="MI161" i="9"/>
  <c r="MB27" i="9"/>
  <c r="MB193" i="9"/>
  <c r="MJ27" i="9"/>
  <c r="MI71" i="9"/>
  <c r="MJ221" i="9"/>
  <c r="MC73" i="9"/>
  <c r="MI184" i="9"/>
  <c r="MI90" i="9"/>
  <c r="ML53" i="9"/>
  <c r="MK78" i="9"/>
  <c r="MI9" i="9"/>
  <c r="MI60" i="9"/>
  <c r="MK41" i="9"/>
  <c r="MB218" i="9"/>
  <c r="MB180" i="9"/>
  <c r="ME257" i="9"/>
  <c r="MI63" i="9"/>
  <c r="ML26" i="9"/>
  <c r="MI122" i="9"/>
  <c r="MJ181" i="9"/>
  <c r="MK239" i="9"/>
  <c r="MD60" i="9"/>
  <c r="MI61" i="9"/>
  <c r="MB69" i="9"/>
  <c r="MK43" i="9"/>
  <c r="MH67" i="9"/>
  <c r="MK234" i="9"/>
  <c r="ME69" i="9"/>
  <c r="MJ184" i="9"/>
  <c r="MI67" i="9"/>
  <c r="MB63" i="9"/>
  <c r="MI181" i="9"/>
  <c r="MC64" i="9"/>
  <c r="MF68" i="9"/>
  <c r="MJ127" i="9"/>
  <c r="MI55" i="9"/>
  <c r="MB219" i="9"/>
  <c r="MK195" i="9"/>
  <c r="MI218" i="9"/>
  <c r="MG50" i="9"/>
  <c r="MK162" i="9"/>
  <c r="MC37" i="9"/>
  <c r="MH18" i="9"/>
  <c r="MG34" i="9"/>
  <c r="MB217" i="9"/>
  <c r="MJ158" i="9"/>
  <c r="MH60" i="9"/>
  <c r="ME103" i="9"/>
  <c r="MB9" i="9"/>
  <c r="MB230" i="9"/>
  <c r="MF73" i="9"/>
  <c r="MI35" i="9"/>
  <c r="MI176" i="9"/>
  <c r="ML74" i="9"/>
  <c r="MB10" i="9"/>
  <c r="MB250" i="9"/>
  <c r="MI215" i="9"/>
  <c r="MI211" i="9"/>
  <c r="MI18" i="9"/>
  <c r="MJ232" i="9"/>
  <c r="MB87" i="9"/>
  <c r="MJ65" i="9"/>
  <c r="MM41" i="9"/>
  <c r="MG153" i="9"/>
  <c r="MI159" i="9"/>
  <c r="MD18" i="9"/>
  <c r="MF16" i="9"/>
  <c r="MJ191" i="9"/>
  <c r="MB152" i="9"/>
  <c r="MM55" i="9"/>
  <c r="MB204" i="9"/>
  <c r="MJ63" i="9"/>
  <c r="MB70" i="9"/>
  <c r="MB257" i="9"/>
  <c r="MB169" i="9"/>
  <c r="MG70" i="9"/>
  <c r="MM86" i="9"/>
  <c r="MJ73" i="9"/>
  <c r="MJ37" i="9"/>
  <c r="MK64" i="9"/>
  <c r="MK53" i="9"/>
  <c r="MK163" i="9"/>
  <c r="MD36" i="9"/>
  <c r="MD87" i="9"/>
  <c r="MK206" i="9"/>
  <c r="MJ18" i="9"/>
  <c r="MG73" i="9"/>
  <c r="MJ26" i="9"/>
  <c r="MB228" i="9"/>
  <c r="MB159" i="9"/>
  <c r="ME62" i="9"/>
  <c r="ME36" i="9"/>
  <c r="MK219" i="9"/>
  <c r="MM20" i="9"/>
  <c r="MB234" i="9"/>
  <c r="MI65" i="9"/>
  <c r="MB86" i="9"/>
  <c r="MB161" i="9"/>
  <c r="MJ71" i="9"/>
  <c r="MC42" i="9"/>
  <c r="MJ185" i="9"/>
  <c r="MJ76" i="9"/>
  <c r="MG90" i="9"/>
  <c r="MB191" i="9"/>
  <c r="MG60" i="9"/>
  <c r="MF107" i="9"/>
  <c r="MI16" i="9"/>
  <c r="MJ252" i="9"/>
  <c r="MI36" i="9"/>
  <c r="MJ90" i="9"/>
  <c r="MM75" i="9"/>
  <c r="MJ78" i="9"/>
  <c r="MJ206" i="9"/>
  <c r="MB185" i="9"/>
  <c r="MB20" i="9"/>
  <c r="ML41" i="9"/>
  <c r="MK228" i="9"/>
  <c r="MB64" i="9"/>
  <c r="MC39" i="9"/>
  <c r="MF80" i="9"/>
  <c r="MJ86" i="9"/>
  <c r="ME48" i="9"/>
  <c r="MI163" i="9"/>
  <c r="MC87" i="9"/>
  <c r="MK196" i="9"/>
  <c r="MH90" i="9"/>
  <c r="MK21" i="9"/>
  <c r="ML86" i="9"/>
  <c r="MB35" i="9"/>
  <c r="MJ88" i="9"/>
  <c r="MI110" i="9"/>
  <c r="MK76" i="9"/>
  <c r="MB62" i="9"/>
  <c r="MC71" i="9"/>
  <c r="MM71" i="9"/>
  <c r="MM257" i="9"/>
  <c r="MI43" i="9"/>
  <c r="MJ196" i="9"/>
  <c r="MB160" i="9"/>
  <c r="MH48" i="9"/>
  <c r="MG33" i="9"/>
  <c r="MB72" i="9"/>
  <c r="MB249" i="9"/>
  <c r="MF50" i="9"/>
  <c r="MB48" i="9" l="1"/>
  <c r="MJ228" i="9"/>
  <c r="MD114" i="9"/>
  <c r="MI52" i="9"/>
  <c r="MJ36" i="9"/>
  <c r="MK50" i="9"/>
  <c r="MJ40" i="9"/>
  <c r="MK77" i="9"/>
  <c r="MJ16" i="9"/>
  <c r="MI50" i="9"/>
  <c r="MG67" i="9"/>
  <c r="MB246" i="9"/>
  <c r="MD50" i="9"/>
  <c r="MB16" i="9"/>
  <c r="MM21" i="9"/>
  <c r="MK246" i="9"/>
  <c r="MJ21" i="9"/>
  <c r="MH78" i="9"/>
  <c r="MK211" i="9"/>
  <c r="MB182" i="9"/>
  <c r="MC86" i="9"/>
  <c r="MJ164" i="9"/>
  <c r="MI69" i="9"/>
  <c r="MK233" i="9"/>
  <c r="MM110" i="9"/>
  <c r="ML110" i="9"/>
  <c r="MJ118" i="9"/>
  <c r="MI78" i="9"/>
  <c r="MF91" i="9"/>
  <c r="MK251" i="9"/>
  <c r="MH91" i="9"/>
  <c r="MJ43" i="9"/>
  <c r="MK86" i="9"/>
  <c r="MH71" i="9"/>
  <c r="MC20" i="9"/>
  <c r="MJ253" i="9"/>
  <c r="MI86" i="9"/>
  <c r="MK55" i="9"/>
  <c r="MB33" i="9"/>
  <c r="MH34" i="9"/>
  <c r="MM67" i="9"/>
  <c r="MB195" i="9"/>
  <c r="ME186" i="9"/>
  <c r="MK48" i="9"/>
  <c r="MB178" i="9"/>
  <c r="MK180" i="9"/>
  <c r="MG92" i="9"/>
  <c r="MK109" i="9"/>
  <c r="MJ61" i="9"/>
  <c r="ML122" i="9"/>
  <c r="MK213" i="9"/>
  <c r="MK60" i="9"/>
  <c r="MI195" i="9"/>
  <c r="MK178" i="9"/>
  <c r="MI115" i="9"/>
  <c r="ML76" i="9"/>
  <c r="MD164" i="9"/>
  <c r="MK214" i="9"/>
  <c r="MB162" i="9"/>
  <c r="MI73" i="9"/>
  <c r="MI21" i="9"/>
  <c r="MI253" i="9"/>
  <c r="MJ19" i="9"/>
  <c r="MJ92" i="9"/>
  <c r="MC38" i="9"/>
  <c r="MK69" i="9"/>
  <c r="MC114" i="9"/>
  <c r="MF18" i="9"/>
  <c r="MB164" i="9"/>
  <c r="ML40" i="9"/>
  <c r="MJ52" i="9"/>
  <c r="MJ115" i="9"/>
  <c r="MJ116" i="9" s="1"/>
  <c r="MB194" i="9"/>
  <c r="MB222" i="9"/>
  <c r="ML109" i="9"/>
  <c r="ME75" i="9"/>
  <c r="MJ162" i="9"/>
  <c r="MI179" i="9"/>
  <c r="MG16" i="9"/>
  <c r="MC50" i="9"/>
  <c r="ML21" i="9"/>
  <c r="MB91" i="9"/>
  <c r="MJ195" i="9"/>
  <c r="MK92" i="9"/>
  <c r="MI66" i="9"/>
  <c r="MB71" i="9"/>
  <c r="MK42" i="9"/>
  <c r="MI228" i="9"/>
  <c r="MG257" i="9"/>
  <c r="MC18" i="9"/>
  <c r="MJ29" i="9"/>
  <c r="MB12" i="9"/>
  <c r="GB1" i="9"/>
  <c r="MD257" i="9"/>
  <c r="MK198" i="9"/>
  <c r="MH108" i="9"/>
  <c r="MJ77" i="9"/>
  <c r="MK127" i="9"/>
  <c r="ME53" i="9"/>
  <c r="MF179" i="9"/>
  <c r="MC213" i="9"/>
  <c r="MM108" i="9"/>
  <c r="ML66" i="9"/>
  <c r="MC194" i="9"/>
  <c r="ME127" i="9"/>
  <c r="MI194" i="9"/>
  <c r="MI41" i="9"/>
  <c r="MH179" i="9"/>
  <c r="ME60" i="9"/>
  <c r="MH197" i="9"/>
  <c r="MG231" i="9"/>
  <c r="ML115" i="9"/>
  <c r="ME220" i="9"/>
  <c r="MH36" i="9"/>
  <c r="MG64" i="9"/>
  <c r="MD68" i="9"/>
  <c r="MD185" i="9"/>
  <c r="MK185" i="9"/>
  <c r="MJ249" i="9"/>
  <c r="MI246" i="9"/>
  <c r="MD210" i="9"/>
  <c r="MM191" i="9"/>
  <c r="MG26" i="9"/>
  <c r="MC210" i="9"/>
  <c r="MM176" i="9"/>
  <c r="MC160" i="9"/>
  <c r="MB127" i="9"/>
  <c r="MG114" i="9"/>
  <c r="MI208" i="9"/>
  <c r="MG55" i="9"/>
  <c r="MD79" i="9"/>
  <c r="MM161" i="9"/>
  <c r="MJ186" i="9"/>
  <c r="ML218" i="9"/>
  <c r="MH177" i="9"/>
  <c r="ME61" i="9"/>
  <c r="ME211" i="9"/>
  <c r="MK110" i="9"/>
  <c r="MJ212" i="9"/>
  <c r="MM64" i="9"/>
  <c r="MI19" i="9"/>
  <c r="MG75" i="9"/>
  <c r="ML54" i="9"/>
  <c r="MI232" i="9"/>
  <c r="MM215" i="9"/>
  <c r="MD195" i="9"/>
  <c r="MG229" i="9"/>
  <c r="ML19" i="9"/>
  <c r="MD191" i="9"/>
  <c r="MC162" i="9"/>
  <c r="MC109" i="9"/>
  <c r="MC69" i="9"/>
  <c r="MK62" i="9"/>
  <c r="MK169" i="9"/>
  <c r="MK90" i="9"/>
  <c r="MG194" i="9"/>
  <c r="MF234" i="9"/>
  <c r="MM48" i="9"/>
  <c r="MD159" i="9"/>
  <c r="MG223" i="9"/>
  <c r="ML73" i="9"/>
  <c r="ME118" i="9"/>
  <c r="MM249" i="9"/>
  <c r="MG197" i="9"/>
  <c r="MK207" i="9"/>
  <c r="MB96" i="9"/>
  <c r="MG66" i="9"/>
  <c r="ML182" i="9"/>
  <c r="MH35" i="9"/>
  <c r="MM91" i="9"/>
  <c r="MD15" i="9"/>
  <c r="MF250" i="9"/>
  <c r="MF216" i="9"/>
  <c r="MF78" i="9"/>
  <c r="MK70" i="9"/>
  <c r="ML68" i="9"/>
  <c r="MH193" i="9"/>
  <c r="ME218" i="9"/>
  <c r="ME182" i="9"/>
  <c r="MM253" i="9"/>
  <c r="MF19" i="9"/>
  <c r="ML257" i="9"/>
  <c r="MC15" i="9"/>
  <c r="MM195" i="9"/>
  <c r="ME16" i="9"/>
  <c r="ME180" i="9"/>
  <c r="MF176" i="9"/>
  <c r="MJ109" i="9"/>
  <c r="MJ79" i="9"/>
  <c r="MD192" i="9"/>
  <c r="MD197" i="9"/>
  <c r="MM73" i="9"/>
  <c r="MF42" i="9"/>
  <c r="MB55" i="9"/>
  <c r="MM27" i="9"/>
  <c r="MD67" i="9"/>
  <c r="MB211" i="9"/>
  <c r="MF108" i="9"/>
  <c r="MI198" i="9"/>
  <c r="MH235" i="9"/>
  <c r="MF92" i="9"/>
  <c r="MG222" i="9"/>
  <c r="MG110" i="9"/>
  <c r="MM203" i="9"/>
  <c r="MK51" i="9"/>
  <c r="MI34" i="9"/>
  <c r="MD109" i="9"/>
  <c r="MF170" i="9"/>
  <c r="MG158" i="9"/>
  <c r="MI17" i="9"/>
  <c r="MH212" i="9"/>
  <c r="MF38" i="9"/>
  <c r="MG86" i="9"/>
  <c r="MI196" i="9"/>
  <c r="MI49" i="9"/>
  <c r="MC193" i="9"/>
  <c r="MG207" i="9"/>
  <c r="MC251" i="9"/>
  <c r="ME219" i="9"/>
  <c r="MB42" i="9"/>
  <c r="MJ213" i="9"/>
  <c r="MM210" i="9"/>
  <c r="MD208" i="9"/>
  <c r="MF180" i="9"/>
  <c r="MF249" i="9"/>
  <c r="MJ75" i="9"/>
  <c r="MF152" i="9"/>
  <c r="ML258" i="9"/>
  <c r="MD103" i="9"/>
  <c r="MH51" i="9"/>
  <c r="ML18" i="9"/>
  <c r="ME33" i="9"/>
  <c r="MF52" i="9"/>
  <c r="MF204" i="9"/>
  <c r="MI222" i="9"/>
  <c r="MJ107" i="9"/>
  <c r="ME178" i="9"/>
  <c r="ME193" i="9"/>
  <c r="ME231" i="9"/>
  <c r="ML169" i="9"/>
  <c r="MM177" i="9"/>
  <c r="MC198" i="9"/>
  <c r="MB181" i="9"/>
  <c r="MB21" i="9"/>
  <c r="MB61" i="9"/>
  <c r="MG192" i="9"/>
  <c r="MJ217" i="9"/>
  <c r="MG77" i="9"/>
  <c r="MC258" i="9"/>
  <c r="ME170" i="9"/>
  <c r="MG218" i="9"/>
  <c r="MM186" i="9"/>
  <c r="MG96" i="9"/>
  <c r="MF235" i="9"/>
  <c r="MC219" i="9"/>
  <c r="MI33" i="9"/>
  <c r="MB108" i="9"/>
  <c r="MJ54" i="9"/>
  <c r="MF195" i="9"/>
  <c r="MJ231" i="9"/>
  <c r="MK223" i="9"/>
  <c r="MH196" i="9"/>
  <c r="MF60" i="9"/>
  <c r="ME152" i="9"/>
  <c r="MJ20" i="9"/>
  <c r="MG204" i="9"/>
  <c r="ML79" i="9"/>
  <c r="MH49" i="9"/>
  <c r="ML191" i="9"/>
  <c r="MF110" i="9"/>
  <c r="ML222" i="9"/>
  <c r="MC214" i="9"/>
  <c r="MM198" i="9"/>
  <c r="MG182" i="9"/>
  <c r="ME27" i="9"/>
  <c r="MG239" i="9"/>
  <c r="MM208" i="9"/>
  <c r="MG65" i="9"/>
  <c r="MF220" i="9"/>
  <c r="MF198" i="9"/>
  <c r="ME38" i="9"/>
  <c r="MK203" i="9"/>
  <c r="MK181" i="9"/>
  <c r="MJ250" i="9"/>
  <c r="MM107" i="9"/>
  <c r="MD214" i="9"/>
  <c r="MG212" i="9"/>
  <c r="MF66" i="9"/>
  <c r="MH40" i="9"/>
  <c r="MM162" i="9"/>
  <c r="MC159" i="9"/>
  <c r="MM220" i="9"/>
  <c r="MB80" i="9"/>
  <c r="MJ211" i="9"/>
  <c r="MC235" i="9"/>
  <c r="MD250" i="9"/>
  <c r="MM9" i="9"/>
  <c r="MD177" i="9"/>
  <c r="MG219" i="9"/>
  <c r="MB253" i="9"/>
  <c r="MM26" i="9"/>
  <c r="MM36" i="9"/>
  <c r="MG17" i="9"/>
  <c r="MH62" i="9"/>
  <c r="ML107" i="9"/>
  <c r="MC70" i="9"/>
  <c r="MB213" i="9"/>
  <c r="MC228" i="9"/>
  <c r="MD231" i="9"/>
  <c r="MB52" i="9"/>
  <c r="MM197" i="9"/>
  <c r="MH80" i="9"/>
  <c r="MJ110" i="9"/>
  <c r="ML90" i="9"/>
  <c r="MH216" i="9"/>
  <c r="MG61" i="9"/>
  <c r="MG251" i="9"/>
  <c r="MG164" i="9"/>
  <c r="MK220" i="9"/>
  <c r="MK253" i="9"/>
  <c r="MK232" i="9"/>
  <c r="MJ204" i="9"/>
  <c r="MI185" i="9"/>
  <c r="MC85" i="9"/>
  <c r="MK36" i="9"/>
  <c r="MH228" i="9"/>
  <c r="ML126" i="9"/>
  <c r="ML17" i="9"/>
  <c r="MI252" i="9"/>
  <c r="MI62" i="9"/>
  <c r="ML180" i="9"/>
  <c r="ML78" i="9"/>
  <c r="ML65" i="9"/>
  <c r="MC26" i="9"/>
  <c r="MD234" i="9"/>
  <c r="ML186" i="9"/>
  <c r="MH214" i="9"/>
  <c r="MG37" i="9"/>
  <c r="ME191" i="9"/>
  <c r="MK258" i="9"/>
  <c r="MK259" i="9" s="1"/>
  <c r="MM40" i="9"/>
  <c r="MC21" i="9"/>
  <c r="MI197" i="9"/>
  <c r="MD212" i="9"/>
  <c r="ME208" i="9"/>
  <c r="MG177" i="9"/>
  <c r="ML16" i="9"/>
  <c r="MM127" i="9"/>
  <c r="MD194" i="9"/>
  <c r="MG253" i="9"/>
  <c r="MD89" i="9"/>
  <c r="MH77" i="9"/>
  <c r="MM211" i="9"/>
  <c r="MC233" i="9"/>
  <c r="MH198" i="9"/>
  <c r="MH249" i="9"/>
  <c r="ME89" i="9"/>
  <c r="MM252" i="9"/>
  <c r="MM235" i="9"/>
  <c r="MH250" i="9"/>
  <c r="MJ161" i="9"/>
  <c r="MH184" i="9"/>
  <c r="ML195" i="9"/>
  <c r="MG181" i="9"/>
  <c r="MG118" i="9"/>
  <c r="ML9" i="9"/>
  <c r="ML253" i="9"/>
  <c r="MK15" i="9"/>
  <c r="MF90" i="9"/>
  <c r="MM114" i="9"/>
  <c r="MC252" i="9"/>
  <c r="ML48" i="9"/>
  <c r="MI15" i="9"/>
  <c r="MJ80" i="9"/>
  <c r="ME63" i="9"/>
  <c r="ML163" i="9"/>
  <c r="MC67" i="9"/>
  <c r="MI160" i="9"/>
  <c r="MB68" i="9"/>
  <c r="MH127" i="9"/>
  <c r="ME177" i="9"/>
  <c r="MJ70" i="9"/>
  <c r="MC218" i="9"/>
  <c r="ME78" i="9"/>
  <c r="MK72" i="9"/>
  <c r="MB103" i="9"/>
  <c r="MI118" i="9"/>
  <c r="MD70" i="9"/>
  <c r="MF222" i="9"/>
  <c r="MC88" i="9"/>
  <c r="MD253" i="9"/>
  <c r="MG108" i="9"/>
  <c r="MI214" i="9"/>
  <c r="MJ33" i="9"/>
  <c r="ME80" i="9"/>
  <c r="MH115" i="9"/>
  <c r="MK115" i="9"/>
  <c r="MK116" i="9" s="1"/>
  <c r="MD115" i="9"/>
  <c r="MD116" i="9" s="1"/>
  <c r="ME41" i="9"/>
  <c r="MM204" i="9"/>
  <c r="MC191" i="9"/>
  <c r="MB214" i="9"/>
  <c r="MB88" i="9"/>
  <c r="MB163" i="9"/>
  <c r="MF210" i="9"/>
  <c r="MB51" i="9"/>
  <c r="MM169" i="9"/>
  <c r="MB196" i="9"/>
  <c r="MK106" i="9"/>
  <c r="MF217" i="9"/>
  <c r="MM182" i="9"/>
  <c r="MF86" i="9"/>
  <c r="MF223" i="9"/>
  <c r="ML176" i="9"/>
  <c r="MJ34" i="9"/>
  <c r="ML71" i="9"/>
  <c r="MI126" i="9"/>
  <c r="MB85" i="9"/>
  <c r="MK79" i="9"/>
  <c r="MM43" i="9"/>
  <c r="MB231" i="9"/>
  <c r="MM213" i="9"/>
  <c r="MD204" i="9"/>
  <c r="MF182" i="9"/>
  <c r="MF65" i="9"/>
  <c r="MC66" i="9"/>
  <c r="MH27" i="9"/>
  <c r="MD127" i="9"/>
  <c r="MI235" i="9"/>
  <c r="MC152" i="9"/>
  <c r="MI54" i="9"/>
  <c r="MG21" i="9"/>
  <c r="ML55" i="9"/>
  <c r="ME153" i="9"/>
  <c r="ML87" i="9"/>
  <c r="ML75" i="9"/>
  <c r="MM15" i="9"/>
  <c r="ML203" i="9"/>
  <c r="MD163" i="9"/>
  <c r="MI164" i="9"/>
  <c r="MJ179" i="9"/>
  <c r="ME184" i="9"/>
  <c r="MC115" i="9"/>
  <c r="ME49" i="9"/>
  <c r="MF178" i="9"/>
  <c r="MC33" i="9"/>
  <c r="MM18" i="9"/>
  <c r="MF63" i="9"/>
  <c r="MB34" i="9"/>
  <c r="MG36" i="9"/>
  <c r="MJ223" i="9"/>
  <c r="MK231" i="9"/>
  <c r="ME158" i="9"/>
  <c r="MJ234" i="9"/>
  <c r="MJ235" i="9"/>
  <c r="MD160" i="9"/>
  <c r="MG214" i="9"/>
  <c r="MF212" i="9"/>
  <c r="ME65" i="9"/>
  <c r="MC177" i="9"/>
  <c r="MD43" i="9"/>
  <c r="MC108" i="9"/>
  <c r="MI68" i="9"/>
  <c r="MI210" i="9"/>
  <c r="MB107" i="9"/>
  <c r="MD162" i="9"/>
  <c r="MM38" i="9"/>
  <c r="MD179" i="9"/>
  <c r="MG193" i="9"/>
  <c r="MM219" i="9"/>
  <c r="ML164" i="9"/>
  <c r="ML52" i="9"/>
  <c r="MG48" i="9"/>
  <c r="MH64" i="9"/>
  <c r="MC215" i="9"/>
  <c r="ME169" i="9"/>
  <c r="MK222" i="9"/>
  <c r="MJ205" i="9"/>
  <c r="MD73" i="9"/>
  <c r="MK209" i="9"/>
  <c r="ML96" i="9"/>
  <c r="ML161" i="9"/>
  <c r="MD122" i="9"/>
  <c r="MG106" i="9"/>
  <c r="MI64" i="9"/>
  <c r="MD53" i="9"/>
  <c r="MF70" i="9"/>
  <c r="MG221" i="9"/>
  <c r="MI257" i="9"/>
  <c r="MI114" i="9"/>
  <c r="MM53" i="9"/>
  <c r="MH230" i="9"/>
  <c r="ML160" i="9"/>
  <c r="ME251" i="9"/>
  <c r="MJ91" i="9"/>
  <c r="MI87" i="9"/>
  <c r="MK122" i="9"/>
  <c r="MH69" i="9"/>
  <c r="MC10" i="9"/>
  <c r="MC186" i="9"/>
  <c r="MH217" i="9"/>
  <c r="ME160" i="9"/>
  <c r="MH213" i="9"/>
  <c r="MD21" i="9"/>
  <c r="ME194" i="9"/>
  <c r="MJ220" i="9"/>
  <c r="MF184" i="9"/>
  <c r="ME51" i="9"/>
  <c r="MJ17" i="9"/>
  <c r="MB67" i="9"/>
  <c r="MD181" i="9"/>
  <c r="MD19" i="9"/>
  <c r="MM223" i="9"/>
  <c r="MG85" i="9"/>
  <c r="MD205" i="9"/>
  <c r="MG258" i="9"/>
  <c r="MG259" i="9" s="1"/>
  <c r="ME162" i="9"/>
  <c r="ME42" i="9"/>
  <c r="MC223" i="9"/>
  <c r="MC170" i="9"/>
  <c r="MD34" i="9"/>
  <c r="MK249" i="9"/>
  <c r="MK39" i="9"/>
  <c r="MC53" i="9"/>
  <c r="MM207" i="9"/>
  <c r="MH219" i="9"/>
  <c r="MH86" i="9"/>
  <c r="MH192" i="9"/>
  <c r="MD96" i="9"/>
  <c r="ME221" i="9"/>
  <c r="MD37" i="9"/>
  <c r="MH66" i="9"/>
  <c r="MD180" i="9"/>
  <c r="MM103" i="9"/>
  <c r="MH21" i="9"/>
  <c r="MF206" i="9"/>
  <c r="MB78" i="9"/>
  <c r="ML106" i="9"/>
  <c r="MC61" i="9"/>
  <c r="MM228" i="9"/>
  <c r="MH239" i="9"/>
  <c r="MF87" i="9"/>
  <c r="ME216" i="9"/>
  <c r="MH234" i="9"/>
  <c r="ML50" i="9"/>
  <c r="MB89" i="9"/>
  <c r="MD161" i="9"/>
  <c r="ML204" i="9"/>
  <c r="MC103" i="9"/>
  <c r="MG43" i="9"/>
  <c r="MK221" i="9"/>
  <c r="MK158" i="9"/>
  <c r="ME179" i="9"/>
  <c r="MJ64" i="9"/>
  <c r="ME72" i="9"/>
  <c r="ME86" i="9"/>
  <c r="MD216" i="9"/>
  <c r="MG186" i="9"/>
  <c r="MF229" i="9"/>
  <c r="MK208" i="9"/>
  <c r="MB206" i="9"/>
  <c r="MH152" i="9"/>
  <c r="MM88" i="9"/>
  <c r="ME74" i="9"/>
  <c r="MD90" i="9"/>
  <c r="MM217" i="9"/>
  <c r="MG62" i="9"/>
  <c r="ML60" i="9"/>
  <c r="MC65" i="9"/>
  <c r="MJ60" i="9"/>
  <c r="MM160" i="9"/>
  <c r="MB92" i="9"/>
  <c r="MH223" i="9"/>
  <c r="MJ41" i="9"/>
  <c r="ME212" i="9"/>
  <c r="MI186" i="9"/>
  <c r="MM194" i="9"/>
  <c r="MD228" i="9"/>
  <c r="MF196" i="9"/>
  <c r="ME253" i="9"/>
  <c r="MC161" i="9"/>
  <c r="MH160" i="9"/>
  <c r="ME76" i="9"/>
  <c r="ME88" i="9"/>
  <c r="MM33" i="9"/>
  <c r="MH19" i="9"/>
  <c r="MF61" i="9"/>
  <c r="MM158" i="9"/>
  <c r="MD229" i="9"/>
  <c r="MF162" i="9"/>
  <c r="MD215" i="9"/>
  <c r="MH164" i="9"/>
  <c r="MM196" i="9"/>
  <c r="MC232" i="9"/>
  <c r="MK66" i="9"/>
  <c r="MM85" i="9"/>
  <c r="ML69" i="9"/>
  <c r="MK68" i="9"/>
  <c r="MD27" i="9"/>
  <c r="MF43" i="9"/>
  <c r="MC72" i="9"/>
  <c r="MC126" i="9"/>
  <c r="MI70" i="9"/>
  <c r="MF26" i="9"/>
  <c r="ME239" i="9"/>
  <c r="MK177" i="9"/>
  <c r="MF181" i="9"/>
  <c r="MJ85" i="9"/>
  <c r="MG126" i="9"/>
  <c r="MM229" i="9"/>
  <c r="ML229" i="9"/>
  <c r="MK71" i="9"/>
  <c r="MM80" i="9"/>
  <c r="MD233" i="9"/>
  <c r="MG249" i="9"/>
  <c r="MD207" i="9"/>
  <c r="MJ42" i="9"/>
  <c r="MD76" i="9"/>
  <c r="ME37" i="9"/>
  <c r="ME252" i="9"/>
  <c r="MF218" i="9"/>
  <c r="MJ246" i="9"/>
  <c r="MG163" i="9"/>
  <c r="ME196" i="9"/>
  <c r="MD35" i="9"/>
  <c r="MM193" i="9"/>
  <c r="MF89" i="9"/>
  <c r="MF219" i="9"/>
  <c r="MG203" i="9"/>
  <c r="MK184" i="9"/>
  <c r="MI74" i="9"/>
  <c r="MF106" i="9"/>
  <c r="MJ182" i="9"/>
  <c r="MJ122" i="9"/>
  <c r="ML61" i="9"/>
  <c r="MF10" i="9"/>
  <c r="MC216" i="9"/>
  <c r="MG68" i="9"/>
  <c r="MG107" i="9"/>
  <c r="MH76" i="9"/>
  <c r="MC181" i="9"/>
  <c r="MF54" i="9"/>
  <c r="MM192" i="9"/>
  <c r="MG49" i="9"/>
  <c r="MG103" i="9"/>
  <c r="MH233" i="9"/>
  <c r="MG235" i="9"/>
  <c r="ME106" i="9"/>
  <c r="ME92" i="9"/>
  <c r="ML179" i="9"/>
  <c r="MF164" i="9"/>
  <c r="MJ197" i="9"/>
  <c r="MI217" i="9"/>
  <c r="MK49" i="9"/>
  <c r="MB39" i="9"/>
  <c r="MC253" i="9"/>
  <c r="MB192" i="9"/>
  <c r="ME229" i="9"/>
  <c r="MM178" i="9"/>
  <c r="MH232" i="9"/>
  <c r="ML127" i="9"/>
  <c r="ME206" i="9"/>
  <c r="MI169" i="9"/>
  <c r="MF27" i="9"/>
  <c r="MG19" i="9"/>
  <c r="MM54" i="9"/>
  <c r="MF118" i="9"/>
  <c r="MC249" i="9"/>
  <c r="MG205" i="9"/>
  <c r="MK217" i="9"/>
  <c r="MD63" i="9"/>
  <c r="ME20" i="9"/>
  <c r="ME234" i="9"/>
  <c r="MJ180" i="9"/>
  <c r="MI72" i="9"/>
  <c r="MM70" i="9"/>
  <c r="ML198" i="9"/>
  <c r="MD152" i="9"/>
  <c r="ML39" i="9"/>
  <c r="MH79" i="9"/>
  <c r="MK215" i="9"/>
  <c r="MK18" i="9"/>
  <c r="MC230" i="9"/>
  <c r="MG196" i="9"/>
  <c r="MD249" i="9"/>
  <c r="MF251" i="9"/>
  <c r="MM221" i="9"/>
  <c r="MG127" i="9"/>
  <c r="MF239" i="9"/>
  <c r="ML72" i="9"/>
  <c r="ML103" i="9"/>
  <c r="MJ72" i="9"/>
  <c r="MM87" i="9"/>
  <c r="MH162" i="9"/>
  <c r="MJ74" i="9"/>
  <c r="MH158" i="9"/>
  <c r="MC207" i="9"/>
  <c r="ME181" i="9"/>
  <c r="ME96" i="9"/>
  <c r="MJ96" i="9"/>
  <c r="MH89" i="9"/>
  <c r="MJ222" i="9"/>
  <c r="ME222" i="9"/>
  <c r="MH185" i="9"/>
  <c r="MF228" i="9"/>
  <c r="MM17" i="9"/>
  <c r="MH110" i="9"/>
  <c r="MJ89" i="9"/>
  <c r="MH114" i="9"/>
  <c r="ML181" i="9"/>
  <c r="MG122" i="9"/>
  <c r="MB220" i="9"/>
  <c r="MI231" i="9"/>
  <c r="MG18" i="9"/>
  <c r="MD26" i="9"/>
  <c r="ML177" i="9"/>
  <c r="MI42" i="9"/>
  <c r="MJ215" i="9"/>
  <c r="MM218" i="9"/>
  <c r="MK176" i="9"/>
  <c r="MG10" i="9"/>
  <c r="MI203" i="9"/>
  <c r="MJ218" i="9"/>
  <c r="MM109" i="9"/>
  <c r="ME54" i="9"/>
  <c r="MG152" i="9"/>
  <c r="MG155" i="9" s="1"/>
  <c r="MK192" i="9"/>
  <c r="MF161" i="9"/>
  <c r="MM206" i="9"/>
  <c r="MK38" i="9"/>
  <c r="MF163" i="9"/>
  <c r="ML230" i="9"/>
  <c r="ML108" i="9"/>
  <c r="MM233" i="9"/>
  <c r="MC79" i="9"/>
  <c r="MF231" i="9"/>
  <c r="MI27" i="9"/>
  <c r="ML234" i="9"/>
  <c r="MH176" i="9"/>
  <c r="MB118" i="9"/>
  <c r="MM209" i="9"/>
  <c r="MD258" i="9"/>
  <c r="MF213" i="9"/>
  <c r="MD182" i="9"/>
  <c r="MF72" i="9"/>
  <c r="MH163" i="9"/>
  <c r="MC179" i="9"/>
  <c r="MF109" i="9"/>
  <c r="MF253" i="9"/>
  <c r="ME258" i="9"/>
  <c r="ME259" i="9" s="1"/>
  <c r="MH258" i="9"/>
  <c r="MM214" i="9"/>
  <c r="MC78" i="9"/>
  <c r="MF185" i="9"/>
  <c r="MC197" i="9"/>
  <c r="MH181" i="9"/>
  <c r="MM216" i="9"/>
  <c r="MC246" i="9"/>
  <c r="MK212" i="9"/>
  <c r="MD178" i="9"/>
  <c r="MM164" i="9"/>
  <c r="MJ153" i="9"/>
  <c r="MM66" i="9"/>
  <c r="MD218" i="9"/>
  <c r="MF186" i="9"/>
  <c r="MF64" i="9"/>
  <c r="MC231" i="9"/>
  <c r="MC206" i="9"/>
  <c r="MC208" i="9"/>
  <c r="MC68" i="9"/>
  <c r="MJ15" i="9"/>
  <c r="MF17" i="9"/>
  <c r="MB183" i="9"/>
  <c r="MH221" i="9"/>
  <c r="ME209" i="9"/>
  <c r="MF96" i="9"/>
  <c r="MK52" i="9"/>
  <c r="MH194" i="9"/>
  <c r="ML210" i="9"/>
  <c r="MG183" i="9"/>
  <c r="MF79" i="9"/>
  <c r="MG185" i="9"/>
  <c r="MM180" i="9"/>
  <c r="MF257" i="9"/>
  <c r="MC185" i="9"/>
  <c r="MG208" i="9"/>
  <c r="MG215" i="9"/>
  <c r="MM126" i="9"/>
  <c r="MD158" i="9"/>
  <c r="MG230" i="9"/>
  <c r="MG228" i="9"/>
  <c r="ME249" i="9"/>
  <c r="MH61" i="9"/>
  <c r="MF159" i="9"/>
  <c r="MJ178" i="9"/>
  <c r="MB207" i="9"/>
  <c r="ME68" i="9"/>
  <c r="MM163" i="9"/>
  <c r="MG115" i="9"/>
  <c r="ME185" i="9"/>
  <c r="MM68" i="9"/>
  <c r="ME87" i="9"/>
  <c r="MB26" i="9"/>
  <c r="MJ67" i="9"/>
  <c r="MJ51" i="9"/>
  <c r="MH218" i="9"/>
  <c r="MD223" i="9"/>
  <c r="MK19" i="9"/>
  <c r="MI91" i="9"/>
  <c r="MB179" i="9"/>
  <c r="MB208" i="9"/>
  <c r="MG27" i="9"/>
  <c r="MC257" i="9"/>
  <c r="MK27" i="9"/>
  <c r="MH87" i="9"/>
  <c r="MC192" i="9"/>
  <c r="MG54" i="9"/>
  <c r="MH229" i="9"/>
  <c r="MD41" i="9"/>
  <c r="MH206" i="9"/>
  <c r="ML208" i="9"/>
  <c r="MC222" i="9"/>
  <c r="MG250" i="9"/>
  <c r="MK161" i="9"/>
  <c r="MD86" i="9"/>
  <c r="ML212" i="9"/>
  <c r="ME215" i="9"/>
  <c r="MI209" i="9"/>
  <c r="ML92" i="9"/>
  <c r="MJ87" i="9"/>
  <c r="MM69" i="9"/>
  <c r="MC183" i="9"/>
  <c r="MC75" i="9"/>
  <c r="MD91" i="9"/>
  <c r="MF67" i="9"/>
  <c r="MH42" i="9"/>
  <c r="ML158" i="9"/>
  <c r="ME232" i="9"/>
  <c r="ME108" i="9"/>
  <c r="MI205" i="9"/>
  <c r="MM118" i="9"/>
  <c r="ML217" i="9"/>
  <c r="MD184" i="9"/>
  <c r="MG232" i="9"/>
  <c r="MI183" i="9"/>
  <c r="MF15" i="9"/>
  <c r="MH92" i="9"/>
  <c r="MD246" i="9"/>
  <c r="ME197" i="9"/>
  <c r="MI127" i="9"/>
  <c r="MK186" i="9"/>
  <c r="MF39" i="9"/>
  <c r="MD196" i="9"/>
  <c r="MD66" i="9"/>
  <c r="MJ62" i="9"/>
  <c r="ML37" i="9"/>
  <c r="MI152" i="9"/>
  <c r="MG89" i="9"/>
  <c r="MM212" i="9"/>
  <c r="MD170" i="9"/>
  <c r="ME90" i="9"/>
  <c r="MD232" i="9"/>
  <c r="MM106" i="9"/>
  <c r="ML35" i="9"/>
  <c r="MB36" i="9"/>
  <c r="MI80" i="9"/>
  <c r="MI38" i="9"/>
  <c r="MM90" i="9"/>
  <c r="ML162" i="9"/>
  <c r="ME192" i="9"/>
  <c r="MG184" i="9"/>
  <c r="MC110" i="9"/>
  <c r="MJ108" i="9"/>
  <c r="MD211" i="9"/>
  <c r="ME159" i="9"/>
  <c r="MJ233" i="9"/>
  <c r="MK152" i="9"/>
  <c r="MK155" i="9" s="1"/>
  <c r="MD206" i="9"/>
  <c r="MG78" i="9"/>
  <c r="MH63" i="9"/>
  <c r="MD20" i="9"/>
  <c r="ML89" i="9"/>
  <c r="MC51" i="9"/>
  <c r="MF211" i="9"/>
  <c r="MC195" i="9"/>
  <c r="MH161" i="9"/>
  <c r="MJ163" i="9"/>
  <c r="ML38" i="9"/>
  <c r="ML184" i="9"/>
  <c r="MH159" i="9"/>
  <c r="MM79" i="9"/>
  <c r="MG169" i="9"/>
  <c r="MD9" i="9"/>
  <c r="MK210" i="9"/>
  <c r="MI191" i="9"/>
  <c r="MH209" i="9"/>
  <c r="ME35" i="9"/>
  <c r="MH85" i="9"/>
  <c r="MD78" i="9"/>
  <c r="MH65" i="9"/>
  <c r="MM234" i="9"/>
  <c r="MM65" i="9"/>
  <c r="MG74" i="9"/>
  <c r="MC211" i="9"/>
  <c r="MK37" i="9"/>
  <c r="MC17" i="9"/>
  <c r="MB177" i="9"/>
  <c r="MB15" i="9"/>
  <c r="MG87" i="9"/>
  <c r="MI153" i="9"/>
  <c r="MD198" i="9"/>
  <c r="ME26" i="9"/>
  <c r="MH52" i="9"/>
  <c r="MK164" i="9"/>
  <c r="MB90" i="9"/>
  <c r="ML42" i="9"/>
  <c r="MJ9" i="9"/>
  <c r="MJ12" i="9" s="1"/>
  <c r="MJ103" i="9"/>
  <c r="ML67" i="9"/>
  <c r="MK230" i="9"/>
  <c r="MH33" i="9"/>
  <c r="MB235" i="9"/>
  <c r="MI251" i="9"/>
  <c r="MJ38" i="9"/>
  <c r="MF153" i="9"/>
  <c r="MJ194" i="9"/>
  <c r="MC184" i="9"/>
  <c r="MM251" i="9"/>
  <c r="MH208" i="9"/>
  <c r="MF75" i="9"/>
  <c r="MB233" i="9"/>
  <c r="MD219" i="9"/>
  <c r="MH26" i="9"/>
  <c r="MH50" i="9"/>
  <c r="MB232" i="9"/>
  <c r="MC9" i="9"/>
  <c r="ME214" i="9"/>
  <c r="MK197" i="9"/>
  <c r="ML211" i="9"/>
  <c r="MG198" i="9"/>
  <c r="MC203" i="9"/>
  <c r="MK96" i="9"/>
  <c r="ME235" i="9"/>
  <c r="MB252" i="9"/>
  <c r="MI219" i="9"/>
  <c r="MB258" i="9"/>
  <c r="MB79" i="9"/>
  <c r="ML246" i="9"/>
  <c r="MD80" i="9"/>
  <c r="MB158" i="9"/>
  <c r="ML205" i="9"/>
  <c r="ME73" i="9"/>
  <c r="ME205" i="9"/>
  <c r="ML185" i="9"/>
  <c r="MK118" i="9"/>
  <c r="MB122" i="9"/>
  <c r="ME210" i="9"/>
  <c r="ML118" i="9"/>
  <c r="MB203" i="9"/>
  <c r="MJ170" i="9"/>
  <c r="MD106" i="9"/>
  <c r="MD16" i="9"/>
  <c r="ME204" i="9"/>
  <c r="MM231" i="9"/>
  <c r="MC204" i="9"/>
  <c r="ML85" i="9"/>
  <c r="MK103" i="9"/>
  <c r="MD48" i="9"/>
  <c r="MI207" i="9"/>
  <c r="MB60" i="9"/>
  <c r="ML70" i="9"/>
  <c r="MF49" i="9"/>
  <c r="MH246" i="9"/>
  <c r="MB106" i="9"/>
  <c r="MD65" i="9"/>
  <c r="MF193" i="9"/>
  <c r="MF158" i="9"/>
  <c r="MI229" i="9"/>
  <c r="ME233" i="9"/>
  <c r="MI85" i="9"/>
  <c r="MH182" i="9"/>
  <c r="MM37" i="9"/>
  <c r="MG35" i="9"/>
  <c r="ME126" i="9"/>
  <c r="ME107" i="9"/>
  <c r="MI37" i="9"/>
  <c r="MF197" i="9"/>
  <c r="MI180" i="9"/>
  <c r="MC220" i="9"/>
  <c r="MK218" i="9"/>
  <c r="MF203" i="9"/>
  <c r="ML183" i="9"/>
  <c r="MM60" i="9"/>
  <c r="MD118" i="9"/>
  <c r="ME67" i="9"/>
  <c r="MB43" i="9"/>
  <c r="MF126" i="9"/>
  <c r="MJ258" i="9"/>
  <c r="MG42" i="9"/>
  <c r="MK89" i="9"/>
  <c r="MC234" i="9"/>
  <c r="MG162" i="9"/>
  <c r="MH251" i="9"/>
  <c r="ME64" i="9"/>
  <c r="MD222" i="9"/>
  <c r="MC40" i="9"/>
  <c r="MM181" i="9"/>
  <c r="ML114" i="9"/>
  <c r="MH178" i="9"/>
  <c r="MD217" i="9"/>
  <c r="MC43" i="9"/>
  <c r="MC91" i="9"/>
  <c r="MI258" i="9"/>
  <c r="MH103" i="9"/>
  <c r="ML62" i="9"/>
  <c r="MG179" i="9"/>
  <c r="MC158" i="9"/>
  <c r="MD51" i="9"/>
  <c r="ME85" i="9"/>
  <c r="ME18" i="9"/>
  <c r="MC27" i="9"/>
  <c r="MB223" i="9"/>
  <c r="MD221" i="9"/>
  <c r="MK33" i="9"/>
  <c r="MH169" i="9"/>
  <c r="MM96" i="9"/>
  <c r="MB198" i="9"/>
  <c r="MJ239" i="9"/>
  <c r="MG72" i="9"/>
  <c r="MC180" i="9"/>
  <c r="ML80" i="9"/>
  <c r="MM205" i="9"/>
  <c r="MM19" i="9"/>
  <c r="MD235" i="9"/>
  <c r="MJ257" i="9"/>
  <c r="ME66" i="9"/>
  <c r="MI76" i="9"/>
  <c r="MD62" i="9"/>
  <c r="ME183" i="9"/>
  <c r="MK170" i="9"/>
  <c r="MJ126" i="9"/>
  <c r="MG63" i="9"/>
  <c r="MG178" i="9"/>
  <c r="MH170" i="9"/>
  <c r="MG53" i="9"/>
  <c r="MH210" i="9"/>
  <c r="MF192" i="9"/>
  <c r="MK35" i="9"/>
  <c r="ME10" i="9"/>
  <c r="ME91" i="9"/>
  <c r="MM159" i="9"/>
  <c r="MJ193" i="9"/>
  <c r="MD10" i="9"/>
  <c r="MD126" i="9"/>
  <c r="MK179" i="9"/>
  <c r="MH96" i="9"/>
  <c r="MF53" i="9"/>
  <c r="MM232" i="9"/>
  <c r="MF183" i="9"/>
  <c r="ME223" i="9"/>
  <c r="ME163" i="9"/>
  <c r="MM35" i="9"/>
  <c r="MF232" i="9"/>
  <c r="MI20" i="9"/>
  <c r="MC63" i="9"/>
  <c r="MI223" i="9"/>
  <c r="MM170" i="9"/>
  <c r="MK87" i="9"/>
  <c r="MH153" i="9"/>
  <c r="ML219" i="9"/>
  <c r="MF55" i="9"/>
  <c r="MG15" i="9"/>
  <c r="MF21" i="9"/>
  <c r="MB109" i="9"/>
  <c r="MJ66" i="9"/>
  <c r="MK73" i="9"/>
  <c r="MK40" i="9"/>
  <c r="MC107" i="9"/>
  <c r="MC92" i="9"/>
  <c r="MG234" i="9"/>
  <c r="MH74" i="9"/>
  <c r="ML33" i="9"/>
  <c r="ML43" i="9"/>
  <c r="MC217" i="9"/>
  <c r="MI178" i="9"/>
  <c r="MJ53" i="9"/>
  <c r="MD54" i="9"/>
  <c r="MB54" i="9"/>
  <c r="ML64" i="9"/>
  <c r="MB53" i="9"/>
  <c r="MH203" i="9"/>
  <c r="MI10" i="9"/>
  <c r="MI12" i="9" s="1"/>
  <c r="MD252" i="9"/>
  <c r="MB40" i="9"/>
  <c r="MI40" i="9"/>
  <c r="MF9" i="9"/>
  <c r="MF12" i="9" s="1"/>
  <c r="MH220" i="9"/>
  <c r="ME195" i="9"/>
  <c r="MD110" i="9"/>
  <c r="MC250" i="9"/>
  <c r="MJ230" i="9"/>
  <c r="MK252" i="9"/>
  <c r="ME70" i="9"/>
  <c r="MC90" i="9"/>
  <c r="MD108" i="9"/>
  <c r="MM250" i="9"/>
  <c r="MF230" i="9"/>
  <c r="MM185" i="9"/>
  <c r="MG91" i="9"/>
  <c r="MH16" i="9"/>
  <c r="ML252" i="9"/>
  <c r="ML49" i="9"/>
  <c r="MC62" i="9"/>
  <c r="MM115" i="9"/>
  <c r="MF214" i="9"/>
  <c r="MG246" i="9"/>
  <c r="MF74" i="9"/>
  <c r="MI177" i="9"/>
  <c r="MI192" i="9"/>
  <c r="MD69" i="9"/>
  <c r="MF71" i="9"/>
  <c r="MG51" i="9"/>
  <c r="MJ210" i="9"/>
  <c r="MH20" i="9"/>
  <c r="MC164" i="9"/>
  <c r="MH54" i="9"/>
  <c r="MI250" i="9"/>
  <c r="MB114" i="9"/>
  <c r="MJ39" i="9"/>
  <c r="MI233" i="9"/>
  <c r="MI26" i="9"/>
  <c r="MJ69" i="9"/>
  <c r="MM52" i="9"/>
  <c r="MD176" i="9"/>
  <c r="MF37" i="9"/>
  <c r="MF169" i="9"/>
  <c r="MG160" i="9"/>
  <c r="MG79" i="9"/>
  <c r="MF177" i="9"/>
  <c r="MJ50" i="9"/>
  <c r="MK183" i="9"/>
  <c r="MF208" i="9"/>
  <c r="MF160" i="9"/>
  <c r="ML213" i="9"/>
  <c r="MF33" i="9"/>
  <c r="MM258" i="9"/>
  <c r="MM259" i="9" s="1"/>
  <c r="MH207" i="9"/>
  <c r="ME250" i="9"/>
  <c r="MI51" i="9"/>
  <c r="MB170" i="9"/>
  <c r="MB172" i="9" s="1"/>
  <c r="MG217" i="9"/>
  <c r="MM179" i="9"/>
  <c r="MF209" i="9"/>
  <c r="MK74" i="9"/>
  <c r="MD193" i="9"/>
  <c r="MK250" i="9"/>
  <c r="ME110" i="9"/>
  <c r="MJ214" i="9"/>
  <c r="MB17" i="9"/>
  <c r="ME109" i="9"/>
  <c r="ML221" i="9"/>
  <c r="ML153" i="9"/>
  <c r="MG180" i="9"/>
  <c r="MK91" i="9"/>
  <c r="MF205" i="9"/>
  <c r="MC178" i="9"/>
  <c r="MG206" i="9"/>
  <c r="MM10" i="9"/>
  <c r="ME39" i="9"/>
  <c r="MG109" i="9"/>
  <c r="MB186" i="9"/>
  <c r="MG233" i="9"/>
  <c r="ME43" i="9"/>
  <c r="MK10" i="9"/>
  <c r="MM77" i="9"/>
  <c r="ML249" i="9"/>
  <c r="ML214" i="9"/>
  <c r="MC52" i="9"/>
  <c r="ML216" i="9"/>
  <c r="ME77" i="9"/>
  <c r="MD203" i="9"/>
  <c r="ML207" i="9"/>
  <c r="MK54" i="9"/>
  <c r="MI220" i="9"/>
  <c r="MJ169" i="9"/>
  <c r="MF252" i="9"/>
  <c r="MK26" i="9"/>
  <c r="MK29" i="9" s="1"/>
  <c r="MD75" i="9"/>
  <c r="MD40" i="9"/>
  <c r="MK229" i="9"/>
  <c r="MC35" i="9"/>
  <c r="MH195" i="9"/>
  <c r="ML15" i="9"/>
  <c r="MB153" i="9"/>
  <c r="MD33" i="9"/>
  <c r="ML223" i="9"/>
  <c r="MF103" i="9"/>
  <c r="ML231" i="9"/>
  <c r="MG9" i="9"/>
  <c r="MG12" i="9" s="1"/>
  <c r="ML10" i="9"/>
  <c r="ML239" i="9"/>
  <c r="MF127" i="9"/>
  <c r="MF122" i="9"/>
  <c r="MJ203" i="9"/>
  <c r="ML197" i="9"/>
  <c r="MK193" i="9"/>
  <c r="ML193" i="9"/>
  <c r="MK205" i="9"/>
  <c r="MM16" i="9"/>
  <c r="ME122" i="9"/>
  <c r="ME21" i="9"/>
  <c r="MH17" i="9"/>
  <c r="MB115" i="9"/>
  <c r="ML215" i="9"/>
  <c r="MG176" i="9"/>
  <c r="MG40" i="9"/>
  <c r="MD72" i="9"/>
  <c r="MM122" i="9"/>
  <c r="MC196" i="9"/>
  <c r="MF215" i="9"/>
  <c r="MG52" i="9"/>
  <c r="MG159" i="9"/>
  <c r="MH70" i="9"/>
  <c r="MD230" i="9"/>
  <c r="MM89" i="9"/>
  <c r="MI216" i="9"/>
  <c r="MH215" i="9"/>
  <c r="MB239" i="9"/>
  <c r="MJ68" i="9"/>
  <c r="ML178" i="9"/>
  <c r="MH9" i="9"/>
  <c r="MH12" i="9" s="1"/>
  <c r="MI193" i="9"/>
  <c r="MK107" i="9"/>
  <c r="MC153" i="9"/>
  <c r="ME79" i="9"/>
  <c r="MH252" i="9"/>
  <c r="ML196" i="9"/>
  <c r="MJ106" i="9"/>
  <c r="MB251" i="9"/>
  <c r="MI206" i="9"/>
  <c r="MK67" i="9"/>
  <c r="MI108" i="9"/>
  <c r="MK108" i="9"/>
  <c r="ME9" i="9"/>
  <c r="ME217" i="9"/>
  <c r="MD169" i="9"/>
  <c r="MD172" i="9" s="1"/>
  <c r="MD92" i="9"/>
  <c r="MB19" i="9"/>
  <c r="MB216" i="9"/>
  <c r="MB210" i="9"/>
  <c r="MD61" i="9"/>
  <c r="MH205" i="9"/>
  <c r="MG39" i="9"/>
  <c r="MC221" i="9"/>
  <c r="ME246" i="9"/>
  <c r="MF88" i="9"/>
  <c r="MJ159" i="9"/>
  <c r="MI96" i="9"/>
  <c r="MI53" i="9"/>
  <c r="MM230" i="9"/>
  <c r="MH222" i="9"/>
  <c r="ME230" i="9"/>
  <c r="MB49" i="9"/>
  <c r="MH183" i="9"/>
  <c r="MK159" i="9"/>
  <c r="ML250" i="9"/>
  <c r="MM49" i="9"/>
  <c r="MH109" i="9"/>
  <c r="ME55" i="9"/>
  <c r="MF194" i="9"/>
  <c r="MF221" i="9"/>
  <c r="MH39" i="9"/>
  <c r="ML152" i="9"/>
  <c r="MC169" i="9"/>
  <c r="ME228" i="9"/>
  <c r="MF246" i="9"/>
  <c r="MC76" i="9"/>
  <c r="ML232" i="9"/>
  <c r="ME164" i="9"/>
  <c r="MK20" i="9"/>
  <c r="MJ152" i="9"/>
  <c r="MG191" i="9"/>
  <c r="MB65" i="9"/>
  <c r="MF115" i="9"/>
  <c r="MF207" i="9"/>
  <c r="MJ216" i="9"/>
  <c r="MB75" i="9"/>
  <c r="MF114" i="9"/>
  <c r="MF76" i="9"/>
  <c r="ME15" i="9"/>
  <c r="ME198" i="9"/>
  <c r="ML228" i="9"/>
  <c r="MM72" i="9"/>
  <c r="MM63" i="9"/>
  <c r="MH55" i="9"/>
  <c r="MI213" i="9"/>
  <c r="MI162" i="9"/>
  <c r="MC60" i="9"/>
  <c r="MM246" i="9"/>
  <c r="ME115" i="9"/>
  <c r="ME116" i="9" s="1"/>
  <c r="MM34" i="9"/>
  <c r="MH41" i="9"/>
  <c r="ML20" i="9"/>
  <c r="MB41" i="9"/>
  <c r="MI103" i="9"/>
  <c r="MF51" i="9"/>
  <c r="MM153" i="9"/>
  <c r="MB73" i="9"/>
  <c r="MD186" i="9"/>
  <c r="MD55" i="9"/>
  <c r="MG211" i="9"/>
  <c r="MM222" i="9"/>
  <c r="MF41" i="9"/>
  <c r="MJ208" i="9"/>
  <c r="MD220" i="9"/>
  <c r="MD17" i="9"/>
  <c r="MH72" i="9"/>
  <c r="MC176" i="9"/>
  <c r="MM184" i="9"/>
  <c r="ME213" i="9"/>
  <c r="ME207" i="9"/>
  <c r="MK85" i="9"/>
  <c r="ML209" i="9"/>
  <c r="ME203" i="9"/>
  <c r="MG170" i="9"/>
  <c r="MM92" i="9"/>
  <c r="MB110" i="9"/>
  <c r="MD88" i="9"/>
  <c r="MC55" i="9"/>
  <c r="MD209" i="9"/>
  <c r="ML235" i="9"/>
  <c r="MG210" i="9"/>
  <c r="MC163" i="9"/>
  <c r="MG209" i="9"/>
  <c r="MG252" i="9"/>
  <c r="MK191" i="9"/>
  <c r="ME161" i="9"/>
  <c r="MM152" i="9"/>
  <c r="MF258" i="9"/>
  <c r="MD183" i="9"/>
  <c r="MM239" i="9"/>
  <c r="MC89" i="9"/>
  <c r="MF35" i="9"/>
  <c r="MF233" i="9"/>
  <c r="MH186" i="9"/>
  <c r="ME34" i="9"/>
  <c r="ML206" i="9"/>
  <c r="MF191" i="9"/>
  <c r="MF40" i="9"/>
  <c r="MJ192" i="9"/>
  <c r="MB205" i="9"/>
  <c r="MM74" i="9"/>
  <c r="MC209" i="9"/>
  <c r="MC182" i="9"/>
  <c r="MI182" i="9"/>
  <c r="MH106" i="9"/>
  <c r="MH88" i="9"/>
  <c r="MC239" i="9"/>
  <c r="MH118" i="9"/>
  <c r="MD213" i="9"/>
  <c r="ML88" i="9"/>
  <c r="ML194" i="9"/>
  <c r="MC96" i="9"/>
  <c r="MG195" i="9"/>
  <c r="MB221" i="9"/>
  <c r="ML251" i="9"/>
  <c r="MH73" i="9"/>
  <c r="ML36" i="9"/>
  <c r="MC212" i="9"/>
  <c r="MC36" i="9"/>
  <c r="MC118" i="9"/>
  <c r="MC49" i="9"/>
  <c r="MH53" i="9"/>
  <c r="MD85" i="9"/>
  <c r="MJ207" i="9"/>
  <c r="MG41" i="9"/>
  <c r="MG76" i="9"/>
  <c r="MH180" i="9"/>
  <c r="MH211" i="9"/>
  <c r="MJ49" i="9"/>
  <c r="MI170" i="9"/>
  <c r="MH126" i="9"/>
  <c r="MG88" i="9"/>
  <c r="MB74" i="9"/>
  <c r="MD239" i="9"/>
  <c r="MI107" i="9"/>
  <c r="ME19" i="9"/>
  <c r="MD251" i="9"/>
  <c r="MC229" i="9"/>
  <c r="MC205" i="9"/>
  <c r="ML233" i="9"/>
  <c r="MC80" i="9"/>
  <c r="MH231" i="9"/>
  <c r="MG216" i="9"/>
  <c r="MM183" i="9"/>
  <c r="ML220" i="9"/>
  <c r="MH122" i="9"/>
  <c r="MH37" i="9"/>
  <c r="MH43" i="9"/>
  <c r="MJ35" i="9"/>
  <c r="MG71" i="9"/>
  <c r="MH257" i="9"/>
  <c r="MC41" i="9"/>
  <c r="MH107" i="9"/>
  <c r="MG220" i="9"/>
  <c r="ML170" i="9"/>
  <c r="MI106" i="9"/>
  <c r="MK9" i="9"/>
  <c r="MG38" i="9"/>
  <c r="MM42" i="9"/>
  <c r="MD64" i="9"/>
  <c r="MK235" i="9"/>
  <c r="MD74" i="9"/>
  <c r="MD77" i="9"/>
  <c r="MC34" i="9"/>
  <c r="MG213" i="9"/>
  <c r="ME176" i="9"/>
  <c r="MH191" i="9"/>
  <c r="MH68" i="9"/>
  <c r="ML159" i="9"/>
  <c r="MF77" i="9"/>
  <c r="MH253" i="9"/>
  <c r="ML27" i="9"/>
  <c r="ML29" i="9" s="1"/>
  <c r="MC16" i="9"/>
  <c r="MC127" i="9"/>
  <c r="MH75" i="9"/>
  <c r="ME50" i="9"/>
  <c r="ML91" i="9"/>
  <c r="MC122" i="9"/>
  <c r="MG161" i="9"/>
  <c r="ML192" i="9"/>
  <c r="MD153" i="9"/>
  <c r="MC259" i="9" l="1"/>
  <c r="MJ259" i="9"/>
  <c r="MC116" i="9"/>
  <c r="MH259" i="9"/>
  <c r="MC112" i="9"/>
  <c r="MI116" i="9"/>
  <c r="MJ172" i="9"/>
  <c r="MH29" i="9"/>
  <c r="MH116" i="9"/>
  <c r="MH172" i="9"/>
  <c r="MF94" i="9"/>
  <c r="MM29" i="9"/>
  <c r="MJ57" i="9"/>
  <c r="MN230" i="9"/>
  <c r="MC172" i="9"/>
  <c r="MB237" i="9"/>
  <c r="ML116" i="9"/>
  <c r="MG45" i="9"/>
  <c r="MN77" i="9"/>
  <c r="MN182" i="9"/>
  <c r="MN160" i="9"/>
  <c r="MB57" i="9"/>
  <c r="MN50" i="9"/>
  <c r="MN164" i="9"/>
  <c r="MN62" i="9"/>
  <c r="MB200" i="9"/>
  <c r="MF172" i="9"/>
  <c r="MN228" i="9"/>
  <c r="MN197" i="9"/>
  <c r="MJ200" i="9"/>
  <c r="MN180" i="9"/>
  <c r="MN229" i="9"/>
  <c r="MN16" i="9"/>
  <c r="MN250" i="9"/>
  <c r="MN249" i="9"/>
  <c r="ME172" i="9"/>
  <c r="MN69" i="9"/>
  <c r="MN194" i="9"/>
  <c r="MD166" i="9"/>
  <c r="MN215" i="9"/>
  <c r="MD94" i="9"/>
  <c r="MM155" i="9"/>
  <c r="ME23" i="9"/>
  <c r="MN153" i="9"/>
  <c r="MD188" i="9"/>
  <c r="MH23" i="9"/>
  <c r="MN195" i="9"/>
  <c r="MI237" i="9"/>
  <c r="ML94" i="9"/>
  <c r="MF23" i="9"/>
  <c r="MN222" i="9"/>
  <c r="MN179" i="9"/>
  <c r="MN18" i="9"/>
  <c r="MD155" i="9"/>
  <c r="MK57" i="9"/>
  <c r="MJ82" i="9"/>
  <c r="MK255" i="9"/>
  <c r="MN67" i="9"/>
  <c r="MN66" i="9"/>
  <c r="MI166" i="9"/>
  <c r="ML12" i="9"/>
  <c r="MI82" i="9"/>
  <c r="MN70" i="9"/>
  <c r="MN162" i="9"/>
  <c r="ML23" i="9"/>
  <c r="MD225" i="9"/>
  <c r="MN71" i="9"/>
  <c r="MN178" i="9"/>
  <c r="MN10" i="9"/>
  <c r="MN234" i="9"/>
  <c r="MF166" i="9"/>
  <c r="MN204" i="9"/>
  <c r="MD12" i="9"/>
  <c r="MN20" i="9"/>
  <c r="MI155" i="9"/>
  <c r="MN185" i="9"/>
  <c r="MN161" i="9"/>
  <c r="MB45" i="9"/>
  <c r="MM23" i="9"/>
  <c r="MC200" i="9"/>
  <c r="MC201" i="9" s="1"/>
  <c r="MI255" i="9"/>
  <c r="MN80" i="9"/>
  <c r="MN38" i="9"/>
  <c r="MN61" i="9"/>
  <c r="MD200" i="9"/>
  <c r="MM188" i="9"/>
  <c r="MK12" i="9"/>
  <c r="MN74" i="9"/>
  <c r="MC57" i="9"/>
  <c r="MC58" i="9" s="1"/>
  <c r="MF200" i="9"/>
  <c r="MF116" i="9"/>
  <c r="MN217" i="9"/>
  <c r="MN91" i="9"/>
  <c r="MG82" i="9"/>
  <c r="MH57" i="9"/>
  <c r="MN209" i="9"/>
  <c r="MJ166" i="9"/>
  <c r="MN76" i="9"/>
  <c r="MK82" i="9"/>
  <c r="ME237" i="9"/>
  <c r="MD82" i="9"/>
  <c r="MN35" i="9"/>
  <c r="MN184" i="9"/>
  <c r="MJ188" i="9"/>
  <c r="MN37" i="9"/>
  <c r="MN159" i="9"/>
  <c r="MN219" i="9"/>
  <c r="MI57" i="9"/>
  <c r="MJ237" i="9"/>
  <c r="MN64" i="9"/>
  <c r="MH200" i="9"/>
  <c r="MK94" i="9"/>
  <c r="MJ112" i="9"/>
  <c r="MK237" i="9"/>
  <c r="MI188" i="9"/>
  <c r="MN246" i="9"/>
  <c r="MN126" i="9"/>
  <c r="MN87" i="9"/>
  <c r="MN152" i="9"/>
  <c r="MN63" i="9"/>
  <c r="MN212" i="9"/>
  <c r="ML155" i="9"/>
  <c r="MN115" i="9"/>
  <c r="MN27" i="9"/>
  <c r="MH82" i="9"/>
  <c r="MN72" i="9"/>
  <c r="MN218" i="9"/>
  <c r="MN86" i="9"/>
  <c r="MD29" i="9"/>
  <c r="MF57" i="9"/>
  <c r="MC12" i="9"/>
  <c r="ME29" i="9"/>
  <c r="ME57" i="9"/>
  <c r="MN193" i="9"/>
  <c r="ML188" i="9"/>
  <c r="MK225" i="9"/>
  <c r="ML200" i="9"/>
  <c r="MK200" i="9"/>
  <c r="ME225" i="9"/>
  <c r="MN239" i="9"/>
  <c r="MJ225" i="9"/>
  <c r="MG23" i="9"/>
  <c r="MK45" i="9"/>
  <c r="MG172" i="9"/>
  <c r="MN207" i="9"/>
  <c r="MF259" i="9"/>
  <c r="MN220" i="9"/>
  <c r="MF29" i="9"/>
  <c r="ML82" i="9"/>
  <c r="MG112" i="9"/>
  <c r="MI45" i="9"/>
  <c r="MN21" i="9"/>
  <c r="ME45" i="9"/>
  <c r="MN42" i="9"/>
  <c r="MG57" i="9"/>
  <c r="MB188" i="9"/>
  <c r="MI112" i="9"/>
  <c r="MN75" i="9"/>
  <c r="MN49" i="9"/>
  <c r="MN251" i="9"/>
  <c r="MG188" i="9"/>
  <c r="MI29" i="9"/>
  <c r="MN90" i="9"/>
  <c r="MJ23" i="9"/>
  <c r="MI172" i="9"/>
  <c r="MG255" i="9"/>
  <c r="ME200" i="9"/>
  <c r="MN181" i="9"/>
  <c r="MC23" i="9"/>
  <c r="MD23" i="9"/>
  <c r="MG29" i="9"/>
  <c r="MN9" i="9"/>
  <c r="MN89" i="9"/>
  <c r="MN214" i="9"/>
  <c r="MN108" i="9"/>
  <c r="MG166" i="9"/>
  <c r="MN48" i="9"/>
  <c r="MC82" i="9"/>
  <c r="MC83" i="9" s="1"/>
  <c r="MN210" i="9"/>
  <c r="MN40" i="9"/>
  <c r="ML45" i="9"/>
  <c r="MN223" i="9"/>
  <c r="MN106" i="9"/>
  <c r="MB112" i="9"/>
  <c r="MN158" i="9"/>
  <c r="MB166" i="9"/>
  <c r="MI225" i="9"/>
  <c r="MD237" i="9"/>
  <c r="MC45" i="9"/>
  <c r="MC46" i="9" s="1"/>
  <c r="MN103" i="9"/>
  <c r="MH237" i="9"/>
  <c r="MN55" i="9"/>
  <c r="ML259" i="9"/>
  <c r="MM57" i="9"/>
  <c r="MM200" i="9"/>
  <c r="MN191" i="9"/>
  <c r="MG225" i="9"/>
  <c r="MN216" i="9"/>
  <c r="MD112" i="9"/>
  <c r="MN36" i="9"/>
  <c r="MD255" i="9"/>
  <c r="MN231" i="9"/>
  <c r="MK112" i="9"/>
  <c r="MI23" i="9"/>
  <c r="ME82" i="9"/>
  <c r="MB155" i="9"/>
  <c r="MN176" i="9"/>
  <c r="MH112" i="9"/>
  <c r="MN73" i="9"/>
  <c r="MN19" i="9"/>
  <c r="ML255" i="9"/>
  <c r="MB116" i="9"/>
  <c r="MN114" i="9"/>
  <c r="MN43" i="9"/>
  <c r="ME255" i="9"/>
  <c r="MK188" i="9"/>
  <c r="MH166" i="9"/>
  <c r="ME112" i="9"/>
  <c r="MM166" i="9"/>
  <c r="MK166" i="9"/>
  <c r="MM237" i="9"/>
  <c r="MN196" i="9"/>
  <c r="ML57" i="9"/>
  <c r="MC94" i="9"/>
  <c r="MN253" i="9"/>
  <c r="ME155" i="9"/>
  <c r="ML172" i="9"/>
  <c r="MM225" i="9"/>
  <c r="MC225" i="9"/>
  <c r="MN211" i="9"/>
  <c r="ME188" i="9"/>
  <c r="MN65" i="9"/>
  <c r="MH225" i="9"/>
  <c r="ME94" i="9"/>
  <c r="MB225" i="9"/>
  <c r="MN203" i="9"/>
  <c r="MN79" i="9"/>
  <c r="MN232" i="9"/>
  <c r="MM112" i="9"/>
  <c r="MN26" i="9"/>
  <c r="MB29" i="9"/>
  <c r="MG237" i="9"/>
  <c r="MM172" i="9"/>
  <c r="MF82" i="9"/>
  <c r="MF155" i="9"/>
  <c r="MJ255" i="9"/>
  <c r="MN257" i="9"/>
  <c r="MN169" i="9"/>
  <c r="MN183" i="9"/>
  <c r="MC188" i="9"/>
  <c r="MG200" i="9"/>
  <c r="MN170" i="9"/>
  <c r="MN53" i="9"/>
  <c r="MB82" i="9"/>
  <c r="MN60" i="9"/>
  <c r="MN258" i="9"/>
  <c r="MN235" i="9"/>
  <c r="MH94" i="9"/>
  <c r="MH155" i="9"/>
  <c r="ML112" i="9"/>
  <c r="MG94" i="9"/>
  <c r="MC155" i="9"/>
  <c r="MB94" i="9"/>
  <c r="MN85" i="9"/>
  <c r="MN51" i="9"/>
  <c r="MJ45" i="9"/>
  <c r="MM116" i="9"/>
  <c r="MC29" i="9"/>
  <c r="MN52" i="9"/>
  <c r="MN96" i="9"/>
  <c r="MK172" i="9"/>
  <c r="MD259" i="9"/>
  <c r="MB255" i="9"/>
  <c r="MB259" i="9"/>
  <c r="E3" i="8" s="1"/>
  <c r="MF45" i="9"/>
  <c r="MN34" i="9"/>
  <c r="MN221" i="9"/>
  <c r="MJ155" i="9"/>
  <c r="MC166" i="9"/>
  <c r="MM82" i="9"/>
  <c r="MH45" i="9"/>
  <c r="ML166" i="9"/>
  <c r="MF237" i="9"/>
  <c r="MN192" i="9"/>
  <c r="MM45" i="9"/>
  <c r="MN206" i="9"/>
  <c r="MN78" i="9"/>
  <c r="MI259" i="9"/>
  <c r="MN107" i="9"/>
  <c r="ME166" i="9"/>
  <c r="MM12" i="9"/>
  <c r="MF255" i="9"/>
  <c r="MN109" i="9"/>
  <c r="MN33" i="9"/>
  <c r="MN41" i="9"/>
  <c r="ML237" i="9"/>
  <c r="ME12" i="9"/>
  <c r="MN54" i="9"/>
  <c r="MI94" i="9"/>
  <c r="MD57" i="9"/>
  <c r="MN122" i="9"/>
  <c r="MN252" i="9"/>
  <c r="MN15" i="9"/>
  <c r="MB23" i="9"/>
  <c r="MN118" i="9"/>
  <c r="MC255" i="9"/>
  <c r="MF112" i="9"/>
  <c r="MJ94" i="9"/>
  <c r="MM94" i="9"/>
  <c r="MN92" i="9"/>
  <c r="MN163" i="9"/>
  <c r="MK23" i="9"/>
  <c r="MH255" i="9"/>
  <c r="MC237" i="9"/>
  <c r="MG116" i="9"/>
  <c r="ML225" i="9"/>
  <c r="MN205" i="9"/>
  <c r="MN110" i="9"/>
  <c r="MD45" i="9"/>
  <c r="MN186" i="9"/>
  <c r="MN17" i="9"/>
  <c r="MN198" i="9"/>
  <c r="MF225" i="9"/>
  <c r="MN233" i="9"/>
  <c r="MN177" i="9"/>
  <c r="MI200" i="9"/>
  <c r="MN208" i="9"/>
  <c r="MH188" i="9"/>
  <c r="MN39" i="9"/>
  <c r="MN88" i="9"/>
  <c r="MN68" i="9"/>
  <c r="MN213" i="9"/>
  <c r="MF188" i="9"/>
  <c r="MM255" i="9"/>
  <c r="MN127" i="9"/>
  <c r="MB98" i="9" l="1"/>
  <c r="MJ241" i="9"/>
  <c r="MD98" i="9"/>
  <c r="MD100" i="9" s="1"/>
  <c r="MD120" i="9" s="1"/>
  <c r="MD124" i="9" s="1"/>
  <c r="MI98" i="9"/>
  <c r="MN155" i="9"/>
  <c r="MM98" i="9"/>
  <c r="MM100" i="9" s="1"/>
  <c r="MM120" i="9" s="1"/>
  <c r="MN237" i="9"/>
  <c r="MG98" i="9"/>
  <c r="MD241" i="9"/>
  <c r="MD243" i="9" s="1"/>
  <c r="MH241" i="9"/>
  <c r="MH243" i="9" s="1"/>
  <c r="MG241" i="9"/>
  <c r="MG243" i="9" s="1"/>
  <c r="ML98" i="9"/>
  <c r="ML100" i="9" s="1"/>
  <c r="ML120" i="9" s="1"/>
  <c r="ML133" i="9" s="1"/>
  <c r="MN12" i="9"/>
  <c r="MK98" i="9"/>
  <c r="MK100" i="9" s="1"/>
  <c r="MK120" i="9" s="1"/>
  <c r="MK124" i="9" s="1"/>
  <c r="MB241" i="9"/>
  <c r="MF241" i="9"/>
  <c r="MF243" i="9" s="1"/>
  <c r="MF98" i="9"/>
  <c r="MF100" i="9" s="1"/>
  <c r="MF120" i="9" s="1"/>
  <c r="MF133" i="9" s="1"/>
  <c r="MK241" i="9"/>
  <c r="MK243" i="9" s="1"/>
  <c r="MJ98" i="9"/>
  <c r="MJ100" i="9" s="1"/>
  <c r="MJ120" i="9" s="1"/>
  <c r="MJ134" i="9" s="1"/>
  <c r="MN29" i="9"/>
  <c r="ML241" i="9"/>
  <c r="ML243" i="9" s="1"/>
  <c r="MI100" i="9"/>
  <c r="MI120" i="9" s="1"/>
  <c r="MI133" i="9" s="1"/>
  <c r="MG100" i="9"/>
  <c r="MG120" i="9" s="1"/>
  <c r="MG133" i="9" s="1"/>
  <c r="MB100" i="9"/>
  <c r="MB120" i="9" s="1"/>
  <c r="MB133" i="9" s="1"/>
  <c r="MN172" i="9"/>
  <c r="MN116" i="9"/>
  <c r="MH98" i="9"/>
  <c r="MH100" i="9" s="1"/>
  <c r="MH120" i="9" s="1"/>
  <c r="MH133" i="9" s="1"/>
  <c r="MC241" i="9"/>
  <c r="MN255" i="9"/>
  <c r="ME98" i="9"/>
  <c r="ME100" i="9" s="1"/>
  <c r="ME120" i="9" s="1"/>
  <c r="MI241" i="9"/>
  <c r="MI243" i="9" s="1"/>
  <c r="MC98" i="9"/>
  <c r="MC99" i="9" s="1"/>
  <c r="MD99" i="9" s="1"/>
  <c r="MC100" i="9"/>
  <c r="MC120" i="9" s="1"/>
  <c r="MC124" i="9" s="1"/>
  <c r="MM241" i="9"/>
  <c r="MM243" i="9" s="1"/>
  <c r="ME241" i="9"/>
  <c r="ME243" i="9" s="1"/>
  <c r="MD133" i="9"/>
  <c r="MJ243" i="9"/>
  <c r="MN166" i="9"/>
  <c r="MC243" i="9"/>
  <c r="MN200" i="9"/>
  <c r="MN112" i="9"/>
  <c r="MN225" i="9"/>
  <c r="MN188" i="9"/>
  <c r="MN82" i="9"/>
  <c r="MN45" i="9"/>
  <c r="MB243" i="9"/>
  <c r="MN23" i="9"/>
  <c r="MN94" i="9"/>
  <c r="MN259" i="9"/>
  <c r="MN57" i="9"/>
  <c r="MJ124" i="9" l="1"/>
  <c r="MJ133" i="9"/>
  <c r="ML124" i="9"/>
  <c r="MD134" i="9"/>
  <c r="ML134" i="9"/>
  <c r="MH124" i="9"/>
  <c r="MH129" i="9" s="1"/>
  <c r="MC242" i="9"/>
  <c r="MD242" i="9" s="1"/>
  <c r="MH134" i="9"/>
  <c r="MB124" i="9"/>
  <c r="MB132" i="9" s="1"/>
  <c r="MB134" i="9"/>
  <c r="MG134" i="9"/>
  <c r="MF134" i="9"/>
  <c r="MC134" i="9"/>
  <c r="MI134" i="9"/>
  <c r="MN98" i="9"/>
  <c r="MN100" i="9" s="1"/>
  <c r="MN120" i="9" s="1"/>
  <c r="MN133" i="9" s="1"/>
  <c r="MN241" i="9"/>
  <c r="MN243" i="9" s="1"/>
  <c r="MG124" i="9"/>
  <c r="MG132" i="9" s="1"/>
  <c r="MK133" i="9"/>
  <c r="MF124" i="9"/>
  <c r="MF129" i="9" s="1"/>
  <c r="MC133" i="9"/>
  <c r="MI124" i="9"/>
  <c r="MI129" i="9" s="1"/>
  <c r="MK134" i="9"/>
  <c r="ML132" i="9"/>
  <c r="ML129" i="9"/>
  <c r="MD129" i="9"/>
  <c r="MD132" i="9"/>
  <c r="MJ132" i="9"/>
  <c r="MJ129" i="9"/>
  <c r="ME133" i="9"/>
  <c r="ME124" i="9"/>
  <c r="ME134" i="9"/>
  <c r="MK132" i="9"/>
  <c r="MK129" i="9"/>
  <c r="MI132" i="9"/>
  <c r="MM124" i="9"/>
  <c r="MM133" i="9"/>
  <c r="MM134" i="9"/>
  <c r="MC129" i="9"/>
  <c r="MC132" i="9"/>
  <c r="MH132" i="9" l="1"/>
  <c r="MB129" i="9"/>
  <c r="MF132" i="9"/>
  <c r="MG129" i="9"/>
  <c r="MN134" i="9"/>
  <c r="MN124" i="9"/>
  <c r="MM132" i="9"/>
  <c r="MM129" i="9"/>
  <c r="ME132" i="9"/>
  <c r="ME129" i="9"/>
  <c r="MN129" i="9"/>
  <c r="MN132" i="9"/>
  <c r="C4" i="8" l="1"/>
  <c r="AA167" i="1" l="1"/>
  <c r="D167" i="1"/>
  <c r="W166" i="1"/>
  <c r="V166" i="1"/>
  <c r="O166" i="1"/>
  <c r="N166" i="1"/>
  <c r="G166" i="1"/>
  <c r="F166" i="1"/>
  <c r="U164" i="1"/>
  <c r="M164" i="1"/>
  <c r="E164" i="1"/>
  <c r="U160" i="1"/>
  <c r="N160" i="1"/>
  <c r="N168" i="1" s="1"/>
  <c r="AA159" i="1"/>
  <c r="X159" i="1"/>
  <c r="X167" i="1" s="1"/>
  <c r="P159" i="1"/>
  <c r="P167" i="1" s="1"/>
  <c r="H159" i="1"/>
  <c r="H167" i="1" s="1"/>
  <c r="AC158" i="1"/>
  <c r="AB158" i="1"/>
  <c r="AB166" i="1" s="1"/>
  <c r="AA158" i="1"/>
  <c r="AA166" i="1" s="1"/>
  <c r="Z158" i="1"/>
  <c r="Z166" i="1" s="1"/>
  <c r="Y158" i="1"/>
  <c r="Y166" i="1" s="1"/>
  <c r="X158" i="1"/>
  <c r="X166" i="1" s="1"/>
  <c r="W158" i="1"/>
  <c r="V158" i="1"/>
  <c r="U158" i="1"/>
  <c r="T158" i="1"/>
  <c r="T166" i="1" s="1"/>
  <c r="S158" i="1"/>
  <c r="S166" i="1" s="1"/>
  <c r="R158" i="1"/>
  <c r="R166" i="1" s="1"/>
  <c r="Q158" i="1"/>
  <c r="Q166" i="1" s="1"/>
  <c r="P158" i="1"/>
  <c r="P166" i="1" s="1"/>
  <c r="O158" i="1"/>
  <c r="N158" i="1"/>
  <c r="M158" i="1"/>
  <c r="L158" i="1"/>
  <c r="L166" i="1" s="1"/>
  <c r="K158" i="1"/>
  <c r="K166" i="1" s="1"/>
  <c r="J158" i="1"/>
  <c r="J166" i="1" s="1"/>
  <c r="I158" i="1"/>
  <c r="I166" i="1" s="1"/>
  <c r="H158" i="1"/>
  <c r="H166" i="1" s="1"/>
  <c r="G158" i="1"/>
  <c r="F158" i="1"/>
  <c r="E158" i="1"/>
  <c r="D158" i="1"/>
  <c r="D166" i="1" s="1"/>
  <c r="AC156" i="1"/>
  <c r="AB156" i="1"/>
  <c r="AA156" i="1"/>
  <c r="Z156" i="1"/>
  <c r="Z164" i="1" s="1"/>
  <c r="Y156" i="1"/>
  <c r="Y164" i="1" s="1"/>
  <c r="X156" i="1"/>
  <c r="X164" i="1" s="1"/>
  <c r="W156" i="1"/>
  <c r="W164" i="1" s="1"/>
  <c r="V156" i="1"/>
  <c r="V164" i="1" s="1"/>
  <c r="U156" i="1"/>
  <c r="T156" i="1"/>
  <c r="S156" i="1"/>
  <c r="R156" i="1"/>
  <c r="R164" i="1" s="1"/>
  <c r="Q156" i="1"/>
  <c r="Q164" i="1" s="1"/>
  <c r="P156" i="1"/>
  <c r="P164" i="1" s="1"/>
  <c r="O156" i="1"/>
  <c r="O164" i="1" s="1"/>
  <c r="N156" i="1"/>
  <c r="N164" i="1" s="1"/>
  <c r="M156" i="1"/>
  <c r="L156" i="1"/>
  <c r="K156" i="1"/>
  <c r="J156" i="1"/>
  <c r="J164" i="1" s="1"/>
  <c r="I156" i="1"/>
  <c r="I164" i="1" s="1"/>
  <c r="H156" i="1"/>
  <c r="H164" i="1" s="1"/>
  <c r="G156" i="1"/>
  <c r="G164" i="1" s="1"/>
  <c r="F156" i="1"/>
  <c r="F164" i="1" s="1"/>
  <c r="E156" i="1"/>
  <c r="D156" i="1"/>
  <c r="AC155" i="1"/>
  <c r="AC164" i="1" s="1"/>
  <c r="AB155" i="1"/>
  <c r="AA155" i="1"/>
  <c r="AA164" i="1" s="1"/>
  <c r="Z155" i="1"/>
  <c r="Y155" i="1"/>
  <c r="X155" i="1"/>
  <c r="W155" i="1"/>
  <c r="V155" i="1"/>
  <c r="U155" i="1"/>
  <c r="T155" i="1"/>
  <c r="S155" i="1"/>
  <c r="S164" i="1" s="1"/>
  <c r="R155" i="1"/>
  <c r="Q155" i="1"/>
  <c r="P155" i="1"/>
  <c r="O155" i="1"/>
  <c r="N155" i="1"/>
  <c r="M155" i="1"/>
  <c r="L155" i="1"/>
  <c r="K155" i="1"/>
  <c r="K164" i="1" s="1"/>
  <c r="J155" i="1"/>
  <c r="I155" i="1"/>
  <c r="H155" i="1"/>
  <c r="G155" i="1"/>
  <c r="F155" i="1"/>
  <c r="E155" i="1"/>
  <c r="D155" i="1"/>
  <c r="AD154" i="1"/>
  <c r="V149" i="1"/>
  <c r="AD146" i="1"/>
  <c r="C146" i="1"/>
  <c r="AC160" i="1"/>
  <c r="AC168" i="1" s="1"/>
  <c r="AB160" i="1"/>
  <c r="AB168" i="1" s="1"/>
  <c r="AA160" i="1"/>
  <c r="AA168" i="1" s="1"/>
  <c r="Z160" i="1"/>
  <c r="Z168" i="1" s="1"/>
  <c r="Y160" i="1"/>
  <c r="Y168" i="1" s="1"/>
  <c r="X160" i="1"/>
  <c r="X168" i="1" s="1"/>
  <c r="W160" i="1"/>
  <c r="W168" i="1" s="1"/>
  <c r="V160" i="1"/>
  <c r="V168" i="1" s="1"/>
  <c r="T160" i="1"/>
  <c r="T168" i="1" s="1"/>
  <c r="S160" i="1"/>
  <c r="S168" i="1" s="1"/>
  <c r="R160" i="1"/>
  <c r="R168" i="1" s="1"/>
  <c r="Q160" i="1"/>
  <c r="Q168" i="1" s="1"/>
  <c r="P160" i="1"/>
  <c r="P168" i="1" s="1"/>
  <c r="O160" i="1"/>
  <c r="O168" i="1" s="1"/>
  <c r="M160" i="1"/>
  <c r="L160" i="1"/>
  <c r="L168" i="1" s="1"/>
  <c r="K160" i="1"/>
  <c r="K168" i="1" s="1"/>
  <c r="J160" i="1"/>
  <c r="J168" i="1" s="1"/>
  <c r="I160" i="1"/>
  <c r="I168" i="1" s="1"/>
  <c r="H160" i="1"/>
  <c r="H168" i="1" s="1"/>
  <c r="G160" i="1"/>
  <c r="G168" i="1" s="1"/>
  <c r="F160" i="1"/>
  <c r="F168" i="1" s="1"/>
  <c r="E160" i="1"/>
  <c r="E168" i="1" s="1"/>
  <c r="C143" i="1"/>
  <c r="C140" i="1"/>
  <c r="AD139" i="1"/>
  <c r="C139" i="1"/>
  <c r="C138" i="1"/>
  <c r="AD137" i="1"/>
  <c r="C137" i="1"/>
  <c r="AD136" i="1"/>
  <c r="C136" i="1"/>
  <c r="AD135" i="1"/>
  <c r="C135" i="1"/>
  <c r="AC134" i="1"/>
  <c r="AC159" i="1" s="1"/>
  <c r="AC167" i="1" s="1"/>
  <c r="AB134" i="1"/>
  <c r="AB159" i="1" s="1"/>
  <c r="AB167" i="1" s="1"/>
  <c r="Z134" i="1"/>
  <c r="Z159" i="1" s="1"/>
  <c r="Z167" i="1" s="1"/>
  <c r="Y134" i="1"/>
  <c r="Y159" i="1" s="1"/>
  <c r="Y167" i="1" s="1"/>
  <c r="X134" i="1"/>
  <c r="W134" i="1"/>
  <c r="W159" i="1" s="1"/>
  <c r="W167" i="1" s="1"/>
  <c r="V134" i="1"/>
  <c r="V159" i="1" s="1"/>
  <c r="V167" i="1" s="1"/>
  <c r="U134" i="1"/>
  <c r="U159" i="1" s="1"/>
  <c r="U167" i="1" s="1"/>
  <c r="T134" i="1"/>
  <c r="T159" i="1" s="1"/>
  <c r="T167" i="1" s="1"/>
  <c r="S134" i="1"/>
  <c r="S159" i="1" s="1"/>
  <c r="S167" i="1" s="1"/>
  <c r="R134" i="1"/>
  <c r="R159" i="1" s="1"/>
  <c r="R167" i="1" s="1"/>
  <c r="Q134" i="1"/>
  <c r="Q159" i="1" s="1"/>
  <c r="Q167" i="1" s="1"/>
  <c r="P134" i="1"/>
  <c r="O134" i="1"/>
  <c r="O159" i="1" s="1"/>
  <c r="O167" i="1" s="1"/>
  <c r="N134" i="1"/>
  <c r="N159" i="1" s="1"/>
  <c r="N167" i="1" s="1"/>
  <c r="M134" i="1"/>
  <c r="M159" i="1" s="1"/>
  <c r="M167" i="1" s="1"/>
  <c r="L134" i="1"/>
  <c r="L159" i="1" s="1"/>
  <c r="L167" i="1" s="1"/>
  <c r="K134" i="1"/>
  <c r="K159" i="1" s="1"/>
  <c r="K167" i="1" s="1"/>
  <c r="J134" i="1"/>
  <c r="J159" i="1" s="1"/>
  <c r="J167" i="1" s="1"/>
  <c r="I134" i="1"/>
  <c r="I159" i="1" s="1"/>
  <c r="I167" i="1" s="1"/>
  <c r="H134" i="1"/>
  <c r="G134" i="1"/>
  <c r="G159" i="1" s="1"/>
  <c r="G167" i="1" s="1"/>
  <c r="F134" i="1"/>
  <c r="F159" i="1" s="1"/>
  <c r="F167" i="1" s="1"/>
  <c r="E134" i="1"/>
  <c r="E159" i="1" s="1"/>
  <c r="E167" i="1" s="1"/>
  <c r="D134" i="1"/>
  <c r="D159" i="1" s="1"/>
  <c r="C134" i="1"/>
  <c r="AD133" i="1"/>
  <c r="C133" i="1"/>
  <c r="AD132" i="1"/>
  <c r="C132" i="1"/>
  <c r="AD131" i="1"/>
  <c r="C131" i="1"/>
  <c r="AD130" i="1"/>
  <c r="C130" i="1"/>
  <c r="AD129" i="1"/>
  <c r="C129" i="1"/>
  <c r="AD128" i="1"/>
  <c r="C128" i="1"/>
  <c r="AD127" i="1"/>
  <c r="C127" i="1"/>
  <c r="AD126" i="1"/>
  <c r="C126" i="1"/>
  <c r="AD125" i="1"/>
  <c r="C125" i="1"/>
  <c r="AD124" i="1"/>
  <c r="C124" i="1"/>
  <c r="AD123" i="1"/>
  <c r="C123" i="1"/>
  <c r="AD122" i="1"/>
  <c r="C122" i="1"/>
  <c r="AD121" i="1"/>
  <c r="C121" i="1"/>
  <c r="AD118" i="1"/>
  <c r="C118" i="1"/>
  <c r="AD117" i="1"/>
  <c r="C117" i="1"/>
  <c r="AD116" i="1"/>
  <c r="C116" i="1"/>
  <c r="AD115" i="1"/>
  <c r="C115" i="1"/>
  <c r="AD114" i="1"/>
  <c r="C114" i="1"/>
  <c r="AD113" i="1"/>
  <c r="C113" i="1"/>
  <c r="AD112" i="1"/>
  <c r="C112" i="1"/>
  <c r="AC157" i="1"/>
  <c r="AC165" i="1" s="1"/>
  <c r="AB157" i="1"/>
  <c r="AB165" i="1" s="1"/>
  <c r="AA157" i="1"/>
  <c r="AA165" i="1" s="1"/>
  <c r="Z157" i="1"/>
  <c r="Z165" i="1" s="1"/>
  <c r="Y157" i="1"/>
  <c r="Y165" i="1" s="1"/>
  <c r="X157" i="1"/>
  <c r="X165" i="1" s="1"/>
  <c r="W157" i="1"/>
  <c r="W165" i="1" s="1"/>
  <c r="V157" i="1"/>
  <c r="U157" i="1"/>
  <c r="U165" i="1" s="1"/>
  <c r="T157" i="1"/>
  <c r="T165" i="1" s="1"/>
  <c r="S157" i="1"/>
  <c r="S165" i="1" s="1"/>
  <c r="R157" i="1"/>
  <c r="R165" i="1" s="1"/>
  <c r="Q157" i="1"/>
  <c r="Q165" i="1" s="1"/>
  <c r="P157" i="1"/>
  <c r="P165" i="1" s="1"/>
  <c r="O157" i="1"/>
  <c r="O165" i="1" s="1"/>
  <c r="N157" i="1"/>
  <c r="M157" i="1"/>
  <c r="M165" i="1" s="1"/>
  <c r="L157" i="1"/>
  <c r="L165" i="1" s="1"/>
  <c r="K157" i="1"/>
  <c r="K165" i="1" s="1"/>
  <c r="J157" i="1"/>
  <c r="J165" i="1" s="1"/>
  <c r="I157" i="1"/>
  <c r="I165" i="1" s="1"/>
  <c r="H157" i="1"/>
  <c r="H165" i="1" s="1"/>
  <c r="G157" i="1"/>
  <c r="G165" i="1" s="1"/>
  <c r="E157" i="1"/>
  <c r="E165" i="1" s="1"/>
  <c r="D157" i="1"/>
  <c r="D165" i="1" s="1"/>
  <c r="C111" i="1"/>
  <c r="AD108" i="1"/>
  <c r="AD107" i="1"/>
  <c r="C107" i="1"/>
  <c r="AD106" i="1"/>
  <c r="C106" i="1"/>
  <c r="AD105" i="1"/>
  <c r="C105" i="1"/>
  <c r="AD104" i="1"/>
  <c r="C104" i="1"/>
  <c r="AD103" i="1"/>
  <c r="C103" i="1"/>
  <c r="AD102" i="1"/>
  <c r="C102" i="1"/>
  <c r="AD101" i="1"/>
  <c r="AD109" i="1" s="1"/>
  <c r="C101" i="1"/>
  <c r="P91" i="1"/>
  <c r="H91" i="1"/>
  <c r="O90" i="1"/>
  <c r="W89" i="1"/>
  <c r="P89" i="1"/>
  <c r="O89" i="1"/>
  <c r="W87" i="1"/>
  <c r="G87" i="1"/>
  <c r="Z83" i="1"/>
  <c r="Z91" i="1" s="1"/>
  <c r="Y83" i="1"/>
  <c r="Y91" i="1" s="1"/>
  <c r="X83" i="1"/>
  <c r="X91" i="1" s="1"/>
  <c r="W83" i="1"/>
  <c r="V83" i="1"/>
  <c r="V91" i="1" s="1"/>
  <c r="U83" i="1"/>
  <c r="U91" i="1" s="1"/>
  <c r="T83" i="1"/>
  <c r="T91" i="1" s="1"/>
  <c r="S83" i="1"/>
  <c r="S91" i="1" s="1"/>
  <c r="R83" i="1"/>
  <c r="R91" i="1" s="1"/>
  <c r="Q83" i="1"/>
  <c r="Q91" i="1" s="1"/>
  <c r="P83" i="1"/>
  <c r="O83" i="1"/>
  <c r="O91" i="1" s="1"/>
  <c r="N83" i="1"/>
  <c r="N91" i="1" s="1"/>
  <c r="M83" i="1"/>
  <c r="M91" i="1" s="1"/>
  <c r="L83" i="1"/>
  <c r="L91" i="1" s="1"/>
  <c r="K83" i="1"/>
  <c r="K91" i="1" s="1"/>
  <c r="J83" i="1"/>
  <c r="J91" i="1" s="1"/>
  <c r="I83" i="1"/>
  <c r="I91" i="1" s="1"/>
  <c r="H83" i="1"/>
  <c r="G83" i="1"/>
  <c r="G91" i="1" s="1"/>
  <c r="F83" i="1"/>
  <c r="F91" i="1" s="1"/>
  <c r="E83" i="1"/>
  <c r="D83" i="1"/>
  <c r="D91" i="1" s="1"/>
  <c r="X82" i="1"/>
  <c r="X90" i="1" s="1"/>
  <c r="W82" i="1"/>
  <c r="P82" i="1"/>
  <c r="P90" i="1" s="1"/>
  <c r="O82" i="1"/>
  <c r="G82" i="1"/>
  <c r="G90" i="1" s="1"/>
  <c r="Z81" i="1"/>
  <c r="Z89" i="1" s="1"/>
  <c r="Y81" i="1"/>
  <c r="Y89" i="1" s="1"/>
  <c r="X81" i="1"/>
  <c r="X89" i="1" s="1"/>
  <c r="W81" i="1"/>
  <c r="V81" i="1"/>
  <c r="V89" i="1" s="1"/>
  <c r="U81" i="1"/>
  <c r="U89" i="1" s="1"/>
  <c r="T81" i="1"/>
  <c r="T89" i="1" s="1"/>
  <c r="S81" i="1"/>
  <c r="S89" i="1" s="1"/>
  <c r="R81" i="1"/>
  <c r="R89" i="1" s="1"/>
  <c r="Q81" i="1"/>
  <c r="Q89" i="1" s="1"/>
  <c r="P81" i="1"/>
  <c r="O81" i="1"/>
  <c r="N81" i="1"/>
  <c r="N89" i="1" s="1"/>
  <c r="M81" i="1"/>
  <c r="M89" i="1" s="1"/>
  <c r="L81" i="1"/>
  <c r="L89" i="1" s="1"/>
  <c r="K81" i="1"/>
  <c r="K89" i="1" s="1"/>
  <c r="J81" i="1"/>
  <c r="J89" i="1" s="1"/>
  <c r="I81" i="1"/>
  <c r="I89" i="1" s="1"/>
  <c r="H81" i="1"/>
  <c r="H89" i="1" s="1"/>
  <c r="G81" i="1"/>
  <c r="F81" i="1"/>
  <c r="F89" i="1" s="1"/>
  <c r="E81" i="1"/>
  <c r="D81" i="1"/>
  <c r="D89" i="1" s="1"/>
  <c r="Z79" i="1"/>
  <c r="Z87" i="1" s="1"/>
  <c r="Y79" i="1"/>
  <c r="Y87" i="1" s="1"/>
  <c r="X79" i="1"/>
  <c r="X87" i="1" s="1"/>
  <c r="W79" i="1"/>
  <c r="V79" i="1"/>
  <c r="V87" i="1" s="1"/>
  <c r="U79" i="1"/>
  <c r="U87" i="1" s="1"/>
  <c r="T79" i="1"/>
  <c r="T87" i="1" s="1"/>
  <c r="S79" i="1"/>
  <c r="S87" i="1" s="1"/>
  <c r="R79" i="1"/>
  <c r="R87" i="1" s="1"/>
  <c r="Q79" i="1"/>
  <c r="Q87" i="1" s="1"/>
  <c r="P79" i="1"/>
  <c r="P87" i="1" s="1"/>
  <c r="O79" i="1"/>
  <c r="O87" i="1" s="1"/>
  <c r="N79" i="1"/>
  <c r="N87" i="1" s="1"/>
  <c r="M79" i="1"/>
  <c r="M87" i="1" s="1"/>
  <c r="L79" i="1"/>
  <c r="L87" i="1" s="1"/>
  <c r="K79" i="1"/>
  <c r="K87" i="1" s="1"/>
  <c r="J79" i="1"/>
  <c r="J87" i="1" s="1"/>
  <c r="I79" i="1"/>
  <c r="I87" i="1" s="1"/>
  <c r="H79" i="1"/>
  <c r="H87" i="1" s="1"/>
  <c r="G79" i="1"/>
  <c r="F79" i="1"/>
  <c r="F87" i="1" s="1"/>
  <c r="E79" i="1"/>
  <c r="D79" i="1"/>
  <c r="D87" i="1" s="1"/>
  <c r="Z78" i="1"/>
  <c r="Y78" i="1"/>
  <c r="X78" i="1"/>
  <c r="W78" i="1"/>
  <c r="V78" i="1"/>
  <c r="U78" i="1"/>
  <c r="T78" i="1"/>
  <c r="S78" i="1"/>
  <c r="S92" i="1" s="1"/>
  <c r="R78" i="1"/>
  <c r="Q78" i="1"/>
  <c r="P78" i="1"/>
  <c r="O78" i="1"/>
  <c r="N78" i="1"/>
  <c r="M78" i="1"/>
  <c r="L78" i="1"/>
  <c r="K78" i="1"/>
  <c r="K92" i="1" s="1"/>
  <c r="J78" i="1"/>
  <c r="I78" i="1"/>
  <c r="H78" i="1"/>
  <c r="G78" i="1"/>
  <c r="F78" i="1"/>
  <c r="E78" i="1"/>
  <c r="D78" i="1"/>
  <c r="AD77" i="1"/>
  <c r="AC72" i="1"/>
  <c r="AB72" i="1"/>
  <c r="AA72" i="1"/>
  <c r="AA74" i="1" s="1"/>
  <c r="K72" i="1"/>
  <c r="K73" i="1" s="1"/>
  <c r="E72" i="1"/>
  <c r="E74" i="1" s="1"/>
  <c r="AD69" i="1"/>
  <c r="AD68" i="1"/>
  <c r="AD67" i="1"/>
  <c r="AD66" i="1"/>
  <c r="AD65" i="1"/>
  <c r="AD64" i="1"/>
  <c r="AD63" i="1"/>
  <c r="AD62" i="1"/>
  <c r="AD70" i="1" s="1"/>
  <c r="AD60" i="1"/>
  <c r="AD59" i="1"/>
  <c r="AD58" i="1"/>
  <c r="AD57" i="1"/>
  <c r="AD56" i="1"/>
  <c r="AD55" i="1"/>
  <c r="AD52" i="1"/>
  <c r="AD51" i="1"/>
  <c r="AD50" i="1"/>
  <c r="AD49" i="1"/>
  <c r="AD48" i="1"/>
  <c r="AD47" i="1"/>
  <c r="AD46" i="1"/>
  <c r="Z45" i="1"/>
  <c r="Z82" i="1" s="1"/>
  <c r="Z90" i="1" s="1"/>
  <c r="Y45" i="1"/>
  <c r="Y82" i="1" s="1"/>
  <c r="Y90" i="1" s="1"/>
  <c r="X45" i="1"/>
  <c r="W45" i="1"/>
  <c r="V45" i="1"/>
  <c r="V82" i="1" s="1"/>
  <c r="V90" i="1" s="1"/>
  <c r="U45" i="1"/>
  <c r="U82" i="1" s="1"/>
  <c r="U90" i="1" s="1"/>
  <c r="T45" i="1"/>
  <c r="T82" i="1" s="1"/>
  <c r="T90" i="1" s="1"/>
  <c r="S45" i="1"/>
  <c r="S82" i="1" s="1"/>
  <c r="S90" i="1" s="1"/>
  <c r="R45" i="1"/>
  <c r="R82" i="1" s="1"/>
  <c r="R90" i="1" s="1"/>
  <c r="Q45" i="1"/>
  <c r="Q82" i="1" s="1"/>
  <c r="Q90" i="1" s="1"/>
  <c r="P45" i="1"/>
  <c r="O45" i="1"/>
  <c r="N45" i="1"/>
  <c r="N82" i="1" s="1"/>
  <c r="N90" i="1" s="1"/>
  <c r="M45" i="1"/>
  <c r="M82" i="1" s="1"/>
  <c r="M90" i="1" s="1"/>
  <c r="L45" i="1"/>
  <c r="L82" i="1" s="1"/>
  <c r="L90" i="1" s="1"/>
  <c r="K45" i="1"/>
  <c r="K82" i="1" s="1"/>
  <c r="K90" i="1" s="1"/>
  <c r="J45" i="1"/>
  <c r="J82" i="1" s="1"/>
  <c r="J90" i="1" s="1"/>
  <c r="I45" i="1"/>
  <c r="I82" i="1" s="1"/>
  <c r="I90" i="1" s="1"/>
  <c r="H45" i="1"/>
  <c r="H82" i="1" s="1"/>
  <c r="H90" i="1" s="1"/>
  <c r="G45" i="1"/>
  <c r="F45" i="1"/>
  <c r="F82" i="1" s="1"/>
  <c r="F90" i="1" s="1"/>
  <c r="E45" i="1"/>
  <c r="E82" i="1" s="1"/>
  <c r="D45" i="1"/>
  <c r="AD45" i="1" s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53" i="1" s="1"/>
  <c r="AD28" i="1"/>
  <c r="AD27" i="1"/>
  <c r="AD26" i="1"/>
  <c r="AD25" i="1"/>
  <c r="AD24" i="1"/>
  <c r="AD23" i="1"/>
  <c r="AD22" i="1"/>
  <c r="Z80" i="1"/>
  <c r="Z88" i="1" s="1"/>
  <c r="Y80" i="1"/>
  <c r="Y88" i="1" s="1"/>
  <c r="X80" i="1"/>
  <c r="X88" i="1" s="1"/>
  <c r="W80" i="1"/>
  <c r="W88" i="1" s="1"/>
  <c r="V80" i="1"/>
  <c r="V88" i="1" s="1"/>
  <c r="U80" i="1"/>
  <c r="U88" i="1" s="1"/>
  <c r="T72" i="1"/>
  <c r="S80" i="1"/>
  <c r="S88" i="1" s="1"/>
  <c r="R80" i="1"/>
  <c r="R88" i="1" s="1"/>
  <c r="Q80" i="1"/>
  <c r="Q88" i="1" s="1"/>
  <c r="P80" i="1"/>
  <c r="P88" i="1" s="1"/>
  <c r="O72" i="1"/>
  <c r="N80" i="1"/>
  <c r="N88" i="1" s="1"/>
  <c r="M80" i="1"/>
  <c r="M88" i="1" s="1"/>
  <c r="L72" i="1"/>
  <c r="K80" i="1"/>
  <c r="K88" i="1" s="1"/>
  <c r="J80" i="1"/>
  <c r="J88" i="1" s="1"/>
  <c r="I80" i="1"/>
  <c r="I88" i="1" s="1"/>
  <c r="H80" i="1"/>
  <c r="G80" i="1"/>
  <c r="G88" i="1" s="1"/>
  <c r="F80" i="1"/>
  <c r="F88" i="1" s="1"/>
  <c r="E80" i="1"/>
  <c r="D72" i="1"/>
  <c r="AD18" i="1"/>
  <c r="AD17" i="1"/>
  <c r="AD16" i="1"/>
  <c r="AD15" i="1"/>
  <c r="AD14" i="1"/>
  <c r="AD13" i="1"/>
  <c r="AD12" i="1"/>
  <c r="AD11" i="1"/>
  <c r="AD10" i="1"/>
  <c r="AD9" i="1"/>
  <c r="AD8" i="1"/>
  <c r="AD78" i="1" s="1"/>
  <c r="Y2" i="1"/>
  <c r="X2" i="1"/>
  <c r="W2" i="1"/>
  <c r="U2" i="1"/>
  <c r="S2" i="1"/>
  <c r="R2" i="1"/>
  <c r="O2" i="1"/>
  <c r="N2" i="1"/>
  <c r="J2" i="1"/>
  <c r="E2" i="1"/>
  <c r="M72" i="1" l="1"/>
  <c r="M73" i="1" s="1"/>
  <c r="E92" i="1"/>
  <c r="M92" i="1"/>
  <c r="U92" i="1"/>
  <c r="S72" i="1"/>
  <c r="S73" i="1" s="1"/>
  <c r="L80" i="1"/>
  <c r="L88" i="1" s="1"/>
  <c r="U72" i="1"/>
  <c r="U73" i="1" s="1"/>
  <c r="AD111" i="1"/>
  <c r="AD157" i="1" s="1"/>
  <c r="AD165" i="1" s="1"/>
  <c r="H169" i="1"/>
  <c r="P169" i="1"/>
  <c r="X169" i="1"/>
  <c r="F157" i="1"/>
  <c r="F165" i="1" s="1"/>
  <c r="D80" i="1"/>
  <c r="D88" i="1" s="1"/>
  <c r="F149" i="1"/>
  <c r="F163" i="1" s="1"/>
  <c r="N165" i="1"/>
  <c r="N169" i="1"/>
  <c r="D74" i="1"/>
  <c r="D86" i="1"/>
  <c r="D84" i="1"/>
  <c r="D73" i="1"/>
  <c r="L74" i="1"/>
  <c r="L84" i="1"/>
  <c r="L73" i="1"/>
  <c r="L86" i="1"/>
  <c r="T74" i="1"/>
  <c r="T86" i="1"/>
  <c r="T84" i="1"/>
  <c r="T73" i="1"/>
  <c r="V165" i="1"/>
  <c r="V169" i="1"/>
  <c r="O74" i="1"/>
  <c r="O73" i="1"/>
  <c r="O86" i="1"/>
  <c r="O84" i="1"/>
  <c r="H92" i="1"/>
  <c r="H88" i="1"/>
  <c r="G92" i="1"/>
  <c r="W92" i="1"/>
  <c r="AD21" i="1"/>
  <c r="AD29" i="1" s="1"/>
  <c r="E90" i="1"/>
  <c r="F72" i="1"/>
  <c r="N72" i="1"/>
  <c r="V72" i="1"/>
  <c r="F92" i="1"/>
  <c r="N92" i="1"/>
  <c r="V92" i="1"/>
  <c r="O80" i="1"/>
  <c r="W90" i="1"/>
  <c r="P92" i="1"/>
  <c r="F151" i="1"/>
  <c r="F161" i="1"/>
  <c r="F150" i="1"/>
  <c r="G169" i="1"/>
  <c r="O169" i="1"/>
  <c r="W169" i="1"/>
  <c r="E86" i="1"/>
  <c r="E84" i="1"/>
  <c r="AA73" i="1"/>
  <c r="G72" i="1"/>
  <c r="W72" i="1"/>
  <c r="W91" i="1"/>
  <c r="G149" i="1"/>
  <c r="E88" i="1"/>
  <c r="H72" i="1"/>
  <c r="P72" i="1"/>
  <c r="X72" i="1"/>
  <c r="E73" i="1"/>
  <c r="T80" i="1"/>
  <c r="T88" i="1" s="1"/>
  <c r="N149" i="1"/>
  <c r="I169" i="1"/>
  <c r="Q169" i="1"/>
  <c r="Y169" i="1"/>
  <c r="U84" i="1"/>
  <c r="U74" i="1"/>
  <c r="AD19" i="1"/>
  <c r="G89" i="1"/>
  <c r="I72" i="1"/>
  <c r="Q72" i="1"/>
  <c r="Y72" i="1"/>
  <c r="I92" i="1"/>
  <c r="Q92" i="1"/>
  <c r="Y92" i="1"/>
  <c r="X92" i="1"/>
  <c r="O149" i="1"/>
  <c r="J169" i="1"/>
  <c r="R169" i="1"/>
  <c r="Z169" i="1"/>
  <c r="M168" i="1"/>
  <c r="J72" i="1"/>
  <c r="R72" i="1"/>
  <c r="Z72" i="1"/>
  <c r="J92" i="1"/>
  <c r="R92" i="1"/>
  <c r="Z92" i="1"/>
  <c r="D82" i="1"/>
  <c r="D90" i="1" s="1"/>
  <c r="D160" i="1"/>
  <c r="D168" i="1" s="1"/>
  <c r="AD143" i="1"/>
  <c r="V163" i="1"/>
  <c r="V151" i="1"/>
  <c r="V161" i="1"/>
  <c r="V150" i="1"/>
  <c r="AD159" i="1"/>
  <c r="AD167" i="1" s="1"/>
  <c r="F169" i="1"/>
  <c r="S86" i="1"/>
  <c r="S84" i="1"/>
  <c r="S74" i="1"/>
  <c r="AD83" i="1"/>
  <c r="AD91" i="1" s="1"/>
  <c r="W149" i="1"/>
  <c r="D164" i="1"/>
  <c r="L164" i="1"/>
  <c r="L169" i="1"/>
  <c r="T164" i="1"/>
  <c r="T169" i="1"/>
  <c r="AB164" i="1"/>
  <c r="AB169" i="1"/>
  <c r="U168" i="1"/>
  <c r="E87" i="1"/>
  <c r="E89" i="1"/>
  <c r="E91" i="1"/>
  <c r="AD141" i="1"/>
  <c r="E169" i="1"/>
  <c r="E166" i="1"/>
  <c r="M169" i="1"/>
  <c r="M166" i="1"/>
  <c r="U169" i="1"/>
  <c r="U166" i="1"/>
  <c r="AC169" i="1"/>
  <c r="AC166" i="1"/>
  <c r="K86" i="1"/>
  <c r="K84" i="1"/>
  <c r="K74" i="1"/>
  <c r="M86" i="1"/>
  <c r="M84" i="1"/>
  <c r="M74" i="1"/>
  <c r="H149" i="1"/>
  <c r="P149" i="1"/>
  <c r="X149" i="1"/>
  <c r="AD155" i="1"/>
  <c r="I149" i="1"/>
  <c r="Q149" i="1"/>
  <c r="Y149" i="1"/>
  <c r="AD158" i="1"/>
  <c r="AD166" i="1" s="1"/>
  <c r="AD79" i="1"/>
  <c r="AD87" i="1" s="1"/>
  <c r="AD80" i="1"/>
  <c r="AD88" i="1" s="1"/>
  <c r="AD81" i="1"/>
  <c r="AD89" i="1" s="1"/>
  <c r="AD82" i="1"/>
  <c r="AD90" i="1" s="1"/>
  <c r="AD134" i="1"/>
  <c r="J149" i="1"/>
  <c r="R149" i="1"/>
  <c r="Z149" i="1"/>
  <c r="K149" i="1"/>
  <c r="S149" i="1"/>
  <c r="AA149" i="1"/>
  <c r="AD156" i="1"/>
  <c r="AD164" i="1" s="1"/>
  <c r="D149" i="1"/>
  <c r="L149" i="1"/>
  <c r="T149" i="1"/>
  <c r="AB149" i="1"/>
  <c r="K169" i="1"/>
  <c r="S169" i="1"/>
  <c r="AA169" i="1"/>
  <c r="E149" i="1"/>
  <c r="M149" i="1"/>
  <c r="U149" i="1"/>
  <c r="AC149" i="1"/>
  <c r="AD160" i="1" l="1"/>
  <c r="AD168" i="1" s="1"/>
  <c r="U86" i="1"/>
  <c r="AD119" i="1"/>
  <c r="AD149" i="1" s="1"/>
  <c r="AD151" i="1" s="1"/>
  <c r="L92" i="1"/>
  <c r="AD92" i="1"/>
  <c r="D169" i="1"/>
  <c r="AD72" i="1"/>
  <c r="AD73" i="1" s="1"/>
  <c r="AD163" i="1"/>
  <c r="AD150" i="1"/>
  <c r="L163" i="1"/>
  <c r="L151" i="1"/>
  <c r="L161" i="1"/>
  <c r="L150" i="1"/>
  <c r="M163" i="1"/>
  <c r="M151" i="1"/>
  <c r="M161" i="1"/>
  <c r="M150" i="1"/>
  <c r="D163" i="1"/>
  <c r="D151" i="1"/>
  <c r="D161" i="1"/>
  <c r="D150" i="1"/>
  <c r="I161" i="1"/>
  <c r="I150" i="1"/>
  <c r="I163" i="1"/>
  <c r="I151" i="1"/>
  <c r="W163" i="1"/>
  <c r="W151" i="1"/>
  <c r="W161" i="1"/>
  <c r="W150" i="1"/>
  <c r="O163" i="1"/>
  <c r="O151" i="1"/>
  <c r="O161" i="1"/>
  <c r="O150" i="1"/>
  <c r="N163" i="1"/>
  <c r="N151" i="1"/>
  <c r="N161" i="1"/>
  <c r="N150" i="1"/>
  <c r="T92" i="1"/>
  <c r="D92" i="1"/>
  <c r="E163" i="1"/>
  <c r="E151" i="1"/>
  <c r="E161" i="1"/>
  <c r="E150" i="1"/>
  <c r="AD169" i="1"/>
  <c r="Z86" i="1"/>
  <c r="Z84" i="1"/>
  <c r="Z73" i="1"/>
  <c r="Z74" i="1"/>
  <c r="O92" i="1"/>
  <c r="O88" i="1"/>
  <c r="AA163" i="1"/>
  <c r="AA151" i="1"/>
  <c r="AA150" i="1"/>
  <c r="AA161" i="1"/>
  <c r="X161" i="1"/>
  <c r="X150" i="1"/>
  <c r="X163" i="1"/>
  <c r="X151" i="1"/>
  <c r="R86" i="1"/>
  <c r="R84" i="1"/>
  <c r="R73" i="1"/>
  <c r="R74" i="1"/>
  <c r="W86" i="1"/>
  <c r="W73" i="1"/>
  <c r="W84" i="1"/>
  <c r="W74" i="1"/>
  <c r="J161" i="1"/>
  <c r="J150" i="1"/>
  <c r="J163" i="1"/>
  <c r="J151" i="1"/>
  <c r="F86" i="1"/>
  <c r="F84" i="1"/>
  <c r="F73" i="1"/>
  <c r="F74" i="1"/>
  <c r="S163" i="1"/>
  <c r="S151" i="1"/>
  <c r="S161" i="1"/>
  <c r="S150" i="1"/>
  <c r="P161" i="1"/>
  <c r="P150" i="1"/>
  <c r="P163" i="1"/>
  <c r="P151" i="1"/>
  <c r="J86" i="1"/>
  <c r="J84" i="1"/>
  <c r="J74" i="1"/>
  <c r="J73" i="1"/>
  <c r="X74" i="1"/>
  <c r="X86" i="1"/>
  <c r="X84" i="1"/>
  <c r="X73" i="1"/>
  <c r="G86" i="1"/>
  <c r="G84" i="1"/>
  <c r="G73" i="1"/>
  <c r="G74" i="1"/>
  <c r="K163" i="1"/>
  <c r="K151" i="1"/>
  <c r="K161" i="1"/>
  <c r="K150" i="1"/>
  <c r="H161" i="1"/>
  <c r="H150" i="1"/>
  <c r="H151" i="1"/>
  <c r="H163" i="1"/>
  <c r="P74" i="1"/>
  <c r="P84" i="1"/>
  <c r="P86" i="1"/>
  <c r="P73" i="1"/>
  <c r="Q161" i="1"/>
  <c r="Q150" i="1"/>
  <c r="Q163" i="1"/>
  <c r="Q151" i="1"/>
  <c r="AB163" i="1"/>
  <c r="AB151" i="1"/>
  <c r="AB161" i="1"/>
  <c r="AB150" i="1"/>
  <c r="Z161" i="1"/>
  <c r="Z150" i="1"/>
  <c r="Z163" i="1"/>
  <c r="Z151" i="1"/>
  <c r="Y73" i="1"/>
  <c r="Y86" i="1"/>
  <c r="Y84" i="1"/>
  <c r="Y74" i="1"/>
  <c r="H74" i="1"/>
  <c r="H86" i="1"/>
  <c r="H84" i="1"/>
  <c r="H73" i="1"/>
  <c r="V86" i="1"/>
  <c r="V84" i="1"/>
  <c r="V73" i="1"/>
  <c r="V74" i="1"/>
  <c r="U163" i="1"/>
  <c r="U151" i="1"/>
  <c r="U161" i="1"/>
  <c r="U150" i="1"/>
  <c r="I86" i="1"/>
  <c r="I84" i="1"/>
  <c r="I73" i="1"/>
  <c r="I74" i="1"/>
  <c r="G163" i="1"/>
  <c r="G151" i="1"/>
  <c r="G161" i="1"/>
  <c r="G150" i="1"/>
  <c r="AC163" i="1"/>
  <c r="AC151" i="1"/>
  <c r="AC161" i="1"/>
  <c r="AC150" i="1"/>
  <c r="T163" i="1"/>
  <c r="T151" i="1"/>
  <c r="T161" i="1"/>
  <c r="T150" i="1"/>
  <c r="R161" i="1"/>
  <c r="R150" i="1"/>
  <c r="R163" i="1"/>
  <c r="R151" i="1"/>
  <c r="Y161" i="1"/>
  <c r="Y150" i="1"/>
  <c r="Y163" i="1"/>
  <c r="Y151" i="1"/>
  <c r="Q86" i="1"/>
  <c r="Q84" i="1"/>
  <c r="Q74" i="1"/>
  <c r="Q73" i="1"/>
  <c r="N86" i="1"/>
  <c r="N84" i="1"/>
  <c r="N73" i="1"/>
  <c r="N74" i="1"/>
  <c r="AD74" i="1" l="1"/>
  <c r="AD84" i="1"/>
  <c r="AD86" i="1"/>
  <c r="AD16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<sst xmlns="http://schemas.openxmlformats.org/spreadsheetml/2006/main" count="1951" uniqueCount="236">
  <si>
    <t>India Shared Services</t>
  </si>
  <si>
    <t>January, 2025</t>
  </si>
  <si>
    <t>CMI</t>
  </si>
  <si>
    <t>GCC +Jibe</t>
  </si>
  <si>
    <t>Germany</t>
  </si>
  <si>
    <t>13th Floor</t>
  </si>
  <si>
    <t>Business Unit Name</t>
  </si>
  <si>
    <t>Expense Type</t>
  </si>
  <si>
    <t>Crew Management</t>
  </si>
  <si>
    <t>Cruise Management</t>
  </si>
  <si>
    <t>Accounts</t>
  </si>
  <si>
    <t>Admin</t>
  </si>
  <si>
    <t>Agency Services</t>
  </si>
  <si>
    <t>Commercial</t>
  </si>
  <si>
    <t>Consultancy Services</t>
  </si>
  <si>
    <t>Environmental Compliance</t>
  </si>
  <si>
    <t>IT</t>
  </si>
  <si>
    <t>Procurement</t>
  </si>
  <si>
    <t>Ship Management</t>
  </si>
  <si>
    <t>Technical Services</t>
  </si>
  <si>
    <t>Actual</t>
  </si>
  <si>
    <t>Division Name</t>
  </si>
  <si>
    <t>Group Marine HR</t>
  </si>
  <si>
    <t>Miami Ship Management</t>
  </si>
  <si>
    <t>CMI Accounts Payables</t>
  </si>
  <si>
    <t>Fleet Accounts</t>
  </si>
  <si>
    <t>Administration</t>
  </si>
  <si>
    <t>Agency Hub</t>
  </si>
  <si>
    <t>Fleet Performance</t>
  </si>
  <si>
    <t>Carbon Emission Services</t>
  </si>
  <si>
    <t>Other Environmental Compliance</t>
  </si>
  <si>
    <t>Group IT</t>
  </si>
  <si>
    <t>Galleymasters</t>
  </si>
  <si>
    <t>Sourcing</t>
  </si>
  <si>
    <t>Antwerp Dry</t>
  </si>
  <si>
    <t>Goes Dry</t>
  </si>
  <si>
    <t>Group Operations</t>
  </si>
  <si>
    <t>Group Shared Service Center</t>
  </si>
  <si>
    <t>Hamburg Dry</t>
  </si>
  <si>
    <t>Hong Kong Dry 1</t>
  </si>
  <si>
    <t>JV Ardmore</t>
  </si>
  <si>
    <t>Singapore Dry</t>
  </si>
  <si>
    <t>Singapore Tanker 1</t>
  </si>
  <si>
    <t>Singapore Tanker 2</t>
  </si>
  <si>
    <t>AE Technical Services</t>
  </si>
  <si>
    <t>Hong Kong Dry 2</t>
  </si>
  <si>
    <t>Hong Kong Dry 3</t>
  </si>
  <si>
    <t>Total</t>
  </si>
  <si>
    <t>A</t>
  </si>
  <si>
    <t>PERSONNEL EXPENSES</t>
  </si>
  <si>
    <t>Salaries &amp; Wages</t>
  </si>
  <si>
    <t>Fixed</t>
  </si>
  <si>
    <t>Provision for Bonus, Leave &amp; Other Employment Costs</t>
  </si>
  <si>
    <t>Consultants &amp; Contractors</t>
  </si>
  <si>
    <t>Pension Fund &amp; Social Securities</t>
  </si>
  <si>
    <t>Staff Allowances &amp; Benefits</t>
  </si>
  <si>
    <t>Medical Expenses</t>
  </si>
  <si>
    <t>Variable</t>
  </si>
  <si>
    <t>Staff Recruitment / Relocation</t>
  </si>
  <si>
    <t>Staff Functions</t>
  </si>
  <si>
    <t>Course &amp; Training</t>
  </si>
  <si>
    <t>Joint Venture Personnel Cost Recharges</t>
  </si>
  <si>
    <t>Intra-group Personnel Cost Recharges</t>
  </si>
  <si>
    <t>B</t>
  </si>
  <si>
    <t>OFFICE EXPENSES</t>
  </si>
  <si>
    <t>Rent - Depreciation</t>
  </si>
  <si>
    <t>Rent - Lease Interest</t>
  </si>
  <si>
    <t>Rates &amp; Management Fees</t>
  </si>
  <si>
    <t>Light &amp; Power</t>
  </si>
  <si>
    <t>Office Supplies &amp; Cleaning</t>
  </si>
  <si>
    <t>Archive Storage / Warehouse</t>
  </si>
  <si>
    <t>Office Repairs &amp; Maintenance</t>
  </si>
  <si>
    <t>Intra-group rental cost recharges</t>
  </si>
  <si>
    <t>C</t>
  </si>
  <si>
    <t>ADMINISTRATIVE EXPENSES</t>
  </si>
  <si>
    <t>IT - Software &amp; Applications</t>
  </si>
  <si>
    <t>IT - Communications</t>
  </si>
  <si>
    <t>IT - IT Services</t>
  </si>
  <si>
    <t>IT - Network &amp; Infrastructure Services</t>
  </si>
  <si>
    <t>Insurance</t>
  </si>
  <si>
    <t>Marketing, Branding &amp; Communications</t>
  </si>
  <si>
    <t>Overseas Travelling</t>
  </si>
  <si>
    <t>Local Travelling</t>
  </si>
  <si>
    <t xml:space="preserve">ISSC Team </t>
  </si>
  <si>
    <t>Motor Car Expenses</t>
  </si>
  <si>
    <t>Entertainment</t>
  </si>
  <si>
    <t>Printing &amp; Stationery</t>
  </si>
  <si>
    <t>Postage &amp; Courier</t>
  </si>
  <si>
    <t>Corporate Membership &amp; Subscriptions</t>
  </si>
  <si>
    <t>Audit Fee</t>
  </si>
  <si>
    <t>Taxation Service Fees</t>
  </si>
  <si>
    <t>Legal Fees</t>
  </si>
  <si>
    <t>Professional Fees</t>
  </si>
  <si>
    <t>Compliance Costs, Licence Fees &amp; Certification</t>
  </si>
  <si>
    <t>Sundry Expenses</t>
  </si>
  <si>
    <t>Intra-group IT Cost Recharges</t>
  </si>
  <si>
    <t>Intra-group Administrative Cost Recharges</t>
  </si>
  <si>
    <t>D</t>
  </si>
  <si>
    <t>FINANCIAL EXPENSES</t>
  </si>
  <si>
    <t>Loan Expenses</t>
  </si>
  <si>
    <t>Other Interest Expenses</t>
  </si>
  <si>
    <t>Bank Charges</t>
  </si>
  <si>
    <t>Exchange Difference</t>
  </si>
  <si>
    <t>Fair value loss/(gain) on financial instrument/ CCB</t>
  </si>
  <si>
    <t>E</t>
  </si>
  <si>
    <t>OTHER OPERATING EXPENSES</t>
  </si>
  <si>
    <t>ESG / Donation  (e.g. Humanitarian Funds)</t>
  </si>
  <si>
    <t>Loss/(Gain) on Disposal of Fixed Assets</t>
  </si>
  <si>
    <t>Depreciation</t>
  </si>
  <si>
    <t>Amortisation</t>
  </si>
  <si>
    <t>Provision for impairment in value</t>
  </si>
  <si>
    <t>Provision for Accounts Receivable</t>
  </si>
  <si>
    <t>Other tax - VAT &amp; GST</t>
  </si>
  <si>
    <t>Other tax - WHT</t>
  </si>
  <si>
    <t>Total Cost (USD)</t>
  </si>
  <si>
    <t>Headcount</t>
  </si>
  <si>
    <t>Average Salaries and Wages per employee</t>
  </si>
  <si>
    <t>Average Personnel expenses per employee</t>
  </si>
  <si>
    <t>Average Office expenses per employee</t>
  </si>
  <si>
    <t>Average IT expenses per employee</t>
  </si>
  <si>
    <t>Average Administrative expenses per employee</t>
  </si>
  <si>
    <t>Average financial and other operative expenses per employee</t>
  </si>
  <si>
    <t>Average TOTAL expenses per employee</t>
  </si>
  <si>
    <t>Personnal Expenses % of overall ISSC cost</t>
  </si>
  <si>
    <t>Other Personnel expenses as % Salaries and Wages</t>
  </si>
  <si>
    <t>Office  expenses as % Salaries and Wages</t>
  </si>
  <si>
    <t>IT as % Salaries and Wages</t>
  </si>
  <si>
    <t>Administrative expenses  as % of Salaries and Wages</t>
  </si>
  <si>
    <t>Financial and other operative as % of Salaries and Wages</t>
  </si>
  <si>
    <t>TOTAL expenses except Salaries and Wages as % Salaries and Wages</t>
  </si>
  <si>
    <t>February, 2025</t>
  </si>
  <si>
    <t>1. Total ISSC Spend</t>
  </si>
  <si>
    <t>2. Spend vs. Budget Variance</t>
  </si>
  <si>
    <t>3. Fixed vs. Variable Cost Ratio</t>
  </si>
  <si>
    <t>4. Cost Per FTE (Desk Cost)</t>
  </si>
  <si>
    <t>Employee-Related Costs</t>
  </si>
  <si>
    <t>1. Employee Cost as % of Total ISSC Spend</t>
  </si>
  <si>
    <t>2. Training Cost per Employee</t>
  </si>
  <si>
    <t xml:space="preserve"> IT &amp; Technology Costs</t>
  </si>
  <si>
    <t>1. IT Spend as % of Total ISSC Spend</t>
  </si>
  <si>
    <t>Facility &amp; Office Costs</t>
  </si>
  <si>
    <t>1. Total Facility Spend</t>
  </si>
  <si>
    <t>2. Facility Spend as % of Total Spend</t>
  </si>
  <si>
    <t>3. Average Cost per Employee</t>
  </si>
  <si>
    <t>4. Space Utilization</t>
  </si>
  <si>
    <t>5. Admin Cost per FTE</t>
  </si>
  <si>
    <t>1. Travel Spend per Employee</t>
  </si>
  <si>
    <t>2. Overall Travel Cost</t>
  </si>
  <si>
    <t>3.Travel Cost as % of Total ISSC Spend</t>
  </si>
  <si>
    <t xml:space="preserve"> Overall Cost Insights</t>
  </si>
  <si>
    <t>Months</t>
  </si>
  <si>
    <t>Category 2</t>
  </si>
  <si>
    <t>Category 3</t>
  </si>
  <si>
    <t>Category 4</t>
  </si>
  <si>
    <t>Category 1</t>
  </si>
  <si>
    <t>Category 5</t>
  </si>
  <si>
    <t>Travel and Transportation Costs</t>
  </si>
  <si>
    <t>Head counts</t>
  </si>
  <si>
    <t>-</t>
  </si>
  <si>
    <t>ANGLO-EASTERN MARITIME SERVICES PRIVATE LIMITED</t>
  </si>
  <si>
    <t>Budget 2025</t>
  </si>
  <si>
    <t>BU</t>
  </si>
  <si>
    <t>Vacant Seats</t>
  </si>
  <si>
    <t>Division</t>
  </si>
  <si>
    <t>Accounts Payables</t>
  </si>
  <si>
    <t>All Divisions</t>
  </si>
  <si>
    <t>Amount (INR)</t>
  </si>
  <si>
    <t>INR</t>
  </si>
  <si>
    <t>Month (2025)</t>
  </si>
  <si>
    <t>Budget-2025</t>
  </si>
  <si>
    <t>Unique BU-Division Name</t>
  </si>
  <si>
    <t>Accounts-Fleet Accounts</t>
  </si>
  <si>
    <t>Admin-Administration</t>
  </si>
  <si>
    <t>Agency Services-Agency Hub</t>
  </si>
  <si>
    <t>Commercial-Commercial</t>
  </si>
  <si>
    <t>Consultancy Services-Fleet Performance</t>
  </si>
  <si>
    <t>Crew Management-Group Marine HR</t>
  </si>
  <si>
    <t>Cruise Management-Miami Ship Management</t>
  </si>
  <si>
    <t>IT-Group IT</t>
  </si>
  <si>
    <t>Procurement-Galleymasters</t>
  </si>
  <si>
    <t>Procurement-Sourcing</t>
  </si>
  <si>
    <t>Ship Management-Antwerp Dry</t>
  </si>
  <si>
    <t>Ship Management-Goes Dry</t>
  </si>
  <si>
    <t>Ship Management-Group Operations</t>
  </si>
  <si>
    <t>Ship Management-Group Shared Service Center</t>
  </si>
  <si>
    <t>Ship Management-Hamburg Dry</t>
  </si>
  <si>
    <t>Ship Management-Hong Kong Dry 1</t>
  </si>
  <si>
    <t>Ship Management-JV Ardmore</t>
  </si>
  <si>
    <t>Ship Management-Singapore Dry</t>
  </si>
  <si>
    <t>Ship Management-Singapore Tanker 1</t>
  </si>
  <si>
    <t>Ship Management-Singapore Tanker 2</t>
  </si>
  <si>
    <t>Accounts-Accounts Payables</t>
  </si>
  <si>
    <t>Accounts-CMI Accounts Payables</t>
  </si>
  <si>
    <t>30 Divisions</t>
  </si>
  <si>
    <t>INCOME</t>
  </si>
  <si>
    <t>Ship Management - Other Income</t>
  </si>
  <si>
    <t>Intercompany Sales</t>
  </si>
  <si>
    <t>TOTAL INCOME</t>
  </si>
  <si>
    <t>DIRECT COSTS</t>
  </si>
  <si>
    <t>Travel</t>
  </si>
  <si>
    <t>Training</t>
  </si>
  <si>
    <t>School Expenses</t>
  </si>
  <si>
    <t>Care Training Centre Expenses</t>
  </si>
  <si>
    <t>Intercompany Cost of Sales</t>
  </si>
  <si>
    <t>TOTAL DIRECT COSTS</t>
  </si>
  <si>
    <t>OTHER INCOME</t>
  </si>
  <si>
    <t>Miscellaneous Income (Others [e.g. Govt subsidy])</t>
  </si>
  <si>
    <t>Vessel System Income</t>
  </si>
  <si>
    <t>TOTAL OTHER INCOME</t>
  </si>
  <si>
    <t>OPERATING EXPENSES</t>
  </si>
  <si>
    <t>TOTAL PERSONNEL EXPENSES</t>
  </si>
  <si>
    <t>TOTAL OFFICE EXPENSES</t>
  </si>
  <si>
    <t>IT - Consumables &amp; Maintenance</t>
  </si>
  <si>
    <t>IT - Data Storage &amp; Network</t>
  </si>
  <si>
    <t>TOTAL ADMINISTRATIVE EXPENSES</t>
  </si>
  <si>
    <t>TOTAL OTHER OPERATING EXPENSES</t>
  </si>
  <si>
    <t>Intercompany (Income) / Recharges</t>
  </si>
  <si>
    <t>TOTAL OPERATING EXPENSES</t>
  </si>
  <si>
    <t>OPERATING PROFIT</t>
  </si>
  <si>
    <t>FINANCIAL INCOME</t>
  </si>
  <si>
    <t>Interest Income</t>
  </si>
  <si>
    <t>TOTAL FINANCIAL EXPENSES</t>
  </si>
  <si>
    <t>Total Expenses in USD As Above</t>
  </si>
  <si>
    <t>DEP in USD</t>
  </si>
  <si>
    <t>Total Expenses in USD</t>
  </si>
  <si>
    <t>Share of results of JVs and associates</t>
  </si>
  <si>
    <t>PROFIT BEFORE TAX</t>
  </si>
  <si>
    <r>
      <t>Taxation</t>
    </r>
    <r>
      <rPr>
        <sz val="11"/>
        <color theme="1"/>
        <rFont val="Arial"/>
        <family val="2"/>
      </rPr>
      <t xml:space="preserve"> - (Dr) / Cr</t>
    </r>
  </si>
  <si>
    <t>PROFIT AFTER TAX</t>
  </si>
  <si>
    <t>Dividend Received</t>
  </si>
  <si>
    <t>Dividend (Paid)</t>
  </si>
  <si>
    <t>PROFIT AFTER TAX BEFORE AMORTISATION</t>
  </si>
  <si>
    <t>EBITDA</t>
  </si>
  <si>
    <t>Effective Tax Rate</t>
  </si>
  <si>
    <t>Amount (USD)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</si>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</sst>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[$-409]mmmm\ yyyy;@"/>
    <numFmt numFmtId="165" formatCode="_ * #,##0_ ;_ * \-#,##0_ ;_ * &quot;-&quot;??_ ;_ @_ "/>
    <numFmt numFmtId="166" formatCode="_-[$$-409]* #,##0_ ;_-[$$-409]* \-#,##0\ ;_-[$$-409]* &quot;-&quot;??_ ;_-@_ "/>
    <numFmt numFmtId="167" formatCode="_([$$-409]* #,##0.00_);_([$$-409]* \(#,##0.00\);_([$$-409]* &quot;-&quot;??_);_(@_)"/>
    <numFmt numFmtId="168" formatCode="_([$$-409]* #,##0_);_([$$-409]* \(#,##0\);_([$$-409]* &quot;-&quot;_);_(@_)"/>
    <numFmt numFmtId="169" formatCode="[$-409]mmm\-yy;@"/>
    <numFmt numFmtId="170" formatCode="_(* #,##0_);_(* \(#,##0\);_(* &quot;-&quot;??_);_(@_)"/>
    <numFmt numFmtId="171" formatCode="_ [$₹-4009]\ * #,##0_ ;_ [$₹-4009]\ * \-#,##0_ ;_ [$₹-4009]\ * &quot;-&quot;??_ ;_ @_ "/>
    <numFmt numFmtId="172" formatCode="_(&quot;$&quot;* #,##0_);_(&quot;$&quot;* \(#,##0\);_(&quot;$&quot;* &quot;-&quot;_);_(@_)"/>
    <numFmt numFmtId="173" formatCode="_-[$$-409]* #,##0.00_ ;_-[$$-409]* \-#,##0.00\ ;_-[$$-409]* &quot;-&quot;??_ ;_-@_ "/>
    <numFmt numFmtId="174" formatCode="[$$-409]#,##0.00"/>
    <numFmt numFmtId="175" formatCode="[$$-409]#,##0.00_ ;\-[$$-409]#,##0.00\ "/>
  </numFmts>
  <fonts count="3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rgb="FF0000FF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  <scheme val="minor"/>
    </font>
    <font>
      <b/>
      <sz val="10"/>
      <color theme="0"/>
      <name val="Amasis MT Pro Black"/>
      <family val="1"/>
    </font>
    <font>
      <sz val="9"/>
      <name val="Calibri"/>
      <family val="2"/>
    </font>
    <font>
      <sz val="9"/>
      <color theme="1"/>
      <name val="Arial"/>
      <family val="2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u/>
      <sz val="11"/>
      <color theme="10"/>
      <name val="Arial"/>
      <family val="2"/>
    </font>
    <font>
      <b/>
      <u/>
      <sz val="10"/>
      <color theme="9" tint="-0.499984740745262"/>
      <name val="Arial"/>
      <family val="2"/>
    </font>
    <font>
      <b/>
      <sz val="10"/>
      <color indexed="12"/>
      <name val="Arial"/>
      <family val="2"/>
    </font>
    <font>
      <b/>
      <sz val="10"/>
      <color theme="1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i/>
      <sz val="10"/>
      <color theme="2" tint="-0.249977111117893"/>
      <name val="Arial"/>
      <family val="2"/>
    </font>
    <font>
      <i/>
      <sz val="10"/>
      <color theme="2" tint="-0.249977111117893"/>
      <name val="Arial"/>
      <family val="2"/>
    </font>
    <font>
      <sz val="10"/>
      <color rgb="FF0033CC"/>
      <name val="Arial"/>
      <family val="2"/>
    </font>
    <font>
      <b/>
      <sz val="10"/>
      <color theme="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2" fillId="7" borderId="0" applyNumberFormat="0" applyBorder="0" applyAlignment="0" applyProtection="0"/>
    <xf numFmtId="0" fontId="2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50">
    <xf numFmtId="0" fontId="0" fillId="0" borderId="0" xfId="0"/>
    <xf numFmtId="0" fontId="4" fillId="0" borderId="0" xfId="3" applyFont="1" applyAlignment="1"/>
    <xf numFmtId="1" fontId="0" fillId="0" borderId="0" xfId="0" applyNumberFormat="1" applyAlignment="1">
      <alignment horizontal="center"/>
    </xf>
    <xf numFmtId="14" fontId="2" fillId="2" borderId="0" xfId="0" applyNumberFormat="1" applyFont="1" applyFill="1"/>
    <xf numFmtId="0" fontId="5" fillId="0" borderId="0" xfId="0" applyFont="1"/>
    <xf numFmtId="1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left"/>
    </xf>
    <xf numFmtId="165" fontId="8" fillId="3" borderId="1" xfId="1" applyNumberFormat="1" applyFont="1" applyFill="1" applyBorder="1"/>
    <xf numFmtId="165" fontId="6" fillId="3" borderId="1" xfId="1" applyNumberFormat="1" applyFont="1" applyFill="1" applyBorder="1" applyAlignment="1">
      <alignment horizontal="center"/>
    </xf>
    <xf numFmtId="165" fontId="9" fillId="4" borderId="1" xfId="1" applyNumberFormat="1" applyFont="1" applyFill="1" applyBorder="1"/>
    <xf numFmtId="0" fontId="3" fillId="0" borderId="2" xfId="4" applyFill="1" applyBorder="1"/>
    <xf numFmtId="0" fontId="3" fillId="0" borderId="3" xfId="4" applyFill="1" applyBorder="1"/>
    <xf numFmtId="0" fontId="0" fillId="0" borderId="3" xfId="0" applyBorder="1"/>
    <xf numFmtId="0" fontId="0" fillId="0" borderId="2" xfId="0" applyBorder="1"/>
    <xf numFmtId="166" fontId="0" fillId="0" borderId="3" xfId="0" applyNumberFormat="1" applyBorder="1"/>
    <xf numFmtId="0" fontId="5" fillId="0" borderId="3" xfId="4" applyFont="1" applyFill="1" applyBorder="1"/>
    <xf numFmtId="166" fontId="0" fillId="0" borderId="3" xfId="1" applyNumberFormat="1" applyFont="1" applyBorder="1"/>
    <xf numFmtId="0" fontId="10" fillId="0" borderId="3" xfId="3" applyFont="1" applyBorder="1"/>
    <xf numFmtId="0" fontId="3" fillId="0" borderId="3" xfId="3" applyBorder="1"/>
    <xf numFmtId="0" fontId="5" fillId="0" borderId="3" xfId="0" applyFont="1" applyBorder="1"/>
    <xf numFmtId="166" fontId="5" fillId="0" borderId="3" xfId="0" applyNumberFormat="1" applyFont="1" applyBorder="1"/>
    <xf numFmtId="0" fontId="5" fillId="0" borderId="3" xfId="3" applyFont="1" applyBorder="1"/>
    <xf numFmtId="0" fontId="11" fillId="0" borderId="3" xfId="3" applyFont="1" applyFill="1" applyBorder="1" applyAlignment="1">
      <alignment vertical="center"/>
    </xf>
    <xf numFmtId="0" fontId="10" fillId="0" borderId="3" xfId="3" applyFont="1" applyFill="1" applyBorder="1"/>
    <xf numFmtId="0" fontId="3" fillId="0" borderId="3" xfId="4" quotePrefix="1" applyNumberFormat="1" applyFill="1" applyBorder="1" applyAlignment="1">
      <alignment horizontal="left"/>
    </xf>
    <xf numFmtId="0" fontId="5" fillId="0" borderId="3" xfId="4" quotePrefix="1" applyFont="1" applyFill="1" applyBorder="1" applyAlignment="1">
      <alignment horizontal="left"/>
    </xf>
    <xf numFmtId="0" fontId="12" fillId="0" borderId="3" xfId="3" applyFont="1" applyBorder="1"/>
    <xf numFmtId="0" fontId="5" fillId="0" borderId="4" xfId="3" applyFont="1" applyBorder="1"/>
    <xf numFmtId="166" fontId="5" fillId="0" borderId="4" xfId="1" applyNumberFormat="1" applyFont="1" applyBorder="1"/>
    <xf numFmtId="166" fontId="5" fillId="5" borderId="4" xfId="1" applyNumberFormat="1" applyFont="1" applyFill="1" applyBorder="1"/>
    <xf numFmtId="43" fontId="5" fillId="0" borderId="3" xfId="1" applyFont="1" applyBorder="1"/>
    <xf numFmtId="0" fontId="0" fillId="0" borderId="5" xfId="0" applyBorder="1"/>
    <xf numFmtId="43" fontId="3" fillId="0" borderId="3" xfId="1" applyFont="1" applyBorder="1"/>
    <xf numFmtId="43" fontId="5" fillId="0" borderId="6" xfId="1" applyFont="1" applyBorder="1"/>
    <xf numFmtId="166" fontId="5" fillId="0" borderId="6" xfId="1" applyNumberFormat="1" applyFont="1" applyBorder="1"/>
    <xf numFmtId="0" fontId="3" fillId="0" borderId="5" xfId="3" applyBorder="1"/>
    <xf numFmtId="0" fontId="5" fillId="0" borderId="3" xfId="0" applyFont="1" applyBorder="1" applyAlignment="1">
      <alignment horizontal="left"/>
    </xf>
    <xf numFmtId="1" fontId="5" fillId="0" borderId="3" xfId="0" applyNumberFormat="1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1" fontId="0" fillId="0" borderId="3" xfId="0" applyNumberFormat="1" applyBorder="1" applyAlignment="1">
      <alignment horizontal="right"/>
    </xf>
    <xf numFmtId="0" fontId="5" fillId="0" borderId="0" xfId="0" applyFont="1" applyAlignment="1">
      <alignment horizontal="center"/>
    </xf>
    <xf numFmtId="167" fontId="0" fillId="0" borderId="3" xfId="0" applyNumberFormat="1" applyBorder="1"/>
    <xf numFmtId="9" fontId="5" fillId="0" borderId="3" xfId="2" applyFont="1" applyBorder="1"/>
    <xf numFmtId="9" fontId="5" fillId="0" borderId="3" xfId="5" applyFont="1" applyBorder="1"/>
    <xf numFmtId="9" fontId="3" fillId="5" borderId="3" xfId="2" applyFont="1" applyFill="1" applyBorder="1"/>
    <xf numFmtId="9" fontId="0" fillId="0" borderId="3" xfId="2" applyFont="1" applyBorder="1"/>
    <xf numFmtId="9" fontId="0" fillId="0" borderId="3" xfId="5" applyFont="1" applyBorder="1"/>
    <xf numFmtId="9" fontId="3" fillId="0" borderId="3" xfId="2" applyFont="1" applyBorder="1"/>
    <xf numFmtId="0" fontId="0" fillId="0" borderId="7" xfId="0" applyBorder="1"/>
    <xf numFmtId="0" fontId="0" fillId="0" borderId="8" xfId="0" applyBorder="1"/>
    <xf numFmtId="9" fontId="0" fillId="0" borderId="8" xfId="2" applyFont="1" applyBorder="1"/>
    <xf numFmtId="9" fontId="0" fillId="0" borderId="8" xfId="5" applyFont="1" applyBorder="1"/>
    <xf numFmtId="9" fontId="3" fillId="0" borderId="8" xfId="2" applyFont="1" applyBorder="1"/>
    <xf numFmtId="166" fontId="0" fillId="0" borderId="0" xfId="0" applyNumberFormat="1"/>
    <xf numFmtId="167" fontId="0" fillId="0" borderId="0" xfId="0" applyNumberFormat="1"/>
    <xf numFmtId="165" fontId="8" fillId="3" borderId="2" xfId="1" applyNumberFormat="1" applyFont="1" applyFill="1" applyBorder="1"/>
    <xf numFmtId="165" fontId="8" fillId="3" borderId="9" xfId="1" applyNumberFormat="1" applyFont="1" applyFill="1" applyBorder="1"/>
    <xf numFmtId="165" fontId="9" fillId="4" borderId="3" xfId="1" applyNumberFormat="1" applyFont="1" applyFill="1" applyBorder="1"/>
    <xf numFmtId="165" fontId="9" fillId="4" borderId="9" xfId="1" applyNumberFormat="1" applyFont="1" applyFill="1" applyBorder="1"/>
    <xf numFmtId="165" fontId="13" fillId="4" borderId="1" xfId="1" applyNumberFormat="1" applyFont="1" applyFill="1" applyBorder="1"/>
    <xf numFmtId="0" fontId="0" fillId="0" borderId="10" xfId="0" applyBorder="1"/>
    <xf numFmtId="0" fontId="3" fillId="0" borderId="0" xfId="3" applyBorder="1"/>
    <xf numFmtId="0" fontId="5" fillId="0" borderId="10" xfId="0" applyFont="1" applyBorder="1"/>
    <xf numFmtId="0" fontId="5" fillId="0" borderId="0" xfId="4" applyFont="1" applyFill="1"/>
    <xf numFmtId="0" fontId="3" fillId="0" borderId="0" xfId="4" applyFill="1"/>
    <xf numFmtId="0" fontId="3" fillId="0" borderId="0" xfId="3"/>
    <xf numFmtId="0" fontId="3" fillId="0" borderId="11" xfId="4" applyFill="1" applyBorder="1"/>
    <xf numFmtId="0" fontId="5" fillId="0" borderId="0" xfId="3" applyFont="1"/>
    <xf numFmtId="0" fontId="11" fillId="0" borderId="0" xfId="3" applyFont="1" applyFill="1" applyBorder="1" applyAlignment="1">
      <alignment vertical="center"/>
    </xf>
    <xf numFmtId="0" fontId="10" fillId="0" borderId="0" xfId="3" applyFont="1" applyFill="1"/>
    <xf numFmtId="0" fontId="3" fillId="0" borderId="0" xfId="4" quotePrefix="1" applyNumberFormat="1" applyFill="1" applyBorder="1" applyAlignment="1">
      <alignment horizontal="left"/>
    </xf>
    <xf numFmtId="0" fontId="5" fillId="0" borderId="0" xfId="4" quotePrefix="1" applyFont="1" applyFill="1" applyAlignment="1">
      <alignment horizontal="left"/>
    </xf>
    <xf numFmtId="0" fontId="12" fillId="0" borderId="0" xfId="3" applyFont="1"/>
    <xf numFmtId="0" fontId="10" fillId="0" borderId="0" xfId="3" applyFont="1"/>
    <xf numFmtId="0" fontId="5" fillId="0" borderId="12" xfId="3" applyFont="1" applyBorder="1"/>
    <xf numFmtId="0" fontId="5" fillId="0" borderId="0" xfId="3" applyFont="1" applyBorder="1"/>
    <xf numFmtId="43" fontId="5" fillId="0" borderId="0" xfId="1" applyFont="1" applyBorder="1"/>
    <xf numFmtId="43" fontId="5" fillId="0" borderId="5" xfId="1" applyFont="1" applyBorder="1"/>
    <xf numFmtId="43" fontId="3" fillId="0" borderId="5" xfId="1" applyFont="1" applyBorder="1"/>
    <xf numFmtId="1" fontId="0" fillId="0" borderId="0" xfId="0" applyNumberFormat="1"/>
    <xf numFmtId="1" fontId="0" fillId="0" borderId="3" xfId="0" applyNumberFormat="1" applyBorder="1"/>
    <xf numFmtId="0" fontId="5" fillId="0" borderId="10" xfId="0" applyFont="1" applyBorder="1" applyAlignment="1">
      <alignment horizontal="left"/>
    </xf>
    <xf numFmtId="1" fontId="5" fillId="0" borderId="11" xfId="0" applyNumberFormat="1" applyFont="1" applyBorder="1" applyAlignment="1">
      <alignment horizontal="right"/>
    </xf>
    <xf numFmtId="9" fontId="5" fillId="0" borderId="3" xfId="2" applyFont="1" applyFill="1" applyBorder="1"/>
    <xf numFmtId="0" fontId="0" fillId="0" borderId="1" xfId="0" applyBorder="1"/>
    <xf numFmtId="0" fontId="2" fillId="0" borderId="1" xfId="0" applyFont="1" applyBorder="1"/>
    <xf numFmtId="0" fontId="17" fillId="0" borderId="1" xfId="0" applyFont="1" applyBorder="1"/>
    <xf numFmtId="0" fontId="20" fillId="0" borderId="1" xfId="0" applyFont="1" applyBorder="1"/>
    <xf numFmtId="9" fontId="20" fillId="0" borderId="1" xfId="0" applyNumberFormat="1" applyFont="1" applyBorder="1"/>
    <xf numFmtId="0" fontId="3" fillId="0" borderId="0" xfId="8" applyAlignment="1">
      <alignment vertical="center"/>
    </xf>
    <xf numFmtId="0" fontId="12" fillId="0" borderId="0" xfId="8" applyFont="1"/>
    <xf numFmtId="169" fontId="24" fillId="8" borderId="13" xfId="8" applyNumberFormat="1" applyFont="1" applyFill="1" applyBorder="1" applyAlignment="1">
      <alignment horizontal="center"/>
    </xf>
    <xf numFmtId="0" fontId="12" fillId="9" borderId="0" xfId="8" applyFont="1" applyFill="1" applyBorder="1" applyAlignment="1">
      <alignment horizontal="left"/>
    </xf>
    <xf numFmtId="169" fontId="24" fillId="10" borderId="13" xfId="8" applyNumberFormat="1" applyFont="1" applyFill="1" applyBorder="1" applyAlignment="1">
      <alignment horizontal="center"/>
    </xf>
    <xf numFmtId="0" fontId="25" fillId="0" borderId="0" xfId="8" applyFont="1" applyAlignment="1"/>
    <xf numFmtId="0" fontId="12" fillId="0" borderId="0" xfId="8" applyFont="1" applyFill="1"/>
    <xf numFmtId="0" fontId="12" fillId="0" borderId="0" xfId="8" applyFont="1" applyAlignment="1">
      <alignment horizontal="center"/>
    </xf>
    <xf numFmtId="0" fontId="12" fillId="0" borderId="0" xfId="8" applyFont="1" applyAlignment="1">
      <alignment horizontal="left"/>
    </xf>
    <xf numFmtId="0" fontId="3" fillId="0" borderId="0" xfId="8" applyFill="1" applyAlignment="1">
      <alignment vertical="center"/>
    </xf>
    <xf numFmtId="0" fontId="12" fillId="0" borderId="0" xfId="8" applyFont="1" applyAlignment="1">
      <alignment horizontal="right"/>
    </xf>
    <xf numFmtId="1" fontId="12" fillId="0" borderId="0" xfId="8" applyNumberFormat="1" applyFont="1"/>
    <xf numFmtId="0" fontId="10" fillId="0" borderId="0" xfId="8" applyFont="1" applyFill="1" applyBorder="1"/>
    <xf numFmtId="1" fontId="10" fillId="0" borderId="0" xfId="8" applyNumberFormat="1" applyFont="1" applyFill="1" applyBorder="1"/>
    <xf numFmtId="1" fontId="10" fillId="0" borderId="0" xfId="8" applyNumberFormat="1" applyFont="1" applyFill="1" applyBorder="1" applyAlignment="1">
      <alignment horizontal="left"/>
    </xf>
    <xf numFmtId="1" fontId="10" fillId="9" borderId="0" xfId="8" applyNumberFormat="1" applyFont="1" applyFill="1" applyBorder="1" applyAlignment="1">
      <alignment horizontal="left"/>
    </xf>
    <xf numFmtId="0" fontId="3" fillId="0" borderId="0" xfId="8" applyAlignment="1">
      <alignment horizontal="left" vertical="center"/>
    </xf>
    <xf numFmtId="0" fontId="3" fillId="9" borderId="0" xfId="8" applyFill="1" applyBorder="1" applyAlignment="1">
      <alignment horizontal="left" vertical="center"/>
    </xf>
    <xf numFmtId="170" fontId="1" fillId="9" borderId="14" xfId="1" applyNumberFormat="1" applyFill="1" applyBorder="1" applyAlignment="1">
      <alignment horizontal="left" vertical="center"/>
    </xf>
    <xf numFmtId="0" fontId="7" fillId="0" borderId="0" xfId="8" applyFont="1" applyAlignment="1">
      <alignment horizontal="left"/>
    </xf>
    <xf numFmtId="170" fontId="26" fillId="9" borderId="14" xfId="1" applyNumberFormat="1" applyFont="1" applyFill="1" applyBorder="1" applyAlignment="1">
      <alignment horizontal="left" vertical="center"/>
    </xf>
    <xf numFmtId="0" fontId="10" fillId="0" borderId="0" xfId="8" applyFont="1"/>
    <xf numFmtId="43" fontId="10" fillId="0" borderId="0" xfId="1" applyFont="1"/>
    <xf numFmtId="43" fontId="1" fillId="0" borderId="0" xfId="1" applyAlignment="1">
      <alignment horizontal="center" vertical="center"/>
    </xf>
    <xf numFmtId="0" fontId="27" fillId="11" borderId="15" xfId="8" applyFont="1" applyFill="1" applyBorder="1" applyAlignment="1">
      <alignment horizontal="center" vertical="center" wrapText="1"/>
    </xf>
    <xf numFmtId="17" fontId="12" fillId="11" borderId="19" xfId="8" applyNumberFormat="1" applyFont="1" applyFill="1" applyBorder="1" applyAlignment="1">
      <alignment horizontal="center"/>
    </xf>
    <xf numFmtId="17" fontId="12" fillId="9" borderId="0" xfId="8" applyNumberFormat="1" applyFont="1" applyFill="1" applyBorder="1" applyAlignment="1">
      <alignment horizontal="center"/>
    </xf>
    <xf numFmtId="17" fontId="12" fillId="11" borderId="19" xfId="8" applyNumberFormat="1" applyFont="1" applyFill="1" applyBorder="1" applyAlignment="1">
      <alignment horizontal="left"/>
    </xf>
    <xf numFmtId="17" fontId="12" fillId="0" borderId="20" xfId="8" applyNumberFormat="1" applyFont="1" applyBorder="1" applyAlignment="1">
      <alignment horizontal="center"/>
    </xf>
    <xf numFmtId="17" fontId="12" fillId="10" borderId="20" xfId="8" applyNumberFormat="1" applyFont="1" applyFill="1" applyBorder="1" applyAlignment="1">
      <alignment horizontal="center"/>
    </xf>
    <xf numFmtId="0" fontId="28" fillId="12" borderId="21" xfId="8" applyFont="1" applyFill="1" applyBorder="1" applyAlignment="1">
      <alignment horizontal="center" vertical="center" wrapText="1"/>
    </xf>
    <xf numFmtId="17" fontId="12" fillId="12" borderId="19" xfId="8" applyNumberFormat="1" applyFont="1" applyFill="1" applyBorder="1" applyAlignment="1">
      <alignment horizontal="center"/>
    </xf>
    <xf numFmtId="17" fontId="12" fillId="12" borderId="19" xfId="8" applyNumberFormat="1" applyFont="1" applyFill="1" applyBorder="1" applyAlignment="1">
      <alignment horizontal="left"/>
    </xf>
    <xf numFmtId="17" fontId="12" fillId="0" borderId="22" xfId="8" applyNumberFormat="1" applyFont="1" applyBorder="1" applyAlignment="1">
      <alignment horizontal="center"/>
    </xf>
    <xf numFmtId="17" fontId="12" fillId="10" borderId="22" xfId="8" applyNumberFormat="1" applyFont="1" applyFill="1" applyBorder="1" applyAlignment="1">
      <alignment horizontal="center"/>
    </xf>
    <xf numFmtId="0" fontId="10" fillId="0" borderId="2" xfId="8" applyFont="1" applyFill="1" applyBorder="1" applyAlignment="1">
      <alignment horizontal="center"/>
    </xf>
    <xf numFmtId="0" fontId="10" fillId="0" borderId="23" xfId="8" applyFont="1" applyBorder="1" applyAlignment="1">
      <alignment horizontal="center"/>
    </xf>
    <xf numFmtId="0" fontId="10" fillId="0" borderId="24" xfId="8" applyFont="1" applyBorder="1" applyAlignment="1">
      <alignment horizontal="center"/>
    </xf>
    <xf numFmtId="0" fontId="10" fillId="8" borderId="25" xfId="8" applyFont="1" applyFill="1" applyBorder="1" applyAlignment="1">
      <alignment horizontal="center"/>
    </xf>
    <xf numFmtId="0" fontId="10" fillId="9" borderId="0" xfId="8" applyFont="1" applyFill="1" applyBorder="1" applyAlignment="1">
      <alignment horizontal="left"/>
    </xf>
    <xf numFmtId="0" fontId="10" fillId="8" borderId="26" xfId="8" applyFont="1" applyFill="1" applyBorder="1" applyAlignment="1">
      <alignment horizontal="center"/>
    </xf>
    <xf numFmtId="0" fontId="10" fillId="10" borderId="26" xfId="8" applyFont="1" applyFill="1" applyBorder="1" applyAlignment="1">
      <alignment horizontal="center"/>
    </xf>
    <xf numFmtId="0" fontId="24" fillId="0" borderId="0" xfId="8" applyFont="1"/>
    <xf numFmtId="0" fontId="24" fillId="0" borderId="27" xfId="8" applyFont="1" applyFill="1" applyBorder="1" applyAlignment="1">
      <alignment horizontal="center"/>
    </xf>
    <xf numFmtId="169" fontId="24" fillId="0" borderId="28" xfId="8" applyNumberFormat="1" applyFont="1" applyFill="1" applyBorder="1" applyAlignment="1">
      <alignment horizontal="center"/>
    </xf>
    <xf numFmtId="169" fontId="24" fillId="0" borderId="29" xfId="8" applyNumberFormat="1" applyFont="1" applyFill="1" applyBorder="1" applyAlignment="1">
      <alignment horizontal="center"/>
    </xf>
    <xf numFmtId="169" fontId="24" fillId="8" borderId="28" xfId="8" applyNumberFormat="1" applyFont="1" applyFill="1" applyBorder="1" applyAlignment="1">
      <alignment horizontal="center"/>
    </xf>
    <xf numFmtId="169" fontId="24" fillId="9" borderId="30" xfId="8" applyNumberFormat="1" applyFont="1" applyFill="1" applyBorder="1" applyAlignment="1">
      <alignment horizontal="left"/>
    </xf>
    <xf numFmtId="169" fontId="24" fillId="8" borderId="31" xfId="8" applyNumberFormat="1" applyFont="1" applyFill="1" applyBorder="1" applyAlignment="1">
      <alignment horizontal="center"/>
    </xf>
    <xf numFmtId="169" fontId="24" fillId="9" borderId="0" xfId="8" applyNumberFormat="1" applyFont="1" applyFill="1" applyBorder="1" applyAlignment="1">
      <alignment horizontal="left"/>
    </xf>
    <xf numFmtId="169" fontId="24" fillId="8" borderId="21" xfId="8" applyNumberFormat="1" applyFont="1" applyFill="1" applyBorder="1" applyAlignment="1">
      <alignment horizontal="center"/>
    </xf>
    <xf numFmtId="169" fontId="24" fillId="10" borderId="21" xfId="8" applyNumberFormat="1" applyFont="1" applyFill="1" applyBorder="1" applyAlignment="1">
      <alignment horizontal="center"/>
    </xf>
    <xf numFmtId="0" fontId="29" fillId="0" borderId="0" xfId="8" applyFont="1" applyAlignment="1">
      <alignment vertical="center"/>
    </xf>
    <xf numFmtId="170" fontId="30" fillId="0" borderId="0" xfId="1" applyNumberFormat="1" applyFont="1" applyBorder="1" applyAlignment="1">
      <alignment horizontal="center" vertical="center"/>
    </xf>
    <xf numFmtId="170" fontId="30" fillId="0" borderId="23" xfId="1" applyNumberFormat="1" applyFont="1" applyBorder="1" applyAlignment="1">
      <alignment horizontal="left" vertical="center"/>
    </xf>
    <xf numFmtId="170" fontId="30" fillId="0" borderId="24" xfId="1" applyNumberFormat="1" applyFont="1" applyBorder="1" applyAlignment="1">
      <alignment vertical="center"/>
    </xf>
    <xf numFmtId="1" fontId="29" fillId="8" borderId="25" xfId="1" applyNumberFormat="1" applyFont="1" applyFill="1" applyBorder="1" applyAlignment="1">
      <alignment horizontal="left" vertical="center"/>
    </xf>
    <xf numFmtId="170" fontId="30" fillId="0" borderId="0" xfId="1" applyNumberFormat="1" applyFont="1" applyBorder="1" applyAlignment="1">
      <alignment horizontal="left" vertical="center"/>
    </xf>
    <xf numFmtId="170" fontId="30" fillId="0" borderId="0" xfId="1" applyNumberFormat="1" applyFont="1" applyBorder="1" applyAlignment="1">
      <alignment vertical="center"/>
    </xf>
    <xf numFmtId="170" fontId="30" fillId="0" borderId="32" xfId="1" applyNumberFormat="1" applyFont="1" applyBorder="1" applyAlignment="1">
      <alignment vertical="center"/>
    </xf>
    <xf numFmtId="170" fontId="29" fillId="9" borderId="0" xfId="1" applyNumberFormat="1" applyFont="1" applyFill="1" applyBorder="1" applyAlignment="1">
      <alignment horizontal="left" vertical="center"/>
    </xf>
    <xf numFmtId="170" fontId="29" fillId="9" borderId="14" xfId="1" applyNumberFormat="1" applyFont="1" applyFill="1" applyBorder="1" applyAlignment="1">
      <alignment horizontal="left" vertical="center"/>
    </xf>
    <xf numFmtId="1" fontId="29" fillId="8" borderId="30" xfId="1" applyNumberFormat="1" applyFont="1" applyFill="1" applyBorder="1" applyAlignment="1">
      <alignment horizontal="center" vertical="center"/>
    </xf>
    <xf numFmtId="0" fontId="27" fillId="0" borderId="0" xfId="4" applyFont="1" applyFill="1"/>
    <xf numFmtId="171" fontId="1" fillId="0" borderId="14" xfId="1" applyNumberFormat="1" applyBorder="1" applyAlignment="1">
      <alignment vertical="center"/>
    </xf>
    <xf numFmtId="171" fontId="1" fillId="0" borderId="0" xfId="1" applyNumberFormat="1" applyBorder="1" applyAlignment="1">
      <alignment vertical="center"/>
    </xf>
    <xf numFmtId="171" fontId="1" fillId="8" borderId="14" xfId="1" applyNumberFormat="1" applyFill="1" applyBorder="1" applyAlignment="1">
      <alignment horizontal="left" vertical="center"/>
    </xf>
    <xf numFmtId="171" fontId="24" fillId="9" borderId="30" xfId="8" applyNumberFormat="1" applyFont="1" applyFill="1" applyBorder="1" applyAlignment="1">
      <alignment horizontal="left"/>
    </xf>
    <xf numFmtId="171" fontId="1" fillId="8" borderId="30" xfId="1" applyNumberFormat="1" applyFill="1" applyBorder="1" applyAlignment="1">
      <alignment horizontal="left" vertical="center"/>
    </xf>
    <xf numFmtId="171" fontId="10" fillId="9" borderId="0" xfId="8" applyNumberFormat="1" applyFont="1" applyFill="1" applyBorder="1" applyAlignment="1">
      <alignment horizontal="left"/>
    </xf>
    <xf numFmtId="171" fontId="24" fillId="9" borderId="0" xfId="8" applyNumberFormat="1" applyFont="1" applyFill="1" applyBorder="1" applyAlignment="1">
      <alignment horizontal="left"/>
    </xf>
    <xf numFmtId="171" fontId="1" fillId="9" borderId="0" xfId="1" applyNumberFormat="1" applyFill="1" applyBorder="1" applyAlignment="1">
      <alignment horizontal="left" vertical="center"/>
    </xf>
    <xf numFmtId="171" fontId="1" fillId="9" borderId="14" xfId="1" applyNumberFormat="1" applyFill="1" applyBorder="1" applyAlignment="1">
      <alignment horizontal="left" vertical="center"/>
    </xf>
    <xf numFmtId="171" fontId="3" fillId="0" borderId="0" xfId="8" applyNumberFormat="1" applyAlignment="1">
      <alignment vertical="center"/>
    </xf>
    <xf numFmtId="171" fontId="3" fillId="0" borderId="14" xfId="1" applyNumberFormat="1" applyFont="1" applyFill="1" applyBorder="1" applyAlignment="1">
      <alignment vertical="center"/>
    </xf>
    <xf numFmtId="171" fontId="3" fillId="0" borderId="0" xfId="1" applyNumberFormat="1" applyFont="1" applyFill="1" applyBorder="1" applyAlignment="1">
      <alignment vertical="center"/>
    </xf>
    <xf numFmtId="0" fontId="5" fillId="0" borderId="0" xfId="8" applyFont="1" applyAlignment="1">
      <alignment vertical="center"/>
    </xf>
    <xf numFmtId="0" fontId="5" fillId="0" borderId="0" xfId="4" applyNumberFormat="1" applyFont="1" applyFill="1" applyBorder="1" applyAlignment="1">
      <alignment horizontal="left"/>
    </xf>
    <xf numFmtId="171" fontId="5" fillId="0" borderId="33" xfId="1" applyNumberFormat="1" applyFont="1" applyBorder="1" applyAlignment="1">
      <alignment vertical="center"/>
    </xf>
    <xf numFmtId="171" fontId="5" fillId="0" borderId="34" xfId="1" applyNumberFormat="1" applyFont="1" applyBorder="1" applyAlignment="1">
      <alignment vertical="center"/>
    </xf>
    <xf numFmtId="171" fontId="1" fillId="8" borderId="26" xfId="1" applyNumberFormat="1" applyFill="1" applyBorder="1" applyAlignment="1">
      <alignment horizontal="left" vertical="center"/>
    </xf>
    <xf numFmtId="171" fontId="5" fillId="0" borderId="0" xfId="8" applyNumberFormat="1" applyFont="1" applyAlignment="1">
      <alignment vertical="center"/>
    </xf>
    <xf numFmtId="0" fontId="27" fillId="0" borderId="0" xfId="4" applyNumberFormat="1" applyFont="1" applyFill="1" applyBorder="1"/>
    <xf numFmtId="0" fontId="26" fillId="0" borderId="0" xfId="8" applyFont="1" applyFill="1" applyBorder="1" applyAlignment="1">
      <alignment vertical="center"/>
    </xf>
    <xf numFmtId="171" fontId="26" fillId="0" borderId="14" xfId="1" applyNumberFormat="1" applyFont="1" applyFill="1" applyBorder="1" applyAlignment="1">
      <alignment vertical="center"/>
    </xf>
    <xf numFmtId="171" fontId="26" fillId="0" borderId="0" xfId="1" applyNumberFormat="1" applyFont="1" applyFill="1" applyBorder="1" applyAlignment="1">
      <alignment vertical="center"/>
    </xf>
    <xf numFmtId="171" fontId="26" fillId="8" borderId="30" xfId="1" applyNumberFormat="1" applyFont="1" applyFill="1" applyBorder="1" applyAlignment="1">
      <alignment horizontal="left" vertical="center"/>
    </xf>
    <xf numFmtId="171" fontId="26" fillId="9" borderId="14" xfId="1" applyNumberFormat="1" applyFont="1" applyFill="1" applyBorder="1" applyAlignment="1">
      <alignment horizontal="left" vertical="center"/>
    </xf>
    <xf numFmtId="171" fontId="3" fillId="0" borderId="0" xfId="1" applyNumberFormat="1" applyFont="1" applyBorder="1" applyAlignment="1">
      <alignment vertical="center"/>
    </xf>
    <xf numFmtId="0" fontId="11" fillId="0" borderId="0" xfId="4" quotePrefix="1" applyFont="1" applyFill="1" applyAlignment="1">
      <alignment horizontal="left"/>
    </xf>
    <xf numFmtId="171" fontId="11" fillId="0" borderId="0" xfId="1" applyNumberFormat="1" applyFont="1" applyFill="1" applyBorder="1" applyAlignment="1">
      <alignment vertical="center"/>
    </xf>
    <xf numFmtId="171" fontId="3" fillId="0" borderId="0" xfId="8" applyNumberFormat="1" applyFill="1" applyAlignment="1">
      <alignment vertical="center"/>
    </xf>
    <xf numFmtId="0" fontId="3" fillId="0" borderId="0" xfId="4" quotePrefix="1" applyFill="1" applyAlignment="1">
      <alignment horizontal="left"/>
    </xf>
    <xf numFmtId="0" fontId="11" fillId="0" borderId="0" xfId="4" applyFont="1" applyFill="1"/>
    <xf numFmtId="0" fontId="3" fillId="0" borderId="0" xfId="4" applyNumberFormat="1" applyFill="1" applyBorder="1"/>
    <xf numFmtId="171" fontId="11" fillId="0" borderId="14" xfId="1" applyNumberFormat="1" applyFont="1" applyBorder="1" applyAlignment="1">
      <alignment vertical="center"/>
    </xf>
    <xf numFmtId="171" fontId="11" fillId="0" borderId="0" xfId="1" applyNumberFormat="1" applyFont="1" applyBorder="1" applyAlignment="1">
      <alignment vertical="center"/>
    </xf>
    <xf numFmtId="0" fontId="5" fillId="0" borderId="0" xfId="8" applyFont="1" applyFill="1" applyAlignment="1">
      <alignment vertical="center"/>
    </xf>
    <xf numFmtId="0" fontId="5" fillId="0" borderId="0" xfId="4" quotePrefix="1" applyNumberFormat="1" applyFont="1" applyFill="1" applyBorder="1" applyAlignment="1">
      <alignment horizontal="left"/>
    </xf>
    <xf numFmtId="0" fontId="5" fillId="0" borderId="0" xfId="8" applyFont="1" applyFill="1" applyBorder="1" applyAlignment="1">
      <alignment vertical="center"/>
    </xf>
    <xf numFmtId="171" fontId="26" fillId="0" borderId="33" xfId="1" applyNumberFormat="1" applyFont="1" applyFill="1" applyBorder="1" applyAlignment="1">
      <alignment vertical="center"/>
    </xf>
    <xf numFmtId="171" fontId="26" fillId="0" borderId="34" xfId="1" applyNumberFormat="1" applyFont="1" applyFill="1" applyBorder="1" applyAlignment="1">
      <alignment vertical="center"/>
    </xf>
    <xf numFmtId="171" fontId="5" fillId="0" borderId="0" xfId="8" applyNumberFormat="1" applyFont="1" applyFill="1" applyAlignment="1">
      <alignment vertical="center"/>
    </xf>
    <xf numFmtId="171" fontId="11" fillId="0" borderId="14" xfId="1" applyNumberFormat="1" applyFont="1" applyFill="1" applyBorder="1" applyAlignment="1">
      <alignment vertical="center"/>
    </xf>
    <xf numFmtId="171" fontId="11" fillId="8" borderId="30" xfId="1" applyNumberFormat="1" applyFont="1" applyFill="1" applyBorder="1" applyAlignment="1">
      <alignment horizontal="left" vertical="center"/>
    </xf>
    <xf numFmtId="171" fontId="11" fillId="9" borderId="14" xfId="1" applyNumberFormat="1" applyFont="1" applyFill="1" applyBorder="1" applyAlignment="1">
      <alignment horizontal="left" vertical="center"/>
    </xf>
    <xf numFmtId="0" fontId="5" fillId="0" borderId="0" xfId="4" applyNumberFormat="1" applyFont="1" applyFill="1" applyBorder="1"/>
    <xf numFmtId="0" fontId="26" fillId="0" borderId="0" xfId="8" applyFont="1" applyBorder="1" applyAlignment="1">
      <alignment vertical="center"/>
    </xf>
    <xf numFmtId="171" fontId="26" fillId="0" borderId="14" xfId="1" applyNumberFormat="1" applyFont="1" applyBorder="1" applyAlignment="1">
      <alignment vertical="center"/>
    </xf>
    <xf numFmtId="171" fontId="26" fillId="0" borderId="0" xfId="1" applyNumberFormat="1" applyFont="1" applyBorder="1" applyAlignment="1">
      <alignment vertical="center"/>
    </xf>
    <xf numFmtId="171" fontId="0" fillId="0" borderId="0" xfId="1" applyNumberFormat="1" applyFont="1" applyFill="1" applyAlignment="1">
      <alignment vertical="center"/>
    </xf>
    <xf numFmtId="171" fontId="1" fillId="13" borderId="30" xfId="1" applyNumberFormat="1" applyFill="1" applyBorder="1" applyAlignment="1">
      <alignment horizontal="left" vertical="center"/>
    </xf>
    <xf numFmtId="171" fontId="3" fillId="13" borderId="0" xfId="8" applyNumberFormat="1" applyFill="1" applyAlignment="1">
      <alignment vertical="center"/>
    </xf>
    <xf numFmtId="0" fontId="3" fillId="0" borderId="0" xfId="8" applyFill="1" applyBorder="1" applyAlignment="1">
      <alignment vertical="center"/>
    </xf>
    <xf numFmtId="171" fontId="3" fillId="0" borderId="14" xfId="1" applyNumberFormat="1" applyFont="1" applyBorder="1" applyAlignment="1">
      <alignment vertical="center"/>
    </xf>
    <xf numFmtId="171" fontId="3" fillId="8" borderId="30" xfId="1" applyNumberFormat="1" applyFont="1" applyFill="1" applyBorder="1" applyAlignment="1">
      <alignment horizontal="left" vertical="center"/>
    </xf>
    <xf numFmtId="171" fontId="3" fillId="9" borderId="14" xfId="1" applyNumberFormat="1" applyFont="1" applyFill="1" applyBorder="1" applyAlignment="1">
      <alignment horizontal="left" vertical="center"/>
    </xf>
    <xf numFmtId="0" fontId="27" fillId="0" borderId="0" xfId="4" quotePrefix="1" applyNumberFormat="1" applyFont="1" applyFill="1" applyBorder="1" applyAlignment="1">
      <alignment horizontal="left"/>
    </xf>
    <xf numFmtId="0" fontId="31" fillId="0" borderId="0" xfId="8" applyFont="1" applyFill="1" applyAlignment="1">
      <alignment vertical="center"/>
    </xf>
    <xf numFmtId="171" fontId="11" fillId="13" borderId="0" xfId="1" applyNumberFormat="1" applyFont="1" applyFill="1" applyBorder="1" applyAlignment="1">
      <alignment vertical="center"/>
    </xf>
    <xf numFmtId="171" fontId="1" fillId="13" borderId="14" xfId="1" applyNumberFormat="1" applyFill="1" applyBorder="1" applyAlignment="1">
      <alignment horizontal="left" vertical="center"/>
    </xf>
    <xf numFmtId="171" fontId="3" fillId="5" borderId="0" xfId="1" applyNumberFormat="1" applyFont="1" applyFill="1" applyBorder="1" applyAlignment="1">
      <alignment vertical="center"/>
    </xf>
    <xf numFmtId="171" fontId="3" fillId="5" borderId="0" xfId="8" applyNumberFormat="1" applyFill="1" applyAlignment="1">
      <alignment vertical="center"/>
    </xf>
    <xf numFmtId="171" fontId="5" fillId="8" borderId="26" xfId="1" applyNumberFormat="1" applyFont="1" applyFill="1" applyBorder="1" applyAlignment="1">
      <alignment horizontal="left" vertical="center"/>
    </xf>
    <xf numFmtId="171" fontId="5" fillId="9" borderId="14" xfId="1" applyNumberFormat="1" applyFont="1" applyFill="1" applyBorder="1" applyAlignment="1">
      <alignment horizontal="left" vertical="center"/>
    </xf>
    <xf numFmtId="0" fontId="27" fillId="0" borderId="0" xfId="4" applyNumberFormat="1" applyFont="1" applyFill="1" applyBorder="1" applyAlignment="1">
      <alignment horizontal="left"/>
    </xf>
    <xf numFmtId="0" fontId="3" fillId="0" borderId="0" xfId="7" applyFont="1" applyFill="1"/>
    <xf numFmtId="171" fontId="26" fillId="0" borderId="33" xfId="1" applyNumberFormat="1" applyFont="1" applyBorder="1" applyAlignment="1">
      <alignment vertical="center"/>
    </xf>
    <xf numFmtId="171" fontId="26" fillId="0" borderId="34" xfId="1" applyNumberFormat="1" applyFont="1" applyBorder="1" applyAlignment="1">
      <alignment vertical="center"/>
    </xf>
    <xf numFmtId="171" fontId="26" fillId="8" borderId="26" xfId="1" applyNumberFormat="1" applyFont="1" applyFill="1" applyBorder="1" applyAlignment="1">
      <alignment horizontal="left" vertical="center"/>
    </xf>
    <xf numFmtId="168" fontId="5" fillId="0" borderId="0" xfId="1" applyNumberFormat="1" applyFont="1" applyFill="1" applyAlignment="1">
      <alignment vertical="center"/>
    </xf>
    <xf numFmtId="168" fontId="5" fillId="0" borderId="0" xfId="1" applyNumberFormat="1" applyFont="1" applyFill="1" applyBorder="1" applyAlignment="1">
      <alignment horizontal="left"/>
    </xf>
    <xf numFmtId="168" fontId="26" fillId="0" borderId="0" xfId="1" applyNumberFormat="1" applyFont="1" applyFill="1" applyBorder="1" applyAlignment="1">
      <alignment vertical="center"/>
    </xf>
    <xf numFmtId="168" fontId="26" fillId="0" borderId="14" xfId="1" applyNumberFormat="1" applyFont="1" applyFill="1" applyBorder="1" applyAlignment="1">
      <alignment vertical="center"/>
    </xf>
    <xf numFmtId="168" fontId="3" fillId="8" borderId="30" xfId="1" applyNumberFormat="1" applyFont="1" applyFill="1" applyBorder="1" applyAlignment="1">
      <alignment horizontal="left" vertical="center"/>
    </xf>
    <xf numFmtId="168" fontId="26" fillId="9" borderId="14" xfId="1" applyNumberFormat="1" applyFont="1" applyFill="1" applyBorder="1" applyAlignment="1">
      <alignment horizontal="left" vertical="center"/>
    </xf>
    <xf numFmtId="168" fontId="5" fillId="9" borderId="14" xfId="1" applyNumberFormat="1" applyFont="1" applyFill="1" applyBorder="1" applyAlignment="1">
      <alignment horizontal="left" vertical="center"/>
    </xf>
    <xf numFmtId="168" fontId="26" fillId="0" borderId="14" xfId="1" applyNumberFormat="1" applyFont="1" applyBorder="1" applyAlignment="1">
      <alignment vertical="center"/>
    </xf>
    <xf numFmtId="168" fontId="26" fillId="0" borderId="0" xfId="1" applyNumberFormat="1" applyFont="1" applyBorder="1" applyAlignment="1">
      <alignment vertical="center"/>
    </xf>
    <xf numFmtId="168" fontId="26" fillId="0" borderId="35" xfId="1" applyNumberFormat="1" applyFont="1" applyBorder="1" applyAlignment="1">
      <alignment vertical="center"/>
    </xf>
    <xf numFmtId="168" fontId="3" fillId="8" borderId="35" xfId="1" applyNumberFormat="1" applyFont="1" applyFill="1" applyBorder="1" applyAlignment="1">
      <alignment horizontal="left" vertical="center"/>
    </xf>
    <xf numFmtId="168" fontId="1" fillId="8" borderId="30" xfId="1" applyNumberFormat="1" applyFill="1" applyBorder="1" applyAlignment="1">
      <alignment horizontal="left" vertical="center"/>
    </xf>
    <xf numFmtId="168" fontId="5" fillId="8" borderId="30" xfId="1" applyNumberFormat="1" applyFont="1" applyFill="1" applyBorder="1" applyAlignment="1">
      <alignment horizontal="left" vertical="center"/>
    </xf>
    <xf numFmtId="168" fontId="5" fillId="0" borderId="0" xfId="1" applyNumberFormat="1" applyFont="1" applyAlignment="1">
      <alignment vertical="center"/>
    </xf>
    <xf numFmtId="168" fontId="26" fillId="14" borderId="14" xfId="1" applyNumberFormat="1" applyFont="1" applyFill="1" applyBorder="1" applyAlignment="1">
      <alignment vertical="center"/>
    </xf>
    <xf numFmtId="168" fontId="26" fillId="15" borderId="0" xfId="1" applyNumberFormat="1" applyFont="1" applyFill="1" applyBorder="1" applyAlignment="1">
      <alignment vertical="center"/>
    </xf>
    <xf numFmtId="168" fontId="26" fillId="14" borderId="0" xfId="1" applyNumberFormat="1" applyFont="1" applyFill="1" applyBorder="1" applyAlignment="1">
      <alignment vertical="center"/>
    </xf>
    <xf numFmtId="0" fontId="5" fillId="0" borderId="29" xfId="4" applyNumberFormat="1" applyFont="1" applyFill="1" applyBorder="1" applyAlignment="1">
      <alignment horizontal="left"/>
    </xf>
    <xf numFmtId="0" fontId="26" fillId="0" borderId="29" xfId="8" applyFont="1" applyFill="1" applyBorder="1" applyAlignment="1">
      <alignment vertical="center"/>
    </xf>
    <xf numFmtId="168" fontId="26" fillId="0" borderId="28" xfId="1" applyNumberFormat="1" applyFont="1" applyBorder="1" applyAlignment="1">
      <alignment vertical="center"/>
    </xf>
    <xf numFmtId="168" fontId="26" fillId="0" borderId="29" xfId="1" applyNumberFormat="1" applyFont="1" applyBorder="1" applyAlignment="1">
      <alignment vertical="center"/>
    </xf>
    <xf numFmtId="171" fontId="3" fillId="8" borderId="31" xfId="1" applyNumberFormat="1" applyFont="1" applyFill="1" applyBorder="1" applyAlignment="1">
      <alignment horizontal="left" vertical="center"/>
    </xf>
    <xf numFmtId="168" fontId="26" fillId="9" borderId="28" xfId="1" applyNumberFormat="1" applyFont="1" applyFill="1" applyBorder="1" applyAlignment="1">
      <alignment horizontal="left" vertical="center"/>
    </xf>
    <xf numFmtId="168" fontId="5" fillId="9" borderId="28" xfId="1" applyNumberFormat="1" applyFont="1" applyFill="1" applyBorder="1" applyAlignment="1">
      <alignment horizontal="left" vertical="center"/>
    </xf>
    <xf numFmtId="0" fontId="5" fillId="0" borderId="0" xfId="4" quotePrefix="1" applyNumberFormat="1" applyFont="1" applyFill="1" applyBorder="1" applyAlignment="1">
      <alignment horizontal="left" vertical="center"/>
    </xf>
    <xf numFmtId="171" fontId="5" fillId="0" borderId="36" xfId="1" applyNumberFormat="1" applyFont="1" applyBorder="1" applyAlignment="1">
      <alignment vertical="center"/>
    </xf>
    <xf numFmtId="171" fontId="5" fillId="0" borderId="37" xfId="1" applyNumberFormat="1" applyFont="1" applyBorder="1" applyAlignment="1">
      <alignment vertical="center"/>
    </xf>
    <xf numFmtId="171" fontId="5" fillId="8" borderId="38" xfId="1" applyNumberFormat="1" applyFont="1" applyFill="1" applyBorder="1" applyAlignment="1">
      <alignment horizontal="left" vertical="center"/>
    </xf>
    <xf numFmtId="171" fontId="5" fillId="0" borderId="39" xfId="1" applyNumberFormat="1" applyFont="1" applyBorder="1" applyAlignment="1">
      <alignment vertical="center"/>
    </xf>
    <xf numFmtId="171" fontId="5" fillId="0" borderId="12" xfId="1" applyNumberFormat="1" applyFont="1" applyBorder="1" applyAlignment="1">
      <alignment vertical="center"/>
    </xf>
    <xf numFmtId="171" fontId="5" fillId="8" borderId="40" xfId="1" applyNumberFormat="1" applyFont="1" applyFill="1" applyBorder="1" applyAlignment="1">
      <alignment horizontal="left" vertical="center"/>
    </xf>
    <xf numFmtId="0" fontId="3" fillId="0" borderId="41" xfId="8" applyFill="1" applyBorder="1" applyAlignment="1">
      <alignment vertical="center"/>
    </xf>
    <xf numFmtId="171" fontId="1" fillId="0" borderId="41" xfId="1" applyNumberFormat="1" applyBorder="1" applyAlignment="1">
      <alignment vertical="center"/>
    </xf>
    <xf numFmtId="171" fontId="1" fillId="8" borderId="22" xfId="1" applyNumberFormat="1" applyFill="1" applyBorder="1" applyAlignment="1">
      <alignment horizontal="left" vertical="center"/>
    </xf>
    <xf numFmtId="0" fontId="3" fillId="0" borderId="37" xfId="8" applyFill="1" applyBorder="1" applyAlignment="1">
      <alignment vertical="center"/>
    </xf>
    <xf numFmtId="171" fontId="3" fillId="0" borderId="36" xfId="1" applyNumberFormat="1" applyFont="1" applyBorder="1" applyAlignment="1">
      <alignment vertical="center"/>
    </xf>
    <xf numFmtId="171" fontId="3" fillId="0" borderId="37" xfId="1" applyNumberFormat="1" applyFont="1" applyBorder="1" applyAlignment="1">
      <alignment vertical="center"/>
    </xf>
    <xf numFmtId="171" fontId="3" fillId="8" borderId="38" xfId="1" applyNumberFormat="1" applyFont="1" applyFill="1" applyBorder="1" applyAlignment="1">
      <alignment horizontal="left" vertical="center"/>
    </xf>
    <xf numFmtId="171" fontId="1" fillId="0" borderId="28" xfId="1" applyNumberFormat="1" applyBorder="1" applyAlignment="1">
      <alignment vertical="center"/>
    </xf>
    <xf numFmtId="171" fontId="1" fillId="0" borderId="29" xfId="1" applyNumberFormat="1" applyBorder="1" applyAlignment="1">
      <alignment vertical="center"/>
    </xf>
    <xf numFmtId="171" fontId="1" fillId="0" borderId="31" xfId="1" applyNumberFormat="1" applyBorder="1" applyAlignment="1">
      <alignment horizontal="left" vertical="center"/>
    </xf>
    <xf numFmtId="171" fontId="1" fillId="0" borderId="0" xfId="1" applyNumberFormat="1" applyAlignment="1">
      <alignment horizontal="left" vertical="center"/>
    </xf>
    <xf numFmtId="0" fontId="12" fillId="0" borderId="0" xfId="8" applyFont="1" applyFill="1" applyAlignment="1">
      <alignment horizontal="right"/>
    </xf>
    <xf numFmtId="172" fontId="3" fillId="0" borderId="0" xfId="8" applyNumberFormat="1" applyAlignment="1">
      <alignment vertical="center"/>
    </xf>
    <xf numFmtId="168" fontId="3" fillId="0" borderId="14" xfId="1" applyNumberFormat="1" applyFont="1" applyFill="1" applyBorder="1" applyAlignment="1">
      <alignment vertical="center"/>
    </xf>
    <xf numFmtId="168" fontId="3" fillId="0" borderId="0" xfId="1" applyNumberFormat="1" applyFont="1" applyFill="1" applyBorder="1" applyAlignment="1">
      <alignment vertical="center"/>
    </xf>
    <xf numFmtId="168" fontId="1" fillId="0" borderId="0" xfId="1" applyNumberFormat="1" applyBorder="1" applyAlignment="1">
      <alignment vertical="center"/>
    </xf>
    <xf numFmtId="168" fontId="1" fillId="9" borderId="14" xfId="1" applyNumberFormat="1" applyFill="1" applyBorder="1" applyAlignment="1">
      <alignment horizontal="left" vertical="center"/>
    </xf>
    <xf numFmtId="168" fontId="1" fillId="9" borderId="0" xfId="1" applyNumberFormat="1" applyFill="1" applyBorder="1" applyAlignment="1">
      <alignment horizontal="left" vertical="center"/>
    </xf>
    <xf numFmtId="168" fontId="1" fillId="0" borderId="14" xfId="1" applyNumberFormat="1" applyBorder="1" applyAlignment="1">
      <alignment vertical="center"/>
    </xf>
    <xf numFmtId="168" fontId="5" fillId="0" borderId="33" xfId="1" applyNumberFormat="1" applyFont="1" applyBorder="1" applyAlignment="1">
      <alignment vertical="center"/>
    </xf>
    <xf numFmtId="168" fontId="5" fillId="0" borderId="34" xfId="1" applyNumberFormat="1" applyFont="1" applyBorder="1" applyAlignment="1">
      <alignment vertical="center"/>
    </xf>
    <xf numFmtId="168" fontId="1" fillId="8" borderId="26" xfId="1" applyNumberFormat="1" applyFill="1" applyBorder="1" applyAlignment="1">
      <alignment horizontal="left" vertical="center"/>
    </xf>
    <xf numFmtId="168" fontId="26" fillId="8" borderId="30" xfId="1" applyNumberFormat="1" applyFont="1" applyFill="1" applyBorder="1" applyAlignment="1">
      <alignment horizontal="left" vertical="center"/>
    </xf>
    <xf numFmtId="168" fontId="3" fillId="0" borderId="0" xfId="1" applyNumberFormat="1" applyFont="1" applyBorder="1" applyAlignment="1">
      <alignment vertical="center"/>
    </xf>
    <xf numFmtId="168" fontId="11" fillId="0" borderId="0" xfId="1" applyNumberFormat="1" applyFont="1" applyFill="1" applyBorder="1" applyAlignment="1">
      <alignment vertical="center"/>
    </xf>
    <xf numFmtId="168" fontId="11" fillId="0" borderId="14" xfId="1" applyNumberFormat="1" applyFont="1" applyBorder="1" applyAlignment="1">
      <alignment vertical="center"/>
    </xf>
    <xf numFmtId="168" fontId="11" fillId="0" borderId="0" xfId="1" applyNumberFormat="1" applyFont="1" applyBorder="1" applyAlignment="1">
      <alignment vertical="center"/>
    </xf>
    <xf numFmtId="168" fontId="26" fillId="0" borderId="33" xfId="1" applyNumberFormat="1" applyFont="1" applyFill="1" applyBorder="1" applyAlignment="1">
      <alignment vertical="center"/>
    </xf>
    <xf numFmtId="168" fontId="26" fillId="0" borderId="34" xfId="1" applyNumberFormat="1" applyFont="1" applyFill="1" applyBorder="1" applyAlignment="1">
      <alignment vertical="center"/>
    </xf>
    <xf numFmtId="168" fontId="11" fillId="0" borderId="14" xfId="1" applyNumberFormat="1" applyFont="1" applyFill="1" applyBorder="1" applyAlignment="1">
      <alignment vertical="center"/>
    </xf>
    <xf numFmtId="168" fontId="11" fillId="8" borderId="30" xfId="1" applyNumberFormat="1" applyFont="1" applyFill="1" applyBorder="1" applyAlignment="1">
      <alignment horizontal="left" vertical="center"/>
    </xf>
    <xf numFmtId="168" fontId="11" fillId="9" borderId="14" xfId="1" applyNumberFormat="1" applyFont="1" applyFill="1" applyBorder="1" applyAlignment="1">
      <alignment horizontal="left" vertical="center"/>
    </xf>
    <xf numFmtId="168" fontId="1" fillId="13" borderId="30" xfId="1" applyNumberFormat="1" applyFill="1" applyBorder="1" applyAlignment="1">
      <alignment horizontal="left" vertical="center"/>
    </xf>
    <xf numFmtId="168" fontId="3" fillId="0" borderId="14" xfId="1" applyNumberFormat="1" applyFont="1" applyBorder="1" applyAlignment="1">
      <alignment vertical="center"/>
    </xf>
    <xf numFmtId="168" fontId="3" fillId="9" borderId="14" xfId="1" applyNumberFormat="1" applyFont="1" applyFill="1" applyBorder="1" applyAlignment="1">
      <alignment horizontal="left" vertical="center"/>
    </xf>
    <xf numFmtId="168" fontId="1" fillId="13" borderId="14" xfId="1" applyNumberFormat="1" applyFill="1" applyBorder="1" applyAlignment="1">
      <alignment horizontal="left" vertical="center"/>
    </xf>
    <xf numFmtId="168" fontId="5" fillId="8" borderId="26" xfId="1" applyNumberFormat="1" applyFont="1" applyFill="1" applyBorder="1" applyAlignment="1">
      <alignment horizontal="left" vertical="center"/>
    </xf>
    <xf numFmtId="168" fontId="26" fillId="0" borderId="33" xfId="1" applyNumberFormat="1" applyFont="1" applyBorder="1" applyAlignment="1">
      <alignment vertical="center"/>
    </xf>
    <xf numFmtId="168" fontId="26" fillId="0" borderId="34" xfId="1" applyNumberFormat="1" applyFont="1" applyBorder="1" applyAlignment="1">
      <alignment vertical="center"/>
    </xf>
    <xf numFmtId="168" fontId="26" fillId="8" borderId="26" xfId="1" applyNumberFormat="1" applyFont="1" applyFill="1" applyBorder="1" applyAlignment="1">
      <alignment horizontal="left" vertical="center"/>
    </xf>
    <xf numFmtId="168" fontId="5" fillId="0" borderId="29" xfId="1" applyNumberFormat="1" applyFont="1" applyFill="1" applyBorder="1" applyAlignment="1">
      <alignment horizontal="left"/>
    </xf>
    <xf numFmtId="168" fontId="26" fillId="0" borderId="29" xfId="1" applyNumberFormat="1" applyFont="1" applyFill="1" applyBorder="1" applyAlignment="1">
      <alignment vertical="center"/>
    </xf>
    <xf numFmtId="168" fontId="26" fillId="14" borderId="28" xfId="1" applyNumberFormat="1" applyFont="1" applyFill="1" applyBorder="1" applyAlignment="1">
      <alignment vertical="center"/>
    </xf>
    <xf numFmtId="168" fontId="3" fillId="8" borderId="31" xfId="1" applyNumberFormat="1" applyFont="1" applyFill="1" applyBorder="1" applyAlignment="1">
      <alignment horizontal="left" vertical="center"/>
    </xf>
    <xf numFmtId="168" fontId="3" fillId="8" borderId="42" xfId="1" applyNumberFormat="1" applyFont="1" applyFill="1" applyBorder="1" applyAlignment="1">
      <alignment horizontal="left" vertical="center"/>
    </xf>
    <xf numFmtId="168" fontId="5" fillId="8" borderId="31" xfId="1" applyNumberFormat="1" applyFont="1" applyFill="1" applyBorder="1" applyAlignment="1">
      <alignment horizontal="left" vertical="center"/>
    </xf>
    <xf numFmtId="168" fontId="3" fillId="0" borderId="0" xfId="8" applyNumberFormat="1" applyAlignment="1">
      <alignment vertical="center"/>
    </xf>
    <xf numFmtId="168" fontId="3" fillId="0" borderId="0" xfId="8" applyNumberFormat="1" applyAlignment="1">
      <alignment horizontal="left" vertical="center"/>
    </xf>
    <xf numFmtId="168" fontId="3" fillId="9" borderId="0" xfId="8" applyNumberFormat="1" applyFill="1" applyBorder="1" applyAlignment="1">
      <alignment horizontal="left" vertical="center"/>
    </xf>
    <xf numFmtId="171" fontId="3" fillId="0" borderId="0" xfId="8" applyNumberFormat="1" applyAlignment="1">
      <alignment horizontal="left" vertical="center"/>
    </xf>
    <xf numFmtId="171" fontId="3" fillId="9" borderId="0" xfId="8" applyNumberFormat="1" applyFill="1" applyBorder="1" applyAlignment="1">
      <alignment horizontal="left" vertical="center"/>
    </xf>
    <xf numFmtId="173" fontId="20" fillId="0" borderId="1" xfId="0" applyNumberFormat="1" applyFont="1" applyBorder="1"/>
    <xf numFmtId="175" fontId="20" fillId="0" borderId="1" xfId="0" applyNumberFormat="1" applyFont="1" applyBorder="1"/>
    <xf numFmtId="173" fontId="0" fillId="0" borderId="1" xfId="0" applyNumberFormat="1" applyBorder="1"/>
    <xf numFmtId="173" fontId="2" fillId="0" borderId="1" xfId="0" applyNumberFormat="1" applyFont="1" applyBorder="1"/>
    <xf numFmtId="173" fontId="0" fillId="0" borderId="0" xfId="0" applyNumberFormat="1"/>
    <xf numFmtId="174" fontId="0" fillId="0" borderId="1" xfId="0" applyNumberFormat="1" applyBorder="1"/>
    <xf numFmtId="174" fontId="0" fillId="0" borderId="0" xfId="0" applyNumberFormat="1"/>
    <xf numFmtId="174" fontId="20" fillId="0" borderId="1" xfId="0" applyNumberFormat="1" applyFont="1" applyBorder="1"/>
    <xf numFmtId="9" fontId="0" fillId="0" borderId="1" xfId="0" applyNumberFormat="1" applyBorder="1"/>
    <xf numFmtId="9" fontId="0" fillId="0" borderId="0" xfId="0" applyNumberFormat="1"/>
    <xf numFmtId="175" fontId="0" fillId="0" borderId="1" xfId="0" applyNumberFormat="1" applyBorder="1"/>
    <xf numFmtId="175" fontId="0" fillId="0" borderId="0" xfId="0" applyNumberFormat="1"/>
    <xf numFmtId="173" fontId="18" fillId="0" borderId="1" xfId="0" applyNumberFormat="1" applyFont="1" applyBorder="1"/>
    <xf numFmtId="174" fontId="19" fillId="0" borderId="1" xfId="1" applyNumberFormat="1" applyFont="1" applyBorder="1" applyAlignment="1">
      <alignment horizontal="center"/>
    </xf>
    <xf numFmtId="173" fontId="19" fillId="0" borderId="1" xfId="2" applyNumberFormat="1" applyFont="1" applyBorder="1" applyAlignment="1">
      <alignment horizontal="right"/>
    </xf>
    <xf numFmtId="173" fontId="19" fillId="0" borderId="1" xfId="1" applyNumberFormat="1" applyFont="1" applyBorder="1" applyAlignment="1">
      <alignment horizontal="center"/>
    </xf>
    <xf numFmtId="173" fontId="16" fillId="0" borderId="1" xfId="0" applyNumberFormat="1" applyFont="1" applyBorder="1"/>
    <xf numFmtId="174" fontId="15" fillId="0" borderId="1" xfId="1" applyNumberFormat="1" applyFont="1" applyBorder="1" applyAlignment="1">
      <alignment horizontal="center"/>
    </xf>
    <xf numFmtId="0" fontId="21" fillId="7" borderId="1" xfId="6" applyFont="1" applyBorder="1"/>
    <xf numFmtId="173" fontId="0" fillId="0" borderId="8" xfId="0" applyNumberFormat="1" applyBorder="1"/>
    <xf numFmtId="174" fontId="0" fillId="0" borderId="8" xfId="0" applyNumberFormat="1" applyBorder="1"/>
    <xf numFmtId="9" fontId="0" fillId="0" borderId="8" xfId="0" applyNumberFormat="1" applyBorder="1"/>
    <xf numFmtId="175" fontId="0" fillId="0" borderId="8" xfId="0" applyNumberFormat="1" applyBorder="1"/>
    <xf numFmtId="0" fontId="21" fillId="7" borderId="43" xfId="6" applyFont="1" applyBorder="1"/>
    <xf numFmtId="0" fontId="21" fillId="7" borderId="44" xfId="6" applyFont="1" applyBorder="1"/>
    <xf numFmtId="173" fontId="21" fillId="7" borderId="44" xfId="6" applyNumberFormat="1" applyFont="1" applyBorder="1"/>
    <xf numFmtId="174" fontId="21" fillId="7" borderId="44" xfId="6" applyNumberFormat="1" applyFont="1" applyBorder="1"/>
    <xf numFmtId="9" fontId="21" fillId="7" borderId="44" xfId="6" applyNumberFormat="1" applyFont="1" applyBorder="1"/>
    <xf numFmtId="175" fontId="21" fillId="7" borderId="44" xfId="6" applyNumberFormat="1" applyFont="1" applyBorder="1"/>
    <xf numFmtId="9" fontId="21" fillId="7" borderId="45" xfId="6" applyNumberFormat="1" applyFont="1" applyBorder="1"/>
    <xf numFmtId="17" fontId="14" fillId="6" borderId="46" xfId="0" applyNumberFormat="1" applyFont="1" applyFill="1" applyBorder="1" applyAlignment="1">
      <alignment horizontal="center"/>
    </xf>
    <xf numFmtId="9" fontId="0" fillId="0" borderId="47" xfId="0" applyNumberFormat="1" applyBorder="1"/>
    <xf numFmtId="17" fontId="32" fillId="16" borderId="46" xfId="0" applyNumberFormat="1" applyFont="1" applyFill="1" applyBorder="1" applyAlignment="1">
      <alignment horizontal="center"/>
    </xf>
    <xf numFmtId="9" fontId="20" fillId="0" borderId="47" xfId="0" applyNumberFormat="1" applyFont="1" applyBorder="1"/>
    <xf numFmtId="17" fontId="14" fillId="16" borderId="46" xfId="0" applyNumberFormat="1" applyFont="1" applyFill="1" applyBorder="1" applyAlignment="1">
      <alignment horizontal="center"/>
    </xf>
    <xf numFmtId="17" fontId="14" fillId="16" borderId="48" xfId="0" applyNumberFormat="1" applyFont="1" applyFill="1" applyBorder="1" applyAlignment="1">
      <alignment horizontal="center"/>
    </xf>
    <xf numFmtId="0" fontId="2" fillId="0" borderId="20" xfId="0" applyFont="1" applyBorder="1"/>
    <xf numFmtId="173" fontId="2" fillId="0" borderId="20" xfId="0" applyNumberFormat="1" applyFont="1" applyBorder="1"/>
    <xf numFmtId="174" fontId="0" fillId="0" borderId="20" xfId="0" applyNumberFormat="1" applyBorder="1"/>
    <xf numFmtId="173" fontId="0" fillId="0" borderId="20" xfId="0" applyNumberFormat="1" applyBorder="1"/>
    <xf numFmtId="9" fontId="0" fillId="0" borderId="20" xfId="0" applyNumberFormat="1" applyBorder="1"/>
    <xf numFmtId="175" fontId="0" fillId="0" borderId="20" xfId="0" applyNumberFormat="1" applyBorder="1"/>
    <xf numFmtId="9" fontId="0" fillId="0" borderId="49" xfId="0" applyNumberFormat="1" applyBorder="1"/>
    <xf numFmtId="17" fontId="12" fillId="11" borderId="16" xfId="8" applyNumberFormat="1" applyFont="1" applyFill="1" applyBorder="1" applyAlignment="1">
      <alignment horizontal="center"/>
    </xf>
    <xf numFmtId="17" fontId="12" fillId="11" borderId="17" xfId="8" applyNumberFormat="1" applyFont="1" applyFill="1" applyBorder="1" applyAlignment="1">
      <alignment horizontal="center"/>
    </xf>
    <xf numFmtId="17" fontId="12" fillId="11" borderId="18" xfId="8" applyNumberFormat="1" applyFont="1" applyFill="1" applyBorder="1" applyAlignment="1">
      <alignment horizontal="center"/>
    </xf>
    <xf numFmtId="17" fontId="12" fillId="12" borderId="16" xfId="8" applyNumberFormat="1" applyFont="1" applyFill="1" applyBorder="1" applyAlignment="1">
      <alignment horizontal="center"/>
    </xf>
    <xf numFmtId="17" fontId="12" fillId="12" borderId="17" xfId="8" applyNumberFormat="1" applyFont="1" applyFill="1" applyBorder="1" applyAlignment="1">
      <alignment horizontal="center"/>
    </xf>
    <xf numFmtId="17" fontId="12" fillId="12" borderId="18" xfId="8" applyNumberFormat="1" applyFont="1" applyFill="1" applyBorder="1" applyAlignment="1">
      <alignment horizontal="center"/>
    </xf>
  </cellXfs>
  <cellStyles count="9">
    <cellStyle name="Accent5" xfId="6" builtinId="45"/>
    <cellStyle name="Comma" xfId="1" builtinId="3"/>
    <cellStyle name="Hyperlink" xfId="7" builtinId="8"/>
    <cellStyle name="Normal" xfId="0" builtinId="0"/>
    <cellStyle name="Normal 2 2 2" xfId="4" xr:uid="{D714C64F-6BEF-4310-A3B4-86DAF8C7A460}"/>
    <cellStyle name="Normal 4 2 2" xfId="8" xr:uid="{6A4894CE-20E3-4FC8-9F0B-075B03481970}"/>
    <cellStyle name="Normal 5 2 3" xfId="3" xr:uid="{AA91AC3D-3912-4FB2-929F-00F9AE7A1761}"/>
    <cellStyle name="Percent" xfId="2" builtinId="5"/>
    <cellStyle name="Percent 3" xfId="5" xr:uid="{AF49D033-8A8C-4436-8C41-8D4BC87A5A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b3f8d4858ce55f1/Desktop/Issc/ISSC%20Spend%20Analysis_YTD%20February%5eJ%202025%201.xlsx" TargetMode="External"/><Relationship Id="rId1" Type="http://schemas.openxmlformats.org/officeDocument/2006/relationships/externalLinkPath" Target="ISSC%20Spend%20Analysis_YTD%20February%5eJ%202025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 Recharge Summary"/>
      <sheetName val="ISSC Spend_KPI's"/>
      <sheetName val="P&amp;L-Budget 2025"/>
      <sheetName val="Actual YTD feb"/>
      <sheetName val="JAN IS"/>
      <sheetName val="working"/>
      <sheetName val="Dep working "/>
      <sheetName val="Overseas Travel-2024"/>
      <sheetName val="HC Names"/>
      <sheetName val="ISSC Teams"/>
      <sheetName val="Fixed Vs. Variable Exp"/>
      <sheetName val="Overseas Travelling"/>
      <sheetName val="Course &amp; Training"/>
      <sheetName val="CD"/>
    </sheetNames>
    <sheetDataSet>
      <sheetData sheetId="0"/>
      <sheetData sheetId="1">
        <row r="27">
          <cell r="F27">
            <v>2.5205839514021808E-2</v>
          </cell>
        </row>
      </sheetData>
      <sheetData sheetId="2"/>
      <sheetData sheetId="3">
        <row r="54">
          <cell r="KL54">
            <v>8362.9625333488002</v>
          </cell>
        </row>
        <row r="66">
          <cell r="KL66">
            <v>20775.466883192206</v>
          </cell>
        </row>
        <row r="91">
          <cell r="KL91">
            <v>4110.4332444032025</v>
          </cell>
        </row>
        <row r="205">
          <cell r="KL205">
            <v>22.55</v>
          </cell>
        </row>
        <row r="217">
          <cell r="KL217">
            <v>0</v>
          </cell>
        </row>
        <row r="242">
          <cell r="KL242">
            <v>-4921.4199999999964</v>
          </cell>
        </row>
      </sheetData>
      <sheetData sheetId="4"/>
      <sheetData sheetId="5"/>
      <sheetData sheetId="6">
        <row r="153">
          <cell r="AR153">
            <v>25.854360539894387</v>
          </cell>
          <cell r="AS153">
            <v>284.39796593883824</v>
          </cell>
          <cell r="AT153">
            <v>25.854360539894387</v>
          </cell>
          <cell r="AU153">
            <v>749.77645565693717</v>
          </cell>
          <cell r="AV153">
            <v>77.56308161968316</v>
          </cell>
          <cell r="AW153">
            <v>77.56308161968316</v>
          </cell>
          <cell r="AX153">
            <v>51.708721079788774</v>
          </cell>
          <cell r="AY153">
            <v>387.81540809841579</v>
          </cell>
          <cell r="BB153">
            <v>723.92209511704277</v>
          </cell>
          <cell r="BC153">
            <v>698.06773457714849</v>
          </cell>
          <cell r="BD153">
            <v>51.708721079788774</v>
          </cell>
          <cell r="BE153">
            <v>51.708721079788774</v>
          </cell>
          <cell r="BF153">
            <v>25.854360539894387</v>
          </cell>
          <cell r="BG153">
            <v>180.98052377926069</v>
          </cell>
          <cell r="BH153">
            <v>25.854360539894387</v>
          </cell>
          <cell r="BI153">
            <v>103.41744215957755</v>
          </cell>
          <cell r="BJ153">
            <v>25.854360539894387</v>
          </cell>
          <cell r="BK153">
            <v>25.854360539894387</v>
          </cell>
          <cell r="BL153">
            <v>180.98052377926069</v>
          </cell>
          <cell r="BM153">
            <v>284.39796593883824</v>
          </cell>
          <cell r="BN153">
            <v>129.27180269947195</v>
          </cell>
        </row>
        <row r="154">
          <cell r="AR154">
            <v>26.381412002360531</v>
          </cell>
          <cell r="AS154">
            <v>290.19553202596586</v>
          </cell>
          <cell r="AT154">
            <v>26.381412002360531</v>
          </cell>
          <cell r="AU154">
            <v>765.06094806845533</v>
          </cell>
          <cell r="AV154">
            <v>79.144236007081588</v>
          </cell>
          <cell r="AW154">
            <v>79.144236007081588</v>
          </cell>
          <cell r="AX154">
            <v>52.762824004721061</v>
          </cell>
          <cell r="AY154">
            <v>395.72118003540794</v>
          </cell>
          <cell r="BB154">
            <v>738.6795360660949</v>
          </cell>
          <cell r="BC154">
            <v>712.29812406373435</v>
          </cell>
          <cell r="BD154">
            <v>52.762824004721061</v>
          </cell>
          <cell r="BE154">
            <v>52.762824004721061</v>
          </cell>
          <cell r="BF154">
            <v>26.381412002360531</v>
          </cell>
          <cell r="BG154">
            <v>184.66988401652372</v>
          </cell>
          <cell r="BH154">
            <v>26.381412002360531</v>
          </cell>
          <cell r="BI154">
            <v>105.52564800944212</v>
          </cell>
          <cell r="BJ154">
            <v>26.381412002360531</v>
          </cell>
          <cell r="BK154">
            <v>26.381412002360531</v>
          </cell>
          <cell r="BL154">
            <v>184.66988401652372</v>
          </cell>
          <cell r="BM154">
            <v>290.19553202596586</v>
          </cell>
          <cell r="BN154">
            <v>131.90706001180266</v>
          </cell>
        </row>
        <row r="155">
          <cell r="AR155">
            <v>26.625960854631025</v>
          </cell>
          <cell r="AS155">
            <v>292.88556940094128</v>
          </cell>
          <cell r="AT155">
            <v>26.625960854631025</v>
          </cell>
          <cell r="AU155">
            <v>772.15286478429971</v>
          </cell>
          <cell r="AV155">
            <v>79.877882563893081</v>
          </cell>
          <cell r="AW155">
            <v>79.877882563893081</v>
          </cell>
          <cell r="AX155">
            <v>53.251921709262049</v>
          </cell>
          <cell r="AY155">
            <v>399.38941281946535</v>
          </cell>
          <cell r="BB155">
            <v>745.52690392966872</v>
          </cell>
          <cell r="BC155">
            <v>718.90094307503762</v>
          </cell>
          <cell r="BD155">
            <v>53.251921709262049</v>
          </cell>
          <cell r="BE155">
            <v>53.251921709262049</v>
          </cell>
          <cell r="BF155">
            <v>26.625960854631025</v>
          </cell>
          <cell r="BG155">
            <v>186.38172598241718</v>
          </cell>
          <cell r="BH155">
            <v>26.625960854631025</v>
          </cell>
          <cell r="BI155">
            <v>106.5038434185241</v>
          </cell>
          <cell r="BJ155">
            <v>26.625960854631025</v>
          </cell>
          <cell r="BK155">
            <v>26.625960854631025</v>
          </cell>
          <cell r="BL155">
            <v>186.38172598241718</v>
          </cell>
          <cell r="BM155">
            <v>292.88556940094128</v>
          </cell>
          <cell r="BN155">
            <v>133.12980427315512</v>
          </cell>
        </row>
        <row r="156">
          <cell r="AR156">
            <v>26.870509706901512</v>
          </cell>
          <cell r="AS156">
            <v>295.57560677591664</v>
          </cell>
          <cell r="AT156">
            <v>26.870509706901512</v>
          </cell>
          <cell r="AU156">
            <v>779.24478150014386</v>
          </cell>
          <cell r="AV156">
            <v>80.611529120704532</v>
          </cell>
          <cell r="AW156">
            <v>80.611529120704532</v>
          </cell>
          <cell r="AX156">
            <v>53.741019413803023</v>
          </cell>
          <cell r="AY156">
            <v>403.0576456035227</v>
          </cell>
          <cell r="BB156">
            <v>752.37427179324231</v>
          </cell>
          <cell r="BC156">
            <v>725.50376208634077</v>
          </cell>
          <cell r="BD156">
            <v>53.741019413803023</v>
          </cell>
          <cell r="BE156">
            <v>53.741019413803023</v>
          </cell>
          <cell r="BF156">
            <v>26.870509706901512</v>
          </cell>
          <cell r="BG156">
            <v>188.09356794831058</v>
          </cell>
          <cell r="BH156">
            <v>26.870509706901512</v>
          </cell>
          <cell r="BI156">
            <v>107.48203882760605</v>
          </cell>
          <cell r="BJ156">
            <v>26.870509706901512</v>
          </cell>
          <cell r="BK156">
            <v>26.870509706901512</v>
          </cell>
          <cell r="BL156">
            <v>188.09356794831058</v>
          </cell>
          <cell r="BM156">
            <v>295.57560677591664</v>
          </cell>
          <cell r="BN156">
            <v>134.35254853450755</v>
          </cell>
        </row>
        <row r="157">
          <cell r="AR157">
            <v>26.870509706901512</v>
          </cell>
          <cell r="AS157">
            <v>295.57560677591664</v>
          </cell>
          <cell r="AT157">
            <v>26.870509706901512</v>
          </cell>
          <cell r="AU157">
            <v>779.24478150014386</v>
          </cell>
          <cell r="AV157">
            <v>80.611529120704532</v>
          </cell>
          <cell r="AW157">
            <v>80.611529120704532</v>
          </cell>
          <cell r="AX157">
            <v>53.741019413803023</v>
          </cell>
          <cell r="AY157">
            <v>403.0576456035227</v>
          </cell>
          <cell r="BB157">
            <v>752.37427179324231</v>
          </cell>
          <cell r="BC157">
            <v>725.50376208634077</v>
          </cell>
          <cell r="BD157">
            <v>53.741019413803023</v>
          </cell>
          <cell r="BE157">
            <v>53.741019413803023</v>
          </cell>
          <cell r="BF157">
            <v>26.870509706901512</v>
          </cell>
          <cell r="BG157">
            <v>188.09356794831058</v>
          </cell>
          <cell r="BH157">
            <v>26.870509706901512</v>
          </cell>
          <cell r="BI157">
            <v>107.48203882760605</v>
          </cell>
          <cell r="BJ157">
            <v>26.870509706901512</v>
          </cell>
          <cell r="BK157">
            <v>26.870509706901512</v>
          </cell>
          <cell r="BL157">
            <v>188.09356794831058</v>
          </cell>
          <cell r="BM157">
            <v>295.57560677591664</v>
          </cell>
          <cell r="BN157">
            <v>134.35254853450755</v>
          </cell>
        </row>
        <row r="158">
          <cell r="AR158">
            <v>26.870509706901512</v>
          </cell>
          <cell r="AS158">
            <v>295.57560677591664</v>
          </cell>
          <cell r="AT158">
            <v>26.870509706901512</v>
          </cell>
          <cell r="AU158">
            <v>779.24478150014386</v>
          </cell>
          <cell r="AV158">
            <v>80.611529120704532</v>
          </cell>
          <cell r="AW158">
            <v>80.611529120704532</v>
          </cell>
          <cell r="AX158">
            <v>53.741019413803023</v>
          </cell>
          <cell r="AY158">
            <v>403.0576456035227</v>
          </cell>
          <cell r="BB158">
            <v>752.37427179324231</v>
          </cell>
          <cell r="BC158">
            <v>725.50376208634077</v>
          </cell>
          <cell r="BD158">
            <v>53.741019413803023</v>
          </cell>
          <cell r="BE158">
            <v>53.741019413803023</v>
          </cell>
          <cell r="BF158">
            <v>26.870509706901512</v>
          </cell>
          <cell r="BG158">
            <v>188.09356794831058</v>
          </cell>
          <cell r="BH158">
            <v>26.870509706901512</v>
          </cell>
          <cell r="BI158">
            <v>107.48203882760605</v>
          </cell>
          <cell r="BJ158">
            <v>26.870509706901512</v>
          </cell>
          <cell r="BK158">
            <v>26.870509706901512</v>
          </cell>
          <cell r="BL158">
            <v>188.09356794831058</v>
          </cell>
          <cell r="BM158">
            <v>295.57560677591664</v>
          </cell>
          <cell r="BN158">
            <v>134.35254853450755</v>
          </cell>
        </row>
        <row r="159">
          <cell r="AR159">
            <v>28.92748999425001</v>
          </cell>
          <cell r="AS159">
            <v>318.20238993675014</v>
          </cell>
          <cell r="AT159">
            <v>28.92748999425001</v>
          </cell>
          <cell r="AU159">
            <v>838.89720983325026</v>
          </cell>
          <cell r="AV159">
            <v>86.78246998275003</v>
          </cell>
          <cell r="AW159">
            <v>86.78246998275003</v>
          </cell>
          <cell r="AX159">
            <v>57.85497998850002</v>
          </cell>
          <cell r="AY159">
            <v>433.91234991375018</v>
          </cell>
          <cell r="BB159">
            <v>809.96971983900028</v>
          </cell>
          <cell r="BC159">
            <v>781.0422298447503</v>
          </cell>
          <cell r="BD159">
            <v>57.85497998850002</v>
          </cell>
          <cell r="BE159">
            <v>57.85497998850002</v>
          </cell>
          <cell r="BF159">
            <v>28.92748999425001</v>
          </cell>
          <cell r="BG159">
            <v>202.49242995975007</v>
          </cell>
          <cell r="BH159">
            <v>28.92748999425001</v>
          </cell>
          <cell r="BI159">
            <v>115.70995997700004</v>
          </cell>
          <cell r="BJ159">
            <v>28.92748999425001</v>
          </cell>
          <cell r="BK159">
            <v>28.92748999425001</v>
          </cell>
          <cell r="BL159">
            <v>202.49242995975007</v>
          </cell>
          <cell r="BM159">
            <v>318.20238993675014</v>
          </cell>
          <cell r="BN159">
            <v>144.63744997125005</v>
          </cell>
        </row>
        <row r="160">
          <cell r="AR160">
            <v>29.258513399004347</v>
          </cell>
          <cell r="AS160">
            <v>321.84364738904782</v>
          </cell>
          <cell r="AT160">
            <v>29.258513399004347</v>
          </cell>
          <cell r="AU160">
            <v>848.49688857112608</v>
          </cell>
          <cell r="AV160">
            <v>87.775540197013044</v>
          </cell>
          <cell r="AW160">
            <v>87.775540197013044</v>
          </cell>
          <cell r="AX160">
            <v>58.517026798008693</v>
          </cell>
          <cell r="AY160">
            <v>438.87770098506519</v>
          </cell>
          <cell r="BB160">
            <v>819.23837517212166</v>
          </cell>
          <cell r="BC160">
            <v>789.97986177311736</v>
          </cell>
          <cell r="BD160">
            <v>58.517026798008693</v>
          </cell>
          <cell r="BE160">
            <v>58.517026798008693</v>
          </cell>
          <cell r="BF160">
            <v>29.258513399004347</v>
          </cell>
          <cell r="BG160">
            <v>204.80959379303042</v>
          </cell>
          <cell r="BH160">
            <v>29.258513399004347</v>
          </cell>
          <cell r="BI160">
            <v>117.03405359601739</v>
          </cell>
          <cell r="BJ160">
            <v>29.258513399004347</v>
          </cell>
          <cell r="BK160">
            <v>29.258513399004347</v>
          </cell>
          <cell r="BL160">
            <v>204.80959379303042</v>
          </cell>
          <cell r="BM160">
            <v>321.84364738904782</v>
          </cell>
          <cell r="BN160">
            <v>146.29256699502173</v>
          </cell>
        </row>
        <row r="161">
          <cell r="AR161">
            <v>29.258513399004347</v>
          </cell>
          <cell r="AS161">
            <v>321.84364738904782</v>
          </cell>
          <cell r="AT161">
            <v>29.258513399004347</v>
          </cell>
          <cell r="AU161">
            <v>848.49688857112608</v>
          </cell>
          <cell r="AV161">
            <v>87.775540197013044</v>
          </cell>
          <cell r="AW161">
            <v>87.775540197013044</v>
          </cell>
          <cell r="AX161">
            <v>58.517026798008693</v>
          </cell>
          <cell r="AY161">
            <v>438.87770098506519</v>
          </cell>
          <cell r="BB161">
            <v>819.23837517212166</v>
          </cell>
          <cell r="BC161">
            <v>789.97986177311736</v>
          </cell>
          <cell r="BD161">
            <v>58.517026798008693</v>
          </cell>
          <cell r="BE161">
            <v>58.517026798008693</v>
          </cell>
          <cell r="BF161">
            <v>29.258513399004347</v>
          </cell>
          <cell r="BG161">
            <v>204.80959379303042</v>
          </cell>
          <cell r="BH161">
            <v>29.258513399004347</v>
          </cell>
          <cell r="BI161">
            <v>117.03405359601739</v>
          </cell>
          <cell r="BJ161">
            <v>29.258513399004347</v>
          </cell>
          <cell r="BK161">
            <v>29.258513399004347</v>
          </cell>
          <cell r="BL161">
            <v>204.80959379303042</v>
          </cell>
          <cell r="BM161">
            <v>321.84364738904782</v>
          </cell>
          <cell r="BN161">
            <v>146.29256699502173</v>
          </cell>
        </row>
        <row r="162">
          <cell r="AR162">
            <v>29.398054836806033</v>
          </cell>
          <cell r="AS162">
            <v>323.37860320486635</v>
          </cell>
          <cell r="AT162">
            <v>29.398054836806033</v>
          </cell>
          <cell r="AU162">
            <v>852.54359026737495</v>
          </cell>
          <cell r="AV162">
            <v>88.194164510418091</v>
          </cell>
          <cell r="AW162">
            <v>88.194164510418091</v>
          </cell>
          <cell r="AX162">
            <v>58.796109673612065</v>
          </cell>
          <cell r="AY162">
            <v>440.97082255209051</v>
          </cell>
          <cell r="BB162">
            <v>823.14553543056888</v>
          </cell>
          <cell r="BC162">
            <v>793.74748059376293</v>
          </cell>
          <cell r="BD162">
            <v>58.796109673612065</v>
          </cell>
          <cell r="BE162">
            <v>58.796109673612065</v>
          </cell>
          <cell r="BF162">
            <v>29.398054836806033</v>
          </cell>
          <cell r="BG162">
            <v>205.78638385764222</v>
          </cell>
          <cell r="BH162">
            <v>29.398054836806033</v>
          </cell>
          <cell r="BI162">
            <v>117.59221934722413</v>
          </cell>
          <cell r="BJ162">
            <v>29.398054836806033</v>
          </cell>
          <cell r="BK162">
            <v>29.398054836806033</v>
          </cell>
          <cell r="BL162">
            <v>205.78638385764222</v>
          </cell>
          <cell r="BM162">
            <v>323.37860320486635</v>
          </cell>
          <cell r="BN162">
            <v>146.99027418403017</v>
          </cell>
        </row>
        <row r="163">
          <cell r="AR163">
            <v>35.476982046393395</v>
          </cell>
          <cell r="AS163">
            <v>390.24680251032737</v>
          </cell>
          <cell r="AT163">
            <v>35.476982046393395</v>
          </cell>
          <cell r="AU163">
            <v>1028.8324793454085</v>
          </cell>
          <cell r="AV163">
            <v>106.43094613918018</v>
          </cell>
          <cell r="AW163">
            <v>106.43094613918018</v>
          </cell>
          <cell r="AX163">
            <v>70.953964092786791</v>
          </cell>
          <cell r="AY163">
            <v>532.15473069590098</v>
          </cell>
          <cell r="BB163">
            <v>993.35549729901504</v>
          </cell>
          <cell r="BC163">
            <v>957.8785152526217</v>
          </cell>
          <cell r="BD163">
            <v>70.953964092786791</v>
          </cell>
          <cell r="BE163">
            <v>70.953964092786791</v>
          </cell>
          <cell r="BF163">
            <v>35.476982046393395</v>
          </cell>
          <cell r="BG163">
            <v>248.33887432475376</v>
          </cell>
          <cell r="BH163">
            <v>35.476982046393395</v>
          </cell>
          <cell r="BI163">
            <v>141.90792818557358</v>
          </cell>
          <cell r="BJ163">
            <v>35.476982046393395</v>
          </cell>
          <cell r="BK163">
            <v>35.476982046393395</v>
          </cell>
          <cell r="BL163">
            <v>248.33887432475376</v>
          </cell>
          <cell r="BM163">
            <v>390.24680251032737</v>
          </cell>
          <cell r="BN163">
            <v>177.38491023196698</v>
          </cell>
        </row>
        <row r="164">
          <cell r="AR164">
            <v>35.476982046393395</v>
          </cell>
          <cell r="AS164">
            <v>390.24680251032737</v>
          </cell>
          <cell r="AT164">
            <v>35.476982046393395</v>
          </cell>
          <cell r="AU164">
            <v>1028.8324793454085</v>
          </cell>
          <cell r="AV164">
            <v>106.43094613918018</v>
          </cell>
          <cell r="AW164">
            <v>106.43094613918018</v>
          </cell>
          <cell r="AX164">
            <v>70.953964092786791</v>
          </cell>
          <cell r="AY164">
            <v>532.15473069590098</v>
          </cell>
          <cell r="BB164">
            <v>993.35549729901504</v>
          </cell>
          <cell r="BC164">
            <v>957.8785152526217</v>
          </cell>
          <cell r="BD164">
            <v>70.953964092786791</v>
          </cell>
          <cell r="BE164">
            <v>70.953964092786791</v>
          </cell>
          <cell r="BF164">
            <v>35.476982046393395</v>
          </cell>
          <cell r="BG164">
            <v>248.33887432475376</v>
          </cell>
          <cell r="BH164">
            <v>35.476982046393395</v>
          </cell>
          <cell r="BI164">
            <v>141.90792818557358</v>
          </cell>
          <cell r="BJ164">
            <v>35.476982046393395</v>
          </cell>
          <cell r="BK164">
            <v>35.476982046393395</v>
          </cell>
          <cell r="BL164">
            <v>248.33887432475376</v>
          </cell>
          <cell r="BM164">
            <v>390.24680251032737</v>
          </cell>
          <cell r="BN164">
            <v>177.38491023196698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Anglo-Eastern">
      <a:dk1>
        <a:sysClr val="windowText" lastClr="000000"/>
      </a:dk1>
      <a:lt1>
        <a:sysClr val="window" lastClr="FFFFFF"/>
      </a:lt1>
      <a:dk2>
        <a:srgbClr val="003963"/>
      </a:dk2>
      <a:lt2>
        <a:srgbClr val="F3AD1C"/>
      </a:lt2>
      <a:accent1>
        <a:srgbClr val="00B098"/>
      </a:accent1>
      <a:accent2>
        <a:srgbClr val="45C4D6"/>
      </a:accent2>
      <a:accent3>
        <a:srgbClr val="BAD8E1"/>
      </a:accent3>
      <a:accent4>
        <a:srgbClr val="00B2BA"/>
      </a:accent4>
      <a:accent5>
        <a:srgbClr val="5AA8FF"/>
      </a:accent5>
      <a:accent6>
        <a:srgbClr val="001E37"/>
      </a:accent6>
      <a:hlink>
        <a:srgbClr val="F3AD1C"/>
      </a:hlink>
      <a:folHlink>
        <a:srgbClr val="003963"/>
      </a:folHlink>
    </a:clrScheme>
    <a:fontScheme name="Anglo-Eastern">
      <a:majorFont>
        <a:latin typeface="Arial Narrow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6E11-B0B7-48C8-A9C8-5EFCAF8C1366}">
  <dimension ref="A1:AD169"/>
  <sheetViews>
    <sheetView tabSelected="1" workbookViewId="0">
      <selection activeCell="AD8" sqref="AD8"/>
    </sheetView>
  </sheetViews>
  <sheetFormatPr defaultRowHeight="14" x14ac:dyDescent="0.3"/>
  <cols>
    <col min="1" max="1" width="10.25" customWidth="1"/>
    <col min="2" max="2" width="49.75" customWidth="1"/>
    <col min="3" max="3" width="16.33203125" customWidth="1"/>
    <col min="4" max="4" width="17.58203125" bestFit="1" customWidth="1"/>
    <col min="5" max="5" width="20.83203125" bestFit="1" customWidth="1"/>
    <col min="6" max="6" width="19.5" bestFit="1" customWidth="1"/>
    <col min="7" max="7" width="14" bestFit="1" customWidth="1"/>
    <col min="8" max="8" width="13.25" bestFit="1" customWidth="1"/>
    <col min="9" max="9" width="15.75" bestFit="1" customWidth="1"/>
    <col min="10" max="10" width="11.75" bestFit="1" customWidth="1"/>
    <col min="11" max="11" width="19.75" bestFit="1" customWidth="1"/>
    <col min="12" max="12" width="24.08203125" bestFit="1" customWidth="1"/>
    <col min="13" max="13" width="27.5" bestFit="1" customWidth="1"/>
    <col min="14" max="14" width="12.08203125" customWidth="1"/>
    <col min="15" max="15" width="14.83203125" customWidth="1"/>
    <col min="16" max="16" width="12.58203125" bestFit="1" customWidth="1"/>
    <col min="17" max="19" width="16.75" bestFit="1" customWidth="1"/>
    <col min="20" max="20" width="23.83203125" bestFit="1" customWidth="1"/>
    <col min="21" max="26" width="16.75" bestFit="1" customWidth="1"/>
    <col min="27" max="27" width="16.75" customWidth="1"/>
    <col min="28" max="29" width="16" bestFit="1" customWidth="1"/>
    <col min="30" max="30" width="11.75" bestFit="1" customWidth="1"/>
  </cols>
  <sheetData>
    <row r="1" spans="1:30" x14ac:dyDescent="0.3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D1" s="2"/>
    </row>
    <row r="2" spans="1:30" x14ac:dyDescent="0.3">
      <c r="A2" s="3">
        <v>45658</v>
      </c>
      <c r="B2" s="4" t="s">
        <v>1</v>
      </c>
      <c r="D2" s="5">
        <v>1</v>
      </c>
      <c r="E2" s="5">
        <f>3+1+7</f>
        <v>11</v>
      </c>
      <c r="F2" s="5">
        <v>1</v>
      </c>
      <c r="G2" s="5">
        <v>30</v>
      </c>
      <c r="H2" s="5">
        <v>3</v>
      </c>
      <c r="I2" s="5">
        <v>3</v>
      </c>
      <c r="J2" s="5">
        <f>1+1</f>
        <v>2</v>
      </c>
      <c r="K2" s="5">
        <v>15</v>
      </c>
      <c r="L2" s="5">
        <v>17</v>
      </c>
      <c r="M2" s="5">
        <v>1</v>
      </c>
      <c r="N2" s="5">
        <f>18+9</f>
        <v>27</v>
      </c>
      <c r="O2" s="5">
        <f>13+13+1</f>
        <v>27</v>
      </c>
      <c r="P2" s="5">
        <v>1</v>
      </c>
      <c r="Q2" s="5">
        <v>4</v>
      </c>
      <c r="R2" s="5">
        <f>1+1</f>
        <v>2</v>
      </c>
      <c r="S2" s="5">
        <f>4+3</f>
        <v>7</v>
      </c>
      <c r="T2" s="5">
        <v>1</v>
      </c>
      <c r="U2" s="5">
        <f>1+1+2</f>
        <v>4</v>
      </c>
      <c r="V2" s="5">
        <v>1</v>
      </c>
      <c r="W2" s="5">
        <f>1+1</f>
        <v>2</v>
      </c>
      <c r="X2" s="5">
        <f>2+2+3</f>
        <v>7</v>
      </c>
      <c r="Y2" s="5">
        <f>4+2+7</f>
        <v>13</v>
      </c>
      <c r="Z2" s="5">
        <v>4</v>
      </c>
      <c r="AA2" s="5"/>
      <c r="AD2" s="5"/>
    </row>
    <row r="3" spans="1:30" x14ac:dyDescent="0.3">
      <c r="D3" s="6" t="s">
        <v>2</v>
      </c>
      <c r="E3" s="6" t="s">
        <v>2</v>
      </c>
      <c r="F3" s="6" t="s">
        <v>2</v>
      </c>
      <c r="N3" s="6" t="s">
        <v>3</v>
      </c>
      <c r="R3" s="6" t="s">
        <v>4</v>
      </c>
      <c r="S3" s="6"/>
      <c r="T3" s="6" t="s">
        <v>5</v>
      </c>
    </row>
    <row r="4" spans="1:30" x14ac:dyDescent="0.3">
      <c r="A4" s="7"/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15</v>
      </c>
      <c r="N4" s="7" t="s">
        <v>16</v>
      </c>
      <c r="O4" s="7" t="s">
        <v>17</v>
      </c>
      <c r="P4" s="7" t="s">
        <v>17</v>
      </c>
      <c r="Q4" s="7" t="s">
        <v>18</v>
      </c>
      <c r="R4" s="7" t="s">
        <v>18</v>
      </c>
      <c r="S4" s="7" t="s">
        <v>18</v>
      </c>
      <c r="T4" s="7" t="s">
        <v>18</v>
      </c>
      <c r="U4" s="7" t="s">
        <v>18</v>
      </c>
      <c r="V4" s="7" t="s">
        <v>18</v>
      </c>
      <c r="W4" s="7" t="s">
        <v>18</v>
      </c>
      <c r="X4" s="7" t="s">
        <v>18</v>
      </c>
      <c r="Y4" s="7" t="s">
        <v>18</v>
      </c>
      <c r="Z4" s="7" t="s">
        <v>18</v>
      </c>
      <c r="AA4" s="7" t="s">
        <v>19</v>
      </c>
      <c r="AB4" s="7" t="s">
        <v>18</v>
      </c>
      <c r="AC4" s="7" t="s">
        <v>18</v>
      </c>
      <c r="AD4" s="8" t="s">
        <v>20</v>
      </c>
    </row>
    <row r="5" spans="1:30" x14ac:dyDescent="0.3">
      <c r="A5" s="9"/>
      <c r="B5" s="9" t="s">
        <v>21</v>
      </c>
      <c r="C5" s="9"/>
      <c r="D5" s="9" t="s">
        <v>22</v>
      </c>
      <c r="E5" s="9" t="s">
        <v>23</v>
      </c>
      <c r="F5" s="9" t="s">
        <v>24</v>
      </c>
      <c r="G5" s="9" t="s">
        <v>25</v>
      </c>
      <c r="H5" s="9" t="s">
        <v>26</v>
      </c>
      <c r="I5" s="9" t="s">
        <v>27</v>
      </c>
      <c r="J5" s="9" t="s">
        <v>13</v>
      </c>
      <c r="K5" s="9" t="s">
        <v>28</v>
      </c>
      <c r="L5" s="9" t="s">
        <v>29</v>
      </c>
      <c r="M5" s="9" t="s">
        <v>30</v>
      </c>
      <c r="N5" s="9" t="s">
        <v>31</v>
      </c>
      <c r="O5" s="9" t="s">
        <v>32</v>
      </c>
      <c r="P5" s="9" t="s">
        <v>33</v>
      </c>
      <c r="Q5" s="9" t="s">
        <v>34</v>
      </c>
      <c r="R5" s="9" t="s">
        <v>35</v>
      </c>
      <c r="S5" s="9" t="s">
        <v>36</v>
      </c>
      <c r="T5" s="9" t="s">
        <v>37</v>
      </c>
      <c r="U5" s="9" t="s">
        <v>38</v>
      </c>
      <c r="V5" s="9" t="s">
        <v>39</v>
      </c>
      <c r="W5" s="9" t="s">
        <v>40</v>
      </c>
      <c r="X5" s="9" t="s">
        <v>41</v>
      </c>
      <c r="Y5" s="9" t="s">
        <v>42</v>
      </c>
      <c r="Z5" s="9" t="s">
        <v>43</v>
      </c>
      <c r="AA5" s="9" t="s">
        <v>44</v>
      </c>
      <c r="AB5" s="9" t="s">
        <v>45</v>
      </c>
      <c r="AC5" s="9" t="s">
        <v>46</v>
      </c>
      <c r="AD5" s="9" t="s">
        <v>47</v>
      </c>
    </row>
    <row r="6" spans="1:30" x14ac:dyDescent="0.3">
      <c r="B6" s="10"/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3"/>
      <c r="AC6" s="13"/>
      <c r="AD6" s="14"/>
    </row>
    <row r="7" spans="1:30" x14ac:dyDescent="0.3">
      <c r="A7" s="4" t="s">
        <v>48</v>
      </c>
      <c r="B7" s="15" t="s">
        <v>49</v>
      </c>
      <c r="C7" s="15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4"/>
    </row>
    <row r="8" spans="1:30" x14ac:dyDescent="0.3">
      <c r="B8" s="11" t="s">
        <v>50</v>
      </c>
      <c r="C8" s="11" t="s">
        <v>51</v>
      </c>
      <c r="D8" s="16">
        <v>6313.72</v>
      </c>
      <c r="E8" s="16">
        <v>16347.8</v>
      </c>
      <c r="F8" s="16">
        <v>1643.79</v>
      </c>
      <c r="G8" s="16">
        <v>29043.29</v>
      </c>
      <c r="H8" s="16">
        <v>2239.9699999999998</v>
      </c>
      <c r="I8" s="16">
        <v>2256.14</v>
      </c>
      <c r="J8" s="16">
        <v>7056.17</v>
      </c>
      <c r="K8" s="16">
        <v>39208.36</v>
      </c>
      <c r="L8" s="16">
        <v>17844.41</v>
      </c>
      <c r="M8" s="16">
        <v>4645.25</v>
      </c>
      <c r="N8" s="16">
        <v>36370.33</v>
      </c>
      <c r="O8" s="16">
        <v>20535.240000000002</v>
      </c>
      <c r="P8" s="16">
        <v>3422.24</v>
      </c>
      <c r="Q8" s="16">
        <v>6549.82</v>
      </c>
      <c r="R8" s="16">
        <v>1316.03</v>
      </c>
      <c r="S8" s="16">
        <v>14282.4</v>
      </c>
      <c r="T8" s="16">
        <v>7330.55</v>
      </c>
      <c r="U8" s="16">
        <v>3505.1</v>
      </c>
      <c r="V8" s="16">
        <v>1625.39</v>
      </c>
      <c r="W8" s="16">
        <v>6195.08</v>
      </c>
      <c r="X8" s="16">
        <v>15528.55</v>
      </c>
      <c r="Y8" s="16">
        <v>24979.43</v>
      </c>
      <c r="Z8" s="16">
        <v>4581.7700000000004</v>
      </c>
      <c r="AA8" s="16">
        <v>826.95</v>
      </c>
      <c r="AB8" s="16">
        <v>0</v>
      </c>
      <c r="AC8" s="16">
        <v>0</v>
      </c>
      <c r="AD8" s="14">
        <f t="shared" ref="AD8:AD18" si="0">SUM(D8:AA8)</f>
        <v>273647.78000000003</v>
      </c>
    </row>
    <row r="9" spans="1:30" x14ac:dyDescent="0.3">
      <c r="B9" s="11" t="s">
        <v>52</v>
      </c>
      <c r="C9" s="11" t="s">
        <v>51</v>
      </c>
      <c r="D9" s="16">
        <v>483.74</v>
      </c>
      <c r="E9" s="16">
        <v>1252.5</v>
      </c>
      <c r="F9" s="16">
        <v>125.94</v>
      </c>
      <c r="G9" s="16">
        <v>2233.66</v>
      </c>
      <c r="H9" s="16">
        <v>171.64</v>
      </c>
      <c r="I9" s="16">
        <v>172.87</v>
      </c>
      <c r="J9" s="16">
        <v>540.61</v>
      </c>
      <c r="K9" s="16">
        <v>3055.21</v>
      </c>
      <c r="L9" s="16">
        <v>653.74</v>
      </c>
      <c r="M9" s="16">
        <v>170.33</v>
      </c>
      <c r="N9" s="16">
        <v>2780.99</v>
      </c>
      <c r="O9" s="16">
        <v>1596.5</v>
      </c>
      <c r="P9" s="16">
        <v>262.20999999999998</v>
      </c>
      <c r="Q9" s="16">
        <v>434.51</v>
      </c>
      <c r="R9" s="16">
        <v>81.59</v>
      </c>
      <c r="S9" s="16">
        <v>1094.27</v>
      </c>
      <c r="T9" s="16">
        <v>86.89</v>
      </c>
      <c r="U9" s="16">
        <v>377.45</v>
      </c>
      <c r="V9" s="16">
        <v>124.52</v>
      </c>
      <c r="W9" s="16">
        <v>444.51</v>
      </c>
      <c r="X9" s="16">
        <v>1198.53</v>
      </c>
      <c r="Y9" s="16">
        <v>1765.18</v>
      </c>
      <c r="Z9" s="16">
        <v>626.76</v>
      </c>
      <c r="AA9" s="16">
        <v>30.32</v>
      </c>
      <c r="AB9" s="16">
        <v>0</v>
      </c>
      <c r="AC9" s="16">
        <v>0</v>
      </c>
      <c r="AD9" s="14">
        <f t="shared" si="0"/>
        <v>19764.469999999998</v>
      </c>
    </row>
    <row r="10" spans="1:30" x14ac:dyDescent="0.3">
      <c r="B10" s="11" t="s">
        <v>53</v>
      </c>
      <c r="C10" s="11" t="s">
        <v>51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-608.36</v>
      </c>
      <c r="N10" s="16">
        <v>3344.15</v>
      </c>
      <c r="O10" s="16">
        <v>0</v>
      </c>
      <c r="P10" s="16">
        <v>0</v>
      </c>
      <c r="Q10" s="16">
        <v>0</v>
      </c>
      <c r="R10" s="16">
        <v>0</v>
      </c>
      <c r="S10" s="16">
        <v>655.35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4">
        <f t="shared" si="0"/>
        <v>3391.14</v>
      </c>
    </row>
    <row r="11" spans="1:30" x14ac:dyDescent="0.3">
      <c r="B11" s="11" t="s">
        <v>54</v>
      </c>
      <c r="C11" s="11" t="s">
        <v>51</v>
      </c>
      <c r="D11" s="16">
        <v>434.26</v>
      </c>
      <c r="E11" s="16">
        <v>1017.43</v>
      </c>
      <c r="F11" s="16">
        <v>94.83</v>
      </c>
      <c r="G11" s="16">
        <v>1814.75</v>
      </c>
      <c r="H11" s="16">
        <v>130.79</v>
      </c>
      <c r="I11" s="16">
        <v>131.66</v>
      </c>
      <c r="J11" s="16">
        <v>474.57</v>
      </c>
      <c r="K11" s="16">
        <v>2634.98</v>
      </c>
      <c r="L11" s="16">
        <v>1247.53</v>
      </c>
      <c r="M11" s="16">
        <v>349.29</v>
      </c>
      <c r="N11" s="16">
        <v>2369.94</v>
      </c>
      <c r="O11" s="16">
        <v>1272.76</v>
      </c>
      <c r="P11" s="16">
        <v>235.76</v>
      </c>
      <c r="Q11" s="16">
        <v>431.96</v>
      </c>
      <c r="R11" s="16">
        <v>79.599999999999994</v>
      </c>
      <c r="S11" s="16">
        <v>945.66</v>
      </c>
      <c r="T11" s="16">
        <v>522.85</v>
      </c>
      <c r="U11" s="16">
        <v>195.02</v>
      </c>
      <c r="V11" s="16">
        <v>93.81</v>
      </c>
      <c r="W11" s="16">
        <v>422.37</v>
      </c>
      <c r="X11" s="16">
        <v>1027.4100000000001</v>
      </c>
      <c r="Y11" s="16">
        <v>1671.28</v>
      </c>
      <c r="Z11" s="16">
        <v>235.91</v>
      </c>
      <c r="AA11" s="16">
        <v>52.55</v>
      </c>
      <c r="AB11" s="16">
        <v>0</v>
      </c>
      <c r="AC11" s="16">
        <v>0</v>
      </c>
      <c r="AD11" s="14">
        <f t="shared" si="0"/>
        <v>17886.97</v>
      </c>
    </row>
    <row r="12" spans="1:30" x14ac:dyDescent="0.3">
      <c r="B12" s="11" t="s">
        <v>55</v>
      </c>
      <c r="C12" s="11" t="s">
        <v>51</v>
      </c>
      <c r="D12" s="16">
        <v>36.520000000000003</v>
      </c>
      <c r="E12" s="16">
        <v>1445.56</v>
      </c>
      <c r="F12" s="16">
        <v>43.99</v>
      </c>
      <c r="G12" s="16">
        <v>1319.61</v>
      </c>
      <c r="H12" s="16">
        <v>109.52</v>
      </c>
      <c r="I12" s="16">
        <v>109.52</v>
      </c>
      <c r="J12" s="16">
        <v>73.03</v>
      </c>
      <c r="K12" s="16">
        <v>547.64</v>
      </c>
      <c r="L12" s="16">
        <v>620.65</v>
      </c>
      <c r="M12" s="16">
        <v>36.520000000000003</v>
      </c>
      <c r="N12" s="16">
        <v>985.74</v>
      </c>
      <c r="O12" s="16">
        <v>985.76</v>
      </c>
      <c r="P12" s="16">
        <v>36.520000000000003</v>
      </c>
      <c r="Q12" s="16">
        <v>146.04</v>
      </c>
      <c r="R12" s="16">
        <v>73.03</v>
      </c>
      <c r="S12" s="16">
        <v>255.56</v>
      </c>
      <c r="T12" s="16">
        <v>36.520000000000003</v>
      </c>
      <c r="U12" s="16">
        <v>146.04</v>
      </c>
      <c r="V12" s="16">
        <v>36.520000000000003</v>
      </c>
      <c r="W12" s="16">
        <v>73.03</v>
      </c>
      <c r="X12" s="16">
        <v>255.54</v>
      </c>
      <c r="Y12" s="16">
        <v>474.61</v>
      </c>
      <c r="Z12" s="16">
        <v>146.04</v>
      </c>
      <c r="AA12" s="16">
        <v>36.520000000000003</v>
      </c>
      <c r="AB12" s="16">
        <v>0</v>
      </c>
      <c r="AC12" s="16">
        <v>0</v>
      </c>
      <c r="AD12" s="14">
        <f t="shared" si="0"/>
        <v>8030.0300000000016</v>
      </c>
    </row>
    <row r="13" spans="1:30" x14ac:dyDescent="0.3">
      <c r="B13" s="17" t="s">
        <v>56</v>
      </c>
      <c r="C13" s="11" t="s">
        <v>57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4">
        <f t="shared" si="0"/>
        <v>0</v>
      </c>
    </row>
    <row r="14" spans="1:30" x14ac:dyDescent="0.3">
      <c r="B14" s="18" t="s">
        <v>58</v>
      </c>
      <c r="C14" s="11" t="s">
        <v>57</v>
      </c>
      <c r="D14" s="16">
        <v>-0.45</v>
      </c>
      <c r="E14" s="16">
        <v>-5.01</v>
      </c>
      <c r="F14" s="16">
        <v>-0.46</v>
      </c>
      <c r="G14" s="16">
        <v>-13.66</v>
      </c>
      <c r="H14" s="16">
        <v>-1.37</v>
      </c>
      <c r="I14" s="16">
        <v>-1.37</v>
      </c>
      <c r="J14" s="16">
        <v>-0.9</v>
      </c>
      <c r="K14" s="16">
        <v>24.79</v>
      </c>
      <c r="L14" s="16">
        <v>-7.74</v>
      </c>
      <c r="M14" s="16">
        <v>-0.45</v>
      </c>
      <c r="N14" s="16">
        <v>-1.84</v>
      </c>
      <c r="O14" s="16">
        <v>-12.28</v>
      </c>
      <c r="P14" s="16">
        <v>-0.45</v>
      </c>
      <c r="Q14" s="16">
        <v>-1.82</v>
      </c>
      <c r="R14" s="16">
        <v>9.5299999999999994</v>
      </c>
      <c r="S14" s="16">
        <v>-3.19</v>
      </c>
      <c r="T14" s="16">
        <v>348.58</v>
      </c>
      <c r="U14" s="16">
        <v>8.6300000000000008</v>
      </c>
      <c r="V14" s="16">
        <v>-0.45</v>
      </c>
      <c r="W14" s="16">
        <v>-0.9</v>
      </c>
      <c r="X14" s="16">
        <v>-3.18</v>
      </c>
      <c r="Y14" s="16">
        <v>14.96</v>
      </c>
      <c r="Z14" s="16">
        <v>-1.82</v>
      </c>
      <c r="AA14" s="16">
        <v>-0.45</v>
      </c>
      <c r="AB14" s="16">
        <v>0</v>
      </c>
      <c r="AC14" s="16">
        <v>0</v>
      </c>
      <c r="AD14" s="14">
        <f t="shared" si="0"/>
        <v>348.7</v>
      </c>
    </row>
    <row r="15" spans="1:30" x14ac:dyDescent="0.3">
      <c r="B15" s="11" t="s">
        <v>59</v>
      </c>
      <c r="C15" s="11" t="s">
        <v>57</v>
      </c>
      <c r="D15" s="16">
        <v>37.57</v>
      </c>
      <c r="E15" s="16">
        <v>413.36</v>
      </c>
      <c r="F15" s="16">
        <v>37.58</v>
      </c>
      <c r="G15" s="16">
        <v>1127.3900000000001</v>
      </c>
      <c r="H15" s="16">
        <v>112.74</v>
      </c>
      <c r="I15" s="16">
        <v>112.74</v>
      </c>
      <c r="J15" s="16">
        <v>75.14</v>
      </c>
      <c r="K15" s="16">
        <v>563.67999999999995</v>
      </c>
      <c r="L15" s="16">
        <v>638.84</v>
      </c>
      <c r="M15" s="16">
        <v>37.57</v>
      </c>
      <c r="N15" s="16">
        <v>1014.7</v>
      </c>
      <c r="O15" s="16">
        <v>1014.63</v>
      </c>
      <c r="P15" s="16">
        <v>37.57</v>
      </c>
      <c r="Q15" s="16">
        <v>150.32</v>
      </c>
      <c r="R15" s="16">
        <v>75.14</v>
      </c>
      <c r="S15" s="16">
        <v>263.06</v>
      </c>
      <c r="T15" s="16">
        <v>37.57</v>
      </c>
      <c r="U15" s="16">
        <v>150.30000000000001</v>
      </c>
      <c r="V15" s="16">
        <v>37.57</v>
      </c>
      <c r="W15" s="16">
        <v>75.14</v>
      </c>
      <c r="X15" s="16">
        <v>263.04000000000002</v>
      </c>
      <c r="Y15" s="16">
        <v>488.53</v>
      </c>
      <c r="Z15" s="16">
        <v>150.32</v>
      </c>
      <c r="AA15" s="16">
        <v>37.57</v>
      </c>
      <c r="AB15" s="16">
        <v>0</v>
      </c>
      <c r="AC15" s="16">
        <v>0</v>
      </c>
      <c r="AD15" s="14">
        <f t="shared" si="0"/>
        <v>6952.07</v>
      </c>
    </row>
    <row r="16" spans="1:30" x14ac:dyDescent="0.3">
      <c r="B16" s="11" t="s">
        <v>60</v>
      </c>
      <c r="C16" s="11" t="s">
        <v>57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1876.8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4">
        <f t="shared" si="0"/>
        <v>1876.8</v>
      </c>
    </row>
    <row r="17" spans="1:30" x14ac:dyDescent="0.3">
      <c r="B17" s="11" t="s">
        <v>61</v>
      </c>
      <c r="C17" s="11" t="s">
        <v>51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4">
        <f t="shared" si="0"/>
        <v>0</v>
      </c>
    </row>
    <row r="18" spans="1:30" x14ac:dyDescent="0.3">
      <c r="B18" s="11" t="s">
        <v>62</v>
      </c>
      <c r="C18" s="11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4">
        <f t="shared" si="0"/>
        <v>0</v>
      </c>
    </row>
    <row r="19" spans="1:30" s="4" customFormat="1" ht="13" x14ac:dyDescent="0.3">
      <c r="B19" s="15"/>
      <c r="C19" s="15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20">
        <f>SUM(AD8:AD18)</f>
        <v>331897.96000000002</v>
      </c>
    </row>
    <row r="20" spans="1:30" x14ac:dyDescent="0.3">
      <c r="A20" s="4" t="s">
        <v>63</v>
      </c>
      <c r="B20" s="21" t="s">
        <v>64</v>
      </c>
      <c r="C20" s="2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4"/>
    </row>
    <row r="21" spans="1:30" x14ac:dyDescent="0.3">
      <c r="B21" s="22" t="s">
        <v>65</v>
      </c>
      <c r="C21" s="11" t="s">
        <v>51</v>
      </c>
      <c r="D21" s="16">
        <v>131.16382513661202</v>
      </c>
      <c r="E21" s="16">
        <v>1442.8020765027322</v>
      </c>
      <c r="F21" s="16">
        <v>131.16382513661202</v>
      </c>
      <c r="G21" s="16">
        <v>3934.9147540983604</v>
      </c>
      <c r="H21" s="16">
        <v>393.49147540983608</v>
      </c>
      <c r="I21" s="16">
        <v>393.49147540983608</v>
      </c>
      <c r="J21" s="16">
        <v>262.32765027322404</v>
      </c>
      <c r="K21" s="16">
        <v>1967.4573770491802</v>
      </c>
      <c r="L21" s="16">
        <v>2229.7850273224044</v>
      </c>
      <c r="M21" s="16">
        <v>131.16382513661202</v>
      </c>
      <c r="N21" s="16">
        <v>3541.4232786885245</v>
      </c>
      <c r="O21" s="16">
        <v>3541.4232786885245</v>
      </c>
      <c r="P21" s="16">
        <v>0</v>
      </c>
      <c r="Q21" s="16">
        <v>524.65530054644807</v>
      </c>
      <c r="R21" s="16">
        <v>262.32765027322404</v>
      </c>
      <c r="S21" s="16">
        <v>918.14677595628416</v>
      </c>
      <c r="T21" s="16">
        <v>131.16382513661202</v>
      </c>
      <c r="U21" s="16">
        <v>524.65530054644807</v>
      </c>
      <c r="V21" s="16">
        <v>131.16382513661202</v>
      </c>
      <c r="W21" s="16">
        <v>262.32765027322404</v>
      </c>
      <c r="X21" s="16">
        <v>918.14677595628416</v>
      </c>
      <c r="Y21" s="16">
        <v>1705.1297267759562</v>
      </c>
      <c r="Z21" s="16">
        <v>524.65530054644807</v>
      </c>
      <c r="AA21" s="16">
        <v>124.36981308411215</v>
      </c>
      <c r="AB21" s="16">
        <v>0</v>
      </c>
      <c r="AC21" s="16">
        <v>0</v>
      </c>
      <c r="AD21" s="14">
        <f t="shared" ref="AD21:AD28" si="1">SUM(D21:AA21)</f>
        <v>24127.349813084107</v>
      </c>
    </row>
    <row r="22" spans="1:30" x14ac:dyDescent="0.3">
      <c r="B22" s="11" t="s">
        <v>66</v>
      </c>
      <c r="C22" s="11" t="s">
        <v>51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4">
        <f t="shared" si="1"/>
        <v>0</v>
      </c>
    </row>
    <row r="23" spans="1:30" x14ac:dyDescent="0.3">
      <c r="B23" s="11" t="s">
        <v>67</v>
      </c>
      <c r="C23" s="11" t="s">
        <v>51</v>
      </c>
      <c r="D23" s="16">
        <v>15.58</v>
      </c>
      <c r="E23" s="16">
        <v>171.38</v>
      </c>
      <c r="F23" s="16">
        <v>15.58</v>
      </c>
      <c r="G23" s="16">
        <v>467.47</v>
      </c>
      <c r="H23" s="16">
        <v>46.73</v>
      </c>
      <c r="I23" s="16">
        <v>46.73</v>
      </c>
      <c r="J23" s="16">
        <v>31.16</v>
      </c>
      <c r="K23" s="16">
        <v>384.51</v>
      </c>
      <c r="L23" s="16">
        <v>264.88</v>
      </c>
      <c r="M23" s="16">
        <v>15.58</v>
      </c>
      <c r="N23" s="16">
        <v>420.6</v>
      </c>
      <c r="O23" s="16">
        <v>420.71</v>
      </c>
      <c r="P23" s="16">
        <v>0</v>
      </c>
      <c r="Q23" s="16">
        <v>62.3</v>
      </c>
      <c r="R23" s="16">
        <v>31.16</v>
      </c>
      <c r="S23" s="16">
        <v>109.04</v>
      </c>
      <c r="T23" s="16">
        <v>4098.63</v>
      </c>
      <c r="U23" s="16">
        <v>62.31</v>
      </c>
      <c r="V23" s="16">
        <v>15.58</v>
      </c>
      <c r="W23" s="16">
        <v>31.16</v>
      </c>
      <c r="X23" s="16">
        <v>109.05</v>
      </c>
      <c r="Y23" s="16">
        <v>202.53</v>
      </c>
      <c r="Z23" s="16">
        <v>62.3</v>
      </c>
      <c r="AA23" s="16">
        <v>15.58</v>
      </c>
      <c r="AB23" s="16">
        <v>0</v>
      </c>
      <c r="AC23" s="16">
        <v>0</v>
      </c>
      <c r="AD23" s="14">
        <f t="shared" si="1"/>
        <v>7100.55</v>
      </c>
    </row>
    <row r="24" spans="1:30" x14ac:dyDescent="0.3">
      <c r="B24" s="11" t="s">
        <v>68</v>
      </c>
      <c r="C24" s="11" t="s">
        <v>51</v>
      </c>
      <c r="D24" s="16">
        <v>5.88</v>
      </c>
      <c r="E24" s="16">
        <v>64.75</v>
      </c>
      <c r="F24" s="16">
        <v>5.88</v>
      </c>
      <c r="G24" s="16">
        <v>176.49</v>
      </c>
      <c r="H24" s="16">
        <v>17.670000000000002</v>
      </c>
      <c r="I24" s="16">
        <v>17.670000000000002</v>
      </c>
      <c r="J24" s="16">
        <v>11.76</v>
      </c>
      <c r="K24" s="16">
        <v>88.3</v>
      </c>
      <c r="L24" s="16">
        <v>100.1</v>
      </c>
      <c r="M24" s="16">
        <v>5.88</v>
      </c>
      <c r="N24" s="16">
        <v>158.93</v>
      </c>
      <c r="O24" s="16">
        <v>158.93</v>
      </c>
      <c r="P24" s="16">
        <v>0</v>
      </c>
      <c r="Q24" s="16">
        <v>23.54</v>
      </c>
      <c r="R24" s="16">
        <v>11.76</v>
      </c>
      <c r="S24" s="16">
        <v>41.2</v>
      </c>
      <c r="T24" s="16">
        <v>342.85</v>
      </c>
      <c r="U24" s="16">
        <v>23.54</v>
      </c>
      <c r="V24" s="16">
        <v>5.88</v>
      </c>
      <c r="W24" s="16">
        <v>11.76</v>
      </c>
      <c r="X24" s="16">
        <v>41.21</v>
      </c>
      <c r="Y24" s="16">
        <v>76.510000000000005</v>
      </c>
      <c r="Z24" s="16">
        <v>23.54</v>
      </c>
      <c r="AA24" s="16">
        <v>5.88</v>
      </c>
      <c r="AB24" s="16">
        <v>0</v>
      </c>
      <c r="AC24" s="16">
        <v>0</v>
      </c>
      <c r="AD24" s="14">
        <f t="shared" si="1"/>
        <v>1419.9100000000003</v>
      </c>
    </row>
    <row r="25" spans="1:30" x14ac:dyDescent="0.3">
      <c r="B25" s="11" t="s">
        <v>69</v>
      </c>
      <c r="C25" s="11" t="s">
        <v>57</v>
      </c>
      <c r="D25" s="16">
        <v>8.0399999999999991</v>
      </c>
      <c r="E25" s="16">
        <v>88.46</v>
      </c>
      <c r="F25" s="16">
        <v>8.0500000000000007</v>
      </c>
      <c r="G25" s="16">
        <v>241.37</v>
      </c>
      <c r="H25" s="16">
        <v>24.13</v>
      </c>
      <c r="I25" s="16">
        <v>24.13</v>
      </c>
      <c r="J25" s="16">
        <v>16.079999999999998</v>
      </c>
      <c r="K25" s="16">
        <v>120.65</v>
      </c>
      <c r="L25" s="16">
        <v>136.72</v>
      </c>
      <c r="M25" s="16">
        <v>8.0399999999999991</v>
      </c>
      <c r="N25" s="16">
        <v>217.14</v>
      </c>
      <c r="O25" s="16">
        <v>217.13</v>
      </c>
      <c r="P25" s="16">
        <v>0</v>
      </c>
      <c r="Q25" s="16">
        <v>32.17</v>
      </c>
      <c r="R25" s="16">
        <v>16.079999999999998</v>
      </c>
      <c r="S25" s="16">
        <v>56.29</v>
      </c>
      <c r="T25" s="16">
        <v>8.0399999999999991</v>
      </c>
      <c r="U25" s="16">
        <v>32.15</v>
      </c>
      <c r="V25" s="16">
        <v>8.0399999999999991</v>
      </c>
      <c r="W25" s="16">
        <v>16.079999999999998</v>
      </c>
      <c r="X25" s="16">
        <v>56.28</v>
      </c>
      <c r="Y25" s="16">
        <v>104.54</v>
      </c>
      <c r="Z25" s="16">
        <v>32.17</v>
      </c>
      <c r="AA25" s="16">
        <v>8.0399999999999991</v>
      </c>
      <c r="AB25" s="16">
        <v>0</v>
      </c>
      <c r="AC25" s="16">
        <v>0</v>
      </c>
      <c r="AD25" s="14">
        <f t="shared" si="1"/>
        <v>1479.82</v>
      </c>
    </row>
    <row r="26" spans="1:30" x14ac:dyDescent="0.3">
      <c r="B26" s="11" t="s">
        <v>70</v>
      </c>
      <c r="C26" s="11" t="s">
        <v>51</v>
      </c>
      <c r="D26" s="16">
        <v>0.56000000000000005</v>
      </c>
      <c r="E26" s="16">
        <v>6.14</v>
      </c>
      <c r="F26" s="16">
        <v>0.56000000000000005</v>
      </c>
      <c r="G26" s="16">
        <v>16.829999999999998</v>
      </c>
      <c r="H26" s="16">
        <v>1.67</v>
      </c>
      <c r="I26" s="16">
        <v>1.67</v>
      </c>
      <c r="J26" s="16">
        <v>1.1100000000000001</v>
      </c>
      <c r="K26" s="16">
        <v>8.39</v>
      </c>
      <c r="L26" s="16">
        <v>9.5</v>
      </c>
      <c r="M26" s="16">
        <v>0.56000000000000005</v>
      </c>
      <c r="N26" s="16">
        <v>15.08</v>
      </c>
      <c r="O26" s="16">
        <v>15.08</v>
      </c>
      <c r="P26" s="16">
        <v>0</v>
      </c>
      <c r="Q26" s="16">
        <v>2.23</v>
      </c>
      <c r="R26" s="16">
        <v>1.1100000000000001</v>
      </c>
      <c r="S26" s="16">
        <v>3.9</v>
      </c>
      <c r="T26" s="16">
        <v>0.56000000000000005</v>
      </c>
      <c r="U26" s="16">
        <v>2.23</v>
      </c>
      <c r="V26" s="16">
        <v>0.56000000000000005</v>
      </c>
      <c r="W26" s="16">
        <v>1.1100000000000001</v>
      </c>
      <c r="X26" s="16">
        <v>3.9</v>
      </c>
      <c r="Y26" s="16">
        <v>7.25</v>
      </c>
      <c r="Z26" s="16">
        <v>2.23</v>
      </c>
      <c r="AA26" s="16">
        <v>0.56000000000000005</v>
      </c>
      <c r="AB26" s="16">
        <v>0</v>
      </c>
      <c r="AC26" s="16">
        <v>0</v>
      </c>
      <c r="AD26" s="14">
        <f t="shared" si="1"/>
        <v>102.79000000000003</v>
      </c>
    </row>
    <row r="27" spans="1:30" x14ac:dyDescent="0.3">
      <c r="B27" s="11" t="s">
        <v>71</v>
      </c>
      <c r="C27" s="11" t="s">
        <v>51</v>
      </c>
      <c r="D27" s="16">
        <v>2.76</v>
      </c>
      <c r="E27" s="16">
        <v>30.36</v>
      </c>
      <c r="F27" s="16">
        <v>2.76</v>
      </c>
      <c r="G27" s="16">
        <v>82.73</v>
      </c>
      <c r="H27" s="16">
        <v>8.2799999999999994</v>
      </c>
      <c r="I27" s="16">
        <v>8.2799999999999994</v>
      </c>
      <c r="J27" s="16">
        <v>5.52</v>
      </c>
      <c r="K27" s="16">
        <v>37.92</v>
      </c>
      <c r="L27" s="16">
        <v>46.87</v>
      </c>
      <c r="M27" s="16">
        <v>2.76</v>
      </c>
      <c r="N27" s="16">
        <v>74.489999999999995</v>
      </c>
      <c r="O27" s="16">
        <v>74.489999999999995</v>
      </c>
      <c r="P27" s="16">
        <v>0</v>
      </c>
      <c r="Q27" s="16">
        <v>11.04</v>
      </c>
      <c r="R27" s="16">
        <v>5.52</v>
      </c>
      <c r="S27" s="16">
        <v>19.32</v>
      </c>
      <c r="T27" s="16">
        <v>2.76</v>
      </c>
      <c r="U27" s="16">
        <v>11.03</v>
      </c>
      <c r="V27" s="16">
        <v>2.5299999999999998</v>
      </c>
      <c r="W27" s="16">
        <v>5.52</v>
      </c>
      <c r="X27" s="16">
        <v>19.3</v>
      </c>
      <c r="Y27" s="16">
        <v>35.869999999999997</v>
      </c>
      <c r="Z27" s="16">
        <v>11.04</v>
      </c>
      <c r="AA27" s="16">
        <v>2.76</v>
      </c>
      <c r="AB27" s="16">
        <v>0</v>
      </c>
      <c r="AC27" s="16">
        <v>0</v>
      </c>
      <c r="AD27" s="14">
        <f t="shared" si="1"/>
        <v>503.90999999999997</v>
      </c>
    </row>
    <row r="28" spans="1:30" x14ac:dyDescent="0.3">
      <c r="B28" s="11" t="s">
        <v>72</v>
      </c>
      <c r="C28" s="11" t="s">
        <v>51</v>
      </c>
      <c r="D28" s="16">
        <v>61.71</v>
      </c>
      <c r="E28" s="16">
        <v>678.76</v>
      </c>
      <c r="F28" s="16">
        <v>61.7</v>
      </c>
      <c r="G28" s="16">
        <v>1851.08</v>
      </c>
      <c r="H28" s="16">
        <v>185.12</v>
      </c>
      <c r="I28" s="16">
        <v>185.12</v>
      </c>
      <c r="J28" s="16">
        <v>123.42</v>
      </c>
      <c r="K28" s="16">
        <v>925.58</v>
      </c>
      <c r="L28" s="16">
        <v>1048.99</v>
      </c>
      <c r="M28" s="16">
        <v>61.71</v>
      </c>
      <c r="N28" s="16">
        <v>1666.04</v>
      </c>
      <c r="O28" s="16">
        <v>1666.05</v>
      </c>
      <c r="P28" s="16">
        <v>0</v>
      </c>
      <c r="Q28" s="16">
        <v>246.82</v>
      </c>
      <c r="R28" s="16">
        <v>123.42</v>
      </c>
      <c r="S28" s="16">
        <v>431.93</v>
      </c>
      <c r="T28" s="16">
        <v>61.71</v>
      </c>
      <c r="U28" s="16">
        <v>246.83</v>
      </c>
      <c r="V28" s="16">
        <v>61.71</v>
      </c>
      <c r="W28" s="16">
        <v>123.42</v>
      </c>
      <c r="X28" s="16">
        <v>431.93</v>
      </c>
      <c r="Y28" s="16">
        <v>802.16</v>
      </c>
      <c r="Z28" s="16">
        <v>246.82</v>
      </c>
      <c r="AA28" s="16">
        <v>61.71</v>
      </c>
      <c r="AB28" s="16">
        <v>0</v>
      </c>
      <c r="AC28" s="16">
        <v>0</v>
      </c>
      <c r="AD28" s="14">
        <f t="shared" si="1"/>
        <v>11353.739999999996</v>
      </c>
    </row>
    <row r="29" spans="1:30" s="4" customFormat="1" ht="13" x14ac:dyDescent="0.3">
      <c r="B29" s="15"/>
      <c r="C29" s="15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20">
        <f>SUM(AD21:AD28)</f>
        <v>46088.069813084112</v>
      </c>
    </row>
    <row r="30" spans="1:30" x14ac:dyDescent="0.3">
      <c r="A30" s="4" t="s">
        <v>73</v>
      </c>
      <c r="B30" s="15" t="s">
        <v>74</v>
      </c>
      <c r="C30" s="15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4"/>
    </row>
    <row r="31" spans="1:30" x14ac:dyDescent="0.3">
      <c r="B31" s="11" t="s">
        <v>75</v>
      </c>
      <c r="C31" s="11" t="s">
        <v>57</v>
      </c>
      <c r="D31" s="16">
        <v>42.96</v>
      </c>
      <c r="E31" s="16">
        <v>472.54</v>
      </c>
      <c r="F31" s="16">
        <v>42.95</v>
      </c>
      <c r="G31" s="16">
        <v>1288.5899999999999</v>
      </c>
      <c r="H31" s="16">
        <v>128.87</v>
      </c>
      <c r="I31" s="16">
        <v>128.87</v>
      </c>
      <c r="J31" s="16">
        <v>85.93</v>
      </c>
      <c r="K31" s="16">
        <v>644.36</v>
      </c>
      <c r="L31" s="16">
        <v>730.26</v>
      </c>
      <c r="M31" s="16">
        <v>42.96</v>
      </c>
      <c r="N31" s="16">
        <v>1159.8399999999999</v>
      </c>
      <c r="O31" s="16">
        <v>1159.8699999999999</v>
      </c>
      <c r="P31" s="16">
        <v>42.96</v>
      </c>
      <c r="Q31" s="16">
        <v>171.84</v>
      </c>
      <c r="R31" s="16">
        <v>85.93</v>
      </c>
      <c r="S31" s="16">
        <v>300.70999999999998</v>
      </c>
      <c r="T31" s="16">
        <v>42.96</v>
      </c>
      <c r="U31" s="16">
        <v>171.84</v>
      </c>
      <c r="V31" s="16">
        <v>42.96</v>
      </c>
      <c r="W31" s="16">
        <v>85.93</v>
      </c>
      <c r="X31" s="16">
        <v>300.68</v>
      </c>
      <c r="Y31" s="16">
        <v>558.45000000000005</v>
      </c>
      <c r="Z31" s="16">
        <v>171.84</v>
      </c>
      <c r="AA31" s="16">
        <v>42.96</v>
      </c>
      <c r="AB31" s="16">
        <v>0</v>
      </c>
      <c r="AC31" s="16">
        <v>0</v>
      </c>
      <c r="AD31" s="14">
        <f t="shared" ref="AD31:AD52" si="2">SUM(D31:AA31)</f>
        <v>7947.0600000000013</v>
      </c>
    </row>
    <row r="32" spans="1:30" x14ac:dyDescent="0.3">
      <c r="B32" s="11" t="s">
        <v>76</v>
      </c>
      <c r="C32" s="11" t="s">
        <v>57</v>
      </c>
      <c r="D32" s="16">
        <v>22.55</v>
      </c>
      <c r="E32" s="16">
        <v>248.14</v>
      </c>
      <c r="F32" s="16">
        <v>23.57</v>
      </c>
      <c r="G32" s="16">
        <v>707.2</v>
      </c>
      <c r="H32" s="16">
        <v>76.75</v>
      </c>
      <c r="I32" s="16">
        <v>67.66</v>
      </c>
      <c r="J32" s="16">
        <v>45.1</v>
      </c>
      <c r="K32" s="16">
        <v>175.33</v>
      </c>
      <c r="L32" s="16">
        <v>392.97</v>
      </c>
      <c r="M32" s="16">
        <v>22.55</v>
      </c>
      <c r="N32" s="16">
        <v>690.99</v>
      </c>
      <c r="O32" s="16">
        <v>641.24</v>
      </c>
      <c r="P32" s="16">
        <v>-6.96</v>
      </c>
      <c r="Q32" s="16">
        <v>90.22</v>
      </c>
      <c r="R32" s="16">
        <v>45.1</v>
      </c>
      <c r="S32" s="16">
        <v>157.88</v>
      </c>
      <c r="T32" s="16">
        <v>22.55</v>
      </c>
      <c r="U32" s="16">
        <v>90.2</v>
      </c>
      <c r="V32" s="16">
        <v>11.68</v>
      </c>
      <c r="W32" s="16">
        <v>45.1</v>
      </c>
      <c r="X32" s="16">
        <v>157.86000000000001</v>
      </c>
      <c r="Y32" s="16">
        <v>293.25</v>
      </c>
      <c r="Z32" s="16">
        <v>90.22</v>
      </c>
      <c r="AA32" s="16">
        <v>22.55</v>
      </c>
      <c r="AB32" s="16">
        <v>0</v>
      </c>
      <c r="AC32" s="16">
        <v>0</v>
      </c>
      <c r="AD32" s="14">
        <f t="shared" si="2"/>
        <v>4133.7</v>
      </c>
    </row>
    <row r="33" spans="2:30" x14ac:dyDescent="0.3">
      <c r="B33" s="11" t="s">
        <v>77</v>
      </c>
      <c r="C33" s="11" t="s">
        <v>57</v>
      </c>
      <c r="D33" s="16">
        <v>3.33</v>
      </c>
      <c r="E33" s="16">
        <v>36.61</v>
      </c>
      <c r="F33" s="16">
        <v>3.32</v>
      </c>
      <c r="G33" s="16">
        <v>99.73</v>
      </c>
      <c r="H33" s="16">
        <v>9.99</v>
      </c>
      <c r="I33" s="16">
        <v>9.99</v>
      </c>
      <c r="J33" s="16">
        <v>6.66</v>
      </c>
      <c r="K33" s="16">
        <v>9.56</v>
      </c>
      <c r="L33" s="16">
        <v>56.57</v>
      </c>
      <c r="M33" s="16">
        <v>3.33</v>
      </c>
      <c r="N33" s="16">
        <v>459.3</v>
      </c>
      <c r="O33" s="16">
        <v>89.86</v>
      </c>
      <c r="P33" s="16">
        <v>0.64</v>
      </c>
      <c r="Q33" s="16">
        <v>13.32</v>
      </c>
      <c r="R33" s="16">
        <v>6.66</v>
      </c>
      <c r="S33" s="16">
        <v>23.3</v>
      </c>
      <c r="T33" s="16">
        <v>3.33</v>
      </c>
      <c r="U33" s="16">
        <v>13.32</v>
      </c>
      <c r="V33" s="16">
        <v>0.64</v>
      </c>
      <c r="W33" s="16">
        <v>6.66</v>
      </c>
      <c r="X33" s="16">
        <v>23.3</v>
      </c>
      <c r="Y33" s="16">
        <v>43.27</v>
      </c>
      <c r="Z33" s="16">
        <v>13.32</v>
      </c>
      <c r="AA33" s="16">
        <v>3.33</v>
      </c>
      <c r="AB33" s="16">
        <v>0</v>
      </c>
      <c r="AC33" s="16">
        <v>0</v>
      </c>
      <c r="AD33" s="14">
        <f t="shared" si="2"/>
        <v>939.34000000000015</v>
      </c>
    </row>
    <row r="34" spans="2:30" x14ac:dyDescent="0.3">
      <c r="B34" s="11" t="s">
        <v>78</v>
      </c>
      <c r="C34" s="11" t="s">
        <v>57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4">
        <f t="shared" si="2"/>
        <v>0</v>
      </c>
    </row>
    <row r="35" spans="2:30" x14ac:dyDescent="0.3">
      <c r="B35" s="11" t="s">
        <v>79</v>
      </c>
      <c r="C35" s="11" t="s">
        <v>51</v>
      </c>
      <c r="D35" s="16">
        <v>0.26</v>
      </c>
      <c r="E35" s="16">
        <v>2.77</v>
      </c>
      <c r="F35" s="16">
        <v>0.25</v>
      </c>
      <c r="G35" s="16">
        <v>7.51</v>
      </c>
      <c r="H35" s="16">
        <v>0.75</v>
      </c>
      <c r="I35" s="16">
        <v>0.75</v>
      </c>
      <c r="J35" s="16">
        <v>0.51</v>
      </c>
      <c r="K35" s="16">
        <v>3.78</v>
      </c>
      <c r="L35" s="16">
        <v>4.29</v>
      </c>
      <c r="M35" s="16">
        <v>0.26</v>
      </c>
      <c r="N35" s="16">
        <v>6.82</v>
      </c>
      <c r="O35" s="16">
        <v>6.82</v>
      </c>
      <c r="P35" s="16">
        <v>0</v>
      </c>
      <c r="Q35" s="16">
        <v>1.01</v>
      </c>
      <c r="R35" s="16">
        <v>0.51</v>
      </c>
      <c r="S35" s="16">
        <v>1.76</v>
      </c>
      <c r="T35" s="16">
        <v>114.91</v>
      </c>
      <c r="U35" s="16">
        <v>1.02</v>
      </c>
      <c r="V35" s="16">
        <v>0.26</v>
      </c>
      <c r="W35" s="16">
        <v>0.51</v>
      </c>
      <c r="X35" s="16">
        <v>1.77</v>
      </c>
      <c r="Y35" s="16">
        <v>3.28</v>
      </c>
      <c r="Z35" s="16">
        <v>1.01</v>
      </c>
      <c r="AA35" s="16">
        <v>0.26</v>
      </c>
      <c r="AB35" s="16">
        <v>0</v>
      </c>
      <c r="AC35" s="16">
        <v>0</v>
      </c>
      <c r="AD35" s="14">
        <f t="shared" si="2"/>
        <v>161.06999999999996</v>
      </c>
    </row>
    <row r="36" spans="2:30" x14ac:dyDescent="0.3">
      <c r="B36" s="11" t="s">
        <v>80</v>
      </c>
      <c r="C36" s="11" t="s">
        <v>57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4">
        <f t="shared" si="2"/>
        <v>0</v>
      </c>
    </row>
    <row r="37" spans="2:30" x14ac:dyDescent="0.3">
      <c r="B37" s="11" t="s">
        <v>81</v>
      </c>
      <c r="C37" s="11" t="s">
        <v>57</v>
      </c>
      <c r="D37" s="16">
        <v>2757.23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673.8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2970.37</v>
      </c>
      <c r="U37" s="16">
        <v>0</v>
      </c>
      <c r="V37" s="16">
        <v>384.24</v>
      </c>
      <c r="W37" s="16">
        <v>0</v>
      </c>
      <c r="X37" s="16">
        <v>0</v>
      </c>
      <c r="Y37" s="16">
        <v>62.15</v>
      </c>
      <c r="Z37" s="16">
        <v>0</v>
      </c>
      <c r="AA37" s="16">
        <v>0</v>
      </c>
      <c r="AB37" s="16">
        <v>0</v>
      </c>
      <c r="AC37" s="16">
        <v>0</v>
      </c>
      <c r="AD37" s="14">
        <f t="shared" si="2"/>
        <v>6847.7899999999991</v>
      </c>
    </row>
    <row r="38" spans="2:30" x14ac:dyDescent="0.3">
      <c r="B38" s="11" t="s">
        <v>82</v>
      </c>
      <c r="C38" s="11" t="s">
        <v>57</v>
      </c>
      <c r="D38" s="16">
        <v>21.39</v>
      </c>
      <c r="E38" s="16">
        <v>594.86</v>
      </c>
      <c r="F38" s="16">
        <v>18.25</v>
      </c>
      <c r="G38" s="16">
        <v>547.57000000000005</v>
      </c>
      <c r="H38" s="16">
        <v>100.96</v>
      </c>
      <c r="I38" s="16">
        <v>64.17</v>
      </c>
      <c r="J38" s="16">
        <v>179.19</v>
      </c>
      <c r="K38" s="16">
        <v>4.9400000000000004</v>
      </c>
      <c r="L38" s="16">
        <v>318.94</v>
      </c>
      <c r="M38" s="16">
        <v>21.39</v>
      </c>
      <c r="N38" s="16">
        <v>549.07000000000005</v>
      </c>
      <c r="O38" s="16">
        <v>549.08000000000004</v>
      </c>
      <c r="P38" s="16">
        <v>0.01</v>
      </c>
      <c r="Q38" s="16">
        <v>85.56</v>
      </c>
      <c r="R38" s="16">
        <v>42.78</v>
      </c>
      <c r="S38" s="16">
        <v>157.08000000000001</v>
      </c>
      <c r="T38" s="16">
        <v>336.26</v>
      </c>
      <c r="U38" s="16">
        <v>85.57</v>
      </c>
      <c r="V38" s="16">
        <v>-7.78</v>
      </c>
      <c r="W38" s="16">
        <v>42.78</v>
      </c>
      <c r="X38" s="16">
        <v>149.75</v>
      </c>
      <c r="Y38" s="16">
        <v>278.07</v>
      </c>
      <c r="Z38" s="16">
        <v>85.56</v>
      </c>
      <c r="AA38" s="16">
        <v>21.39</v>
      </c>
      <c r="AB38" s="16">
        <v>0</v>
      </c>
      <c r="AC38" s="16">
        <v>0</v>
      </c>
      <c r="AD38" s="14">
        <f t="shared" si="2"/>
        <v>4246.840000000002</v>
      </c>
    </row>
    <row r="39" spans="2:30" x14ac:dyDescent="0.3">
      <c r="B39" s="11" t="s">
        <v>83</v>
      </c>
      <c r="C39" s="11" t="s">
        <v>57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/>
      <c r="AB39" s="12"/>
      <c r="AC39" s="12"/>
      <c r="AD39" s="14">
        <f t="shared" si="2"/>
        <v>0</v>
      </c>
    </row>
    <row r="40" spans="2:30" x14ac:dyDescent="0.3">
      <c r="B40" s="18" t="s">
        <v>84</v>
      </c>
      <c r="C40" s="11" t="s">
        <v>57</v>
      </c>
      <c r="D40" s="16">
        <v>198.46</v>
      </c>
      <c r="E40" s="16">
        <v>-138.76</v>
      </c>
      <c r="F40" s="16">
        <v>2.5</v>
      </c>
      <c r="G40" s="16">
        <v>74.97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543.23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4">
        <f t="shared" si="2"/>
        <v>680.40000000000009</v>
      </c>
    </row>
    <row r="41" spans="2:30" x14ac:dyDescent="0.3">
      <c r="B41" s="22" t="s">
        <v>85</v>
      </c>
      <c r="C41" s="11" t="s">
        <v>57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40.53</v>
      </c>
      <c r="T41" s="16">
        <v>56.99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4">
        <f t="shared" si="2"/>
        <v>97.52000000000001</v>
      </c>
    </row>
    <row r="42" spans="2:30" x14ac:dyDescent="0.3">
      <c r="B42" s="11" t="s">
        <v>86</v>
      </c>
      <c r="C42" s="11" t="s">
        <v>57</v>
      </c>
      <c r="D42" s="16">
        <v>13.62</v>
      </c>
      <c r="E42" s="16">
        <v>121.09</v>
      </c>
      <c r="F42" s="16">
        <v>12.01</v>
      </c>
      <c r="G42" s="16">
        <v>360.33</v>
      </c>
      <c r="H42" s="16">
        <v>33.67</v>
      </c>
      <c r="I42" s="16">
        <v>40.880000000000003</v>
      </c>
      <c r="J42" s="16">
        <v>27.24</v>
      </c>
      <c r="K42" s="16">
        <v>204.44</v>
      </c>
      <c r="L42" s="16">
        <v>197.47</v>
      </c>
      <c r="M42" s="16">
        <v>13.62</v>
      </c>
      <c r="N42" s="16">
        <v>319.38</v>
      </c>
      <c r="O42" s="16">
        <v>321.18</v>
      </c>
      <c r="P42" s="16">
        <v>5.94</v>
      </c>
      <c r="Q42" s="16">
        <v>49.12</v>
      </c>
      <c r="R42" s="16">
        <v>25.44</v>
      </c>
      <c r="S42" s="16">
        <v>84.6</v>
      </c>
      <c r="T42" s="16">
        <v>13.62</v>
      </c>
      <c r="U42" s="16">
        <v>43.68</v>
      </c>
      <c r="V42" s="16">
        <v>11.82</v>
      </c>
      <c r="W42" s="16">
        <v>25.44</v>
      </c>
      <c r="X42" s="16">
        <v>82.79</v>
      </c>
      <c r="Y42" s="16">
        <v>160.97999999999999</v>
      </c>
      <c r="Z42" s="16">
        <v>43.72</v>
      </c>
      <c r="AA42" s="16">
        <v>13.62</v>
      </c>
      <c r="AB42" s="16">
        <v>0</v>
      </c>
      <c r="AC42" s="16">
        <v>0</v>
      </c>
      <c r="AD42" s="14">
        <f t="shared" si="2"/>
        <v>2225.6999999999994</v>
      </c>
    </row>
    <row r="43" spans="2:30" x14ac:dyDescent="0.3">
      <c r="B43" s="11" t="s">
        <v>87</v>
      </c>
      <c r="C43" s="11" t="s">
        <v>57</v>
      </c>
      <c r="D43" s="16">
        <v>0.79</v>
      </c>
      <c r="E43" s="16">
        <v>8.7200000000000006</v>
      </c>
      <c r="F43" s="16">
        <v>0.8</v>
      </c>
      <c r="G43" s="16">
        <v>23.86</v>
      </c>
      <c r="H43" s="16">
        <v>2.38</v>
      </c>
      <c r="I43" s="16">
        <v>2.38</v>
      </c>
      <c r="J43" s="16">
        <v>1.58</v>
      </c>
      <c r="K43" s="16">
        <v>11.89</v>
      </c>
      <c r="L43" s="16">
        <v>13.49</v>
      </c>
      <c r="M43" s="16">
        <v>0.79</v>
      </c>
      <c r="N43" s="16">
        <v>21.41</v>
      </c>
      <c r="O43" s="16">
        <v>21.41</v>
      </c>
      <c r="P43" s="16">
        <v>0.79</v>
      </c>
      <c r="Q43" s="16">
        <v>3.18</v>
      </c>
      <c r="R43" s="16">
        <v>1.58</v>
      </c>
      <c r="S43" s="16">
        <v>5.56</v>
      </c>
      <c r="T43" s="16">
        <v>0.79</v>
      </c>
      <c r="U43" s="16">
        <v>3.16</v>
      </c>
      <c r="V43" s="16">
        <v>0.79</v>
      </c>
      <c r="W43" s="16">
        <v>1.58</v>
      </c>
      <c r="X43" s="16">
        <v>5.53</v>
      </c>
      <c r="Y43" s="16">
        <v>10.31</v>
      </c>
      <c r="Z43" s="16">
        <v>3.18</v>
      </c>
      <c r="AA43" s="16">
        <v>0.79</v>
      </c>
      <c r="AB43" s="16">
        <v>0</v>
      </c>
      <c r="AC43" s="16">
        <v>0</v>
      </c>
      <c r="AD43" s="14">
        <f t="shared" si="2"/>
        <v>146.74</v>
      </c>
    </row>
    <row r="44" spans="2:30" x14ac:dyDescent="0.3">
      <c r="B44" s="11" t="s">
        <v>88</v>
      </c>
      <c r="C44" s="11" t="s">
        <v>57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4">
        <f t="shared" si="2"/>
        <v>0</v>
      </c>
    </row>
    <row r="45" spans="2:30" x14ac:dyDescent="0.3">
      <c r="B45" s="11" t="s">
        <v>89</v>
      </c>
      <c r="C45" s="11" t="s">
        <v>51</v>
      </c>
      <c r="D45" s="16">
        <f>(146902/31)/86.21</f>
        <v>54.967801804296343</v>
      </c>
      <c r="E45" s="16">
        <f t="shared" ref="E45:Z45" si="3">(146902/31)/86.21</f>
        <v>54.967801804296343</v>
      </c>
      <c r="F45" s="16">
        <f t="shared" si="3"/>
        <v>54.967801804296343</v>
      </c>
      <c r="G45" s="16">
        <f t="shared" si="3"/>
        <v>54.967801804296343</v>
      </c>
      <c r="H45" s="16">
        <f t="shared" si="3"/>
        <v>54.967801804296343</v>
      </c>
      <c r="I45" s="16">
        <f t="shared" si="3"/>
        <v>54.967801804296343</v>
      </c>
      <c r="J45" s="16">
        <f t="shared" si="3"/>
        <v>54.967801804296343</v>
      </c>
      <c r="K45" s="16">
        <f t="shared" si="3"/>
        <v>54.967801804296343</v>
      </c>
      <c r="L45" s="16">
        <f t="shared" si="3"/>
        <v>54.967801804296343</v>
      </c>
      <c r="M45" s="16">
        <f t="shared" si="3"/>
        <v>54.967801804296343</v>
      </c>
      <c r="N45" s="16">
        <f t="shared" si="3"/>
        <v>54.967801804296343</v>
      </c>
      <c r="O45" s="16">
        <f t="shared" si="3"/>
        <v>54.967801804296343</v>
      </c>
      <c r="P45" s="16">
        <f t="shared" si="3"/>
        <v>54.967801804296343</v>
      </c>
      <c r="Q45" s="16">
        <f t="shared" si="3"/>
        <v>54.967801804296343</v>
      </c>
      <c r="R45" s="16">
        <f t="shared" si="3"/>
        <v>54.967801804296343</v>
      </c>
      <c r="S45" s="16">
        <f t="shared" si="3"/>
        <v>54.967801804296343</v>
      </c>
      <c r="T45" s="16">
        <f t="shared" si="3"/>
        <v>54.967801804296343</v>
      </c>
      <c r="U45" s="16">
        <f t="shared" si="3"/>
        <v>54.967801804296343</v>
      </c>
      <c r="V45" s="16">
        <f t="shared" si="3"/>
        <v>54.967801804296343</v>
      </c>
      <c r="W45" s="16">
        <f t="shared" si="3"/>
        <v>54.967801804296343</v>
      </c>
      <c r="X45" s="16">
        <f t="shared" si="3"/>
        <v>54.967801804296343</v>
      </c>
      <c r="Y45" s="16">
        <f t="shared" si="3"/>
        <v>54.967801804296343</v>
      </c>
      <c r="Z45" s="16">
        <f t="shared" si="3"/>
        <v>54.967801804296343</v>
      </c>
      <c r="AA45" s="16">
        <v>54.967801804296343</v>
      </c>
      <c r="AB45" s="16">
        <v>0</v>
      </c>
      <c r="AC45" s="16">
        <v>0</v>
      </c>
      <c r="AD45" s="14">
        <f t="shared" si="2"/>
        <v>1319.2272433031123</v>
      </c>
    </row>
    <row r="46" spans="2:30" x14ac:dyDescent="0.3">
      <c r="B46" s="23" t="s">
        <v>90</v>
      </c>
      <c r="C46" s="11" t="s">
        <v>51</v>
      </c>
      <c r="D46" s="16">
        <v>0.96</v>
      </c>
      <c r="E46" s="16">
        <v>10.52</v>
      </c>
      <c r="F46" s="16">
        <v>0.95</v>
      </c>
      <c r="G46" s="16">
        <v>28.52</v>
      </c>
      <c r="H46" s="16">
        <v>2.85</v>
      </c>
      <c r="I46" s="16">
        <v>2.87</v>
      </c>
      <c r="J46" s="16">
        <v>1.93</v>
      </c>
      <c r="K46" s="16">
        <v>14.33</v>
      </c>
      <c r="L46" s="16">
        <v>16.239999999999998</v>
      </c>
      <c r="M46" s="16">
        <v>0.96</v>
      </c>
      <c r="N46" s="16">
        <v>25.8</v>
      </c>
      <c r="O46" s="16">
        <v>25.81</v>
      </c>
      <c r="P46" s="16">
        <v>0.96</v>
      </c>
      <c r="Q46" s="16">
        <v>3.82</v>
      </c>
      <c r="R46" s="16">
        <v>1.93</v>
      </c>
      <c r="S46" s="16">
        <v>6.68</v>
      </c>
      <c r="T46" s="16">
        <v>0.96</v>
      </c>
      <c r="U46" s="16">
        <v>3.84</v>
      </c>
      <c r="V46" s="16">
        <v>0.96</v>
      </c>
      <c r="W46" s="16">
        <v>1.93</v>
      </c>
      <c r="X46" s="16">
        <v>6.69</v>
      </c>
      <c r="Y46" s="16">
        <v>12.42</v>
      </c>
      <c r="Z46" s="16">
        <v>3.82</v>
      </c>
      <c r="AA46" s="16">
        <v>0.96</v>
      </c>
      <c r="AB46" s="16">
        <v>0</v>
      </c>
      <c r="AC46" s="16">
        <v>0</v>
      </c>
      <c r="AD46" s="14">
        <f t="shared" si="2"/>
        <v>176.71</v>
      </c>
    </row>
    <row r="47" spans="2:30" x14ac:dyDescent="0.3">
      <c r="B47" s="22" t="s">
        <v>91</v>
      </c>
      <c r="C47" s="11" t="s">
        <v>57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4">
        <f t="shared" si="2"/>
        <v>0</v>
      </c>
    </row>
    <row r="48" spans="2:30" x14ac:dyDescent="0.3">
      <c r="B48" s="24" t="s">
        <v>92</v>
      </c>
      <c r="C48" s="11" t="s">
        <v>57</v>
      </c>
      <c r="D48" s="16">
        <v>4.47</v>
      </c>
      <c r="E48" s="16">
        <v>49.04</v>
      </c>
      <c r="F48" s="16">
        <v>4.45</v>
      </c>
      <c r="G48" s="16">
        <v>133.63</v>
      </c>
      <c r="H48" s="16">
        <v>13.37</v>
      </c>
      <c r="I48" s="16">
        <v>13.37</v>
      </c>
      <c r="J48" s="16">
        <v>8.93</v>
      </c>
      <c r="K48" s="16">
        <v>66.86</v>
      </c>
      <c r="L48" s="16">
        <v>75.78</v>
      </c>
      <c r="M48" s="16">
        <v>4.47</v>
      </c>
      <c r="N48" s="16">
        <v>120.36</v>
      </c>
      <c r="O48" s="16">
        <v>120.37</v>
      </c>
      <c r="P48" s="16">
        <v>4.47</v>
      </c>
      <c r="Q48" s="16">
        <v>17.829999999999998</v>
      </c>
      <c r="R48" s="16">
        <v>8.93</v>
      </c>
      <c r="S48" s="16">
        <v>31.2</v>
      </c>
      <c r="T48" s="16">
        <v>4.47</v>
      </c>
      <c r="U48" s="16">
        <v>17.850000000000001</v>
      </c>
      <c r="V48" s="16">
        <v>4.47</v>
      </c>
      <c r="W48" s="16">
        <v>8.93</v>
      </c>
      <c r="X48" s="16">
        <v>31.21</v>
      </c>
      <c r="Y48" s="16">
        <v>57.95</v>
      </c>
      <c r="Z48" s="16">
        <v>17.829999999999998</v>
      </c>
      <c r="AA48" s="16">
        <v>4.47</v>
      </c>
      <c r="AB48" s="16">
        <v>0</v>
      </c>
      <c r="AC48" s="16">
        <v>0</v>
      </c>
      <c r="AD48" s="14">
        <f t="shared" si="2"/>
        <v>824.71000000000026</v>
      </c>
    </row>
    <row r="49" spans="1:30" x14ac:dyDescent="0.3">
      <c r="B49" s="11" t="s">
        <v>93</v>
      </c>
      <c r="C49" s="11" t="s">
        <v>57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4">
        <f t="shared" si="2"/>
        <v>0</v>
      </c>
    </row>
    <row r="50" spans="1:30" x14ac:dyDescent="0.3">
      <c r="B50" s="11" t="s">
        <v>94</v>
      </c>
      <c r="C50" s="11" t="s">
        <v>57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4">
        <f t="shared" si="2"/>
        <v>0</v>
      </c>
    </row>
    <row r="51" spans="1:30" x14ac:dyDescent="0.3">
      <c r="B51" s="11" t="s">
        <v>95</v>
      </c>
      <c r="C51" s="11" t="s">
        <v>57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4">
        <f t="shared" si="2"/>
        <v>0</v>
      </c>
    </row>
    <row r="52" spans="1:30" x14ac:dyDescent="0.3">
      <c r="B52" s="11" t="s">
        <v>96</v>
      </c>
      <c r="C52" s="11" t="s">
        <v>57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4">
        <f t="shared" si="2"/>
        <v>0</v>
      </c>
    </row>
    <row r="53" spans="1:30" s="4" customFormat="1" ht="13" x14ac:dyDescent="0.3">
      <c r="B53" s="25"/>
      <c r="C53" s="25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20">
        <f>SUM(AD31:AD52)</f>
        <v>29746.807243303119</v>
      </c>
    </row>
    <row r="54" spans="1:30" x14ac:dyDescent="0.3">
      <c r="A54" s="4" t="s">
        <v>97</v>
      </c>
      <c r="B54" s="26" t="s">
        <v>98</v>
      </c>
      <c r="C54" s="26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4"/>
    </row>
    <row r="55" spans="1:30" x14ac:dyDescent="0.3">
      <c r="B55" s="17" t="s">
        <v>99</v>
      </c>
      <c r="C55" s="17" t="s">
        <v>51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4">
        <f>SUM(D55:AA55)</f>
        <v>0</v>
      </c>
    </row>
    <row r="56" spans="1:30" x14ac:dyDescent="0.3">
      <c r="B56" s="17" t="s">
        <v>100</v>
      </c>
      <c r="C56" s="17" t="s">
        <v>51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4">
        <f>SUM(D56:AA56)</f>
        <v>0</v>
      </c>
    </row>
    <row r="57" spans="1:30" x14ac:dyDescent="0.3">
      <c r="B57" s="17" t="s">
        <v>101</v>
      </c>
      <c r="C57" s="11" t="s">
        <v>57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5.01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-0.01</v>
      </c>
      <c r="Z57" s="16">
        <v>0</v>
      </c>
      <c r="AA57" s="16">
        <v>0</v>
      </c>
      <c r="AB57" s="16">
        <v>0</v>
      </c>
      <c r="AC57" s="16">
        <v>0</v>
      </c>
      <c r="AD57" s="14">
        <f>SUM(D57:AA57)</f>
        <v>5</v>
      </c>
    </row>
    <row r="58" spans="1:30" x14ac:dyDescent="0.3">
      <c r="B58" s="17" t="s">
        <v>102</v>
      </c>
      <c r="C58" s="17" t="s">
        <v>57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4">
        <f>SUM(D58:AA58)</f>
        <v>0</v>
      </c>
    </row>
    <row r="59" spans="1:30" x14ac:dyDescent="0.3">
      <c r="B59" s="17" t="s">
        <v>103</v>
      </c>
      <c r="C59" s="17" t="s">
        <v>57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4">
        <f>SUM(D59:AA59)</f>
        <v>0</v>
      </c>
    </row>
    <row r="60" spans="1:30" s="4" customFormat="1" ht="13" x14ac:dyDescent="0.3">
      <c r="B60" s="25"/>
      <c r="C60" s="25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20">
        <f>SUM(AD55:AD59)</f>
        <v>5</v>
      </c>
    </row>
    <row r="61" spans="1:30" x14ac:dyDescent="0.3">
      <c r="A61" s="4" t="s">
        <v>104</v>
      </c>
      <c r="B61" s="26" t="s">
        <v>105</v>
      </c>
      <c r="C61" s="26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4"/>
    </row>
    <row r="62" spans="1:30" x14ac:dyDescent="0.3">
      <c r="B62" s="17" t="s">
        <v>106</v>
      </c>
      <c r="C62" s="17" t="s">
        <v>57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4">
        <f t="shared" ref="AD62:AD69" si="4">SUM(D62:AA62)</f>
        <v>0</v>
      </c>
    </row>
    <row r="63" spans="1:30" x14ac:dyDescent="0.3">
      <c r="B63" s="17" t="s">
        <v>107</v>
      </c>
      <c r="C63" s="17" t="s">
        <v>57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4">
        <f t="shared" si="4"/>
        <v>0</v>
      </c>
    </row>
    <row r="64" spans="1:30" x14ac:dyDescent="0.3">
      <c r="B64" s="17" t="s">
        <v>108</v>
      </c>
      <c r="C64" s="11" t="s">
        <v>51</v>
      </c>
      <c r="D64" s="16">
        <v>175</v>
      </c>
      <c r="E64" s="16">
        <v>1928</v>
      </c>
      <c r="F64" s="16">
        <v>175</v>
      </c>
      <c r="G64" s="16">
        <v>5258</v>
      </c>
      <c r="H64" s="16">
        <v>526</v>
      </c>
      <c r="I64" s="16">
        <v>526</v>
      </c>
      <c r="J64" s="16">
        <v>351</v>
      </c>
      <c r="K64" s="16">
        <v>2629</v>
      </c>
      <c r="L64" s="16">
        <v>2979</v>
      </c>
      <c r="M64" s="16">
        <v>175</v>
      </c>
      <c r="N64" s="16">
        <v>4732</v>
      </c>
      <c r="O64" s="16">
        <v>4732</v>
      </c>
      <c r="P64" s="16">
        <v>175</v>
      </c>
      <c r="Q64" s="16">
        <v>701</v>
      </c>
      <c r="R64" s="16">
        <v>351</v>
      </c>
      <c r="S64" s="16">
        <v>1227</v>
      </c>
      <c r="T64" s="16">
        <v>175</v>
      </c>
      <c r="U64" s="16">
        <v>701</v>
      </c>
      <c r="V64" s="16">
        <v>175</v>
      </c>
      <c r="W64" s="16">
        <v>351</v>
      </c>
      <c r="X64" s="16">
        <v>1227</v>
      </c>
      <c r="Y64" s="16">
        <v>2278</v>
      </c>
      <c r="Z64" s="16">
        <v>701</v>
      </c>
      <c r="AA64" s="16">
        <v>175.2610823257356</v>
      </c>
      <c r="AB64" s="16">
        <v>0</v>
      </c>
      <c r="AC64" s="16">
        <v>0</v>
      </c>
      <c r="AD64" s="14">
        <f t="shared" si="4"/>
        <v>32423.261082325735</v>
      </c>
    </row>
    <row r="65" spans="2:30" x14ac:dyDescent="0.3">
      <c r="B65" s="17" t="s">
        <v>109</v>
      </c>
      <c r="C65" s="11" t="s">
        <v>51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4">
        <f t="shared" si="4"/>
        <v>0</v>
      </c>
    </row>
    <row r="66" spans="2:30" x14ac:dyDescent="0.3">
      <c r="B66" s="17" t="s">
        <v>110</v>
      </c>
      <c r="C66" s="17" t="s">
        <v>57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4">
        <f t="shared" si="4"/>
        <v>0</v>
      </c>
    </row>
    <row r="67" spans="2:30" x14ac:dyDescent="0.3">
      <c r="B67" s="17" t="s">
        <v>111</v>
      </c>
      <c r="C67" s="17" t="s">
        <v>57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4">
        <f t="shared" si="4"/>
        <v>0</v>
      </c>
    </row>
    <row r="68" spans="2:30" x14ac:dyDescent="0.3">
      <c r="B68" s="17" t="s">
        <v>112</v>
      </c>
      <c r="C68" s="17" t="s">
        <v>57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4">
        <f t="shared" si="4"/>
        <v>0</v>
      </c>
    </row>
    <row r="69" spans="2:30" x14ac:dyDescent="0.3">
      <c r="B69" s="17" t="s">
        <v>113</v>
      </c>
      <c r="C69" s="17" t="s">
        <v>57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4">
        <f t="shared" si="4"/>
        <v>0</v>
      </c>
    </row>
    <row r="70" spans="2:30" s="4" customFormat="1" ht="13" x14ac:dyDescent="0.3">
      <c r="B70" s="26"/>
      <c r="C70" s="26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20">
        <f>SUM(AD62:AD69)</f>
        <v>32423.261082325735</v>
      </c>
    </row>
    <row r="71" spans="2:30" x14ac:dyDescent="0.3">
      <c r="B71" s="17"/>
      <c r="C71" s="17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4"/>
    </row>
    <row r="72" spans="2:30" s="4" customFormat="1" ht="13.5" thickBot="1" x14ac:dyDescent="0.35">
      <c r="B72" s="27" t="s">
        <v>114</v>
      </c>
      <c r="C72" s="27"/>
      <c r="D72" s="28">
        <f t="shared" ref="D72:AC72" si="5">SUM(D6:D71)</f>
        <v>10827.041626940909</v>
      </c>
      <c r="E72" s="28">
        <f t="shared" si="5"/>
        <v>26342.789878307038</v>
      </c>
      <c r="F72" s="28">
        <f t="shared" si="5"/>
        <v>2510.3816269409085</v>
      </c>
      <c r="G72" s="28">
        <f t="shared" si="5"/>
        <v>50880.802555902657</v>
      </c>
      <c r="H72" s="28">
        <f t="shared" si="5"/>
        <v>4390.9392772141318</v>
      </c>
      <c r="I72" s="28">
        <f t="shared" si="5"/>
        <v>4370.5592772141317</v>
      </c>
      <c r="J72" s="28">
        <f t="shared" si="5"/>
        <v>9433.0354520775218</v>
      </c>
      <c r="K72" s="28">
        <f t="shared" si="5"/>
        <v>54060.725178853492</v>
      </c>
      <c r="L72" s="28">
        <f t="shared" si="5"/>
        <v>29674.252829126704</v>
      </c>
      <c r="M72" s="28">
        <f t="shared" si="5"/>
        <v>5196.1416269409101</v>
      </c>
      <c r="N72" s="28">
        <f t="shared" si="5"/>
        <v>62974.451080492829</v>
      </c>
      <c r="O72" s="28">
        <f t="shared" si="5"/>
        <v>39214.041080492832</v>
      </c>
      <c r="P72" s="28">
        <f t="shared" si="5"/>
        <v>4272.6278018042967</v>
      </c>
      <c r="Q72" s="28">
        <f t="shared" si="5"/>
        <v>9805.4531023507443</v>
      </c>
      <c r="R72" s="28">
        <f t="shared" si="5"/>
        <v>2711.1254520775196</v>
      </c>
      <c r="S72" s="28">
        <f t="shared" si="5"/>
        <v>21164.204577760589</v>
      </c>
      <c r="T72" s="28">
        <f t="shared" si="5"/>
        <v>17349.081626940908</v>
      </c>
      <c r="U72" s="28">
        <f t="shared" si="5"/>
        <v>6471.733102350744</v>
      </c>
      <c r="V72" s="28">
        <f t="shared" si="5"/>
        <v>2822.8316269409079</v>
      </c>
      <c r="W72" s="28">
        <f t="shared" si="5"/>
        <v>8285.4354520775214</v>
      </c>
      <c r="X72" s="28">
        <f t="shared" si="5"/>
        <v>21891.254577760577</v>
      </c>
      <c r="Y72" s="28">
        <f t="shared" si="5"/>
        <v>36141.067528580235</v>
      </c>
      <c r="Z72" s="28">
        <f t="shared" si="5"/>
        <v>7828.2031023507452</v>
      </c>
      <c r="AA72" s="28">
        <f t="shared" si="5"/>
        <v>1542.918697214144</v>
      </c>
      <c r="AB72" s="28">
        <f t="shared" si="5"/>
        <v>0</v>
      </c>
      <c r="AC72" s="28">
        <f t="shared" si="5"/>
        <v>0</v>
      </c>
      <c r="AD72" s="29">
        <f>+AD19+AD29+AD53+AD70+AD60</f>
        <v>440161.09813871293</v>
      </c>
    </row>
    <row r="73" spans="2:30" s="4" customFormat="1" ht="14.5" thickTop="1" x14ac:dyDescent="0.3">
      <c r="B73" s="21"/>
      <c r="C73" s="21" t="s">
        <v>51</v>
      </c>
      <c r="D73" s="30">
        <f t="shared" ref="D73:AA73" si="6">ROUND(SUMIF($C$8:$C$69,$C$73,D8:D69)/D72,2)</f>
        <v>0.71</v>
      </c>
      <c r="E73" s="30">
        <f t="shared" si="6"/>
        <v>0.93</v>
      </c>
      <c r="F73" s="30">
        <f t="shared" si="6"/>
        <v>0.94</v>
      </c>
      <c r="G73" s="30">
        <f t="shared" si="6"/>
        <v>0.91</v>
      </c>
      <c r="H73" s="30">
        <f t="shared" si="6"/>
        <v>0.89</v>
      </c>
      <c r="I73" s="30">
        <f t="shared" si="6"/>
        <v>0.89</v>
      </c>
      <c r="J73" s="30">
        <f t="shared" si="6"/>
        <v>0.95</v>
      </c>
      <c r="K73" s="30">
        <f t="shared" si="6"/>
        <v>0.95</v>
      </c>
      <c r="L73" s="30">
        <f t="shared" si="6"/>
        <v>0.91</v>
      </c>
      <c r="M73" s="30">
        <f t="shared" si="6"/>
        <v>0.97</v>
      </c>
      <c r="N73" s="30">
        <f t="shared" si="6"/>
        <v>0.9</v>
      </c>
      <c r="O73" s="30">
        <f t="shared" si="6"/>
        <v>0.89</v>
      </c>
      <c r="P73" s="30">
        <f t="shared" si="6"/>
        <v>0.98</v>
      </c>
      <c r="Q73" s="30">
        <f t="shared" si="6"/>
        <v>0.94</v>
      </c>
      <c r="R73" s="30">
        <f t="shared" si="6"/>
        <v>0.88</v>
      </c>
      <c r="S73" s="30">
        <f t="shared" si="6"/>
        <v>0.95</v>
      </c>
      <c r="T73" s="30">
        <f t="shared" si="6"/>
        <v>0.75</v>
      </c>
      <c r="U73" s="30">
        <f t="shared" si="6"/>
        <v>0.9</v>
      </c>
      <c r="V73" s="30">
        <f t="shared" si="6"/>
        <v>0.83</v>
      </c>
      <c r="W73" s="30">
        <f t="shared" si="6"/>
        <v>0.96</v>
      </c>
      <c r="X73" s="30">
        <f t="shared" si="6"/>
        <v>0.95</v>
      </c>
      <c r="Y73" s="30">
        <f t="shared" si="6"/>
        <v>0.94</v>
      </c>
      <c r="Z73" s="30">
        <f t="shared" si="6"/>
        <v>0.92</v>
      </c>
      <c r="AA73" s="30">
        <f t="shared" si="6"/>
        <v>0.9</v>
      </c>
      <c r="AB73" s="31"/>
      <c r="AC73" s="31"/>
      <c r="AD73" s="32">
        <f>ROUND(SUMIF($C$8:$C$69,$C$73,AD8:AD69)/AD72,2)</f>
        <v>0.91</v>
      </c>
    </row>
    <row r="74" spans="2:30" s="4" customFormat="1" ht="13.5" thickBot="1" x14ac:dyDescent="0.35">
      <c r="B74" s="21"/>
      <c r="C74" s="21" t="s">
        <v>57</v>
      </c>
      <c r="D74" s="30">
        <f t="shared" ref="D74:AA74" si="7">ROUND(SUMIF($C$8:$C$69,$C$74,D8:D69)/D72,2)</f>
        <v>0.28999999999999998</v>
      </c>
      <c r="E74" s="30">
        <f t="shared" si="7"/>
        <v>7.0000000000000007E-2</v>
      </c>
      <c r="F74" s="30">
        <f t="shared" si="7"/>
        <v>0.06</v>
      </c>
      <c r="G74" s="30">
        <f t="shared" si="7"/>
        <v>0.09</v>
      </c>
      <c r="H74" s="30">
        <f t="shared" si="7"/>
        <v>0.11</v>
      </c>
      <c r="I74" s="30">
        <f t="shared" si="7"/>
        <v>0.11</v>
      </c>
      <c r="J74" s="30">
        <f t="shared" si="7"/>
        <v>0.05</v>
      </c>
      <c r="K74" s="30">
        <f t="shared" si="7"/>
        <v>0.05</v>
      </c>
      <c r="L74" s="30">
        <f t="shared" si="7"/>
        <v>0.09</v>
      </c>
      <c r="M74" s="30">
        <f t="shared" si="7"/>
        <v>0.03</v>
      </c>
      <c r="N74" s="30">
        <f t="shared" si="7"/>
        <v>0.1</v>
      </c>
      <c r="O74" s="30">
        <f t="shared" si="7"/>
        <v>0.11</v>
      </c>
      <c r="P74" s="30">
        <f t="shared" si="7"/>
        <v>0.02</v>
      </c>
      <c r="Q74" s="30">
        <f t="shared" si="7"/>
        <v>0.06</v>
      </c>
      <c r="R74" s="30">
        <f t="shared" si="7"/>
        <v>0.12</v>
      </c>
      <c r="S74" s="30">
        <f t="shared" si="7"/>
        <v>0.05</v>
      </c>
      <c r="T74" s="30">
        <f t="shared" si="7"/>
        <v>0.25</v>
      </c>
      <c r="U74" s="30">
        <f t="shared" si="7"/>
        <v>0.1</v>
      </c>
      <c r="V74" s="30">
        <f t="shared" si="7"/>
        <v>0.17</v>
      </c>
      <c r="W74" s="30">
        <f t="shared" si="7"/>
        <v>0.04</v>
      </c>
      <c r="X74" s="30">
        <f t="shared" si="7"/>
        <v>0.05</v>
      </c>
      <c r="Y74" s="30">
        <f t="shared" si="7"/>
        <v>0.06</v>
      </c>
      <c r="Z74" s="30">
        <f t="shared" si="7"/>
        <v>0.08</v>
      </c>
      <c r="AA74" s="33">
        <f t="shared" si="7"/>
        <v>0.1</v>
      </c>
      <c r="AB74" s="34"/>
      <c r="AC74" s="34"/>
      <c r="AD74" s="32">
        <f>ROUND(SUMIF($C$8:$C$69,$C$74,AD8:AD69)/AD72,2)</f>
        <v>0.09</v>
      </c>
    </row>
    <row r="75" spans="2:30" ht="14.5" thickTop="1" x14ac:dyDescent="0.3">
      <c r="B75" s="35"/>
      <c r="C75" s="35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12"/>
      <c r="AB75" s="12"/>
      <c r="AC75" s="12"/>
      <c r="AD75" s="31"/>
    </row>
    <row r="76" spans="2:30" x14ac:dyDescent="0.3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2:30" s="40" customFormat="1" x14ac:dyDescent="0.3">
      <c r="B77" s="36" t="s">
        <v>115</v>
      </c>
      <c r="C77" s="36"/>
      <c r="D77" s="37">
        <v>1</v>
      </c>
      <c r="E77" s="37">
        <v>11</v>
      </c>
      <c r="F77" s="37">
        <v>1</v>
      </c>
      <c r="G77" s="37">
        <v>30</v>
      </c>
      <c r="H77" s="37">
        <v>3</v>
      </c>
      <c r="I77" s="37">
        <v>3</v>
      </c>
      <c r="J77" s="37">
        <v>2</v>
      </c>
      <c r="K77" s="37">
        <v>15</v>
      </c>
      <c r="L77" s="37">
        <v>17</v>
      </c>
      <c r="M77" s="37">
        <v>1</v>
      </c>
      <c r="N77" s="37">
        <v>27</v>
      </c>
      <c r="O77" s="37">
        <v>27</v>
      </c>
      <c r="P77" s="37">
        <v>1</v>
      </c>
      <c r="Q77" s="37">
        <v>4</v>
      </c>
      <c r="R77" s="37">
        <v>2</v>
      </c>
      <c r="S77" s="37">
        <v>7</v>
      </c>
      <c r="T77" s="37">
        <v>1</v>
      </c>
      <c r="U77" s="37">
        <v>4</v>
      </c>
      <c r="V77" s="37">
        <v>1</v>
      </c>
      <c r="W77" s="37">
        <v>2</v>
      </c>
      <c r="X77" s="37">
        <v>7</v>
      </c>
      <c r="Y77" s="37">
        <v>13</v>
      </c>
      <c r="Z77" s="37">
        <v>4</v>
      </c>
      <c r="AA77" s="37">
        <v>1</v>
      </c>
      <c r="AB77" s="38"/>
      <c r="AC77" s="38"/>
      <c r="AD77" s="39">
        <f>SUM(D77:AA77)</f>
        <v>185</v>
      </c>
    </row>
    <row r="78" spans="2:30" x14ac:dyDescent="0.3">
      <c r="B78" s="12" t="s">
        <v>116</v>
      </c>
      <c r="C78" s="12"/>
      <c r="D78" s="14">
        <f>(+D8+D9+D10+D11)/D77</f>
        <v>7231.72</v>
      </c>
      <c r="E78" s="14">
        <f t="shared" ref="E78:Z78" si="8">(+E8+E9+E10+E11)/E77</f>
        <v>1692.5209090909091</v>
      </c>
      <c r="F78" s="14">
        <f t="shared" si="8"/>
        <v>1864.56</v>
      </c>
      <c r="G78" s="14">
        <f t="shared" si="8"/>
        <v>1103.0566666666666</v>
      </c>
      <c r="H78" s="14">
        <f t="shared" si="8"/>
        <v>847.46666666666658</v>
      </c>
      <c r="I78" s="14">
        <f t="shared" si="8"/>
        <v>853.5566666666665</v>
      </c>
      <c r="J78" s="14">
        <f t="shared" si="8"/>
        <v>4035.6749999999997</v>
      </c>
      <c r="K78" s="14">
        <f t="shared" si="8"/>
        <v>2993.2366666666667</v>
      </c>
      <c r="L78" s="14">
        <f t="shared" si="8"/>
        <v>1161.5105882352941</v>
      </c>
      <c r="M78" s="14">
        <f t="shared" si="8"/>
        <v>4556.51</v>
      </c>
      <c r="N78" s="14">
        <f t="shared" si="8"/>
        <v>1661.6818518518519</v>
      </c>
      <c r="O78" s="14">
        <f t="shared" si="8"/>
        <v>866.83333333333337</v>
      </c>
      <c r="P78" s="14">
        <f t="shared" si="8"/>
        <v>3920.21</v>
      </c>
      <c r="Q78" s="14">
        <f t="shared" si="8"/>
        <v>1854.0725</v>
      </c>
      <c r="R78" s="14">
        <f t="shared" si="8"/>
        <v>738.6099999999999</v>
      </c>
      <c r="S78" s="14">
        <f t="shared" si="8"/>
        <v>2425.3828571428571</v>
      </c>
      <c r="T78" s="14">
        <f t="shared" si="8"/>
        <v>7940.2900000000009</v>
      </c>
      <c r="U78" s="14">
        <f t="shared" si="8"/>
        <v>1019.3924999999999</v>
      </c>
      <c r="V78" s="14">
        <f t="shared" si="8"/>
        <v>1843.72</v>
      </c>
      <c r="W78" s="14">
        <f t="shared" si="8"/>
        <v>3530.98</v>
      </c>
      <c r="X78" s="14">
        <f t="shared" si="8"/>
        <v>2536.3557142857139</v>
      </c>
      <c r="Y78" s="14">
        <f t="shared" si="8"/>
        <v>2185.8376923076921</v>
      </c>
      <c r="Z78" s="14">
        <f t="shared" si="8"/>
        <v>1361.1100000000001</v>
      </c>
      <c r="AA78" s="14">
        <v>909.82</v>
      </c>
      <c r="AB78" s="12"/>
      <c r="AC78" s="12"/>
      <c r="AD78" s="14">
        <f>(+AD8+AD9+AD10+AD11)/AD77</f>
        <v>1701.028972972973</v>
      </c>
    </row>
    <row r="79" spans="2:30" x14ac:dyDescent="0.3">
      <c r="B79" s="12" t="s">
        <v>117</v>
      </c>
      <c r="C79" s="12"/>
      <c r="D79" s="14">
        <f>SUM(D12:D18)/D77</f>
        <v>73.64</v>
      </c>
      <c r="E79" s="14">
        <f t="shared" ref="E79:Z79" si="9">SUM(E12:E18)/E77</f>
        <v>168.53727272727272</v>
      </c>
      <c r="F79" s="14">
        <f t="shared" si="9"/>
        <v>81.11</v>
      </c>
      <c r="G79" s="14">
        <f t="shared" si="9"/>
        <v>81.111333333333334</v>
      </c>
      <c r="H79" s="14">
        <f t="shared" si="9"/>
        <v>73.63</v>
      </c>
      <c r="I79" s="14">
        <f t="shared" si="9"/>
        <v>73.63</v>
      </c>
      <c r="J79" s="14">
        <f t="shared" si="9"/>
        <v>73.634999999999991</v>
      </c>
      <c r="K79" s="14">
        <f t="shared" si="9"/>
        <v>75.740666666666655</v>
      </c>
      <c r="L79" s="14">
        <f t="shared" si="9"/>
        <v>73.632352941176464</v>
      </c>
      <c r="M79" s="14">
        <f t="shared" si="9"/>
        <v>73.64</v>
      </c>
      <c r="N79" s="14">
        <f t="shared" si="9"/>
        <v>143.53333333333333</v>
      </c>
      <c r="O79" s="14">
        <f t="shared" si="9"/>
        <v>73.633703703703702</v>
      </c>
      <c r="P79" s="14">
        <f t="shared" si="9"/>
        <v>73.64</v>
      </c>
      <c r="Q79" s="14">
        <f t="shared" si="9"/>
        <v>73.634999999999991</v>
      </c>
      <c r="R79" s="14">
        <f t="shared" si="9"/>
        <v>78.849999999999994</v>
      </c>
      <c r="S79" s="14">
        <f t="shared" si="9"/>
        <v>73.632857142857148</v>
      </c>
      <c r="T79" s="14">
        <f t="shared" si="9"/>
        <v>422.66999999999996</v>
      </c>
      <c r="U79" s="14">
        <f t="shared" si="9"/>
        <v>76.242500000000007</v>
      </c>
      <c r="V79" s="14">
        <f t="shared" si="9"/>
        <v>73.64</v>
      </c>
      <c r="W79" s="14">
        <f t="shared" si="9"/>
        <v>73.634999999999991</v>
      </c>
      <c r="X79" s="14">
        <f t="shared" si="9"/>
        <v>73.628571428571419</v>
      </c>
      <c r="Y79" s="14">
        <f t="shared" si="9"/>
        <v>75.238461538461536</v>
      </c>
      <c r="Z79" s="14">
        <f t="shared" si="9"/>
        <v>73.634999999999991</v>
      </c>
      <c r="AA79" s="14">
        <v>73.64</v>
      </c>
      <c r="AB79" s="12"/>
      <c r="AC79" s="12"/>
      <c r="AD79" s="14">
        <f>SUM(AD12:AD18)/AD77</f>
        <v>93.014054054054071</v>
      </c>
    </row>
    <row r="80" spans="2:30" x14ac:dyDescent="0.3">
      <c r="B80" s="12" t="s">
        <v>118</v>
      </c>
      <c r="C80" s="12"/>
      <c r="D80" s="14">
        <f t="shared" ref="D80:Z80" si="10">SUM(D21:D28)/D77</f>
        <v>225.69382513661202</v>
      </c>
      <c r="E80" s="14">
        <f t="shared" si="10"/>
        <v>225.69564331843023</v>
      </c>
      <c r="F80" s="14">
        <f t="shared" si="10"/>
        <v>225.69382513661202</v>
      </c>
      <c r="G80" s="14">
        <f t="shared" si="10"/>
        <v>225.69615846994532</v>
      </c>
      <c r="H80" s="14">
        <f t="shared" si="10"/>
        <v>225.69715846994538</v>
      </c>
      <c r="I80" s="14">
        <f t="shared" si="10"/>
        <v>225.69715846994538</v>
      </c>
      <c r="J80" s="14">
        <f>SUM(J21:J28)/J77</f>
        <v>225.68882513661202</v>
      </c>
      <c r="K80" s="14">
        <f t="shared" si="10"/>
        <v>235.52049180327867</v>
      </c>
      <c r="L80" s="14">
        <f t="shared" si="10"/>
        <v>225.69676631308261</v>
      </c>
      <c r="M80" s="14">
        <f t="shared" si="10"/>
        <v>225.69382513661202</v>
      </c>
      <c r="N80" s="14">
        <f t="shared" si="10"/>
        <v>225.69271402550092</v>
      </c>
      <c r="O80" s="14">
        <f t="shared" si="10"/>
        <v>225.69678809957497</v>
      </c>
      <c r="P80" s="14">
        <f t="shared" si="10"/>
        <v>0</v>
      </c>
      <c r="Q80" s="14">
        <f t="shared" si="10"/>
        <v>225.68882513661197</v>
      </c>
      <c r="R80" s="14">
        <f t="shared" si="10"/>
        <v>225.68882513661202</v>
      </c>
      <c r="S80" s="14">
        <f t="shared" si="10"/>
        <v>225.68953942232633</v>
      </c>
      <c r="T80" s="14">
        <f t="shared" si="10"/>
        <v>4645.7138251366132</v>
      </c>
      <c r="U80" s="14">
        <f t="shared" si="10"/>
        <v>225.68632513661203</v>
      </c>
      <c r="V80" s="14">
        <f t="shared" si="10"/>
        <v>225.46382513661203</v>
      </c>
      <c r="W80" s="14">
        <f t="shared" si="10"/>
        <v>225.68882513661202</v>
      </c>
      <c r="X80" s="14">
        <f t="shared" si="10"/>
        <v>225.68811085089777</v>
      </c>
      <c r="Y80" s="14">
        <f t="shared" si="10"/>
        <v>225.69151744430431</v>
      </c>
      <c r="Z80" s="14">
        <f t="shared" si="10"/>
        <v>225.68882513661197</v>
      </c>
      <c r="AA80" s="14">
        <v>218.89981308411214</v>
      </c>
      <c r="AB80" s="12"/>
      <c r="AC80" s="12"/>
      <c r="AD80" s="14">
        <f t="shared" ref="AD80" si="11">SUM(AD21:AD28)/AD77</f>
        <v>249.12470169234655</v>
      </c>
    </row>
    <row r="81" spans="1:30" x14ac:dyDescent="0.3">
      <c r="B81" s="12" t="s">
        <v>119</v>
      </c>
      <c r="C81" s="12"/>
      <c r="D81" s="14">
        <f t="shared" ref="D81:Z81" si="12">SUM(D31:D34)/D77</f>
        <v>68.84</v>
      </c>
      <c r="E81" s="14">
        <f t="shared" si="12"/>
        <v>68.844545454545468</v>
      </c>
      <c r="F81" s="14">
        <f t="shared" si="12"/>
        <v>69.84</v>
      </c>
      <c r="G81" s="14">
        <f t="shared" si="12"/>
        <v>69.850666666666669</v>
      </c>
      <c r="H81" s="14">
        <f t="shared" si="12"/>
        <v>71.87</v>
      </c>
      <c r="I81" s="14">
        <f t="shared" si="12"/>
        <v>68.84</v>
      </c>
      <c r="J81" s="14">
        <f t="shared" si="12"/>
        <v>68.844999999999999</v>
      </c>
      <c r="K81" s="14">
        <f t="shared" si="12"/>
        <v>55.283333333333331</v>
      </c>
      <c r="L81" s="14">
        <f t="shared" si="12"/>
        <v>69.399999999999991</v>
      </c>
      <c r="M81" s="14">
        <f t="shared" si="12"/>
        <v>68.84</v>
      </c>
      <c r="N81" s="14">
        <f t="shared" si="12"/>
        <v>85.560370370370379</v>
      </c>
      <c r="O81" s="14">
        <f t="shared" si="12"/>
        <v>70.035925925925923</v>
      </c>
      <c r="P81" s="14">
        <f t="shared" si="12"/>
        <v>36.64</v>
      </c>
      <c r="Q81" s="14">
        <f t="shared" si="12"/>
        <v>68.844999999999999</v>
      </c>
      <c r="R81" s="14">
        <f t="shared" si="12"/>
        <v>68.844999999999999</v>
      </c>
      <c r="S81" s="14">
        <f t="shared" si="12"/>
        <v>68.841428571428565</v>
      </c>
      <c r="T81" s="14">
        <f t="shared" si="12"/>
        <v>68.84</v>
      </c>
      <c r="U81" s="14">
        <f t="shared" si="12"/>
        <v>68.84</v>
      </c>
      <c r="V81" s="14">
        <f t="shared" si="12"/>
        <v>55.28</v>
      </c>
      <c r="W81" s="14">
        <f t="shared" si="12"/>
        <v>68.844999999999999</v>
      </c>
      <c r="X81" s="14">
        <f t="shared" si="12"/>
        <v>68.834285714285713</v>
      </c>
      <c r="Y81" s="14">
        <f t="shared" si="12"/>
        <v>68.843846153846158</v>
      </c>
      <c r="Z81" s="14">
        <f t="shared" si="12"/>
        <v>68.844999999999999</v>
      </c>
      <c r="AA81" s="14">
        <v>68.84</v>
      </c>
      <c r="AB81" s="12"/>
      <c r="AC81" s="12"/>
      <c r="AD81" s="14">
        <f t="shared" ref="AD81" si="13">SUM(AD31:AD34)/AD77</f>
        <v>70.378918918918927</v>
      </c>
    </row>
    <row r="82" spans="1:30" x14ac:dyDescent="0.3">
      <c r="B82" s="12" t="s">
        <v>120</v>
      </c>
      <c r="C82" s="12"/>
      <c r="D82" s="14">
        <f t="shared" ref="D82:Z82" si="14">SUM(D35:D52)/D77</f>
        <v>3052.1478018042963</v>
      </c>
      <c r="E82" s="14">
        <f t="shared" si="14"/>
        <v>63.927981982208756</v>
      </c>
      <c r="F82" s="14">
        <f t="shared" si="14"/>
        <v>94.177801804296337</v>
      </c>
      <c r="G82" s="14">
        <f t="shared" si="14"/>
        <v>41.045260060143207</v>
      </c>
      <c r="H82" s="14">
        <f t="shared" si="14"/>
        <v>69.649267268098782</v>
      </c>
      <c r="I82" s="14">
        <f t="shared" si="14"/>
        <v>59.795933934765458</v>
      </c>
      <c r="J82" s="14">
        <f t="shared" si="14"/>
        <v>137.17390090214818</v>
      </c>
      <c r="K82" s="14">
        <f t="shared" si="14"/>
        <v>69.000520120286424</v>
      </c>
      <c r="L82" s="14">
        <f t="shared" si="14"/>
        <v>40.069282459076256</v>
      </c>
      <c r="M82" s="14">
        <f t="shared" si="14"/>
        <v>96.457801804296338</v>
      </c>
      <c r="N82" s="14">
        <f t="shared" si="14"/>
        <v>40.659548214973938</v>
      </c>
      <c r="O82" s="14">
        <f t="shared" si="14"/>
        <v>40.727325992751723</v>
      </c>
      <c r="P82" s="14">
        <f t="shared" si="14"/>
        <v>67.137801804296345</v>
      </c>
      <c r="Q82" s="14">
        <f t="shared" si="14"/>
        <v>53.871950451074085</v>
      </c>
      <c r="R82" s="14">
        <f t="shared" si="14"/>
        <v>68.068900902148172</v>
      </c>
      <c r="S82" s="14">
        <f t="shared" si="14"/>
        <v>54.625400257756624</v>
      </c>
      <c r="T82" s="14">
        <f t="shared" si="14"/>
        <v>4096.5678018042963</v>
      </c>
      <c r="U82" s="14">
        <f t="shared" si="14"/>
        <v>52.521950451074076</v>
      </c>
      <c r="V82" s="14">
        <f t="shared" si="14"/>
        <v>449.7278018042964</v>
      </c>
      <c r="W82" s="14">
        <f t="shared" si="14"/>
        <v>68.068900902148172</v>
      </c>
      <c r="X82" s="14">
        <f t="shared" si="14"/>
        <v>47.52968597204233</v>
      </c>
      <c r="Y82" s="14">
        <f t="shared" si="14"/>
        <v>49.240600138792018</v>
      </c>
      <c r="Z82" s="14">
        <f t="shared" si="14"/>
        <v>52.52195045107409</v>
      </c>
      <c r="AA82" s="14">
        <v>96.457801804296338</v>
      </c>
      <c r="AB82" s="12"/>
      <c r="AC82" s="12"/>
      <c r="AD82" s="14">
        <f t="shared" ref="AD82" si="15">SUM(AD35:AD52)/AD77</f>
        <v>90.414633747584375</v>
      </c>
    </row>
    <row r="83" spans="1:30" x14ac:dyDescent="0.3">
      <c r="B83" s="12" t="s">
        <v>121</v>
      </c>
      <c r="C83" s="12"/>
      <c r="D83" s="14">
        <f t="shared" ref="D83:Z83" si="16">(SUM(D62:D69)+SUM(D55:D59))/D77</f>
        <v>175</v>
      </c>
      <c r="E83" s="14">
        <f t="shared" si="16"/>
        <v>175.27272727272728</v>
      </c>
      <c r="F83" s="14">
        <f t="shared" si="16"/>
        <v>175</v>
      </c>
      <c r="G83" s="14">
        <f t="shared" si="16"/>
        <v>175.26666666666668</v>
      </c>
      <c r="H83" s="14">
        <f t="shared" si="16"/>
        <v>175.33333333333334</v>
      </c>
      <c r="I83" s="14">
        <f t="shared" si="16"/>
        <v>175.33333333333334</v>
      </c>
      <c r="J83" s="14">
        <f t="shared" si="16"/>
        <v>175.5</v>
      </c>
      <c r="K83" s="14">
        <f t="shared" si="16"/>
        <v>175.26666666666668</v>
      </c>
      <c r="L83" s="14">
        <f t="shared" si="16"/>
        <v>175.23529411764707</v>
      </c>
      <c r="M83" s="14">
        <f t="shared" si="16"/>
        <v>175</v>
      </c>
      <c r="N83" s="14">
        <f t="shared" si="16"/>
        <v>175.25925925925927</v>
      </c>
      <c r="O83" s="14">
        <f t="shared" si="16"/>
        <v>175.44481481481483</v>
      </c>
      <c r="P83" s="14">
        <f t="shared" si="16"/>
        <v>175</v>
      </c>
      <c r="Q83" s="14">
        <f t="shared" si="16"/>
        <v>175.25</v>
      </c>
      <c r="R83" s="14">
        <f t="shared" si="16"/>
        <v>175.5</v>
      </c>
      <c r="S83" s="14">
        <f t="shared" si="16"/>
        <v>175.28571428571428</v>
      </c>
      <c r="T83" s="14">
        <f t="shared" si="16"/>
        <v>175</v>
      </c>
      <c r="U83" s="14">
        <f t="shared" si="16"/>
        <v>175.25</v>
      </c>
      <c r="V83" s="14">
        <f t="shared" si="16"/>
        <v>175</v>
      </c>
      <c r="W83" s="14">
        <f t="shared" si="16"/>
        <v>175.5</v>
      </c>
      <c r="X83" s="14">
        <f t="shared" si="16"/>
        <v>175.28571428571428</v>
      </c>
      <c r="Y83" s="14">
        <f t="shared" si="16"/>
        <v>175.23</v>
      </c>
      <c r="Z83" s="14">
        <f t="shared" si="16"/>
        <v>175.25</v>
      </c>
      <c r="AA83" s="14">
        <v>175.2610823257356</v>
      </c>
      <c r="AB83" s="12"/>
      <c r="AC83" s="12"/>
      <c r="AD83" s="14">
        <f t="shared" ref="AD83" si="17">(SUM(AD62:AD69)+SUM(AD55:AD59))/AD77</f>
        <v>175.28789774230125</v>
      </c>
    </row>
    <row r="84" spans="1:30" x14ac:dyDescent="0.3">
      <c r="B84" s="12" t="s">
        <v>122</v>
      </c>
      <c r="C84" s="12"/>
      <c r="D84" s="14">
        <f>+D72/D77</f>
        <v>10827.041626940909</v>
      </c>
      <c r="E84" s="14">
        <f t="shared" ref="E84:Z84" si="18">+E72/E77</f>
        <v>2394.7990798460942</v>
      </c>
      <c r="F84" s="14">
        <f t="shared" si="18"/>
        <v>2510.3816269409085</v>
      </c>
      <c r="G84" s="14">
        <f t="shared" si="18"/>
        <v>1696.0267518634219</v>
      </c>
      <c r="H84" s="14">
        <f t="shared" si="18"/>
        <v>1463.6464257380439</v>
      </c>
      <c r="I84" s="14">
        <f t="shared" si="18"/>
        <v>1456.8530924047107</v>
      </c>
      <c r="J84" s="14">
        <f t="shared" si="18"/>
        <v>4716.5177260387609</v>
      </c>
      <c r="K84" s="14">
        <f t="shared" si="18"/>
        <v>3604.0483452568997</v>
      </c>
      <c r="L84" s="14">
        <f t="shared" si="18"/>
        <v>1745.5442840662768</v>
      </c>
      <c r="M84" s="14">
        <f t="shared" si="18"/>
        <v>5196.1416269409101</v>
      </c>
      <c r="N84" s="14">
        <f t="shared" si="18"/>
        <v>2332.3870770552899</v>
      </c>
      <c r="O84" s="14">
        <f t="shared" si="18"/>
        <v>1452.3718918701049</v>
      </c>
      <c r="P84" s="14">
        <f t="shared" si="18"/>
        <v>4272.6278018042967</v>
      </c>
      <c r="Q84" s="14">
        <f t="shared" si="18"/>
        <v>2451.3632755876861</v>
      </c>
      <c r="R84" s="14">
        <f t="shared" si="18"/>
        <v>1355.5627260387598</v>
      </c>
      <c r="S84" s="14">
        <f t="shared" si="18"/>
        <v>3023.4577968229414</v>
      </c>
      <c r="T84" s="14">
        <f t="shared" si="18"/>
        <v>17349.081626940908</v>
      </c>
      <c r="U84" s="14">
        <f t="shared" si="18"/>
        <v>1617.933275587686</v>
      </c>
      <c r="V84" s="14">
        <f t="shared" si="18"/>
        <v>2822.8316269409079</v>
      </c>
      <c r="W84" s="14">
        <f t="shared" si="18"/>
        <v>4142.7177260387607</v>
      </c>
      <c r="X84" s="14">
        <f t="shared" si="18"/>
        <v>3127.3220825372255</v>
      </c>
      <c r="Y84" s="14">
        <f t="shared" si="18"/>
        <v>2780.0821175830952</v>
      </c>
      <c r="Z84" s="14">
        <f t="shared" si="18"/>
        <v>1957.0507755876863</v>
      </c>
      <c r="AA84" s="14">
        <v>1542.918697214144</v>
      </c>
      <c r="AB84" s="12"/>
      <c r="AC84" s="12"/>
      <c r="AD84" s="14">
        <f t="shared" ref="AD84" si="19">+AD72/AD77</f>
        <v>2379.2491791281782</v>
      </c>
    </row>
    <row r="85" spans="1:30" x14ac:dyDescent="0.3">
      <c r="B85" s="12"/>
      <c r="C85" s="12"/>
      <c r="D85" s="4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spans="1:30" x14ac:dyDescent="0.3">
      <c r="B86" s="12" t="s">
        <v>123</v>
      </c>
      <c r="C86" s="12"/>
      <c r="D86" s="42">
        <f t="shared" ref="D86:Z86" si="20">SUM(D8:D16)/D72</f>
        <v>0.67473278959435101</v>
      </c>
      <c r="E86" s="42">
        <f t="shared" si="20"/>
        <v>0.77712497782393752</v>
      </c>
      <c r="F86" s="42">
        <f t="shared" si="20"/>
        <v>0.77504949013307878</v>
      </c>
      <c r="G86" s="42">
        <f t="shared" si="20"/>
        <v>0.69820125107045405</v>
      </c>
      <c r="H86" s="42">
        <f t="shared" si="20"/>
        <v>0.62931637755491621</v>
      </c>
      <c r="I86" s="42">
        <f t="shared" si="20"/>
        <v>0.63643113468375445</v>
      </c>
      <c r="J86" s="42">
        <f t="shared" si="20"/>
        <v>0.87125931432706938</v>
      </c>
      <c r="K86" s="42">
        <f t="shared" si="20"/>
        <v>0.8515361169814093</v>
      </c>
      <c r="L86" s="42">
        <f t="shared" si="20"/>
        <v>0.70759759717993687</v>
      </c>
      <c r="M86" s="42">
        <f t="shared" si="20"/>
        <v>0.8910746343005046</v>
      </c>
      <c r="N86" s="42">
        <f t="shared" si="20"/>
        <v>0.77397752840593026</v>
      </c>
      <c r="O86" s="42">
        <f t="shared" si="20"/>
        <v>0.64753872083414654</v>
      </c>
      <c r="P86" s="42">
        <f t="shared" si="20"/>
        <v>0.93475261250545372</v>
      </c>
      <c r="Q86" s="42">
        <f t="shared" si="20"/>
        <v>0.78638181423267606</v>
      </c>
      <c r="R86" s="42">
        <f t="shared" si="20"/>
        <v>0.60304107238828442</v>
      </c>
      <c r="S86" s="42">
        <f t="shared" si="20"/>
        <v>0.82654228443727185</v>
      </c>
      <c r="T86" s="42">
        <f t="shared" si="20"/>
        <v>0.48204050103801416</v>
      </c>
      <c r="U86" s="42">
        <f t="shared" si="20"/>
        <v>0.67718181987574844</v>
      </c>
      <c r="V86" s="42">
        <f t="shared" si="20"/>
        <v>0.67923286026019047</v>
      </c>
      <c r="W86" s="42">
        <f t="shared" si="20"/>
        <v>0.87010876395064196</v>
      </c>
      <c r="X86" s="42">
        <f t="shared" si="20"/>
        <v>0.83457482690646989</v>
      </c>
      <c r="Y86" s="42">
        <f t="shared" si="20"/>
        <v>0.81331272178817982</v>
      </c>
      <c r="Z86" s="42">
        <f t="shared" si="20"/>
        <v>0.73311587920817123</v>
      </c>
      <c r="AA86" s="43">
        <v>0.63740234775540094</v>
      </c>
      <c r="AB86" s="12"/>
      <c r="AC86" s="12"/>
      <c r="AD86" s="44">
        <f>SUM(AD8:AD16)/AD72</f>
        <v>0.75403746810765471</v>
      </c>
    </row>
    <row r="87" spans="1:30" x14ac:dyDescent="0.3">
      <c r="B87" s="12" t="s">
        <v>124</v>
      </c>
      <c r="C87" s="12"/>
      <c r="D87" s="45">
        <f t="shared" ref="D87:Z87" si="21">+D79/D78</f>
        <v>1.0182916373974655E-2</v>
      </c>
      <c r="E87" s="45">
        <f t="shared" si="21"/>
        <v>9.9577660649284305E-2</v>
      </c>
      <c r="F87" s="45">
        <f t="shared" si="21"/>
        <v>4.3500879564079463E-2</v>
      </c>
      <c r="G87" s="45">
        <f t="shared" si="21"/>
        <v>7.3533242474699098E-2</v>
      </c>
      <c r="H87" s="45">
        <f t="shared" si="21"/>
        <v>8.6882473253618628E-2</v>
      </c>
      <c r="I87" s="45">
        <f t="shared" si="21"/>
        <v>8.626257971546511E-2</v>
      </c>
      <c r="J87" s="45">
        <f t="shared" si="21"/>
        <v>1.8246018324072182E-2</v>
      </c>
      <c r="K87" s="45">
        <f t="shared" si="21"/>
        <v>2.5303935205034458E-2</v>
      </c>
      <c r="L87" s="45">
        <f t="shared" si="21"/>
        <v>6.3393613185263806E-2</v>
      </c>
      <c r="M87" s="45">
        <f t="shared" si="21"/>
        <v>1.6161492019111118E-2</v>
      </c>
      <c r="N87" s="45">
        <f t="shared" si="21"/>
        <v>8.6378348041397587E-2</v>
      </c>
      <c r="O87" s="45">
        <f t="shared" si="21"/>
        <v>8.4945630113866979E-2</v>
      </c>
      <c r="P87" s="45">
        <f t="shared" si="21"/>
        <v>1.878470796207346E-2</v>
      </c>
      <c r="Q87" s="45">
        <f t="shared" si="21"/>
        <v>3.9715275427471143E-2</v>
      </c>
      <c r="R87" s="45">
        <f t="shared" si="21"/>
        <v>0.10675457954807004</v>
      </c>
      <c r="S87" s="45">
        <f t="shared" si="21"/>
        <v>3.0359271702611903E-2</v>
      </c>
      <c r="T87" s="45">
        <f t="shared" si="21"/>
        <v>5.3231053273872855E-2</v>
      </c>
      <c r="U87" s="45">
        <f t="shared" si="21"/>
        <v>7.4792094311072532E-2</v>
      </c>
      <c r="V87" s="45">
        <f t="shared" si="21"/>
        <v>3.9940988870327383E-2</v>
      </c>
      <c r="W87" s="45">
        <f t="shared" si="21"/>
        <v>2.0853983879829393E-2</v>
      </c>
      <c r="X87" s="45">
        <f t="shared" si="21"/>
        <v>2.9029276537934912E-2</v>
      </c>
      <c r="Y87" s="45">
        <f t="shared" si="21"/>
        <v>3.4420882119124196E-2</v>
      </c>
      <c r="Z87" s="45">
        <f t="shared" si="21"/>
        <v>5.4099227836104345E-2</v>
      </c>
      <c r="AA87" s="46">
        <v>8.0939086852344411E-2</v>
      </c>
      <c r="AB87" s="12"/>
      <c r="AC87" s="12"/>
      <c r="AD87" s="47">
        <f>+AD79/AD78</f>
        <v>5.4681052193654753E-2</v>
      </c>
    </row>
    <row r="88" spans="1:30" x14ac:dyDescent="0.3">
      <c r="B88" s="12" t="s">
        <v>125</v>
      </c>
      <c r="C88" s="12"/>
      <c r="D88" s="45">
        <f t="shared" ref="D88:Z88" si="22">+D80/D78</f>
        <v>3.1208872182082827E-2</v>
      </c>
      <c r="E88" s="45">
        <f t="shared" si="22"/>
        <v>0.13334880656786474</v>
      </c>
      <c r="F88" s="45">
        <f t="shared" si="22"/>
        <v>0.1210440131380122</v>
      </c>
      <c r="G88" s="45">
        <f t="shared" si="22"/>
        <v>0.20460975876423271</v>
      </c>
      <c r="H88" s="45">
        <f t="shared" si="22"/>
        <v>0.26631980624993556</v>
      </c>
      <c r="I88" s="45">
        <f t="shared" si="22"/>
        <v>0.26441965400064682</v>
      </c>
      <c r="J88" s="45">
        <f t="shared" si="22"/>
        <v>5.5923439111576635E-2</v>
      </c>
      <c r="K88" s="45">
        <f t="shared" si="22"/>
        <v>7.8684219803293876E-2</v>
      </c>
      <c r="L88" s="45">
        <f t="shared" si="22"/>
        <v>0.19431313721899698</v>
      </c>
      <c r="M88" s="45">
        <f t="shared" si="22"/>
        <v>4.9532169387669953E-2</v>
      </c>
      <c r="N88" s="45">
        <f t="shared" si="22"/>
        <v>0.13582185649676498</v>
      </c>
      <c r="O88" s="45">
        <f t="shared" si="22"/>
        <v>0.26036929986492019</v>
      </c>
      <c r="P88" s="45">
        <f t="shared" si="22"/>
        <v>0</v>
      </c>
      <c r="Q88" s="45">
        <f t="shared" si="22"/>
        <v>0.12172599784345649</v>
      </c>
      <c r="R88" s="45">
        <f t="shared" si="22"/>
        <v>0.30555885397789367</v>
      </c>
      <c r="S88" s="45">
        <f t="shared" si="22"/>
        <v>9.3053160146514977E-2</v>
      </c>
      <c r="T88" s="45">
        <f t="shared" si="22"/>
        <v>0.58508112740675877</v>
      </c>
      <c r="U88" s="45">
        <f t="shared" si="22"/>
        <v>0.22139296211872467</v>
      </c>
      <c r="V88" s="45">
        <f t="shared" si="22"/>
        <v>0.12228745424284167</v>
      </c>
      <c r="W88" s="45">
        <f t="shared" si="22"/>
        <v>6.3916766772004377E-2</v>
      </c>
      <c r="X88" s="45">
        <f t="shared" si="22"/>
        <v>8.8981253528334789E-2</v>
      </c>
      <c r="Y88" s="45">
        <f t="shared" si="22"/>
        <v>0.1032517273531097</v>
      </c>
      <c r="Z88" s="45">
        <f t="shared" si="22"/>
        <v>0.16581233341655852</v>
      </c>
      <c r="AA88" s="46">
        <v>0.24059683573026766</v>
      </c>
      <c r="AB88" s="12"/>
      <c r="AC88" s="12"/>
      <c r="AD88" s="47">
        <f>+AD80/AD78</f>
        <v>0.14645529597120202</v>
      </c>
    </row>
    <row r="89" spans="1:30" x14ac:dyDescent="0.3">
      <c r="B89" s="12" t="s">
        <v>126</v>
      </c>
      <c r="C89" s="12"/>
      <c r="D89" s="45">
        <f t="shared" ref="D89:Z89" si="23">+D81/D78</f>
        <v>9.5191738618198712E-3</v>
      </c>
      <c r="E89" s="45">
        <f t="shared" si="23"/>
        <v>4.0675742961145109E-2</v>
      </c>
      <c r="F89" s="45">
        <f t="shared" si="23"/>
        <v>3.7456558115587596E-2</v>
      </c>
      <c r="G89" s="45">
        <f t="shared" si="23"/>
        <v>6.3324640317662745E-2</v>
      </c>
      <c r="H89" s="45">
        <f t="shared" si="23"/>
        <v>8.480569540591569E-2</v>
      </c>
      <c r="I89" s="45">
        <f t="shared" si="23"/>
        <v>8.06507671820266E-2</v>
      </c>
      <c r="J89" s="45">
        <f t="shared" si="23"/>
        <v>1.7059104115172804E-2</v>
      </c>
      <c r="K89" s="45">
        <f t="shared" si="23"/>
        <v>1.8469416050184248E-2</v>
      </c>
      <c r="L89" s="45">
        <f t="shared" si="23"/>
        <v>5.9749778179328333E-2</v>
      </c>
      <c r="M89" s="45">
        <f t="shared" si="23"/>
        <v>1.5108054190597629E-2</v>
      </c>
      <c r="N89" s="45">
        <f t="shared" si="23"/>
        <v>5.1490223760353469E-2</v>
      </c>
      <c r="O89" s="45">
        <f t="shared" si="23"/>
        <v>8.0795146232562107E-2</v>
      </c>
      <c r="P89" s="45">
        <f t="shared" si="23"/>
        <v>9.3464380734705546E-3</v>
      </c>
      <c r="Q89" s="45">
        <f t="shared" si="23"/>
        <v>3.7131773433886753E-2</v>
      </c>
      <c r="R89" s="45">
        <f t="shared" si="23"/>
        <v>9.3208865301038446E-2</v>
      </c>
      <c r="S89" s="45">
        <f t="shared" si="23"/>
        <v>2.8383736764976131E-2</v>
      </c>
      <c r="T89" s="45">
        <f t="shared" si="23"/>
        <v>8.6697085370937323E-3</v>
      </c>
      <c r="U89" s="45">
        <f t="shared" si="23"/>
        <v>6.7530416399963711E-2</v>
      </c>
      <c r="V89" s="45">
        <f t="shared" si="23"/>
        <v>2.9982860738073026E-2</v>
      </c>
      <c r="W89" s="45">
        <f t="shared" si="23"/>
        <v>1.9497419979722343E-2</v>
      </c>
      <c r="X89" s="45">
        <f t="shared" si="23"/>
        <v>2.7139050459911836E-2</v>
      </c>
      <c r="Y89" s="45">
        <f t="shared" si="23"/>
        <v>3.1495406267408835E-2</v>
      </c>
      <c r="Z89" s="45">
        <f t="shared" si="23"/>
        <v>5.0580041289829618E-2</v>
      </c>
      <c r="AA89" s="46">
        <v>7.5663318018948808E-2</v>
      </c>
      <c r="AB89" s="12"/>
      <c r="AC89" s="12"/>
      <c r="AD89" s="47">
        <f>+AD81/AD78</f>
        <v>4.137432109455149E-2</v>
      </c>
    </row>
    <row r="90" spans="1:30" x14ac:dyDescent="0.3">
      <c r="B90" s="12" t="s">
        <v>127</v>
      </c>
      <c r="C90" s="12"/>
      <c r="D90" s="45">
        <f t="shared" ref="D90:Z90" si="24">+D82/D78</f>
        <v>0.42205005196610157</v>
      </c>
      <c r="E90" s="45">
        <f t="shared" si="24"/>
        <v>3.7770866899686284E-2</v>
      </c>
      <c r="F90" s="45">
        <f t="shared" si="24"/>
        <v>5.0509397286381957E-2</v>
      </c>
      <c r="G90" s="45">
        <f t="shared" si="24"/>
        <v>3.7210472771247664E-2</v>
      </c>
      <c r="H90" s="45">
        <f t="shared" si="24"/>
        <v>8.218525873359675E-2</v>
      </c>
      <c r="I90" s="45">
        <f t="shared" si="24"/>
        <v>7.0055025366133242E-2</v>
      </c>
      <c r="J90" s="45">
        <f t="shared" si="24"/>
        <v>3.3990324023155528E-2</v>
      </c>
      <c r="K90" s="45">
        <f t="shared" si="24"/>
        <v>2.3052143149484703E-2</v>
      </c>
      <c r="L90" s="45">
        <f t="shared" si="24"/>
        <v>3.4497561076868272E-2</v>
      </c>
      <c r="M90" s="45">
        <f t="shared" si="24"/>
        <v>2.1169228599146349E-2</v>
      </c>
      <c r="N90" s="45">
        <f t="shared" si="24"/>
        <v>2.4468912728186288E-2</v>
      </c>
      <c r="O90" s="45">
        <f t="shared" si="24"/>
        <v>4.6984033062201565E-2</v>
      </c>
      <c r="P90" s="45">
        <f t="shared" si="24"/>
        <v>1.7126072788012973E-2</v>
      </c>
      <c r="Q90" s="45">
        <f t="shared" si="24"/>
        <v>2.9056010728315148E-2</v>
      </c>
      <c r="R90" s="45">
        <f t="shared" si="24"/>
        <v>9.2158109018491738E-2</v>
      </c>
      <c r="S90" s="45">
        <f t="shared" si="24"/>
        <v>2.252238243413095E-2</v>
      </c>
      <c r="T90" s="45">
        <f t="shared" si="24"/>
        <v>0.5159216857072344</v>
      </c>
      <c r="U90" s="45">
        <f t="shared" si="24"/>
        <v>5.1522794655713161E-2</v>
      </c>
      <c r="V90" s="45">
        <f t="shared" si="24"/>
        <v>0.24392413262550516</v>
      </c>
      <c r="W90" s="45">
        <f t="shared" si="24"/>
        <v>1.9277622898500747E-2</v>
      </c>
      <c r="X90" s="45">
        <f t="shared" si="24"/>
        <v>1.873936124351059E-2</v>
      </c>
      <c r="Y90" s="45">
        <f t="shared" si="24"/>
        <v>2.2527107255985869E-2</v>
      </c>
      <c r="Z90" s="45">
        <f t="shared" si="24"/>
        <v>3.8587586933513149E-2</v>
      </c>
      <c r="AA90" s="46">
        <v>0.10601855510353293</v>
      </c>
      <c r="AB90" s="12"/>
      <c r="AC90" s="12"/>
      <c r="AD90" s="47">
        <f>+AD82/AD78</f>
        <v>5.3152906378521124E-2</v>
      </c>
    </row>
    <row r="91" spans="1:30" x14ac:dyDescent="0.3">
      <c r="B91" s="12" t="s">
        <v>128</v>
      </c>
      <c r="C91" s="12"/>
      <c r="D91" s="45">
        <f t="shared" ref="D91:Z91" si="25">+D83/D78</f>
        <v>2.4198945755643193E-2</v>
      </c>
      <c r="E91" s="45">
        <f t="shared" si="25"/>
        <v>0.10355720058245554</v>
      </c>
      <c r="F91" s="45">
        <f t="shared" si="25"/>
        <v>9.3855923113227782E-2</v>
      </c>
      <c r="G91" s="45">
        <f t="shared" si="25"/>
        <v>0.15889180670681774</v>
      </c>
      <c r="H91" s="45">
        <f t="shared" si="25"/>
        <v>0.20689112649465075</v>
      </c>
      <c r="I91" s="45">
        <f t="shared" si="25"/>
        <v>0.20541498904583572</v>
      </c>
      <c r="J91" s="45">
        <f t="shared" si="25"/>
        <v>4.348714898994592E-2</v>
      </c>
      <c r="K91" s="45">
        <f t="shared" si="25"/>
        <v>5.8554229479571174E-2</v>
      </c>
      <c r="L91" s="45">
        <f t="shared" si="25"/>
        <v>0.15086844312274889</v>
      </c>
      <c r="M91" s="45">
        <f t="shared" si="25"/>
        <v>3.8406587497887633E-2</v>
      </c>
      <c r="N91" s="45">
        <f t="shared" si="25"/>
        <v>0.10547100762034717</v>
      </c>
      <c r="O91" s="45">
        <f t="shared" si="25"/>
        <v>0.20239740220897692</v>
      </c>
      <c r="P91" s="45">
        <f t="shared" si="25"/>
        <v>4.464046568933807E-2</v>
      </c>
      <c r="Q91" s="45">
        <f t="shared" si="25"/>
        <v>9.4521654358176388E-2</v>
      </c>
      <c r="R91" s="45">
        <f t="shared" si="25"/>
        <v>0.23760848079500688</v>
      </c>
      <c r="S91" s="45">
        <f t="shared" si="25"/>
        <v>7.2271358630861218E-2</v>
      </c>
      <c r="T91" s="45">
        <f t="shared" si="25"/>
        <v>2.2039497297957629E-2</v>
      </c>
      <c r="U91" s="45">
        <f t="shared" si="25"/>
        <v>0.1719161167067641</v>
      </c>
      <c r="V91" s="45">
        <f t="shared" si="25"/>
        <v>9.4916798646215259E-2</v>
      </c>
      <c r="W91" s="45">
        <f t="shared" si="25"/>
        <v>4.97029153379515E-2</v>
      </c>
      <c r="X91" s="45">
        <f t="shared" si="25"/>
        <v>6.910927883594517E-2</v>
      </c>
      <c r="Y91" s="45">
        <f t="shared" si="25"/>
        <v>8.0166062016709672E-2</v>
      </c>
      <c r="Z91" s="45">
        <f t="shared" si="25"/>
        <v>0.12875520714710786</v>
      </c>
      <c r="AA91" s="46">
        <v>0.19263269913360401</v>
      </c>
      <c r="AB91" s="12"/>
      <c r="AC91" s="12"/>
      <c r="AD91" s="47">
        <f>+AD83/AD78</f>
        <v>0.10304815527976685</v>
      </c>
    </row>
    <row r="92" spans="1:30" x14ac:dyDescent="0.3">
      <c r="A92" s="48"/>
      <c r="B92" s="49" t="s">
        <v>129</v>
      </c>
      <c r="C92" s="49"/>
      <c r="D92" s="50">
        <f t="shared" ref="D92:Z92" si="26">SUM(D79:D83)/D78</f>
        <v>0.4971599601396221</v>
      </c>
      <c r="E92" s="50">
        <f t="shared" si="26"/>
        <v>0.414930277660436</v>
      </c>
      <c r="F92" s="50">
        <f t="shared" si="26"/>
        <v>0.34636677121728898</v>
      </c>
      <c r="G92" s="50">
        <f t="shared" si="26"/>
        <v>0.53756992103465995</v>
      </c>
      <c r="H92" s="50">
        <f t="shared" si="26"/>
        <v>0.72708436013771749</v>
      </c>
      <c r="I92" s="50">
        <f t="shared" si="26"/>
        <v>0.70680301531010759</v>
      </c>
      <c r="J92" s="50">
        <f t="shared" si="26"/>
        <v>0.16870603456392305</v>
      </c>
      <c r="K92" s="50">
        <f t="shared" si="26"/>
        <v>0.20406394368756844</v>
      </c>
      <c r="L92" s="50">
        <f t="shared" si="26"/>
        <v>0.50282253278320632</v>
      </c>
      <c r="M92" s="50">
        <f t="shared" si="26"/>
        <v>0.14037753169441267</v>
      </c>
      <c r="N92" s="50">
        <f t="shared" si="26"/>
        <v>0.4036303486470495</v>
      </c>
      <c r="O92" s="50">
        <f t="shared" si="26"/>
        <v>0.67549151148252784</v>
      </c>
      <c r="P92" s="50">
        <f t="shared" si="26"/>
        <v>8.9897684512895065E-2</v>
      </c>
      <c r="Q92" s="50">
        <f t="shared" si="26"/>
        <v>0.32215071179130594</v>
      </c>
      <c r="R92" s="50">
        <f t="shared" si="26"/>
        <v>0.83528888864050066</v>
      </c>
      <c r="S92" s="50">
        <f t="shared" si="26"/>
        <v>0.24658990967909517</v>
      </c>
      <c r="T92" s="50">
        <f t="shared" si="26"/>
        <v>1.1849430722229175</v>
      </c>
      <c r="U92" s="50">
        <f t="shared" si="26"/>
        <v>0.5871543841922382</v>
      </c>
      <c r="V92" s="50">
        <f t="shared" si="26"/>
        <v>0.53105223512296251</v>
      </c>
      <c r="W92" s="50">
        <f t="shared" si="26"/>
        <v>0.17324870886800839</v>
      </c>
      <c r="X92" s="50">
        <f t="shared" si="26"/>
        <v>0.2329982206056373</v>
      </c>
      <c r="Y92" s="50">
        <f t="shared" si="26"/>
        <v>0.2718611850123383</v>
      </c>
      <c r="Z92" s="50">
        <f t="shared" si="26"/>
        <v>0.43783439662311352</v>
      </c>
      <c r="AA92" s="51">
        <v>0.69585049483869776</v>
      </c>
      <c r="AB92" s="49"/>
      <c r="AC92" s="49"/>
      <c r="AD92" s="52">
        <f>SUM(AD79:AD83)/AD78</f>
        <v>0.39871173091769629</v>
      </c>
    </row>
    <row r="95" spans="1:30" x14ac:dyDescent="0.3">
      <c r="A95" s="3">
        <v>45689</v>
      </c>
      <c r="B95" s="4" t="s">
        <v>130</v>
      </c>
      <c r="C95" s="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</row>
    <row r="96" spans="1:30" x14ac:dyDescent="0.3"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</row>
    <row r="97" spans="1:30" x14ac:dyDescent="0.3">
      <c r="A97" s="55"/>
      <c r="B97" s="56" t="s">
        <v>6</v>
      </c>
      <c r="C97" s="56"/>
      <c r="D97" s="7" t="s">
        <v>8</v>
      </c>
      <c r="E97" s="7" t="s">
        <v>9</v>
      </c>
      <c r="F97" s="7" t="s">
        <v>10</v>
      </c>
      <c r="G97" s="7" t="s">
        <v>10</v>
      </c>
      <c r="H97" s="7" t="s">
        <v>11</v>
      </c>
      <c r="I97" s="7" t="s">
        <v>12</v>
      </c>
      <c r="J97" s="7" t="s">
        <v>13</v>
      </c>
      <c r="K97" s="7" t="s">
        <v>14</v>
      </c>
      <c r="L97" s="7" t="s">
        <v>15</v>
      </c>
      <c r="M97" s="7" t="s">
        <v>15</v>
      </c>
      <c r="N97" s="7" t="s">
        <v>16</v>
      </c>
      <c r="O97" s="7" t="s">
        <v>17</v>
      </c>
      <c r="P97" s="7" t="s">
        <v>17</v>
      </c>
      <c r="Q97" s="7" t="s">
        <v>18</v>
      </c>
      <c r="R97" s="7" t="s">
        <v>18</v>
      </c>
      <c r="S97" s="7" t="s">
        <v>18</v>
      </c>
      <c r="T97" s="7" t="s">
        <v>18</v>
      </c>
      <c r="U97" s="7" t="s">
        <v>18</v>
      </c>
      <c r="V97" s="7" t="s">
        <v>18</v>
      </c>
      <c r="W97" s="7" t="s">
        <v>18</v>
      </c>
      <c r="X97" s="7" t="s">
        <v>18</v>
      </c>
      <c r="Y97" s="7" t="s">
        <v>18</v>
      </c>
      <c r="Z97" s="7" t="s">
        <v>18</v>
      </c>
      <c r="AA97" s="7" t="s">
        <v>19</v>
      </c>
      <c r="AB97" s="7" t="s">
        <v>18</v>
      </c>
      <c r="AC97" s="7" t="s">
        <v>18</v>
      </c>
      <c r="AD97" s="8" t="s">
        <v>20</v>
      </c>
    </row>
    <row r="98" spans="1:30" x14ac:dyDescent="0.3">
      <c r="A98" s="57"/>
      <c r="B98" s="58" t="s">
        <v>21</v>
      </c>
      <c r="C98" s="58"/>
      <c r="D98" s="9" t="s">
        <v>22</v>
      </c>
      <c r="E98" s="9" t="s">
        <v>23</v>
      </c>
      <c r="F98" s="9" t="s">
        <v>24</v>
      </c>
      <c r="G98" s="9" t="s">
        <v>25</v>
      </c>
      <c r="H98" s="9" t="s">
        <v>26</v>
      </c>
      <c r="I98" s="9" t="s">
        <v>27</v>
      </c>
      <c r="J98" s="9" t="s">
        <v>13</v>
      </c>
      <c r="K98" s="9" t="s">
        <v>28</v>
      </c>
      <c r="L98" s="9" t="s">
        <v>29</v>
      </c>
      <c r="M98" s="9" t="s">
        <v>30</v>
      </c>
      <c r="N98" s="9" t="s">
        <v>31</v>
      </c>
      <c r="O98" s="9" t="s">
        <v>32</v>
      </c>
      <c r="P98" s="9" t="s">
        <v>33</v>
      </c>
      <c r="Q98" s="9" t="s">
        <v>34</v>
      </c>
      <c r="R98" s="9" t="s">
        <v>35</v>
      </c>
      <c r="S98" s="9" t="s">
        <v>36</v>
      </c>
      <c r="T98" s="9" t="s">
        <v>37</v>
      </c>
      <c r="U98" s="9" t="s">
        <v>38</v>
      </c>
      <c r="V98" s="9" t="s">
        <v>39</v>
      </c>
      <c r="W98" s="9" t="s">
        <v>40</v>
      </c>
      <c r="X98" s="9" t="s">
        <v>41</v>
      </c>
      <c r="Y98" s="9" t="s">
        <v>42</v>
      </c>
      <c r="Z98" s="9" t="s">
        <v>43</v>
      </c>
      <c r="AA98" s="9" t="s">
        <v>44</v>
      </c>
      <c r="AB98" s="9" t="s">
        <v>45</v>
      </c>
      <c r="AC98" s="9" t="s">
        <v>46</v>
      </c>
      <c r="AD98" s="59" t="s">
        <v>47</v>
      </c>
    </row>
    <row r="99" spans="1:30" x14ac:dyDescent="0.3">
      <c r="A99" s="60"/>
      <c r="B99" s="61"/>
      <c r="C99" s="61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 x14ac:dyDescent="0.3">
      <c r="A100" s="62" t="s">
        <v>48</v>
      </c>
      <c r="B100" s="63" t="s">
        <v>49</v>
      </c>
      <c r="C100" s="6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spans="1:30" x14ac:dyDescent="0.3">
      <c r="A101" s="60"/>
      <c r="B101" s="64" t="s">
        <v>50</v>
      </c>
      <c r="C101" s="64" t="str">
        <f>VLOOKUP(B101,$B$8:$C$69,2,0)</f>
        <v>Fixed</v>
      </c>
      <c r="D101" s="16">
        <v>6696.27</v>
      </c>
      <c r="E101" s="16">
        <v>17506.919999999998</v>
      </c>
      <c r="F101" s="16">
        <v>1755.28</v>
      </c>
      <c r="G101" s="16">
        <v>29960.69</v>
      </c>
      <c r="H101" s="16">
        <v>2368.3200000000002</v>
      </c>
      <c r="I101" s="16">
        <v>2804.64</v>
      </c>
      <c r="J101" s="16">
        <v>7490.98</v>
      </c>
      <c r="K101" s="16">
        <v>42352.58</v>
      </c>
      <c r="L101" s="16">
        <v>19178.810000000001</v>
      </c>
      <c r="M101" s="16">
        <v>4884.42</v>
      </c>
      <c r="N101" s="16">
        <v>38754.559999999998</v>
      </c>
      <c r="O101" s="16">
        <v>21720.47</v>
      </c>
      <c r="P101" s="16">
        <v>3654.35</v>
      </c>
      <c r="Q101" s="16">
        <v>12043.42</v>
      </c>
      <c r="R101" s="16">
        <v>1386.01</v>
      </c>
      <c r="S101" s="16">
        <v>14964.12</v>
      </c>
      <c r="T101" s="16">
        <v>7519.45</v>
      </c>
      <c r="U101" s="16">
        <v>3699.95</v>
      </c>
      <c r="V101" s="16">
        <v>1735.64</v>
      </c>
      <c r="W101" s="16">
        <v>6581.46</v>
      </c>
      <c r="X101" s="16">
        <v>17549</v>
      </c>
      <c r="Y101" s="16">
        <v>26893.360000000001</v>
      </c>
      <c r="Z101" s="16">
        <v>4800.33</v>
      </c>
      <c r="AA101" s="16">
        <v>974.37</v>
      </c>
      <c r="AB101" s="16">
        <v>526.08000000000004</v>
      </c>
      <c r="AC101" s="16">
        <v>505.62</v>
      </c>
      <c r="AD101" s="14">
        <f>SUM(D101:AC101)</f>
        <v>298307.10000000009</v>
      </c>
    </row>
    <row r="102" spans="1:30" x14ac:dyDescent="0.3">
      <c r="A102" s="60"/>
      <c r="B102" s="64" t="s">
        <v>52</v>
      </c>
      <c r="C102" s="64" t="str">
        <f t="shared" ref="C102:C107" si="27">VLOOKUP(B102,$B$8:$C$69,2,0)</f>
        <v>Fixed</v>
      </c>
      <c r="D102" s="16">
        <v>494.8</v>
      </c>
      <c r="E102" s="16">
        <v>1287.32</v>
      </c>
      <c r="F102" s="16">
        <v>129.26</v>
      </c>
      <c r="G102" s="16">
        <v>2253.5500000000002</v>
      </c>
      <c r="H102" s="16">
        <v>175.29</v>
      </c>
      <c r="I102" s="16">
        <v>191.92</v>
      </c>
      <c r="J102" s="16">
        <v>553.23</v>
      </c>
      <c r="K102" s="16">
        <v>3152.13</v>
      </c>
      <c r="L102" s="16">
        <v>703.22</v>
      </c>
      <c r="M102" s="16">
        <v>179.1</v>
      </c>
      <c r="N102" s="16">
        <v>2851.38</v>
      </c>
      <c r="O102" s="16">
        <v>1630.03</v>
      </c>
      <c r="P102" s="16">
        <v>269.11</v>
      </c>
      <c r="Q102" s="16">
        <v>633.66</v>
      </c>
      <c r="R102" s="16">
        <v>83.76</v>
      </c>
      <c r="S102" s="16">
        <v>1112.55</v>
      </c>
      <c r="T102" s="16">
        <v>95.96</v>
      </c>
      <c r="U102" s="16">
        <v>381.68</v>
      </c>
      <c r="V102" s="16">
        <v>127.8</v>
      </c>
      <c r="W102" s="16">
        <v>456.13</v>
      </c>
      <c r="X102" s="16">
        <v>1265.22</v>
      </c>
      <c r="Y102" s="16">
        <v>1825.37</v>
      </c>
      <c r="Z102" s="16">
        <v>629.38</v>
      </c>
      <c r="AA102" s="16">
        <v>35.729999999999997</v>
      </c>
      <c r="AB102" s="16">
        <v>19.29</v>
      </c>
      <c r="AC102" s="16">
        <v>18.54</v>
      </c>
      <c r="AD102" s="14">
        <f t="shared" ref="AD102:AD108" si="28">SUM(D102:AC102)</f>
        <v>20555.410000000003</v>
      </c>
    </row>
    <row r="103" spans="1:30" x14ac:dyDescent="0.3">
      <c r="A103" s="60"/>
      <c r="B103" s="64" t="s">
        <v>53</v>
      </c>
      <c r="C103" s="64" t="str">
        <f t="shared" si="27"/>
        <v>Fixed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4522.04</v>
      </c>
      <c r="O103" s="16">
        <v>0</v>
      </c>
      <c r="P103" s="16">
        <v>0</v>
      </c>
      <c r="Q103" s="16">
        <v>0</v>
      </c>
      <c r="R103" s="16">
        <v>0</v>
      </c>
      <c r="S103" s="16">
        <v>341.71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4367.46</v>
      </c>
      <c r="AB103" s="16">
        <v>0</v>
      </c>
      <c r="AC103" s="16">
        <v>0</v>
      </c>
      <c r="AD103" s="14">
        <f t="shared" si="28"/>
        <v>9231.2099999999991</v>
      </c>
    </row>
    <row r="104" spans="1:30" x14ac:dyDescent="0.3">
      <c r="A104" s="60"/>
      <c r="B104" s="64" t="s">
        <v>54</v>
      </c>
      <c r="C104" s="64" t="str">
        <f t="shared" si="27"/>
        <v>Fixed</v>
      </c>
      <c r="D104" s="16">
        <v>463.4</v>
      </c>
      <c r="E104" s="16">
        <v>1085.27</v>
      </c>
      <c r="F104" s="16">
        <v>102.02</v>
      </c>
      <c r="G104" s="16">
        <v>1874.8</v>
      </c>
      <c r="H104" s="16">
        <v>138.69999999999999</v>
      </c>
      <c r="I104" s="16">
        <v>166.86</v>
      </c>
      <c r="J104" s="16">
        <v>506.81</v>
      </c>
      <c r="K104" s="16">
        <v>2857.81</v>
      </c>
      <c r="L104" s="16">
        <v>1340.33</v>
      </c>
      <c r="M104" s="16">
        <v>367.25</v>
      </c>
      <c r="N104" s="16">
        <v>2535.94</v>
      </c>
      <c r="O104" s="16">
        <v>1354.02</v>
      </c>
      <c r="P104" s="16">
        <v>253.48</v>
      </c>
      <c r="Q104" s="16">
        <v>833.57</v>
      </c>
      <c r="R104" s="16">
        <v>83.97</v>
      </c>
      <c r="S104" s="16">
        <v>994.57</v>
      </c>
      <c r="T104" s="16">
        <v>537.34</v>
      </c>
      <c r="U104" s="16">
        <v>205.62</v>
      </c>
      <c r="V104" s="16">
        <v>100.88</v>
      </c>
      <c r="W104" s="16">
        <v>451.08</v>
      </c>
      <c r="X104" s="16">
        <v>1164.0999999999999</v>
      </c>
      <c r="Y104" s="16">
        <v>1800.15</v>
      </c>
      <c r="Z104" s="16">
        <v>244.45</v>
      </c>
      <c r="AA104" s="16">
        <v>61.76</v>
      </c>
      <c r="AB104" s="16">
        <v>34.07</v>
      </c>
      <c r="AC104" s="16">
        <v>32.46</v>
      </c>
      <c r="AD104" s="14">
        <f t="shared" si="28"/>
        <v>19590.71</v>
      </c>
    </row>
    <row r="105" spans="1:30" x14ac:dyDescent="0.3">
      <c r="A105" s="60"/>
      <c r="B105" s="64" t="s">
        <v>55</v>
      </c>
      <c r="C105" s="64" t="str">
        <f t="shared" si="27"/>
        <v>Fixed</v>
      </c>
      <c r="D105" s="16">
        <v>30.45</v>
      </c>
      <c r="E105" s="16">
        <v>1481.27</v>
      </c>
      <c r="F105" s="16">
        <v>26.63</v>
      </c>
      <c r="G105" s="16">
        <v>772.23</v>
      </c>
      <c r="H105" s="16">
        <v>91.35</v>
      </c>
      <c r="I105" s="16">
        <v>121.81</v>
      </c>
      <c r="J105" s="16">
        <v>60.89</v>
      </c>
      <c r="K105" s="16">
        <v>456.74</v>
      </c>
      <c r="L105" s="16">
        <v>456.74</v>
      </c>
      <c r="M105" s="16">
        <v>30.45</v>
      </c>
      <c r="N105" s="16">
        <v>822.1</v>
      </c>
      <c r="O105" s="16">
        <v>822.14</v>
      </c>
      <c r="P105" s="16">
        <v>30.45</v>
      </c>
      <c r="Q105" s="16">
        <v>182.7</v>
      </c>
      <c r="R105" s="16">
        <v>60.89</v>
      </c>
      <c r="S105" s="16">
        <v>213.16</v>
      </c>
      <c r="T105" s="16">
        <v>30.45</v>
      </c>
      <c r="U105" s="16">
        <v>121.8</v>
      </c>
      <c r="V105" s="16">
        <v>30.45</v>
      </c>
      <c r="W105" s="16">
        <v>60.89</v>
      </c>
      <c r="X105" s="16">
        <v>243.62</v>
      </c>
      <c r="Y105" s="16">
        <v>453.18</v>
      </c>
      <c r="Z105" s="16">
        <v>121.81</v>
      </c>
      <c r="AA105" s="16">
        <v>30.45</v>
      </c>
      <c r="AB105" s="16">
        <v>60.89</v>
      </c>
      <c r="AC105" s="16">
        <v>30.45</v>
      </c>
      <c r="AD105" s="14">
        <f t="shared" si="28"/>
        <v>6843.9900000000007</v>
      </c>
    </row>
    <row r="106" spans="1:30" x14ac:dyDescent="0.3">
      <c r="A106" s="60"/>
      <c r="B106" s="65" t="s">
        <v>58</v>
      </c>
      <c r="C106" s="64" t="str">
        <f t="shared" si="27"/>
        <v>Variable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49.29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90.85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10.32</v>
      </c>
      <c r="Y106" s="16">
        <v>74.510000000000005</v>
      </c>
      <c r="Z106" s="16">
        <v>10.32</v>
      </c>
      <c r="AA106" s="16">
        <v>0</v>
      </c>
      <c r="AB106" s="16">
        <v>20.63</v>
      </c>
      <c r="AC106" s="16">
        <v>0</v>
      </c>
      <c r="AD106" s="14">
        <f t="shared" si="28"/>
        <v>255.91999999999996</v>
      </c>
    </row>
    <row r="107" spans="1:30" x14ac:dyDescent="0.3">
      <c r="A107" s="60"/>
      <c r="B107" s="64" t="s">
        <v>59</v>
      </c>
      <c r="C107" s="64" t="str">
        <f t="shared" si="27"/>
        <v>Variable</v>
      </c>
      <c r="D107" s="16">
        <v>0</v>
      </c>
      <c r="E107" s="16">
        <v>0.71</v>
      </c>
      <c r="F107" s="16">
        <v>-0.95</v>
      </c>
      <c r="G107" s="16">
        <v>-27.53</v>
      </c>
      <c r="H107" s="16">
        <v>0.19</v>
      </c>
      <c r="I107" s="16">
        <v>30.65</v>
      </c>
      <c r="J107" s="16">
        <v>0.14000000000000001</v>
      </c>
      <c r="K107" s="16">
        <v>0.96</v>
      </c>
      <c r="L107" s="16">
        <v>-59.83</v>
      </c>
      <c r="M107" s="16">
        <v>1261.02</v>
      </c>
      <c r="N107" s="16">
        <v>1.63</v>
      </c>
      <c r="O107" s="16">
        <v>1.72</v>
      </c>
      <c r="P107" s="16">
        <v>7.0000000000000007E-2</v>
      </c>
      <c r="Q107" s="16">
        <v>61.17</v>
      </c>
      <c r="R107" s="16">
        <v>0.14000000000000001</v>
      </c>
      <c r="S107" s="16">
        <v>0.45</v>
      </c>
      <c r="T107" s="16">
        <v>7.0000000000000007E-2</v>
      </c>
      <c r="U107" s="16">
        <v>0.26</v>
      </c>
      <c r="V107" s="16">
        <v>7.0000000000000007E-2</v>
      </c>
      <c r="W107" s="16">
        <v>0.14000000000000001</v>
      </c>
      <c r="X107" s="16">
        <v>30.9</v>
      </c>
      <c r="Y107" s="16">
        <v>0.83</v>
      </c>
      <c r="Z107" s="16">
        <v>0.25</v>
      </c>
      <c r="AA107" s="16">
        <v>7.0000000000000007E-2</v>
      </c>
      <c r="AB107" s="16">
        <v>60.92</v>
      </c>
      <c r="AC107" s="16">
        <v>30.46</v>
      </c>
      <c r="AD107" s="14">
        <f t="shared" si="28"/>
        <v>1394.5100000000002</v>
      </c>
    </row>
    <row r="108" spans="1:30" x14ac:dyDescent="0.3">
      <c r="A108" s="60"/>
      <c r="B108" s="11" t="s">
        <v>60</v>
      </c>
      <c r="C108" s="66" t="s">
        <v>57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4">
        <f t="shared" si="28"/>
        <v>0</v>
      </c>
    </row>
    <row r="109" spans="1:30" s="4" customFormat="1" ht="13" x14ac:dyDescent="0.3">
      <c r="A109" s="62"/>
      <c r="B109" s="63"/>
      <c r="C109" s="63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20">
        <f>SUM(AD101:AD108)</f>
        <v>356178.85000000015</v>
      </c>
    </row>
    <row r="110" spans="1:30" x14ac:dyDescent="0.3">
      <c r="A110" s="62" t="s">
        <v>63</v>
      </c>
      <c r="B110" s="67" t="s">
        <v>64</v>
      </c>
      <c r="C110" s="67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x14ac:dyDescent="0.3">
      <c r="A111" s="60"/>
      <c r="B111" s="68" t="s">
        <v>65</v>
      </c>
      <c r="C111" s="64" t="str">
        <f t="shared" ref="C111:C118" si="29">VLOOKUP(B111,$B$8:$C$69,2,0)</f>
        <v>Fixed</v>
      </c>
      <c r="D111" s="16">
        <v>126.16292553191488</v>
      </c>
      <c r="E111" s="16">
        <v>1387.7921808510637</v>
      </c>
      <c r="F111" s="16">
        <v>126.16292553191488</v>
      </c>
      <c r="G111" s="16">
        <v>3658.7248404255315</v>
      </c>
      <c r="H111" s="16">
        <v>378.48877659574464</v>
      </c>
      <c r="I111" s="16">
        <v>504.65170212765952</v>
      </c>
      <c r="J111" s="16">
        <v>252.32585106382976</v>
      </c>
      <c r="K111" s="16">
        <v>1892.4438829787232</v>
      </c>
      <c r="L111" s="16">
        <v>1892.4438829787232</v>
      </c>
      <c r="M111" s="16">
        <v>126.16292553191488</v>
      </c>
      <c r="N111" s="16">
        <v>3406.3989893617018</v>
      </c>
      <c r="O111" s="16">
        <v>3406.3989893617018</v>
      </c>
      <c r="P111" s="16">
        <v>0</v>
      </c>
      <c r="Q111" s="16">
        <v>756.97755319148928</v>
      </c>
      <c r="R111" s="16">
        <v>252.32585106382976</v>
      </c>
      <c r="S111" s="16">
        <v>883.14047872340416</v>
      </c>
      <c r="T111" s="16">
        <v>126.16292553191488</v>
      </c>
      <c r="U111" s="16">
        <v>504.65170212765952</v>
      </c>
      <c r="V111" s="16">
        <v>126.16292553191488</v>
      </c>
      <c r="W111" s="16">
        <v>252.32585106382976</v>
      </c>
      <c r="X111" s="16">
        <v>1009.303404255319</v>
      </c>
      <c r="Y111" s="16">
        <v>1640.1180319148934</v>
      </c>
      <c r="Z111" s="16">
        <v>504.65170212765952</v>
      </c>
      <c r="AA111" s="16">
        <v>126.16292553191488</v>
      </c>
      <c r="AB111" s="16">
        <v>252.32585106382976</v>
      </c>
      <c r="AC111" s="16">
        <v>126.16292553191488</v>
      </c>
      <c r="AD111" s="14">
        <f t="shared" ref="AD111:AD118" si="30">SUM(D111:AC111)</f>
        <v>23718.629999999997</v>
      </c>
    </row>
    <row r="112" spans="1:30" x14ac:dyDescent="0.3">
      <c r="A112" s="60"/>
      <c r="B112" s="68" t="s">
        <v>66</v>
      </c>
      <c r="C112" s="64" t="str">
        <f t="shared" si="29"/>
        <v>Fixed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4">
        <f t="shared" si="30"/>
        <v>0</v>
      </c>
    </row>
    <row r="113" spans="1:30" x14ac:dyDescent="0.3">
      <c r="A113" s="60"/>
      <c r="B113" s="64" t="s">
        <v>67</v>
      </c>
      <c r="C113" s="64" t="str">
        <f t="shared" si="29"/>
        <v>Fixed</v>
      </c>
      <c r="D113" s="16">
        <v>17.54</v>
      </c>
      <c r="E113" s="16">
        <v>193.02</v>
      </c>
      <c r="F113" s="16">
        <v>16.670000000000002</v>
      </c>
      <c r="G113" s="16">
        <v>483.52</v>
      </c>
      <c r="H113" s="16">
        <v>52.65</v>
      </c>
      <c r="I113" s="16">
        <v>96.42</v>
      </c>
      <c r="J113" s="16">
        <v>35.08</v>
      </c>
      <c r="K113" s="16">
        <v>286.13</v>
      </c>
      <c r="L113" s="16">
        <v>210.75</v>
      </c>
      <c r="M113" s="16">
        <v>17.54</v>
      </c>
      <c r="N113" s="16">
        <v>474.02</v>
      </c>
      <c r="O113" s="16">
        <v>473.8</v>
      </c>
      <c r="P113" s="16">
        <v>0</v>
      </c>
      <c r="Q113" s="16">
        <v>157.76</v>
      </c>
      <c r="R113" s="16">
        <v>35.08</v>
      </c>
      <c r="S113" s="16">
        <v>122.85</v>
      </c>
      <c r="T113" s="16">
        <v>2035.05</v>
      </c>
      <c r="U113" s="16">
        <v>70.17</v>
      </c>
      <c r="V113" s="16">
        <v>17.54</v>
      </c>
      <c r="W113" s="16">
        <v>35.08</v>
      </c>
      <c r="X113" s="16">
        <v>166.59</v>
      </c>
      <c r="Y113" s="16">
        <v>228.12</v>
      </c>
      <c r="Z113" s="16">
        <v>70.2</v>
      </c>
      <c r="AA113" s="16">
        <v>17.54</v>
      </c>
      <c r="AB113" s="16">
        <v>87.53</v>
      </c>
      <c r="AC113" s="16">
        <v>43.77</v>
      </c>
      <c r="AD113" s="14">
        <f t="shared" si="30"/>
        <v>5444.4199999999992</v>
      </c>
    </row>
    <row r="114" spans="1:30" x14ac:dyDescent="0.3">
      <c r="A114" s="60"/>
      <c r="B114" s="64" t="s">
        <v>68</v>
      </c>
      <c r="C114" s="64" t="str">
        <f t="shared" si="29"/>
        <v>Fixed</v>
      </c>
      <c r="D114" s="16">
        <v>4.33</v>
      </c>
      <c r="E114" s="16">
        <v>47.47</v>
      </c>
      <c r="F114" s="16">
        <v>3.92</v>
      </c>
      <c r="G114" s="16">
        <v>113.8</v>
      </c>
      <c r="H114" s="16">
        <v>12.94</v>
      </c>
      <c r="I114" s="16">
        <v>28.94</v>
      </c>
      <c r="J114" s="16">
        <v>8.67</v>
      </c>
      <c r="K114" s="16">
        <v>64.72</v>
      </c>
      <c r="L114" s="16">
        <v>41.3</v>
      </c>
      <c r="M114" s="16">
        <v>4.33</v>
      </c>
      <c r="N114" s="16">
        <v>116.29</v>
      </c>
      <c r="O114" s="16">
        <v>116.51</v>
      </c>
      <c r="P114" s="16">
        <v>0</v>
      </c>
      <c r="Q114" s="16">
        <v>49.28</v>
      </c>
      <c r="R114" s="16">
        <v>8.67</v>
      </c>
      <c r="S114" s="16">
        <v>30.21</v>
      </c>
      <c r="T114" s="16">
        <v>176.28</v>
      </c>
      <c r="U114" s="16">
        <v>17.29</v>
      </c>
      <c r="V114" s="16">
        <v>4.33</v>
      </c>
      <c r="W114" s="16">
        <v>8.67</v>
      </c>
      <c r="X114" s="16">
        <v>46.19</v>
      </c>
      <c r="Y114" s="16">
        <v>56.08</v>
      </c>
      <c r="Z114" s="16">
        <v>17.260000000000002</v>
      </c>
      <c r="AA114" s="16">
        <v>4.33</v>
      </c>
      <c r="AB114" s="16">
        <v>32.03</v>
      </c>
      <c r="AC114" s="16">
        <v>16.010000000000002</v>
      </c>
      <c r="AD114" s="14">
        <f t="shared" si="30"/>
        <v>1029.8499999999999</v>
      </c>
    </row>
    <row r="115" spans="1:30" x14ac:dyDescent="0.3">
      <c r="A115" s="60"/>
      <c r="B115" s="64" t="s">
        <v>69</v>
      </c>
      <c r="C115" s="64" t="str">
        <f t="shared" si="29"/>
        <v>Variable</v>
      </c>
      <c r="D115" s="16">
        <v>9.6999999999999993</v>
      </c>
      <c r="E115" s="16">
        <v>106.63</v>
      </c>
      <c r="F115" s="16">
        <v>9.48</v>
      </c>
      <c r="G115" s="16">
        <v>274.98</v>
      </c>
      <c r="H115" s="16">
        <v>29.08</v>
      </c>
      <c r="I115" s="16">
        <v>45.1</v>
      </c>
      <c r="J115" s="16">
        <v>19.399999999999999</v>
      </c>
      <c r="K115" s="16">
        <v>145.4</v>
      </c>
      <c r="L115" s="16">
        <v>132.77000000000001</v>
      </c>
      <c r="M115" s="16">
        <v>9.6999999999999993</v>
      </c>
      <c r="N115" s="16">
        <v>261.64</v>
      </c>
      <c r="O115" s="16">
        <v>261.7</v>
      </c>
      <c r="P115" s="16">
        <v>0</v>
      </c>
      <c r="Q115" s="16">
        <v>70.8</v>
      </c>
      <c r="R115" s="16">
        <v>19.399999999999999</v>
      </c>
      <c r="S115" s="16">
        <v>67.86</v>
      </c>
      <c r="T115" s="16">
        <v>9.6999999999999993</v>
      </c>
      <c r="U115" s="16">
        <v>38.78</v>
      </c>
      <c r="V115" s="16">
        <v>9.6999999999999993</v>
      </c>
      <c r="W115" s="16">
        <v>19.399999999999999</v>
      </c>
      <c r="X115" s="16">
        <v>83.86</v>
      </c>
      <c r="Y115" s="16">
        <v>126.01</v>
      </c>
      <c r="Z115" s="16">
        <v>38.78</v>
      </c>
      <c r="AA115" s="16">
        <v>9.6999999999999993</v>
      </c>
      <c r="AB115" s="16">
        <v>32.03</v>
      </c>
      <c r="AC115" s="16">
        <v>16.010000000000002</v>
      </c>
      <c r="AD115" s="14">
        <f t="shared" si="30"/>
        <v>1847.6100000000001</v>
      </c>
    </row>
    <row r="116" spans="1:30" x14ac:dyDescent="0.3">
      <c r="A116" s="60"/>
      <c r="B116" s="64" t="s">
        <v>70</v>
      </c>
      <c r="C116" s="64" t="str">
        <f t="shared" si="29"/>
        <v>Fixed</v>
      </c>
      <c r="D116" s="16">
        <v>0.18</v>
      </c>
      <c r="E116" s="16">
        <v>1.97</v>
      </c>
      <c r="F116" s="16">
        <v>0.18</v>
      </c>
      <c r="G116" s="16">
        <v>5.2</v>
      </c>
      <c r="H116" s="16">
        <v>0.54</v>
      </c>
      <c r="I116" s="16">
        <v>0.71</v>
      </c>
      <c r="J116" s="16">
        <v>0.37</v>
      </c>
      <c r="K116" s="16">
        <v>2.68</v>
      </c>
      <c r="L116" s="16">
        <v>2.68</v>
      </c>
      <c r="M116" s="16">
        <v>0.18</v>
      </c>
      <c r="N116" s="16">
        <v>4.8</v>
      </c>
      <c r="O116" s="16">
        <v>4.84</v>
      </c>
      <c r="P116" s="16">
        <v>0</v>
      </c>
      <c r="Q116" s="16">
        <v>1.08</v>
      </c>
      <c r="R116" s="16">
        <v>0.37</v>
      </c>
      <c r="S116" s="16">
        <v>1.25</v>
      </c>
      <c r="T116" s="16">
        <v>0.18</v>
      </c>
      <c r="U116" s="16">
        <v>0.72</v>
      </c>
      <c r="V116" s="16">
        <v>0.18</v>
      </c>
      <c r="W116" s="16">
        <v>0.37</v>
      </c>
      <c r="X116" s="16">
        <v>1.42</v>
      </c>
      <c r="Y116" s="16">
        <v>2.3199999999999998</v>
      </c>
      <c r="Z116" s="16">
        <v>0.71</v>
      </c>
      <c r="AA116" s="16">
        <v>0.18</v>
      </c>
      <c r="AB116" s="16">
        <v>0.37</v>
      </c>
      <c r="AC116" s="16">
        <v>0.18</v>
      </c>
      <c r="AD116" s="14">
        <f t="shared" si="30"/>
        <v>33.659999999999997</v>
      </c>
    </row>
    <row r="117" spans="1:30" x14ac:dyDescent="0.3">
      <c r="A117" s="60"/>
      <c r="B117" s="64" t="s">
        <v>71</v>
      </c>
      <c r="C117" s="64" t="str">
        <f t="shared" si="29"/>
        <v>Fixed</v>
      </c>
      <c r="D117" s="16">
        <v>2.52</v>
      </c>
      <c r="E117" s="16">
        <v>27.71</v>
      </c>
      <c r="F117" s="16">
        <v>2.5</v>
      </c>
      <c r="G117" s="16">
        <v>72.47</v>
      </c>
      <c r="H117" s="16">
        <v>7.55</v>
      </c>
      <c r="I117" s="16">
        <v>10.65</v>
      </c>
      <c r="J117" s="16">
        <v>5.04</v>
      </c>
      <c r="K117" s="16">
        <v>34.42</v>
      </c>
      <c r="L117" s="16">
        <v>36.64</v>
      </c>
      <c r="M117" s="16">
        <v>2.52</v>
      </c>
      <c r="N117" s="16">
        <v>67.91</v>
      </c>
      <c r="O117" s="16">
        <v>68.02</v>
      </c>
      <c r="P117" s="16">
        <v>0</v>
      </c>
      <c r="Q117" s="16">
        <v>16.239999999999998</v>
      </c>
      <c r="R117" s="16">
        <v>5.04</v>
      </c>
      <c r="S117" s="16">
        <v>17.64</v>
      </c>
      <c r="T117" s="16">
        <v>2.52</v>
      </c>
      <c r="U117" s="16">
        <v>10.09</v>
      </c>
      <c r="V117" s="16">
        <v>2.2999999999999998</v>
      </c>
      <c r="W117" s="16">
        <v>5.04</v>
      </c>
      <c r="X117" s="16">
        <v>20.74</v>
      </c>
      <c r="Y117" s="16">
        <v>32.76</v>
      </c>
      <c r="Z117" s="16">
        <v>10.09</v>
      </c>
      <c r="AA117" s="16">
        <v>2.52</v>
      </c>
      <c r="AB117" s="16">
        <v>6.17</v>
      </c>
      <c r="AC117" s="16">
        <v>3.08</v>
      </c>
      <c r="AD117" s="14">
        <f t="shared" si="30"/>
        <v>472.17999999999995</v>
      </c>
    </row>
    <row r="118" spans="1:30" x14ac:dyDescent="0.3">
      <c r="A118" s="60"/>
      <c r="B118" s="64" t="s">
        <v>72</v>
      </c>
      <c r="C118" s="64" t="str">
        <f t="shared" si="29"/>
        <v>Fixed</v>
      </c>
      <c r="D118" s="16">
        <v>2.9</v>
      </c>
      <c r="E118" s="16">
        <v>31.87</v>
      </c>
      <c r="F118" s="16">
        <v>2.9</v>
      </c>
      <c r="G118" s="16">
        <v>84.01</v>
      </c>
      <c r="H118" s="16">
        <v>8.69</v>
      </c>
      <c r="I118" s="16">
        <v>11.59</v>
      </c>
      <c r="J118" s="16">
        <v>5.8</v>
      </c>
      <c r="K118" s="16">
        <v>3449.63</v>
      </c>
      <c r="L118" s="16">
        <v>43.45</v>
      </c>
      <c r="M118" s="16">
        <v>2.9</v>
      </c>
      <c r="N118" s="16">
        <v>78.180000000000007</v>
      </c>
      <c r="O118" s="16">
        <v>78.209999999999994</v>
      </c>
      <c r="P118" s="16">
        <v>0</v>
      </c>
      <c r="Q118" s="16">
        <v>17.38</v>
      </c>
      <c r="R118" s="16">
        <v>5.8</v>
      </c>
      <c r="S118" s="16">
        <v>20.28</v>
      </c>
      <c r="T118" s="16">
        <v>2.9</v>
      </c>
      <c r="U118" s="16">
        <v>11.59</v>
      </c>
      <c r="V118" s="16">
        <v>229.99</v>
      </c>
      <c r="W118" s="16">
        <v>5.8</v>
      </c>
      <c r="X118" s="16">
        <v>23.17</v>
      </c>
      <c r="Y118" s="16">
        <v>37.659999999999997</v>
      </c>
      <c r="Z118" s="16">
        <v>11.59</v>
      </c>
      <c r="AA118" s="16">
        <v>2.9</v>
      </c>
      <c r="AB118" s="16">
        <v>5.8</v>
      </c>
      <c r="AC118" s="16">
        <v>2.9</v>
      </c>
      <c r="AD118" s="14">
        <f t="shared" si="30"/>
        <v>4177.8900000000003</v>
      </c>
    </row>
    <row r="119" spans="1:30" s="4" customFormat="1" ht="13" x14ac:dyDescent="0.3">
      <c r="A119" s="62"/>
      <c r="B119" s="63"/>
      <c r="C119" s="63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20">
        <f>SUM(AD111:AD118)</f>
        <v>36724.239999999998</v>
      </c>
    </row>
    <row r="120" spans="1:30" x14ac:dyDescent="0.3">
      <c r="A120" s="62" t="s">
        <v>73</v>
      </c>
      <c r="B120" s="63" t="s">
        <v>74</v>
      </c>
      <c r="C120" s="63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spans="1:30" x14ac:dyDescent="0.3">
      <c r="A121" s="60"/>
      <c r="B121" s="64" t="s">
        <v>75</v>
      </c>
      <c r="C121" s="64" t="str">
        <f t="shared" ref="C121:C140" si="31">VLOOKUP(B121,$B$8:$C$69,2,0)</f>
        <v>Variable</v>
      </c>
      <c r="D121" s="16">
        <v>37.82</v>
      </c>
      <c r="E121" s="16">
        <v>415.89</v>
      </c>
      <c r="F121" s="16">
        <v>37.81</v>
      </c>
      <c r="G121" s="16">
        <v>1096.44</v>
      </c>
      <c r="H121" s="16">
        <v>113.43</v>
      </c>
      <c r="I121" s="16">
        <v>151.22999999999999</v>
      </c>
      <c r="J121" s="16">
        <v>75.63</v>
      </c>
      <c r="K121" s="16">
        <v>567.13</v>
      </c>
      <c r="L121" s="16">
        <v>567.13</v>
      </c>
      <c r="M121" s="16">
        <v>37.82</v>
      </c>
      <c r="N121" s="16">
        <v>1020.63</v>
      </c>
      <c r="O121" s="16">
        <v>1020.81</v>
      </c>
      <c r="P121" s="16">
        <v>37.82</v>
      </c>
      <c r="Q121" s="16">
        <v>226.84</v>
      </c>
      <c r="R121" s="16">
        <v>75.63</v>
      </c>
      <c r="S121" s="16">
        <v>264.66000000000003</v>
      </c>
      <c r="T121" s="16">
        <v>37.82</v>
      </c>
      <c r="U121" s="16">
        <v>151.24</v>
      </c>
      <c r="V121" s="16">
        <v>37.82</v>
      </c>
      <c r="W121" s="16">
        <v>75.63</v>
      </c>
      <c r="X121" s="16">
        <v>302.45999999999998</v>
      </c>
      <c r="Y121" s="16">
        <v>491.49</v>
      </c>
      <c r="Z121" s="16">
        <v>151.22999999999999</v>
      </c>
      <c r="AA121" s="16">
        <v>37.82</v>
      </c>
      <c r="AB121" s="16">
        <v>75.63</v>
      </c>
      <c r="AC121" s="16">
        <v>37.82</v>
      </c>
      <c r="AD121" s="14">
        <f t="shared" ref="AD121:AD137" si="32">SUM(D121:AC121)</f>
        <v>7145.6799999999985</v>
      </c>
    </row>
    <row r="122" spans="1:30" x14ac:dyDescent="0.3">
      <c r="A122" s="60"/>
      <c r="B122" s="64" t="s">
        <v>76</v>
      </c>
      <c r="C122" s="64" t="str">
        <f t="shared" si="31"/>
        <v>Variable</v>
      </c>
      <c r="D122" s="16">
        <v>21.16</v>
      </c>
      <c r="E122" s="16">
        <v>232.77</v>
      </c>
      <c r="F122" s="16">
        <v>23.15</v>
      </c>
      <c r="G122" s="16">
        <v>671.32</v>
      </c>
      <c r="H122" s="16">
        <v>69.430000000000007</v>
      </c>
      <c r="I122" s="16">
        <v>92.74</v>
      </c>
      <c r="J122" s="16">
        <v>42.32</v>
      </c>
      <c r="K122" s="16">
        <v>222.13</v>
      </c>
      <c r="L122" s="16">
        <v>336.64</v>
      </c>
      <c r="M122" s="16">
        <v>21.16</v>
      </c>
      <c r="N122" s="16">
        <v>611.71</v>
      </c>
      <c r="O122" s="16">
        <v>603.54999999999995</v>
      </c>
      <c r="P122" s="16">
        <v>0</v>
      </c>
      <c r="Q122" s="16">
        <v>143.16999999999999</v>
      </c>
      <c r="R122" s="16">
        <v>42.32</v>
      </c>
      <c r="S122" s="16">
        <v>148.13999999999999</v>
      </c>
      <c r="T122" s="16">
        <v>21.16</v>
      </c>
      <c r="U122" s="16">
        <v>84.67</v>
      </c>
      <c r="V122" s="16">
        <v>14.81</v>
      </c>
      <c r="W122" s="16">
        <v>42.32</v>
      </c>
      <c r="X122" s="16">
        <v>177.43</v>
      </c>
      <c r="Y122" s="16">
        <v>275.10000000000002</v>
      </c>
      <c r="Z122" s="16">
        <v>84.64</v>
      </c>
      <c r="AA122" s="16">
        <v>21.16</v>
      </c>
      <c r="AB122" s="16">
        <v>58.51</v>
      </c>
      <c r="AC122" s="16">
        <v>29.25</v>
      </c>
      <c r="AD122" s="14">
        <f t="shared" si="32"/>
        <v>4090.7599999999998</v>
      </c>
    </row>
    <row r="123" spans="1:30" x14ac:dyDescent="0.3">
      <c r="A123" s="60"/>
      <c r="B123" s="64" t="s">
        <v>77</v>
      </c>
      <c r="C123" s="64" t="str">
        <f t="shared" si="31"/>
        <v>Variable</v>
      </c>
      <c r="D123" s="16">
        <v>2.65</v>
      </c>
      <c r="E123" s="16">
        <v>29.12</v>
      </c>
      <c r="F123" s="16">
        <v>2.65</v>
      </c>
      <c r="G123" s="16">
        <v>76.739999999999995</v>
      </c>
      <c r="H123" s="16">
        <v>7.94</v>
      </c>
      <c r="I123" s="16">
        <v>10.58</v>
      </c>
      <c r="J123" s="16">
        <v>5.3</v>
      </c>
      <c r="K123" s="16">
        <v>39.700000000000003</v>
      </c>
      <c r="L123" s="16">
        <v>39.700000000000003</v>
      </c>
      <c r="M123" s="16">
        <v>2.65</v>
      </c>
      <c r="N123" s="16">
        <v>71.39</v>
      </c>
      <c r="O123" s="16">
        <v>71.45</v>
      </c>
      <c r="P123" s="16">
        <v>0</v>
      </c>
      <c r="Q123" s="16">
        <v>15.88</v>
      </c>
      <c r="R123" s="16">
        <v>5.3</v>
      </c>
      <c r="S123" s="16">
        <v>18.52</v>
      </c>
      <c r="T123" s="16">
        <v>2.65</v>
      </c>
      <c r="U123" s="16">
        <v>10.59</v>
      </c>
      <c r="V123" s="16">
        <v>2.65</v>
      </c>
      <c r="W123" s="16">
        <v>5.3</v>
      </c>
      <c r="X123" s="16">
        <v>21.17</v>
      </c>
      <c r="Y123" s="16">
        <v>34.4</v>
      </c>
      <c r="Z123" s="16">
        <v>10.58</v>
      </c>
      <c r="AA123" s="16">
        <v>2.65</v>
      </c>
      <c r="AB123" s="16">
        <v>5.3</v>
      </c>
      <c r="AC123" s="16">
        <v>2.65</v>
      </c>
      <c r="AD123" s="14">
        <f t="shared" si="32"/>
        <v>497.50999999999988</v>
      </c>
    </row>
    <row r="124" spans="1:30" x14ac:dyDescent="0.3">
      <c r="A124" s="60"/>
      <c r="B124" s="64" t="s">
        <v>78</v>
      </c>
      <c r="C124" s="64" t="str">
        <f t="shared" si="31"/>
        <v>Variable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4">
        <f t="shared" si="32"/>
        <v>0</v>
      </c>
    </row>
    <row r="125" spans="1:30" x14ac:dyDescent="0.3">
      <c r="A125" s="60"/>
      <c r="B125" s="64" t="s">
        <v>79</v>
      </c>
      <c r="C125" s="64" t="str">
        <f t="shared" si="31"/>
        <v>Fixed</v>
      </c>
      <c r="D125" s="16">
        <v>0.22</v>
      </c>
      <c r="E125" s="16">
        <v>2.41</v>
      </c>
      <c r="F125" s="16">
        <v>0.22</v>
      </c>
      <c r="G125" s="16">
        <v>6.35</v>
      </c>
      <c r="H125" s="16">
        <v>0.65</v>
      </c>
      <c r="I125" s="16">
        <v>0.87</v>
      </c>
      <c r="J125" s="16">
        <v>0.44</v>
      </c>
      <c r="K125" s="16">
        <v>3.29</v>
      </c>
      <c r="L125" s="16">
        <v>3.29</v>
      </c>
      <c r="M125" s="16">
        <v>0.22</v>
      </c>
      <c r="N125" s="16">
        <v>5.97</v>
      </c>
      <c r="O125" s="16">
        <v>5.93</v>
      </c>
      <c r="P125" s="16">
        <v>0</v>
      </c>
      <c r="Q125" s="16">
        <v>1.32</v>
      </c>
      <c r="R125" s="16">
        <v>0.44</v>
      </c>
      <c r="S125" s="16">
        <v>1.52</v>
      </c>
      <c r="T125" s="16">
        <v>102.56</v>
      </c>
      <c r="U125" s="16">
        <v>0.87</v>
      </c>
      <c r="V125" s="16">
        <v>0.22</v>
      </c>
      <c r="W125" s="16">
        <v>0.44</v>
      </c>
      <c r="X125" s="16">
        <v>1.74</v>
      </c>
      <c r="Y125" s="16">
        <v>2.84</v>
      </c>
      <c r="Z125" s="16">
        <v>0.87</v>
      </c>
      <c r="AA125" s="16">
        <v>0.22</v>
      </c>
      <c r="AB125" s="16">
        <v>0.44</v>
      </c>
      <c r="AC125" s="16">
        <v>0.22</v>
      </c>
      <c r="AD125" s="14">
        <f t="shared" si="32"/>
        <v>143.56</v>
      </c>
    </row>
    <row r="126" spans="1:30" x14ac:dyDescent="0.3">
      <c r="A126" s="60"/>
      <c r="B126" s="64" t="s">
        <v>80</v>
      </c>
      <c r="C126" s="64" t="str">
        <f t="shared" si="31"/>
        <v>Variable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4">
        <f t="shared" si="32"/>
        <v>0</v>
      </c>
    </row>
    <row r="127" spans="1:30" x14ac:dyDescent="0.3">
      <c r="A127" s="60"/>
      <c r="B127" s="64" t="s">
        <v>81</v>
      </c>
      <c r="C127" s="64" t="str">
        <f t="shared" si="31"/>
        <v>Variable</v>
      </c>
      <c r="D127" s="16">
        <v>4840.8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194.77</v>
      </c>
      <c r="O127" s="16">
        <v>0</v>
      </c>
      <c r="P127" s="16">
        <v>661.66</v>
      </c>
      <c r="Q127" s="16">
        <v>0</v>
      </c>
      <c r="R127" s="16">
        <v>0</v>
      </c>
      <c r="S127" s="16">
        <v>0</v>
      </c>
      <c r="T127" s="16">
        <v>749.16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16.46</v>
      </c>
      <c r="AA127" s="16">
        <v>0</v>
      </c>
      <c r="AB127" s="16">
        <v>0</v>
      </c>
      <c r="AC127" s="16">
        <v>0</v>
      </c>
      <c r="AD127" s="14">
        <f t="shared" si="32"/>
        <v>6462.85</v>
      </c>
    </row>
    <row r="128" spans="1:30" x14ac:dyDescent="0.3">
      <c r="A128" s="60"/>
      <c r="B128" s="64" t="s">
        <v>82</v>
      </c>
      <c r="C128" s="64" t="str">
        <f t="shared" si="31"/>
        <v>Variable</v>
      </c>
      <c r="D128" s="16">
        <v>8.01</v>
      </c>
      <c r="E128" s="16">
        <v>374.72</v>
      </c>
      <c r="F128" s="16">
        <v>4.24</v>
      </c>
      <c r="G128" s="16">
        <v>122.91</v>
      </c>
      <c r="H128" s="16">
        <v>48.37</v>
      </c>
      <c r="I128" s="16">
        <v>52.87</v>
      </c>
      <c r="J128" s="16">
        <v>104.45</v>
      </c>
      <c r="K128" s="16">
        <v>132.43</v>
      </c>
      <c r="L128" s="16">
        <v>34.42</v>
      </c>
      <c r="M128" s="16">
        <v>8.01</v>
      </c>
      <c r="N128" s="16">
        <v>890.95</v>
      </c>
      <c r="O128" s="16">
        <v>140.09</v>
      </c>
      <c r="P128" s="16">
        <v>0</v>
      </c>
      <c r="Q128" s="16">
        <v>89.69</v>
      </c>
      <c r="R128" s="16">
        <v>16.03</v>
      </c>
      <c r="S128" s="16">
        <v>230.8</v>
      </c>
      <c r="T128" s="16">
        <v>8.01</v>
      </c>
      <c r="U128" s="16">
        <v>32.04</v>
      </c>
      <c r="V128" s="16">
        <v>0.8</v>
      </c>
      <c r="W128" s="16">
        <v>16.03</v>
      </c>
      <c r="X128" s="16">
        <v>84.9</v>
      </c>
      <c r="Y128" s="16">
        <v>104.14</v>
      </c>
      <c r="Z128" s="16">
        <v>32.049999999999997</v>
      </c>
      <c r="AA128" s="16">
        <v>8.01</v>
      </c>
      <c r="AB128" s="16">
        <v>57.64</v>
      </c>
      <c r="AC128" s="16">
        <v>28.82</v>
      </c>
      <c r="AD128" s="14">
        <f t="shared" si="32"/>
        <v>2630.4300000000012</v>
      </c>
    </row>
    <row r="129" spans="1:30" x14ac:dyDescent="0.3">
      <c r="A129" s="60"/>
      <c r="B129" s="65" t="s">
        <v>84</v>
      </c>
      <c r="C129" s="64" t="str">
        <f t="shared" si="31"/>
        <v>Variable</v>
      </c>
      <c r="D129" s="16">
        <v>98.97</v>
      </c>
      <c r="E129" s="16">
        <v>0</v>
      </c>
      <c r="F129" s="16">
        <v>4.5999999999999996</v>
      </c>
      <c r="G129" s="16">
        <v>133.36000000000001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80.239999999999995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4">
        <f t="shared" si="32"/>
        <v>317.17</v>
      </c>
    </row>
    <row r="130" spans="1:30" x14ac:dyDescent="0.3">
      <c r="A130" s="60"/>
      <c r="B130" s="68" t="s">
        <v>85</v>
      </c>
      <c r="C130" s="64" t="str">
        <f t="shared" si="31"/>
        <v>Variable</v>
      </c>
      <c r="D130" s="16">
        <v>126.12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4">
        <f t="shared" si="32"/>
        <v>126.12</v>
      </c>
    </row>
    <row r="131" spans="1:30" x14ac:dyDescent="0.3">
      <c r="A131" s="60"/>
      <c r="B131" s="64" t="s">
        <v>86</v>
      </c>
      <c r="C131" s="64" t="str">
        <f t="shared" si="31"/>
        <v>Variable</v>
      </c>
      <c r="D131" s="16">
        <v>5.85</v>
      </c>
      <c r="E131" s="16">
        <v>64.27</v>
      </c>
      <c r="F131" s="16">
        <v>5.69</v>
      </c>
      <c r="G131" s="16">
        <v>164.89</v>
      </c>
      <c r="H131" s="16">
        <v>17.53</v>
      </c>
      <c r="I131" s="16">
        <v>28.07</v>
      </c>
      <c r="J131" s="16">
        <v>11.69</v>
      </c>
      <c r="K131" s="16">
        <v>87.67</v>
      </c>
      <c r="L131" s="16">
        <v>78.290000000000006</v>
      </c>
      <c r="M131" s="16">
        <v>5.85</v>
      </c>
      <c r="N131" s="16">
        <v>157.97</v>
      </c>
      <c r="O131" s="16">
        <v>157.80000000000001</v>
      </c>
      <c r="P131" s="16">
        <v>0</v>
      </c>
      <c r="Q131" s="16">
        <v>44.47</v>
      </c>
      <c r="R131" s="16">
        <v>11.69</v>
      </c>
      <c r="S131" s="16">
        <v>40.9</v>
      </c>
      <c r="T131" s="16">
        <v>5.85</v>
      </c>
      <c r="U131" s="16">
        <v>23.38</v>
      </c>
      <c r="V131" s="16">
        <v>5.85</v>
      </c>
      <c r="W131" s="16">
        <v>11.69</v>
      </c>
      <c r="X131" s="16">
        <v>51.46</v>
      </c>
      <c r="Y131" s="16">
        <v>75.97</v>
      </c>
      <c r="Z131" s="16">
        <v>23.37</v>
      </c>
      <c r="AA131" s="16">
        <v>5.85</v>
      </c>
      <c r="AB131" s="16">
        <v>21.07</v>
      </c>
      <c r="AC131" s="16">
        <v>10.53</v>
      </c>
      <c r="AD131" s="14">
        <f t="shared" si="32"/>
        <v>1117.6500000000001</v>
      </c>
    </row>
    <row r="132" spans="1:30" x14ac:dyDescent="0.3">
      <c r="A132" s="60"/>
      <c r="B132" s="64" t="s">
        <v>87</v>
      </c>
      <c r="C132" s="64" t="str">
        <f t="shared" si="31"/>
        <v>Variable</v>
      </c>
      <c r="D132" s="16">
        <v>7.0000000000000007E-2</v>
      </c>
      <c r="E132" s="16">
        <v>0.75</v>
      </c>
      <c r="F132" s="16">
        <v>7.0000000000000007E-2</v>
      </c>
      <c r="G132" s="16">
        <v>1.96</v>
      </c>
      <c r="H132" s="16">
        <v>0.21</v>
      </c>
      <c r="I132" s="16">
        <v>0.28000000000000003</v>
      </c>
      <c r="J132" s="16">
        <v>0.14000000000000001</v>
      </c>
      <c r="K132" s="16">
        <v>1.01</v>
      </c>
      <c r="L132" s="16">
        <v>1.01</v>
      </c>
      <c r="M132" s="16">
        <v>7.0000000000000007E-2</v>
      </c>
      <c r="N132" s="16">
        <v>1.78</v>
      </c>
      <c r="O132" s="16">
        <v>1.83</v>
      </c>
      <c r="P132" s="16">
        <v>0</v>
      </c>
      <c r="Q132" s="16">
        <v>0.4</v>
      </c>
      <c r="R132" s="16">
        <v>0.14000000000000001</v>
      </c>
      <c r="S132" s="16">
        <v>0.48</v>
      </c>
      <c r="T132" s="16">
        <v>7.0000000000000007E-2</v>
      </c>
      <c r="U132" s="16">
        <v>0.28000000000000003</v>
      </c>
      <c r="V132" s="16">
        <v>7.0000000000000007E-2</v>
      </c>
      <c r="W132" s="16">
        <v>0.14000000000000001</v>
      </c>
      <c r="X132" s="16">
        <v>0.55000000000000004</v>
      </c>
      <c r="Y132" s="16">
        <v>0.88</v>
      </c>
      <c r="Z132" s="16">
        <v>0.28000000000000003</v>
      </c>
      <c r="AA132" s="16">
        <v>7.0000000000000007E-2</v>
      </c>
      <c r="AB132" s="16">
        <v>0.14000000000000001</v>
      </c>
      <c r="AC132" s="16">
        <v>7.0000000000000007E-2</v>
      </c>
      <c r="AD132" s="14">
        <f t="shared" si="32"/>
        <v>12.750000000000004</v>
      </c>
    </row>
    <row r="133" spans="1:30" x14ac:dyDescent="0.3">
      <c r="A133" s="60"/>
      <c r="B133" s="64" t="s">
        <v>88</v>
      </c>
      <c r="C133" s="64" t="str">
        <f t="shared" si="31"/>
        <v>Variable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4">
        <f t="shared" si="32"/>
        <v>0</v>
      </c>
    </row>
    <row r="134" spans="1:30" x14ac:dyDescent="0.3">
      <c r="A134" s="60"/>
      <c r="B134" s="11" t="s">
        <v>89</v>
      </c>
      <c r="C134" s="64" t="str">
        <f t="shared" si="31"/>
        <v>Fixed</v>
      </c>
      <c r="D134" s="16">
        <f>(149049/31)/87.236</f>
        <v>55.115230616540373</v>
      </c>
      <c r="E134" s="16">
        <f t="shared" ref="E134:AC134" si="33">(149049/31)/87.236</f>
        <v>55.115230616540373</v>
      </c>
      <c r="F134" s="16">
        <f t="shared" si="33"/>
        <v>55.115230616540373</v>
      </c>
      <c r="G134" s="16">
        <f t="shared" si="33"/>
        <v>55.115230616540373</v>
      </c>
      <c r="H134" s="16">
        <f t="shared" si="33"/>
        <v>55.115230616540373</v>
      </c>
      <c r="I134" s="16">
        <f t="shared" si="33"/>
        <v>55.115230616540373</v>
      </c>
      <c r="J134" s="16">
        <f t="shared" si="33"/>
        <v>55.115230616540373</v>
      </c>
      <c r="K134" s="16">
        <f t="shared" si="33"/>
        <v>55.115230616540373</v>
      </c>
      <c r="L134" s="16">
        <f t="shared" si="33"/>
        <v>55.115230616540373</v>
      </c>
      <c r="M134" s="16">
        <f t="shared" si="33"/>
        <v>55.115230616540373</v>
      </c>
      <c r="N134" s="16">
        <f t="shared" si="33"/>
        <v>55.115230616540373</v>
      </c>
      <c r="O134" s="16">
        <f t="shared" si="33"/>
        <v>55.115230616540373</v>
      </c>
      <c r="P134" s="16">
        <f t="shared" si="33"/>
        <v>55.115230616540373</v>
      </c>
      <c r="Q134" s="16">
        <f t="shared" si="33"/>
        <v>55.115230616540373</v>
      </c>
      <c r="R134" s="16">
        <f t="shared" si="33"/>
        <v>55.115230616540373</v>
      </c>
      <c r="S134" s="16">
        <f t="shared" si="33"/>
        <v>55.115230616540373</v>
      </c>
      <c r="T134" s="16">
        <f t="shared" si="33"/>
        <v>55.115230616540373</v>
      </c>
      <c r="U134" s="16">
        <f t="shared" si="33"/>
        <v>55.115230616540373</v>
      </c>
      <c r="V134" s="16">
        <f t="shared" si="33"/>
        <v>55.115230616540373</v>
      </c>
      <c r="W134" s="16">
        <f t="shared" si="33"/>
        <v>55.115230616540373</v>
      </c>
      <c r="X134" s="16">
        <f t="shared" si="33"/>
        <v>55.115230616540373</v>
      </c>
      <c r="Y134" s="16">
        <f t="shared" si="33"/>
        <v>55.115230616540373</v>
      </c>
      <c r="Z134" s="16">
        <f t="shared" si="33"/>
        <v>55.115230616540373</v>
      </c>
      <c r="AA134" s="16">
        <v>0</v>
      </c>
      <c r="AB134" s="16">
        <f t="shared" si="33"/>
        <v>55.115230616540373</v>
      </c>
      <c r="AC134" s="16">
        <f t="shared" si="33"/>
        <v>55.115230616540373</v>
      </c>
      <c r="AD134" s="14">
        <f t="shared" si="32"/>
        <v>1377.8807654135101</v>
      </c>
    </row>
    <row r="135" spans="1:30" x14ac:dyDescent="0.3">
      <c r="A135" s="60"/>
      <c r="B135" s="69" t="s">
        <v>90</v>
      </c>
      <c r="C135" s="64" t="str">
        <f t="shared" si="31"/>
        <v>Fixed</v>
      </c>
      <c r="D135" s="16">
        <v>0.19</v>
      </c>
      <c r="E135" s="16">
        <v>2.21</v>
      </c>
      <c r="F135" s="16">
        <v>0.18</v>
      </c>
      <c r="G135" s="16">
        <v>5.15</v>
      </c>
      <c r="H135" s="16">
        <v>0.62</v>
      </c>
      <c r="I135" s="16">
        <v>1.48</v>
      </c>
      <c r="J135" s="16">
        <v>0.39</v>
      </c>
      <c r="K135" s="16">
        <v>3.01</v>
      </c>
      <c r="L135" s="16">
        <v>1.66</v>
      </c>
      <c r="M135" s="16">
        <v>0.19</v>
      </c>
      <c r="N135" s="16">
        <v>5.5</v>
      </c>
      <c r="O135" s="16">
        <v>5.4</v>
      </c>
      <c r="P135" s="16">
        <v>0.19</v>
      </c>
      <c r="Q135" s="16">
        <v>2.57</v>
      </c>
      <c r="R135" s="16">
        <v>0.39</v>
      </c>
      <c r="S135" s="16">
        <v>1.41</v>
      </c>
      <c r="T135" s="16">
        <v>0.19</v>
      </c>
      <c r="U135" s="16">
        <v>0.79</v>
      </c>
      <c r="V135" s="16">
        <v>0.19</v>
      </c>
      <c r="W135" s="16">
        <v>0.39</v>
      </c>
      <c r="X135" s="16">
        <v>2.2799999999999998</v>
      </c>
      <c r="Y135" s="16">
        <v>2.61</v>
      </c>
      <c r="Z135" s="16">
        <v>0.8</v>
      </c>
      <c r="AA135" s="16">
        <v>0.19</v>
      </c>
      <c r="AB135" s="16">
        <v>1.74</v>
      </c>
      <c r="AC135" s="16">
        <v>0.87</v>
      </c>
      <c r="AD135" s="14">
        <f t="shared" si="32"/>
        <v>40.589999999999996</v>
      </c>
    </row>
    <row r="136" spans="1:30" x14ac:dyDescent="0.3">
      <c r="A136" s="60"/>
      <c r="B136" s="70" t="s">
        <v>92</v>
      </c>
      <c r="C136" s="64" t="str">
        <f t="shared" si="31"/>
        <v>Variable</v>
      </c>
      <c r="D136" s="16">
        <v>0.22</v>
      </c>
      <c r="E136" s="16">
        <v>2.41</v>
      </c>
      <c r="F136" s="16">
        <v>0.22</v>
      </c>
      <c r="G136" s="16">
        <v>6.34</v>
      </c>
      <c r="H136" s="16">
        <v>0.65</v>
      </c>
      <c r="I136" s="16">
        <v>0.87</v>
      </c>
      <c r="J136" s="16">
        <v>0.44</v>
      </c>
      <c r="K136" s="16">
        <v>3.28</v>
      </c>
      <c r="L136" s="16">
        <v>3.28</v>
      </c>
      <c r="M136" s="16">
        <v>0.22</v>
      </c>
      <c r="N136" s="16">
        <v>5.97</v>
      </c>
      <c r="O136" s="16">
        <v>5.9</v>
      </c>
      <c r="P136" s="16">
        <v>0.22</v>
      </c>
      <c r="Q136" s="16">
        <v>1.32</v>
      </c>
      <c r="R136" s="16">
        <v>0.44</v>
      </c>
      <c r="S136" s="16">
        <v>1.52</v>
      </c>
      <c r="T136" s="16">
        <v>0.22</v>
      </c>
      <c r="U136" s="16">
        <v>0.87</v>
      </c>
      <c r="V136" s="16">
        <v>0.22</v>
      </c>
      <c r="W136" s="16">
        <v>0.44</v>
      </c>
      <c r="X136" s="16">
        <v>1.74</v>
      </c>
      <c r="Y136" s="16">
        <v>2.84</v>
      </c>
      <c r="Z136" s="16">
        <v>0.87</v>
      </c>
      <c r="AA136" s="16">
        <v>0.22</v>
      </c>
      <c r="AB136" s="16">
        <v>0.44</v>
      </c>
      <c r="AC136" s="16">
        <v>0.22</v>
      </c>
      <c r="AD136" s="14">
        <f t="shared" si="32"/>
        <v>41.379999999999988</v>
      </c>
    </row>
    <row r="137" spans="1:30" x14ac:dyDescent="0.3">
      <c r="A137" s="60"/>
      <c r="B137" s="64" t="s">
        <v>93</v>
      </c>
      <c r="C137" s="64" t="str">
        <f t="shared" si="31"/>
        <v>Variable</v>
      </c>
      <c r="D137" s="16">
        <v>1.24</v>
      </c>
      <c r="E137" s="16">
        <v>13.57</v>
      </c>
      <c r="F137" s="16">
        <v>1.23</v>
      </c>
      <c r="G137" s="16">
        <v>35.770000000000003</v>
      </c>
      <c r="H137" s="16">
        <v>3.7</v>
      </c>
      <c r="I137" s="16">
        <v>4.93</v>
      </c>
      <c r="J137" s="16">
        <v>2.48</v>
      </c>
      <c r="K137" s="16">
        <v>18.5</v>
      </c>
      <c r="L137" s="16">
        <v>18.5</v>
      </c>
      <c r="M137" s="16">
        <v>1.24</v>
      </c>
      <c r="N137" s="16">
        <v>33.24</v>
      </c>
      <c r="O137" s="16">
        <v>33.31</v>
      </c>
      <c r="P137" s="16">
        <v>1.24</v>
      </c>
      <c r="Q137" s="16">
        <v>7.41</v>
      </c>
      <c r="R137" s="16">
        <v>2.48</v>
      </c>
      <c r="S137" s="16">
        <v>8.6300000000000008</v>
      </c>
      <c r="T137" s="16">
        <v>1.24</v>
      </c>
      <c r="U137" s="16">
        <v>4.9400000000000004</v>
      </c>
      <c r="V137" s="16">
        <v>1.24</v>
      </c>
      <c r="W137" s="16">
        <v>2.48</v>
      </c>
      <c r="X137" s="16">
        <v>9.86</v>
      </c>
      <c r="Y137" s="16">
        <v>16.03</v>
      </c>
      <c r="Z137" s="16">
        <v>4.93</v>
      </c>
      <c r="AA137" s="16">
        <v>1.24</v>
      </c>
      <c r="AB137" s="16">
        <v>2.48</v>
      </c>
      <c r="AC137" s="16">
        <v>1.24</v>
      </c>
      <c r="AD137" s="14">
        <f t="shared" si="32"/>
        <v>233.15000000000003</v>
      </c>
    </row>
    <row r="138" spans="1:30" x14ac:dyDescent="0.3">
      <c r="A138" s="60"/>
      <c r="B138" s="64" t="s">
        <v>94</v>
      </c>
      <c r="C138" s="64" t="str">
        <f t="shared" si="31"/>
        <v>Variable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4">
        <v>0</v>
      </c>
    </row>
    <row r="139" spans="1:30" x14ac:dyDescent="0.3">
      <c r="A139" s="60"/>
      <c r="B139" s="64" t="s">
        <v>95</v>
      </c>
      <c r="C139" s="64" t="str">
        <f t="shared" si="31"/>
        <v>Variable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151.11000000000001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4">
        <f>SUM(D139:AC139)</f>
        <v>151.11000000000001</v>
      </c>
    </row>
    <row r="140" spans="1:30" x14ac:dyDescent="0.3">
      <c r="A140" s="60"/>
      <c r="B140" s="64" t="s">
        <v>96</v>
      </c>
      <c r="C140" s="64" t="str">
        <f t="shared" si="31"/>
        <v>Variable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4">
        <v>0</v>
      </c>
    </row>
    <row r="141" spans="1:30" s="4" customFormat="1" ht="13" x14ac:dyDescent="0.3">
      <c r="A141" s="62"/>
      <c r="B141" s="71"/>
      <c r="C141" s="71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20">
        <f>SUM(AD121:AD140)</f>
        <v>24388.590765413512</v>
      </c>
    </row>
    <row r="142" spans="1:30" x14ac:dyDescent="0.3">
      <c r="A142" s="62" t="s">
        <v>97</v>
      </c>
      <c r="B142" s="72" t="s">
        <v>105</v>
      </c>
      <c r="C142" s="7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spans="1:30" x14ac:dyDescent="0.3">
      <c r="A143" s="60"/>
      <c r="B143" s="73" t="s">
        <v>108</v>
      </c>
      <c r="C143" s="64" t="str">
        <f>VLOOKUP(B143,$B$8:$C$69,2,0)</f>
        <v>Fixed</v>
      </c>
      <c r="D143" s="16">
        <v>162.25032753141355</v>
      </c>
      <c r="E143" s="16">
        <v>1784.753602845549</v>
      </c>
      <c r="F143" s="16">
        <v>162.25032753141355</v>
      </c>
      <c r="G143" s="16">
        <v>4705.2594984109928</v>
      </c>
      <c r="H143" s="16">
        <v>486.75098259424061</v>
      </c>
      <c r="I143" s="16">
        <v>649.00131012565419</v>
      </c>
      <c r="J143" s="16">
        <v>324.50065506282709</v>
      </c>
      <c r="K143" s="16">
        <v>2433.7549129712033</v>
      </c>
      <c r="L143" s="16">
        <v>2433.7549129712033</v>
      </c>
      <c r="M143" s="16">
        <v>162.25032753141355</v>
      </c>
      <c r="N143" s="16">
        <v>4380.758843348166</v>
      </c>
      <c r="O143" s="16">
        <v>4380.758843348166</v>
      </c>
      <c r="P143" s="16">
        <v>162.25032753141355</v>
      </c>
      <c r="Q143" s="16">
        <v>973.50196518848122</v>
      </c>
      <c r="R143" s="16">
        <v>324.50065506282709</v>
      </c>
      <c r="S143" s="16">
        <v>1135.7522927198947</v>
      </c>
      <c r="T143" s="16">
        <v>162.25032753141355</v>
      </c>
      <c r="U143" s="16">
        <v>649.00131012565419</v>
      </c>
      <c r="V143" s="16">
        <v>162.25032753141355</v>
      </c>
      <c r="W143" s="16">
        <v>324.50065506282709</v>
      </c>
      <c r="X143" s="16">
        <v>1298.0026202513084</v>
      </c>
      <c r="Y143" s="16">
        <v>2109.2542579083761</v>
      </c>
      <c r="Z143" s="16">
        <v>649.00131012565419</v>
      </c>
      <c r="AA143" s="16">
        <v>162.25032753141355</v>
      </c>
      <c r="AB143" s="16">
        <v>324.50065506282709</v>
      </c>
      <c r="AC143" s="16">
        <v>162.25032753141355</v>
      </c>
      <c r="AD143" s="14">
        <f>SUM(D143:AC143)</f>
        <v>30665.311903437156</v>
      </c>
    </row>
    <row r="144" spans="1:30" x14ac:dyDescent="0.3">
      <c r="A144" s="60"/>
      <c r="B144" s="73"/>
      <c r="C144" s="73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spans="1:30" x14ac:dyDescent="0.3">
      <c r="A145" s="62" t="s">
        <v>104</v>
      </c>
      <c r="B145" s="72" t="s">
        <v>98</v>
      </c>
      <c r="C145" s="7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spans="1:30" x14ac:dyDescent="0.3">
      <c r="A146" s="60"/>
      <c r="B146" s="73" t="s">
        <v>101</v>
      </c>
      <c r="C146" s="64" t="str">
        <f>VLOOKUP(B146,$B$8:$C$69,2,0)</f>
        <v>Variable</v>
      </c>
      <c r="D146" s="16">
        <v>0</v>
      </c>
      <c r="E146" s="16">
        <v>4</v>
      </c>
      <c r="F146" s="16">
        <v>0</v>
      </c>
      <c r="G146" s="16">
        <v>10.55</v>
      </c>
      <c r="H146" s="16">
        <v>1.0900000000000001</v>
      </c>
      <c r="I146" s="16">
        <v>1.46</v>
      </c>
      <c r="J146" s="16">
        <v>0.73</v>
      </c>
      <c r="K146" s="16">
        <v>5.46</v>
      </c>
      <c r="L146" s="16">
        <v>5.46</v>
      </c>
      <c r="M146" s="16">
        <v>0</v>
      </c>
      <c r="N146" s="16">
        <v>9.8000000000000007</v>
      </c>
      <c r="O146" s="16">
        <v>9.84</v>
      </c>
      <c r="P146" s="16">
        <v>0</v>
      </c>
      <c r="Q146" s="16">
        <v>2.1800000000000002</v>
      </c>
      <c r="R146" s="16">
        <v>0.73</v>
      </c>
      <c r="S146" s="16">
        <v>2.54</v>
      </c>
      <c r="T146" s="16">
        <v>0</v>
      </c>
      <c r="U146" s="16">
        <v>1.46</v>
      </c>
      <c r="V146" s="16">
        <v>0</v>
      </c>
      <c r="W146" s="16">
        <v>0.73</v>
      </c>
      <c r="X146" s="16">
        <v>2.9</v>
      </c>
      <c r="Y146" s="16">
        <v>4.72</v>
      </c>
      <c r="Z146" s="16">
        <v>1.46</v>
      </c>
      <c r="AA146" s="16">
        <v>0.37</v>
      </c>
      <c r="AB146" s="16">
        <v>0.73</v>
      </c>
      <c r="AC146" s="16">
        <v>0</v>
      </c>
      <c r="AD146" s="14">
        <f>SUM(D146:AC146)</f>
        <v>66.209999999999994</v>
      </c>
    </row>
    <row r="147" spans="1:30" x14ac:dyDescent="0.3">
      <c r="A147" s="60"/>
      <c r="B147" s="73"/>
      <c r="C147" s="7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spans="1:30" x14ac:dyDescent="0.3">
      <c r="A148" s="60"/>
      <c r="B148" s="73"/>
      <c r="C148" s="73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49"/>
    </row>
    <row r="149" spans="1:30" s="4" customFormat="1" ht="13.5" thickBot="1" x14ac:dyDescent="0.35">
      <c r="A149" s="62"/>
      <c r="B149" s="74" t="s">
        <v>114</v>
      </c>
      <c r="C149" s="74"/>
      <c r="D149" s="28">
        <f t="shared" ref="D149:AC149" si="34">SUM(D100:D148)</f>
        <v>13208.938483679869</v>
      </c>
      <c r="E149" s="28">
        <f t="shared" si="34"/>
        <v>26139.941014313154</v>
      </c>
      <c r="F149" s="28">
        <f t="shared" si="34"/>
        <v>2471.4784836798681</v>
      </c>
      <c r="G149" s="28">
        <f t="shared" si="34"/>
        <v>46618.599569453072</v>
      </c>
      <c r="H149" s="28">
        <f t="shared" si="34"/>
        <v>4069.2749898065258</v>
      </c>
      <c r="I149" s="28">
        <f t="shared" si="34"/>
        <v>5063.4382428698536</v>
      </c>
      <c r="J149" s="28">
        <f t="shared" si="34"/>
        <v>9562.3617367431943</v>
      </c>
      <c r="K149" s="28">
        <f t="shared" si="34"/>
        <v>58317.414026566454</v>
      </c>
      <c r="L149" s="28">
        <f t="shared" si="34"/>
        <v>27557.55402656646</v>
      </c>
      <c r="M149" s="28">
        <f t="shared" si="34"/>
        <v>7180.3684836798684</v>
      </c>
      <c r="N149" s="28">
        <f t="shared" si="34"/>
        <v>61493.553063326399</v>
      </c>
      <c r="O149" s="28">
        <f t="shared" si="34"/>
        <v>36429.64306332641</v>
      </c>
      <c r="P149" s="28">
        <f t="shared" si="34"/>
        <v>5125.9555581479526</v>
      </c>
      <c r="Q149" s="28">
        <f t="shared" si="34"/>
        <v>16478.754748996507</v>
      </c>
      <c r="R149" s="28">
        <f t="shared" si="34"/>
        <v>2476.6617367431982</v>
      </c>
      <c r="S149" s="28">
        <f t="shared" si="34"/>
        <v>20679.778002059837</v>
      </c>
      <c r="T149" s="28">
        <f t="shared" si="34"/>
        <v>11762.598483679867</v>
      </c>
      <c r="U149" s="28">
        <f t="shared" si="34"/>
        <v>6077.8482428698544</v>
      </c>
      <c r="V149" s="28">
        <f t="shared" si="34"/>
        <v>2666.2784836798687</v>
      </c>
      <c r="W149" s="28">
        <f t="shared" si="34"/>
        <v>8411.5917367431957</v>
      </c>
      <c r="X149" s="28">
        <f t="shared" si="34"/>
        <v>23624.041255123164</v>
      </c>
      <c r="Y149" s="28">
        <f t="shared" si="34"/>
        <v>36345.857520439808</v>
      </c>
      <c r="Z149" s="28">
        <f t="shared" si="34"/>
        <v>7491.4782428698545</v>
      </c>
      <c r="AA149" s="28">
        <f t="shared" si="34"/>
        <v>5873.2232530633282</v>
      </c>
      <c r="AB149" s="28">
        <f t="shared" si="34"/>
        <v>1741.8717367431975</v>
      </c>
      <c r="AC149" s="28">
        <f t="shared" si="34"/>
        <v>1154.698483679869</v>
      </c>
      <c r="AD149" s="29">
        <f>+AD109+AD119+AD141+AD143+AD146</f>
        <v>448023.20266885083</v>
      </c>
    </row>
    <row r="150" spans="1:30" ht="14.5" thickTop="1" x14ac:dyDescent="0.3">
      <c r="A150" s="60"/>
      <c r="B150" s="75"/>
      <c r="C150" s="75" t="s">
        <v>51</v>
      </c>
      <c r="D150" s="76">
        <f t="shared" ref="D150:AD150" si="35">ROUND(SUMIF($C$101:$C$146,$C$150,D101:D146)/D149,2)</f>
        <v>0.61</v>
      </c>
      <c r="E150" s="76">
        <f t="shared" si="35"/>
        <v>0.95</v>
      </c>
      <c r="F150" s="76">
        <f t="shared" si="35"/>
        <v>0.96</v>
      </c>
      <c r="G150" s="76">
        <f t="shared" si="35"/>
        <v>0.94</v>
      </c>
      <c r="H150" s="76">
        <f t="shared" si="35"/>
        <v>0.93</v>
      </c>
      <c r="I150" s="76">
        <f t="shared" si="35"/>
        <v>0.92</v>
      </c>
      <c r="J150" s="76">
        <f t="shared" si="35"/>
        <v>0.97</v>
      </c>
      <c r="K150" s="76">
        <f t="shared" si="35"/>
        <v>0.98</v>
      </c>
      <c r="L150" s="76">
        <f t="shared" si="35"/>
        <v>0.96</v>
      </c>
      <c r="M150" s="76">
        <f t="shared" si="35"/>
        <v>0.81</v>
      </c>
      <c r="N150" s="76">
        <f t="shared" si="35"/>
        <v>0.94</v>
      </c>
      <c r="O150" s="76">
        <f t="shared" si="35"/>
        <v>0.94</v>
      </c>
      <c r="P150" s="76">
        <f t="shared" si="35"/>
        <v>0.86</v>
      </c>
      <c r="Q150" s="76">
        <f t="shared" si="35"/>
        <v>0.95</v>
      </c>
      <c r="R150" s="76">
        <f t="shared" si="35"/>
        <v>0.93</v>
      </c>
      <c r="S150" s="76">
        <f t="shared" si="35"/>
        <v>0.96</v>
      </c>
      <c r="T150" s="76">
        <f t="shared" si="35"/>
        <v>0.92</v>
      </c>
      <c r="U150" s="76">
        <f t="shared" si="35"/>
        <v>0.94</v>
      </c>
      <c r="V150" s="76">
        <f t="shared" si="35"/>
        <v>0.97</v>
      </c>
      <c r="W150" s="76">
        <f t="shared" si="35"/>
        <v>0.98</v>
      </c>
      <c r="X150" s="77">
        <f t="shared" si="35"/>
        <v>0.97</v>
      </c>
      <c r="Y150" s="77">
        <f t="shared" si="35"/>
        <v>0.97</v>
      </c>
      <c r="Z150" s="77">
        <f t="shared" si="35"/>
        <v>0.95</v>
      </c>
      <c r="AA150" s="77">
        <f t="shared" si="35"/>
        <v>0.99</v>
      </c>
      <c r="AB150" s="77">
        <f t="shared" si="35"/>
        <v>0.81</v>
      </c>
      <c r="AC150" s="77">
        <f t="shared" si="35"/>
        <v>0.86</v>
      </c>
      <c r="AD150" s="78">
        <f t="shared" si="35"/>
        <v>0.94</v>
      </c>
    </row>
    <row r="151" spans="1:30" x14ac:dyDescent="0.3">
      <c r="A151" s="60"/>
      <c r="B151" s="75"/>
      <c r="C151" s="75" t="s">
        <v>57</v>
      </c>
      <c r="D151" s="76">
        <f t="shared" ref="D151:AD151" si="36">ROUND(SUMIF($C$101:$C$146,$C$151,D101:D146)/D149,2)</f>
        <v>0.39</v>
      </c>
      <c r="E151" s="76">
        <f t="shared" si="36"/>
        <v>0.05</v>
      </c>
      <c r="F151" s="76">
        <f t="shared" si="36"/>
        <v>0.04</v>
      </c>
      <c r="G151" s="76">
        <f t="shared" si="36"/>
        <v>0.06</v>
      </c>
      <c r="H151" s="76">
        <f t="shared" si="36"/>
        <v>7.0000000000000007E-2</v>
      </c>
      <c r="I151" s="76">
        <f t="shared" si="36"/>
        <v>0.08</v>
      </c>
      <c r="J151" s="76">
        <f t="shared" si="36"/>
        <v>0.03</v>
      </c>
      <c r="K151" s="76">
        <f t="shared" si="36"/>
        <v>0.02</v>
      </c>
      <c r="L151" s="76">
        <f t="shared" si="36"/>
        <v>0.04</v>
      </c>
      <c r="M151" s="76">
        <f t="shared" si="36"/>
        <v>0.19</v>
      </c>
      <c r="N151" s="76">
        <f t="shared" si="36"/>
        <v>0.06</v>
      </c>
      <c r="O151" s="76">
        <f t="shared" si="36"/>
        <v>0.06</v>
      </c>
      <c r="P151" s="76">
        <f t="shared" si="36"/>
        <v>0.14000000000000001</v>
      </c>
      <c r="Q151" s="76">
        <f t="shared" si="36"/>
        <v>0.05</v>
      </c>
      <c r="R151" s="76">
        <f t="shared" si="36"/>
        <v>7.0000000000000007E-2</v>
      </c>
      <c r="S151" s="76">
        <f t="shared" si="36"/>
        <v>0.04</v>
      </c>
      <c r="T151" s="76">
        <f t="shared" si="36"/>
        <v>0.08</v>
      </c>
      <c r="U151" s="76">
        <f t="shared" si="36"/>
        <v>0.06</v>
      </c>
      <c r="V151" s="76">
        <f t="shared" si="36"/>
        <v>0.03</v>
      </c>
      <c r="W151" s="76">
        <f t="shared" si="36"/>
        <v>0.02</v>
      </c>
      <c r="X151" s="30">
        <f t="shared" si="36"/>
        <v>0.03</v>
      </c>
      <c r="Y151" s="30">
        <f t="shared" si="36"/>
        <v>0.03</v>
      </c>
      <c r="Z151" s="30">
        <f t="shared" si="36"/>
        <v>0.05</v>
      </c>
      <c r="AA151" s="30">
        <f t="shared" si="36"/>
        <v>0.01</v>
      </c>
      <c r="AB151" s="30">
        <f t="shared" si="36"/>
        <v>0.19</v>
      </c>
      <c r="AC151" s="30">
        <f t="shared" si="36"/>
        <v>0.14000000000000001</v>
      </c>
      <c r="AD151" s="32">
        <f t="shared" si="36"/>
        <v>0.06</v>
      </c>
    </row>
    <row r="152" spans="1:30" x14ac:dyDescent="0.3">
      <c r="A152" s="60"/>
      <c r="X152" s="12"/>
      <c r="Y152" s="12"/>
      <c r="Z152" s="12"/>
      <c r="AA152" s="12"/>
      <c r="AB152" s="12"/>
      <c r="AC152" s="12"/>
      <c r="AD152" s="12"/>
    </row>
    <row r="153" spans="1:30" x14ac:dyDescent="0.3">
      <c r="A153" s="60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80"/>
      <c r="Y153" s="80"/>
      <c r="Z153" s="80"/>
      <c r="AA153" s="80"/>
      <c r="AB153" s="80"/>
      <c r="AC153" s="80"/>
      <c r="AD153" s="12"/>
    </row>
    <row r="154" spans="1:30" x14ac:dyDescent="0.3">
      <c r="A154" s="60"/>
      <c r="B154" s="81" t="s">
        <v>115</v>
      </c>
      <c r="C154" s="81"/>
      <c r="D154" s="37">
        <v>1</v>
      </c>
      <c r="E154" s="37">
        <v>11</v>
      </c>
      <c r="F154" s="37">
        <v>1</v>
      </c>
      <c r="G154" s="37">
        <v>29</v>
      </c>
      <c r="H154" s="37">
        <v>3</v>
      </c>
      <c r="I154" s="37">
        <v>4</v>
      </c>
      <c r="J154" s="37">
        <v>2</v>
      </c>
      <c r="K154" s="37">
        <v>15</v>
      </c>
      <c r="L154" s="37">
        <v>15</v>
      </c>
      <c r="M154" s="37">
        <v>1</v>
      </c>
      <c r="N154" s="37">
        <v>27</v>
      </c>
      <c r="O154" s="37">
        <v>27</v>
      </c>
      <c r="P154" s="37">
        <v>1</v>
      </c>
      <c r="Q154" s="37">
        <v>6</v>
      </c>
      <c r="R154" s="37">
        <v>2</v>
      </c>
      <c r="S154" s="37">
        <v>7</v>
      </c>
      <c r="T154" s="37">
        <v>1</v>
      </c>
      <c r="U154" s="37">
        <v>4</v>
      </c>
      <c r="V154" s="37">
        <v>1</v>
      </c>
      <c r="W154" s="82">
        <v>2</v>
      </c>
      <c r="X154" s="37">
        <v>8</v>
      </c>
      <c r="Y154" s="37">
        <v>13</v>
      </c>
      <c r="Z154" s="37">
        <v>4</v>
      </c>
      <c r="AA154" s="37">
        <v>1</v>
      </c>
      <c r="AB154" s="37">
        <v>2</v>
      </c>
      <c r="AC154" s="37">
        <v>1</v>
      </c>
      <c r="AD154" s="39">
        <f>SUM(D154:AC154)</f>
        <v>189</v>
      </c>
    </row>
    <row r="155" spans="1:30" x14ac:dyDescent="0.3">
      <c r="A155" s="60"/>
      <c r="B155" s="60" t="s">
        <v>116</v>
      </c>
      <c r="C155" s="60"/>
      <c r="D155" s="14">
        <f t="shared" ref="D155:AD155" si="37">(+D101+D102+D103+D104)/D154</f>
        <v>7654.47</v>
      </c>
      <c r="E155" s="14">
        <f t="shared" si="37"/>
        <v>1807.2281818181816</v>
      </c>
      <c r="F155" s="14">
        <f t="shared" si="37"/>
        <v>1986.56</v>
      </c>
      <c r="G155" s="14">
        <f t="shared" si="37"/>
        <v>1175.4841379310344</v>
      </c>
      <c r="H155" s="14">
        <f t="shared" si="37"/>
        <v>894.10333333333335</v>
      </c>
      <c r="I155" s="14">
        <f t="shared" si="37"/>
        <v>790.85500000000002</v>
      </c>
      <c r="J155" s="14">
        <f t="shared" si="37"/>
        <v>4275.5099999999993</v>
      </c>
      <c r="K155" s="14">
        <f t="shared" si="37"/>
        <v>3224.1679999999997</v>
      </c>
      <c r="L155" s="14">
        <f t="shared" si="37"/>
        <v>1414.8240000000001</v>
      </c>
      <c r="M155" s="14">
        <f t="shared" si="37"/>
        <v>5430.77</v>
      </c>
      <c r="N155" s="14">
        <f t="shared" si="37"/>
        <v>1802.3674074074074</v>
      </c>
      <c r="O155" s="14">
        <f t="shared" si="37"/>
        <v>914.98222222222228</v>
      </c>
      <c r="P155" s="14">
        <f t="shared" si="37"/>
        <v>4176.9399999999996</v>
      </c>
      <c r="Q155" s="14">
        <f t="shared" si="37"/>
        <v>2251.7750000000001</v>
      </c>
      <c r="R155" s="14">
        <f t="shared" si="37"/>
        <v>776.87</v>
      </c>
      <c r="S155" s="14">
        <f t="shared" si="37"/>
        <v>2487.5642857142857</v>
      </c>
      <c r="T155" s="14">
        <f t="shared" si="37"/>
        <v>8152.75</v>
      </c>
      <c r="U155" s="14">
        <f t="shared" si="37"/>
        <v>1071.8125</v>
      </c>
      <c r="V155" s="14">
        <f t="shared" si="37"/>
        <v>1964.3200000000002</v>
      </c>
      <c r="W155" s="14">
        <f t="shared" si="37"/>
        <v>3744.335</v>
      </c>
      <c r="X155" s="14">
        <f t="shared" si="37"/>
        <v>2497.29</v>
      </c>
      <c r="Y155" s="14">
        <f t="shared" si="37"/>
        <v>2347.606153846154</v>
      </c>
      <c r="Z155" s="14">
        <f t="shared" si="37"/>
        <v>1418.54</v>
      </c>
      <c r="AA155" s="14">
        <f t="shared" si="37"/>
        <v>5439.3200000000006</v>
      </c>
      <c r="AB155" s="14">
        <f t="shared" si="37"/>
        <v>289.72000000000003</v>
      </c>
      <c r="AC155" s="14">
        <f t="shared" si="37"/>
        <v>556.62</v>
      </c>
      <c r="AD155" s="14">
        <f t="shared" si="37"/>
        <v>1839.6001587301596</v>
      </c>
    </row>
    <row r="156" spans="1:30" x14ac:dyDescent="0.3">
      <c r="A156" s="60"/>
      <c r="B156" s="60" t="s">
        <v>117</v>
      </c>
      <c r="C156" s="60"/>
      <c r="D156" s="14">
        <f t="shared" ref="D156:AD156" si="38">SUM(D105:D107)/D154</f>
        <v>30.45</v>
      </c>
      <c r="E156" s="14">
        <f t="shared" si="38"/>
        <v>134.72545454545454</v>
      </c>
      <c r="F156" s="14">
        <f t="shared" si="38"/>
        <v>25.68</v>
      </c>
      <c r="G156" s="14">
        <f t="shared" si="38"/>
        <v>25.679310344827588</v>
      </c>
      <c r="H156" s="14">
        <f t="shared" si="38"/>
        <v>30.513333333333332</v>
      </c>
      <c r="I156" s="14">
        <f t="shared" si="38"/>
        <v>38.115000000000002</v>
      </c>
      <c r="J156" s="14">
        <f t="shared" si="38"/>
        <v>30.515000000000001</v>
      </c>
      <c r="K156" s="14">
        <f t="shared" si="38"/>
        <v>33.799333333333337</v>
      </c>
      <c r="L156" s="14">
        <f t="shared" si="38"/>
        <v>26.460666666666668</v>
      </c>
      <c r="M156" s="14">
        <f t="shared" si="38"/>
        <v>1291.47</v>
      </c>
      <c r="N156" s="14">
        <f t="shared" si="38"/>
        <v>30.508518518518517</v>
      </c>
      <c r="O156" s="14">
        <f t="shared" si="38"/>
        <v>30.513333333333335</v>
      </c>
      <c r="P156" s="14">
        <f t="shared" si="38"/>
        <v>30.52</v>
      </c>
      <c r="Q156" s="14">
        <f t="shared" si="38"/>
        <v>55.786666666666662</v>
      </c>
      <c r="R156" s="14">
        <f t="shared" si="38"/>
        <v>30.515000000000001</v>
      </c>
      <c r="S156" s="14">
        <f t="shared" si="38"/>
        <v>30.515714285714285</v>
      </c>
      <c r="T156" s="14">
        <f t="shared" si="38"/>
        <v>30.52</v>
      </c>
      <c r="U156" s="14">
        <f t="shared" si="38"/>
        <v>30.515000000000001</v>
      </c>
      <c r="V156" s="14">
        <f t="shared" si="38"/>
        <v>30.52</v>
      </c>
      <c r="W156" s="14">
        <f t="shared" si="38"/>
        <v>30.515000000000001</v>
      </c>
      <c r="X156" s="14">
        <f t="shared" si="38"/>
        <v>35.604999999999997</v>
      </c>
      <c r="Y156" s="14">
        <f t="shared" si="38"/>
        <v>40.655384615384619</v>
      </c>
      <c r="Z156" s="14">
        <f t="shared" si="38"/>
        <v>33.094999999999999</v>
      </c>
      <c r="AA156" s="14">
        <f t="shared" si="38"/>
        <v>30.52</v>
      </c>
      <c r="AB156" s="14">
        <f t="shared" si="38"/>
        <v>71.22</v>
      </c>
      <c r="AC156" s="14">
        <f t="shared" si="38"/>
        <v>60.91</v>
      </c>
      <c r="AD156" s="14">
        <f t="shared" si="38"/>
        <v>44.944021164021173</v>
      </c>
    </row>
    <row r="157" spans="1:30" x14ac:dyDescent="0.3">
      <c r="A157" s="60"/>
      <c r="B157" s="60" t="s">
        <v>118</v>
      </c>
      <c r="C157" s="60"/>
      <c r="D157" s="14">
        <f t="shared" ref="D157:AD157" si="39">SUM(D111:D118)/D154</f>
        <v>163.3329255319149</v>
      </c>
      <c r="E157" s="14">
        <f t="shared" si="39"/>
        <v>163.31474371373304</v>
      </c>
      <c r="F157" s="14">
        <f t="shared" si="39"/>
        <v>161.81292553191489</v>
      </c>
      <c r="G157" s="14">
        <f t="shared" si="39"/>
        <v>161.81740829053561</v>
      </c>
      <c r="H157" s="14">
        <f t="shared" si="39"/>
        <v>163.31292553191489</v>
      </c>
      <c r="I157" s="14">
        <f t="shared" si="39"/>
        <v>174.5154255319149</v>
      </c>
      <c r="J157" s="14">
        <f t="shared" si="39"/>
        <v>163.34292553191489</v>
      </c>
      <c r="K157" s="14">
        <f t="shared" si="39"/>
        <v>391.69492553191486</v>
      </c>
      <c r="L157" s="14">
        <f t="shared" si="39"/>
        <v>157.33559219858154</v>
      </c>
      <c r="M157" s="14">
        <f t="shared" si="39"/>
        <v>163.3329255319149</v>
      </c>
      <c r="N157" s="14">
        <f t="shared" si="39"/>
        <v>163.3051477541371</v>
      </c>
      <c r="O157" s="14">
        <f t="shared" si="39"/>
        <v>163.31403664302601</v>
      </c>
      <c r="P157" s="14">
        <f t="shared" si="39"/>
        <v>0</v>
      </c>
      <c r="Q157" s="14">
        <f t="shared" si="39"/>
        <v>178.25292553191488</v>
      </c>
      <c r="R157" s="14">
        <f t="shared" si="39"/>
        <v>163.34292553191489</v>
      </c>
      <c r="S157" s="14">
        <f t="shared" si="39"/>
        <v>163.31863981762916</v>
      </c>
      <c r="T157" s="14">
        <f t="shared" si="39"/>
        <v>2352.792925531915</v>
      </c>
      <c r="U157" s="14">
        <f t="shared" si="39"/>
        <v>163.32292553191488</v>
      </c>
      <c r="V157" s="14">
        <f t="shared" si="39"/>
        <v>390.2029255319149</v>
      </c>
      <c r="W157" s="14">
        <f t="shared" si="39"/>
        <v>163.34292553191489</v>
      </c>
      <c r="X157" s="14">
        <f t="shared" si="39"/>
        <v>168.90917553191488</v>
      </c>
      <c r="Y157" s="14">
        <f t="shared" si="39"/>
        <v>163.31292553191491</v>
      </c>
      <c r="Z157" s="14">
        <f t="shared" si="39"/>
        <v>163.32042553191491</v>
      </c>
      <c r="AA157" s="14">
        <f t="shared" si="39"/>
        <v>163.3329255319149</v>
      </c>
      <c r="AB157" s="14">
        <f t="shared" si="39"/>
        <v>208.12792553191485</v>
      </c>
      <c r="AC157" s="14">
        <f t="shared" si="39"/>
        <v>208.1129255319149</v>
      </c>
      <c r="AD157" s="14">
        <f t="shared" si="39"/>
        <v>194.30814814814815</v>
      </c>
    </row>
    <row r="158" spans="1:30" x14ac:dyDescent="0.3">
      <c r="A158" s="60"/>
      <c r="B158" s="60" t="s">
        <v>119</v>
      </c>
      <c r="C158" s="60"/>
      <c r="D158" s="14">
        <f t="shared" ref="D158:AD158" si="40">SUM(D121:D123)/D154</f>
        <v>61.63</v>
      </c>
      <c r="E158" s="14">
        <f t="shared" si="40"/>
        <v>61.616363636363637</v>
      </c>
      <c r="F158" s="14">
        <f t="shared" si="40"/>
        <v>63.61</v>
      </c>
      <c r="G158" s="14">
        <f t="shared" si="40"/>
        <v>63.603448275862078</v>
      </c>
      <c r="H158" s="14">
        <f t="shared" si="40"/>
        <v>63.6</v>
      </c>
      <c r="I158" s="14">
        <f t="shared" si="40"/>
        <v>63.637499999999996</v>
      </c>
      <c r="J158" s="14">
        <f t="shared" si="40"/>
        <v>61.624999999999993</v>
      </c>
      <c r="K158" s="14">
        <f t="shared" si="40"/>
        <v>55.264000000000003</v>
      </c>
      <c r="L158" s="14">
        <f t="shared" si="40"/>
        <v>62.898000000000003</v>
      </c>
      <c r="M158" s="14">
        <f t="shared" si="40"/>
        <v>61.63</v>
      </c>
      <c r="N158" s="14">
        <f t="shared" si="40"/>
        <v>63.101111111111123</v>
      </c>
      <c r="O158" s="14">
        <f t="shared" si="40"/>
        <v>62.807777777777773</v>
      </c>
      <c r="P158" s="14">
        <f t="shared" si="40"/>
        <v>37.82</v>
      </c>
      <c r="Q158" s="14">
        <f t="shared" si="40"/>
        <v>64.314999999999998</v>
      </c>
      <c r="R158" s="14">
        <f t="shared" si="40"/>
        <v>61.624999999999993</v>
      </c>
      <c r="S158" s="14">
        <f t="shared" si="40"/>
        <v>61.617142857142859</v>
      </c>
      <c r="T158" s="14">
        <f t="shared" si="40"/>
        <v>61.63</v>
      </c>
      <c r="U158" s="14">
        <f t="shared" si="40"/>
        <v>61.625000000000007</v>
      </c>
      <c r="V158" s="14">
        <f t="shared" si="40"/>
        <v>55.28</v>
      </c>
      <c r="W158" s="14">
        <f t="shared" si="40"/>
        <v>61.624999999999993</v>
      </c>
      <c r="X158" s="14">
        <f t="shared" si="40"/>
        <v>62.6325</v>
      </c>
      <c r="Y158" s="14">
        <f t="shared" si="40"/>
        <v>61.614615384615384</v>
      </c>
      <c r="Z158" s="14">
        <f t="shared" si="40"/>
        <v>61.612500000000004</v>
      </c>
      <c r="AA158" s="14">
        <f t="shared" si="40"/>
        <v>61.63</v>
      </c>
      <c r="AB158" s="14">
        <f t="shared" si="40"/>
        <v>69.72</v>
      </c>
      <c r="AC158" s="14">
        <f t="shared" si="40"/>
        <v>69.72</v>
      </c>
      <c r="AD158" s="14">
        <f t="shared" si="40"/>
        <v>62.084391534391528</v>
      </c>
    </row>
    <row r="159" spans="1:30" x14ac:dyDescent="0.3">
      <c r="A159" s="60"/>
      <c r="B159" s="60" t="s">
        <v>120</v>
      </c>
      <c r="C159" s="60"/>
      <c r="D159" s="14">
        <f t="shared" ref="D159:AD159" si="41">SUM(D125:D139)/D154</f>
        <v>5136.8052306165409</v>
      </c>
      <c r="E159" s="14">
        <f t="shared" si="41"/>
        <v>46.8595664196855</v>
      </c>
      <c r="F159" s="14">
        <f t="shared" si="41"/>
        <v>71.565230616540376</v>
      </c>
      <c r="G159" s="14">
        <f t="shared" si="41"/>
        <v>18.339490710915182</v>
      </c>
      <c r="H159" s="14">
        <f t="shared" si="41"/>
        <v>42.28174353884679</v>
      </c>
      <c r="I159" s="14">
        <f t="shared" si="41"/>
        <v>36.121307654135094</v>
      </c>
      <c r="J159" s="14">
        <f t="shared" si="41"/>
        <v>87.572615308270173</v>
      </c>
      <c r="K159" s="14">
        <f t="shared" si="41"/>
        <v>20.28701537443602</v>
      </c>
      <c r="L159" s="14">
        <f t="shared" si="41"/>
        <v>13.037682041102691</v>
      </c>
      <c r="M159" s="14">
        <f t="shared" si="41"/>
        <v>70.91523061654037</v>
      </c>
      <c r="N159" s="14">
        <f t="shared" si="41"/>
        <v>55.643527059871879</v>
      </c>
      <c r="O159" s="14">
        <f t="shared" si="41"/>
        <v>15.013897430242237</v>
      </c>
      <c r="P159" s="14">
        <f t="shared" si="41"/>
        <v>718.42523061654038</v>
      </c>
      <c r="Q159" s="14">
        <f t="shared" si="41"/>
        <v>33.715871769423394</v>
      </c>
      <c r="R159" s="14">
        <f t="shared" si="41"/>
        <v>43.362615308270193</v>
      </c>
      <c r="S159" s="14">
        <f t="shared" si="41"/>
        <v>48.625032945220063</v>
      </c>
      <c r="T159" s="14">
        <f t="shared" si="41"/>
        <v>1002.6552306165406</v>
      </c>
      <c r="U159" s="14">
        <f t="shared" si="41"/>
        <v>29.571307654135094</v>
      </c>
      <c r="V159" s="14">
        <f t="shared" si="41"/>
        <v>63.705230616540369</v>
      </c>
      <c r="W159" s="14">
        <f t="shared" si="41"/>
        <v>43.362615308270193</v>
      </c>
      <c r="X159" s="14">
        <f t="shared" si="41"/>
        <v>25.95565382706755</v>
      </c>
      <c r="Y159" s="14">
        <f t="shared" si="41"/>
        <v>20.032710047426182</v>
      </c>
      <c r="Z159" s="14">
        <f t="shared" si="41"/>
        <v>33.686307654135099</v>
      </c>
      <c r="AA159" s="14">
        <f t="shared" si="41"/>
        <v>15.8</v>
      </c>
      <c r="AB159" s="14">
        <f t="shared" si="41"/>
        <v>69.532615308270195</v>
      </c>
      <c r="AC159" s="14">
        <f t="shared" si="41"/>
        <v>97.085230616540372</v>
      </c>
      <c r="AD159" s="14">
        <f t="shared" si="41"/>
        <v>66.955771245574141</v>
      </c>
    </row>
    <row r="160" spans="1:30" x14ac:dyDescent="0.3">
      <c r="A160" s="60"/>
      <c r="B160" s="60" t="s">
        <v>121</v>
      </c>
      <c r="C160" s="60"/>
      <c r="D160" s="14">
        <f>(SUM(D143)+SUM(D146))/D154</f>
        <v>162.25032753141355</v>
      </c>
      <c r="E160" s="14">
        <f t="shared" ref="E160:AC160" si="42">(SUM(E143)+SUM(E146))/E154</f>
        <v>162.61396389504992</v>
      </c>
      <c r="F160" s="14">
        <f t="shared" si="42"/>
        <v>162.25032753141355</v>
      </c>
      <c r="G160" s="14">
        <f t="shared" si="42"/>
        <v>162.61412063486182</v>
      </c>
      <c r="H160" s="14">
        <f t="shared" si="42"/>
        <v>162.61366086474686</v>
      </c>
      <c r="I160" s="14">
        <f t="shared" si="42"/>
        <v>162.61532753141356</v>
      </c>
      <c r="J160" s="14">
        <f t="shared" si="42"/>
        <v>162.61532753141356</v>
      </c>
      <c r="K160" s="14">
        <f t="shared" si="42"/>
        <v>162.61432753141355</v>
      </c>
      <c r="L160" s="14">
        <f t="shared" si="42"/>
        <v>162.61432753141355</v>
      </c>
      <c r="M160" s="14">
        <f t="shared" si="42"/>
        <v>162.25032753141355</v>
      </c>
      <c r="N160" s="14">
        <f t="shared" si="42"/>
        <v>162.61329049437651</v>
      </c>
      <c r="O160" s="14">
        <f t="shared" si="42"/>
        <v>162.61477197585802</v>
      </c>
      <c r="P160" s="14">
        <f t="shared" si="42"/>
        <v>162.25032753141355</v>
      </c>
      <c r="Q160" s="14">
        <f t="shared" si="42"/>
        <v>162.61366086474686</v>
      </c>
      <c r="R160" s="14">
        <f t="shared" si="42"/>
        <v>162.61532753141356</v>
      </c>
      <c r="S160" s="14">
        <f t="shared" si="42"/>
        <v>162.61318467427068</v>
      </c>
      <c r="T160" s="14">
        <f t="shared" si="42"/>
        <v>162.25032753141355</v>
      </c>
      <c r="U160" s="14">
        <f t="shared" si="42"/>
        <v>162.61532753141356</v>
      </c>
      <c r="V160" s="14">
        <f t="shared" si="42"/>
        <v>162.25032753141355</v>
      </c>
      <c r="W160" s="14">
        <f t="shared" si="42"/>
        <v>162.61532753141356</v>
      </c>
      <c r="X160" s="14">
        <f t="shared" si="42"/>
        <v>162.61282753141356</v>
      </c>
      <c r="Y160" s="14">
        <f t="shared" si="42"/>
        <v>162.61340445449045</v>
      </c>
      <c r="Z160" s="14">
        <f t="shared" si="42"/>
        <v>162.61532753141356</v>
      </c>
      <c r="AA160" s="14">
        <f t="shared" ref="AA160" si="43">(SUM(AA143)+SUM(AA146))/AA154</f>
        <v>162.62032753141355</v>
      </c>
      <c r="AB160" s="14">
        <f t="shared" si="42"/>
        <v>162.61532753141356</v>
      </c>
      <c r="AC160" s="14">
        <f t="shared" si="42"/>
        <v>162.25032753141355</v>
      </c>
      <c r="AD160" s="14">
        <f>(SUM(AD137:AD146)+SUM(AD128:AD132))/AD154</f>
        <v>315.91795062883949</v>
      </c>
    </row>
    <row r="161" spans="1:30" x14ac:dyDescent="0.3">
      <c r="A161" s="60"/>
      <c r="B161" s="60" t="s">
        <v>122</v>
      </c>
      <c r="C161" s="60"/>
      <c r="D161" s="14">
        <f t="shared" ref="D161:AC161" si="44">+D149/D154</f>
        <v>13208.938483679869</v>
      </c>
      <c r="E161" s="14">
        <f t="shared" si="44"/>
        <v>2376.3582740284687</v>
      </c>
      <c r="F161" s="14">
        <f t="shared" si="44"/>
        <v>2471.4784836798681</v>
      </c>
      <c r="G161" s="14">
        <f t="shared" si="44"/>
        <v>1607.5379161880369</v>
      </c>
      <c r="H161" s="14">
        <f t="shared" si="44"/>
        <v>1356.4249966021753</v>
      </c>
      <c r="I161" s="14">
        <f t="shared" si="44"/>
        <v>1265.8595607174634</v>
      </c>
      <c r="J161" s="14">
        <f t="shared" si="44"/>
        <v>4781.1808683715972</v>
      </c>
      <c r="K161" s="14">
        <f t="shared" si="44"/>
        <v>3887.8276017710969</v>
      </c>
      <c r="L161" s="14">
        <f t="shared" si="44"/>
        <v>1837.170268437764</v>
      </c>
      <c r="M161" s="14">
        <f t="shared" si="44"/>
        <v>7180.3684836798684</v>
      </c>
      <c r="N161" s="14">
        <f t="shared" si="44"/>
        <v>2277.539002345422</v>
      </c>
      <c r="O161" s="14">
        <f t="shared" si="44"/>
        <v>1349.2460393824597</v>
      </c>
      <c r="P161" s="14">
        <f t="shared" si="44"/>
        <v>5125.9555581479526</v>
      </c>
      <c r="Q161" s="14">
        <f t="shared" si="44"/>
        <v>2746.4591248327511</v>
      </c>
      <c r="R161" s="14">
        <f t="shared" si="44"/>
        <v>1238.3308683715991</v>
      </c>
      <c r="S161" s="14">
        <f t="shared" si="44"/>
        <v>2954.2540002942624</v>
      </c>
      <c r="T161" s="14">
        <f t="shared" si="44"/>
        <v>11762.598483679867</v>
      </c>
      <c r="U161" s="14">
        <f t="shared" si="44"/>
        <v>1519.4620607174636</v>
      </c>
      <c r="V161" s="14">
        <f t="shared" si="44"/>
        <v>2666.2784836798687</v>
      </c>
      <c r="W161" s="14">
        <f t="shared" si="44"/>
        <v>4205.7958683715979</v>
      </c>
      <c r="X161" s="14">
        <f t="shared" si="44"/>
        <v>2953.0051568903955</v>
      </c>
      <c r="Y161" s="14">
        <f t="shared" si="44"/>
        <v>2795.8351938799851</v>
      </c>
      <c r="Z161" s="14">
        <f t="shared" si="44"/>
        <v>1872.8695607174636</v>
      </c>
      <c r="AA161" s="14">
        <f t="shared" si="44"/>
        <v>5873.2232530633282</v>
      </c>
      <c r="AB161" s="14">
        <f t="shared" si="44"/>
        <v>870.93586837159876</v>
      </c>
      <c r="AC161" s="14">
        <f t="shared" si="44"/>
        <v>1154.698483679869</v>
      </c>
      <c r="AD161" s="14">
        <f>+AD149/AD154</f>
        <v>2370.4931358140257</v>
      </c>
    </row>
    <row r="162" spans="1:30" x14ac:dyDescent="0.3">
      <c r="A162" s="60"/>
      <c r="B162" s="60"/>
      <c r="C162" s="60"/>
      <c r="D162" s="4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spans="1:30" x14ac:dyDescent="0.3">
      <c r="A163" s="60"/>
      <c r="B163" s="60" t="s">
        <v>123</v>
      </c>
      <c r="C163" s="60"/>
      <c r="D163" s="83">
        <f t="shared" ref="D163:AD163" si="45">SUM(D101:D107)/D149</f>
        <v>0.5817969407227539</v>
      </c>
      <c r="E163" s="83">
        <f t="shared" si="45"/>
        <v>0.81719732987550842</v>
      </c>
      <c r="F163" s="83">
        <f t="shared" si="45"/>
        <v>0.81418471303213924</v>
      </c>
      <c r="G163" s="83">
        <f t="shared" si="45"/>
        <v>0.74720691573122422</v>
      </c>
      <c r="H163" s="83">
        <f t="shared" si="45"/>
        <v>0.6816570536393961</v>
      </c>
      <c r="I163" s="83">
        <f t="shared" si="45"/>
        <v>0.65486727416282797</v>
      </c>
      <c r="J163" s="83">
        <f t="shared" si="45"/>
        <v>0.900619557918245</v>
      </c>
      <c r="K163" s="83">
        <f t="shared" si="45"/>
        <v>0.83799171852403342</v>
      </c>
      <c r="L163" s="83">
        <f t="shared" si="45"/>
        <v>0.78451338530111403</v>
      </c>
      <c r="M163" s="83">
        <f t="shared" si="45"/>
        <v>0.93619707892134774</v>
      </c>
      <c r="N163" s="83">
        <f t="shared" si="45"/>
        <v>0.80476159751311394</v>
      </c>
      <c r="O163" s="83">
        <f t="shared" si="45"/>
        <v>0.70075844431479839</v>
      </c>
      <c r="P163" s="83">
        <f t="shared" si="45"/>
        <v>0.82081476366138983</v>
      </c>
      <c r="Q163" s="83">
        <f t="shared" si="45"/>
        <v>0.84019516103564384</v>
      </c>
      <c r="R163" s="83">
        <f t="shared" si="45"/>
        <v>0.65199456835127489</v>
      </c>
      <c r="S163" s="83">
        <f t="shared" si="45"/>
        <v>0.85235731245491531</v>
      </c>
      <c r="T163" s="83">
        <f t="shared" si="45"/>
        <v>0.69570257042727068</v>
      </c>
      <c r="U163" s="83">
        <f t="shared" si="45"/>
        <v>0.72547221052659927</v>
      </c>
      <c r="V163" s="83">
        <f t="shared" si="45"/>
        <v>0.74817391064372929</v>
      </c>
      <c r="W163" s="83">
        <f t="shared" si="45"/>
        <v>0.89753523902279853</v>
      </c>
      <c r="X163" s="83">
        <f t="shared" si="45"/>
        <v>0.8577347025926686</v>
      </c>
      <c r="Y163" s="83">
        <f t="shared" si="45"/>
        <v>0.85422114425391904</v>
      </c>
      <c r="Z163" s="83">
        <f t="shared" si="45"/>
        <v>0.77508601263395194</v>
      </c>
      <c r="AA163" s="83">
        <f t="shared" si="45"/>
        <v>0.93131824967611554</v>
      </c>
      <c r="AB163" s="83">
        <f t="shared" si="45"/>
        <v>0.41442775881403837</v>
      </c>
      <c r="AC163" s="83">
        <f t="shared" si="45"/>
        <v>0.53479761922958013</v>
      </c>
      <c r="AD163" s="44">
        <f t="shared" si="45"/>
        <v>0.79500090146729308</v>
      </c>
    </row>
    <row r="164" spans="1:30" x14ac:dyDescent="0.3">
      <c r="A164" s="60"/>
      <c r="B164" s="60" t="s">
        <v>124</v>
      </c>
      <c r="C164" s="60"/>
      <c r="D164" s="45">
        <f t="shared" ref="D164:AC164" si="46">+D156/D155</f>
        <v>3.9780677172946005E-3</v>
      </c>
      <c r="E164" s="45">
        <f t="shared" si="46"/>
        <v>7.4548115119537656E-2</v>
      </c>
      <c r="F164" s="45">
        <f t="shared" si="46"/>
        <v>1.2926868556701032E-2</v>
      </c>
      <c r="G164" s="45">
        <f t="shared" si="46"/>
        <v>2.184573106194836E-2</v>
      </c>
      <c r="H164" s="45">
        <f t="shared" si="46"/>
        <v>3.4127300722138751E-2</v>
      </c>
      <c r="I164" s="45">
        <f t="shared" si="46"/>
        <v>4.8194675382971598E-2</v>
      </c>
      <c r="J164" s="45">
        <f t="shared" si="46"/>
        <v>7.1371602452105143E-3</v>
      </c>
      <c r="K164" s="45">
        <f t="shared" si="46"/>
        <v>1.0483117918586544E-2</v>
      </c>
      <c r="L164" s="45">
        <f t="shared" si="46"/>
        <v>1.8702444026017843E-2</v>
      </c>
      <c r="M164" s="45">
        <f t="shared" si="46"/>
        <v>0.23780605696798057</v>
      </c>
      <c r="N164" s="45">
        <f t="shared" si="46"/>
        <v>1.6926914231323739E-2</v>
      </c>
      <c r="O164" s="45">
        <f t="shared" si="46"/>
        <v>3.3348553220220428E-2</v>
      </c>
      <c r="P164" s="45">
        <f t="shared" si="46"/>
        <v>7.3067843924020937E-3</v>
      </c>
      <c r="Q164" s="45">
        <f t="shared" si="46"/>
        <v>2.4774529722848267E-2</v>
      </c>
      <c r="R164" s="45">
        <f t="shared" si="46"/>
        <v>3.9279416118526908E-2</v>
      </c>
      <c r="S164" s="45">
        <f t="shared" si="46"/>
        <v>1.226730680326998E-2</v>
      </c>
      <c r="T164" s="45">
        <f t="shared" si="46"/>
        <v>3.7435221244365396E-3</v>
      </c>
      <c r="U164" s="45">
        <f t="shared" si="46"/>
        <v>2.8470464750131205E-2</v>
      </c>
      <c r="V164" s="45">
        <f t="shared" si="46"/>
        <v>1.5537183350981509E-2</v>
      </c>
      <c r="W164" s="45">
        <f t="shared" si="46"/>
        <v>8.1496447299720786E-3</v>
      </c>
      <c r="X164" s="45">
        <f t="shared" si="46"/>
        <v>1.4257455081308138E-2</v>
      </c>
      <c r="Y164" s="45">
        <f t="shared" si="46"/>
        <v>1.7317804585227244E-2</v>
      </c>
      <c r="Z164" s="45">
        <f t="shared" si="46"/>
        <v>2.3330325545983899E-2</v>
      </c>
      <c r="AA164" s="45">
        <f t="shared" si="46"/>
        <v>5.6109954920835689E-3</v>
      </c>
      <c r="AB164" s="45">
        <f t="shared" si="46"/>
        <v>0.24582355377605961</v>
      </c>
      <c r="AC164" s="45">
        <f t="shared" si="46"/>
        <v>0.1094283353095469</v>
      </c>
      <c r="AD164" s="47">
        <f>+AD156/AD155</f>
        <v>2.4431407526647075E-2</v>
      </c>
    </row>
    <row r="165" spans="1:30" x14ac:dyDescent="0.3">
      <c r="A165" s="60"/>
      <c r="B165" s="60" t="s">
        <v>125</v>
      </c>
      <c r="C165" s="60"/>
      <c r="D165" s="45">
        <f t="shared" ref="D165:AC165" si="47">+D157/D155</f>
        <v>2.1338240992768265E-2</v>
      </c>
      <c r="E165" s="45">
        <f t="shared" si="47"/>
        <v>9.0367528216292237E-2</v>
      </c>
      <c r="F165" s="45">
        <f t="shared" si="47"/>
        <v>8.1453832520495179E-2</v>
      </c>
      <c r="G165" s="45">
        <f t="shared" si="47"/>
        <v>0.13766022277029605</v>
      </c>
      <c r="H165" s="45">
        <f t="shared" si="47"/>
        <v>0.18265553817259922</v>
      </c>
      <c r="I165" s="45">
        <f t="shared" si="47"/>
        <v>0.22066677903271131</v>
      </c>
      <c r="J165" s="45">
        <f t="shared" si="47"/>
        <v>3.8204313761847103E-2</v>
      </c>
      <c r="K165" s="45">
        <f t="shared" si="47"/>
        <v>0.12148713265931393</v>
      </c>
      <c r="L165" s="45">
        <f t="shared" si="47"/>
        <v>0.11120506310225267</v>
      </c>
      <c r="M165" s="45">
        <f t="shared" si="47"/>
        <v>3.0075463614167949E-2</v>
      </c>
      <c r="N165" s="45">
        <f t="shared" si="47"/>
        <v>9.0605914800157936E-2</v>
      </c>
      <c r="O165" s="45">
        <f t="shared" si="47"/>
        <v>0.17848875385401952</v>
      </c>
      <c r="P165" s="45">
        <f t="shared" si="47"/>
        <v>0</v>
      </c>
      <c r="Q165" s="45">
        <f t="shared" si="47"/>
        <v>7.9161073167574411E-2</v>
      </c>
      <c r="R165" s="45">
        <f t="shared" si="47"/>
        <v>0.21025773363872319</v>
      </c>
      <c r="S165" s="45">
        <f t="shared" si="47"/>
        <v>6.5654037869712148E-2</v>
      </c>
      <c r="T165" s="45">
        <f t="shared" si="47"/>
        <v>0.28858887191829935</v>
      </c>
      <c r="U165" s="45">
        <f t="shared" si="47"/>
        <v>0.15238012761739098</v>
      </c>
      <c r="V165" s="45">
        <f t="shared" si="47"/>
        <v>0.19864529482564697</v>
      </c>
      <c r="W165" s="45">
        <f t="shared" si="47"/>
        <v>4.3624014820232399E-2</v>
      </c>
      <c r="X165" s="45">
        <f t="shared" si="47"/>
        <v>6.7636988708525997E-2</v>
      </c>
      <c r="Y165" s="45">
        <f t="shared" si="47"/>
        <v>6.9565725607063353E-2</v>
      </c>
      <c r="Z165" s="45">
        <f t="shared" si="47"/>
        <v>0.11513276011385996</v>
      </c>
      <c r="AA165" s="45">
        <f t="shared" si="47"/>
        <v>3.0028188363971024E-2</v>
      </c>
      <c r="AB165" s="45">
        <f t="shared" si="47"/>
        <v>0.71837610635066562</v>
      </c>
      <c r="AC165" s="45">
        <f t="shared" si="47"/>
        <v>0.373886898659615</v>
      </c>
      <c r="AD165" s="47">
        <f>+AD157/AD155</f>
        <v>0.10562520731802681</v>
      </c>
    </row>
    <row r="166" spans="1:30" x14ac:dyDescent="0.3">
      <c r="A166" s="60"/>
      <c r="B166" s="60" t="s">
        <v>126</v>
      </c>
      <c r="C166" s="60"/>
      <c r="D166" s="45">
        <f t="shared" ref="D166:AC166" si="48">+D158/D155</f>
        <v>8.0515045457098932E-3</v>
      </c>
      <c r="E166" s="45">
        <f t="shared" si="48"/>
        <v>3.409440172318131E-2</v>
      </c>
      <c r="F166" s="45">
        <f t="shared" si="48"/>
        <v>3.2020175579896906E-2</v>
      </c>
      <c r="G166" s="45">
        <f t="shared" si="48"/>
        <v>5.4108299911056465E-2</v>
      </c>
      <c r="H166" s="45">
        <f t="shared" si="48"/>
        <v>7.1132717694822753E-2</v>
      </c>
      <c r="I166" s="45">
        <f t="shared" si="48"/>
        <v>8.0466710079597395E-2</v>
      </c>
      <c r="J166" s="45">
        <f t="shared" si="48"/>
        <v>1.4413485174868028E-2</v>
      </c>
      <c r="K166" s="45">
        <f t="shared" si="48"/>
        <v>1.7140546026137599E-2</v>
      </c>
      <c r="L166" s="45">
        <f t="shared" si="48"/>
        <v>4.4456412953130568E-2</v>
      </c>
      <c r="M166" s="45">
        <f t="shared" si="48"/>
        <v>1.1348298675878374E-2</v>
      </c>
      <c r="N166" s="45">
        <f t="shared" si="48"/>
        <v>3.5010126598925863E-2</v>
      </c>
      <c r="O166" s="45">
        <f t="shared" si="48"/>
        <v>6.864371378193139E-2</v>
      </c>
      <c r="P166" s="45">
        <f t="shared" si="48"/>
        <v>9.0544752857354919E-3</v>
      </c>
      <c r="Q166" s="45">
        <f t="shared" si="48"/>
        <v>2.8561912269209844E-2</v>
      </c>
      <c r="R166" s="45">
        <f t="shared" si="48"/>
        <v>7.9324726144657395E-2</v>
      </c>
      <c r="S166" s="45">
        <f t="shared" si="48"/>
        <v>2.4770070550940538E-2</v>
      </c>
      <c r="T166" s="45">
        <f t="shared" si="48"/>
        <v>7.559412468185582E-3</v>
      </c>
      <c r="U166" s="45">
        <f t="shared" si="48"/>
        <v>5.7496063910432105E-2</v>
      </c>
      <c r="V166" s="45">
        <f t="shared" si="48"/>
        <v>2.81420542477804E-2</v>
      </c>
      <c r="W166" s="45">
        <f t="shared" si="48"/>
        <v>1.6458196181698484E-2</v>
      </c>
      <c r="X166" s="45">
        <f t="shared" si="48"/>
        <v>2.5080186922624124E-2</v>
      </c>
      <c r="Y166" s="45">
        <f t="shared" si="48"/>
        <v>2.6245720681755028E-2</v>
      </c>
      <c r="Z166" s="45">
        <f t="shared" si="48"/>
        <v>4.343374173445938E-2</v>
      </c>
      <c r="AA166" s="45">
        <f t="shared" si="48"/>
        <v>1.1330460425200207E-2</v>
      </c>
      <c r="AB166" s="45">
        <f t="shared" si="48"/>
        <v>0.24064614110175339</v>
      </c>
      <c r="AC166" s="45">
        <f t="shared" si="48"/>
        <v>0.12525600948582516</v>
      </c>
      <c r="AD166" s="47">
        <f>+AD158/AD155</f>
        <v>3.3748850933589383E-2</v>
      </c>
    </row>
    <row r="167" spans="1:30" x14ac:dyDescent="0.3">
      <c r="A167" s="60"/>
      <c r="B167" s="60" t="s">
        <v>127</v>
      </c>
      <c r="C167" s="60"/>
      <c r="D167" s="45">
        <f t="shared" ref="D167:AC167" si="49">+D159/D155</f>
        <v>0.67108568334797059</v>
      </c>
      <c r="E167" s="45">
        <f t="shared" si="49"/>
        <v>2.5928970614292834E-2</v>
      </c>
      <c r="F167" s="45">
        <f t="shared" si="49"/>
        <v>3.6024701301012999E-2</v>
      </c>
      <c r="G167" s="45">
        <f t="shared" si="49"/>
        <v>1.5601648817817702E-2</v>
      </c>
      <c r="H167" s="45">
        <f t="shared" si="49"/>
        <v>4.7289549163422706E-2</v>
      </c>
      <c r="I167" s="45">
        <f t="shared" si="49"/>
        <v>4.5673742537045467E-2</v>
      </c>
      <c r="J167" s="45">
        <f t="shared" si="49"/>
        <v>2.0482378782477457E-2</v>
      </c>
      <c r="K167" s="45">
        <f t="shared" si="49"/>
        <v>6.2921706854097001E-3</v>
      </c>
      <c r="L167" s="45">
        <f t="shared" si="49"/>
        <v>9.2150557532970113E-3</v>
      </c>
      <c r="M167" s="45">
        <f t="shared" si="49"/>
        <v>1.3058043448082014E-2</v>
      </c>
      <c r="N167" s="45">
        <f t="shared" si="49"/>
        <v>3.08724663080274E-2</v>
      </c>
      <c r="O167" s="45">
        <f t="shared" si="49"/>
        <v>1.640894988514411E-2</v>
      </c>
      <c r="P167" s="45">
        <f t="shared" si="49"/>
        <v>0.17199797713554432</v>
      </c>
      <c r="Q167" s="45">
        <f t="shared" si="49"/>
        <v>1.4973019848529889E-2</v>
      </c>
      <c r="R167" s="45">
        <f t="shared" si="49"/>
        <v>5.5817080474558411E-2</v>
      </c>
      <c r="S167" s="45">
        <f t="shared" si="49"/>
        <v>1.9547246768441905E-2</v>
      </c>
      <c r="T167" s="45">
        <f t="shared" si="49"/>
        <v>0.12298368410861864</v>
      </c>
      <c r="U167" s="45">
        <f t="shared" si="49"/>
        <v>2.7590000726932271E-2</v>
      </c>
      <c r="V167" s="45">
        <f t="shared" si="49"/>
        <v>3.2431187696780751E-2</v>
      </c>
      <c r="W167" s="45">
        <f t="shared" si="49"/>
        <v>1.1580858899716556E-2</v>
      </c>
      <c r="X167" s="45">
        <f t="shared" si="49"/>
        <v>1.039352811530401E-2</v>
      </c>
      <c r="Y167" s="45">
        <f t="shared" si="49"/>
        <v>8.533249929766111E-3</v>
      </c>
      <c r="Z167" s="45">
        <f t="shared" si="49"/>
        <v>2.374716797138967E-2</v>
      </c>
      <c r="AA167" s="45">
        <f t="shared" si="49"/>
        <v>2.9047748615635776E-3</v>
      </c>
      <c r="AB167" s="45">
        <f t="shared" si="49"/>
        <v>0.23999936251646481</v>
      </c>
      <c r="AC167" s="45">
        <f t="shared" si="49"/>
        <v>0.17441922786917533</v>
      </c>
      <c r="AD167" s="47">
        <f>+AD159/AD155</f>
        <v>3.6396915344795583E-2</v>
      </c>
    </row>
    <row r="168" spans="1:30" x14ac:dyDescent="0.3">
      <c r="A168" s="60"/>
      <c r="B168" s="60" t="s">
        <v>128</v>
      </c>
      <c r="C168" s="60"/>
      <c r="D168" s="45">
        <f t="shared" ref="D168:AC168" si="50">+D160/D155</f>
        <v>2.1196807555769838E-2</v>
      </c>
      <c r="E168" s="45">
        <f t="shared" si="50"/>
        <v>8.9979763225831483E-2</v>
      </c>
      <c r="F168" s="45">
        <f t="shared" si="50"/>
        <v>8.1674013133967036E-2</v>
      </c>
      <c r="G168" s="45">
        <f t="shared" si="50"/>
        <v>0.13833799656461412</v>
      </c>
      <c r="H168" s="45">
        <f t="shared" si="50"/>
        <v>0.18187345332725918</v>
      </c>
      <c r="I168" s="45">
        <f t="shared" si="50"/>
        <v>0.20561964902720922</v>
      </c>
      <c r="J168" s="45">
        <f t="shared" si="50"/>
        <v>3.8034135701100827E-2</v>
      </c>
      <c r="K168" s="45">
        <f t="shared" si="50"/>
        <v>5.0436059017834545E-2</v>
      </c>
      <c r="L168" s="45">
        <f t="shared" si="50"/>
        <v>0.11493608217800486</v>
      </c>
      <c r="M168" s="45">
        <f t="shared" si="50"/>
        <v>2.9876118401518298E-2</v>
      </c>
      <c r="N168" s="45">
        <f t="shared" si="50"/>
        <v>9.0222054518998174E-2</v>
      </c>
      <c r="O168" s="45">
        <f t="shared" si="50"/>
        <v>0.17772451532546135</v>
      </c>
      <c r="P168" s="45">
        <f t="shared" si="50"/>
        <v>3.8844304091371566E-2</v>
      </c>
      <c r="Q168" s="45">
        <f t="shared" si="50"/>
        <v>7.2215767945175188E-2</v>
      </c>
      <c r="R168" s="45">
        <f t="shared" si="50"/>
        <v>0.20932115737692736</v>
      </c>
      <c r="S168" s="45">
        <f t="shared" si="50"/>
        <v>6.5370445141110192E-2</v>
      </c>
      <c r="T168" s="45">
        <f t="shared" si="50"/>
        <v>1.9901300485285767E-2</v>
      </c>
      <c r="U168" s="45">
        <f t="shared" si="50"/>
        <v>0.15171993938437325</v>
      </c>
      <c r="V168" s="45">
        <f t="shared" si="50"/>
        <v>8.2598725020064725E-2</v>
      </c>
      <c r="W168" s="45">
        <f t="shared" si="50"/>
        <v>4.3429695134493455E-2</v>
      </c>
      <c r="X168" s="45">
        <f t="shared" si="50"/>
        <v>6.5115716449196351E-2</v>
      </c>
      <c r="Y168" s="45">
        <f t="shared" si="50"/>
        <v>6.9267753531858822E-2</v>
      </c>
      <c r="Z168" s="45">
        <f t="shared" si="50"/>
        <v>0.11463570116557416</v>
      </c>
      <c r="AA168" s="45">
        <f t="shared" si="50"/>
        <v>2.9897179708385152E-2</v>
      </c>
      <c r="AB168" s="45">
        <f t="shared" si="50"/>
        <v>0.56128443853173249</v>
      </c>
      <c r="AC168" s="45">
        <f t="shared" si="50"/>
        <v>0.29149209071074261</v>
      </c>
      <c r="AD168" s="47">
        <f>+AD160/AD155</f>
        <v>0.17173185658285198</v>
      </c>
    </row>
    <row r="169" spans="1:30" x14ac:dyDescent="0.3">
      <c r="A169" s="48"/>
      <c r="B169" s="48" t="s">
        <v>129</v>
      </c>
      <c r="C169" s="48"/>
      <c r="D169" s="50">
        <f t="shared" ref="D169:Z169" si="51">SUM(D156:D160)/D155</f>
        <v>0.72565030415951326</v>
      </c>
      <c r="E169" s="50">
        <f t="shared" si="51"/>
        <v>0.31491877889913555</v>
      </c>
      <c r="F169" s="50">
        <f t="shared" si="51"/>
        <v>0.24409959109207313</v>
      </c>
      <c r="G169" s="50">
        <f t="shared" si="51"/>
        <v>0.36755389912573272</v>
      </c>
      <c r="H169" s="50">
        <f t="shared" si="51"/>
        <v>0.51707855908024258</v>
      </c>
      <c r="I169" s="50">
        <f t="shared" si="51"/>
        <v>0.60062155605953493</v>
      </c>
      <c r="J169" s="50">
        <f t="shared" si="51"/>
        <v>0.11827147366550392</v>
      </c>
      <c r="K169" s="50">
        <f t="shared" si="51"/>
        <v>0.20583902630728232</v>
      </c>
      <c r="L169" s="50">
        <f t="shared" si="51"/>
        <v>0.29851505801270295</v>
      </c>
      <c r="M169" s="50">
        <f t="shared" si="51"/>
        <v>0.32216398110762728</v>
      </c>
      <c r="N169" s="50">
        <f t="shared" si="51"/>
        <v>0.26363747645743313</v>
      </c>
      <c r="O169" s="50">
        <f t="shared" si="51"/>
        <v>0.47461448606677681</v>
      </c>
      <c r="P169" s="50">
        <f t="shared" si="51"/>
        <v>0.22720354090505346</v>
      </c>
      <c r="Q169" s="50">
        <f t="shared" si="51"/>
        <v>0.2196863029533376</v>
      </c>
      <c r="R169" s="50">
        <f t="shared" si="51"/>
        <v>0.59400011375339323</v>
      </c>
      <c r="S169" s="50">
        <f t="shared" si="51"/>
        <v>0.18760910713347476</v>
      </c>
      <c r="T169" s="50">
        <f t="shared" si="51"/>
        <v>0.44277679110482587</v>
      </c>
      <c r="U169" s="50">
        <f t="shared" si="51"/>
        <v>0.41765659638925978</v>
      </c>
      <c r="V169" s="50">
        <f t="shared" si="51"/>
        <v>0.35735444514125436</v>
      </c>
      <c r="W169" s="50">
        <f t="shared" si="51"/>
        <v>0.12324240976611298</v>
      </c>
      <c r="X169" s="50">
        <f t="shared" si="51"/>
        <v>0.18248387527695861</v>
      </c>
      <c r="Y169" s="50">
        <f t="shared" si="51"/>
        <v>0.19093025433567057</v>
      </c>
      <c r="Z169" s="50">
        <f t="shared" si="51"/>
        <v>0.32027969653126703</v>
      </c>
      <c r="AA169" s="50">
        <f t="shared" ref="AA169:AC169" si="52">SUM(AA156:AA160)/AA155</f>
        <v>7.9771598851203523E-2</v>
      </c>
      <c r="AB169" s="50">
        <f t="shared" si="52"/>
        <v>2.0061296022766761</v>
      </c>
      <c r="AC169" s="50">
        <f t="shared" si="52"/>
        <v>1.074482562034905</v>
      </c>
      <c r="AD169" s="52">
        <f>SUM(AD156:AD160)/AD155</f>
        <v>0.37193423770591078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913C-4A62-4782-80F4-BB76959B34EC}">
  <dimension ref="A1:V15"/>
  <sheetViews>
    <sheetView workbookViewId="0">
      <pane xSplit="1" topLeftCell="S1" activePane="topRight" state="frozen"/>
      <selection pane="topRight" activeCell="V3" sqref="V3"/>
    </sheetView>
  </sheetViews>
  <sheetFormatPr defaultColWidth="19.08203125" defaultRowHeight="17" customHeight="1" x14ac:dyDescent="0.3"/>
  <cols>
    <col min="2" max="2" width="22.08203125" customWidth="1"/>
    <col min="3" max="3" width="31.33203125" style="305" customWidth="1"/>
    <col min="4" max="4" width="28.83203125" style="307" customWidth="1"/>
    <col min="5" max="5" width="33.25" style="307" customWidth="1"/>
    <col min="6" max="6" width="31.25" style="305" customWidth="1"/>
    <col min="7" max="7" width="33.33203125" style="305" customWidth="1"/>
    <col min="8" max="8" width="26" customWidth="1"/>
    <col min="9" max="9" width="37.58203125" style="310" bestFit="1" customWidth="1"/>
    <col min="10" max="10" width="27.1640625" style="305" customWidth="1"/>
    <col min="11" max="11" width="23" customWidth="1"/>
    <col min="12" max="12" width="35.1640625" style="310" customWidth="1"/>
    <col min="14" max="14" width="19.08203125" style="305"/>
    <col min="15" max="15" width="19.08203125" style="310"/>
    <col min="16" max="18" width="19.08203125" style="305"/>
    <col min="19" max="19" width="28.25" customWidth="1"/>
    <col min="20" max="20" width="30.83203125" style="312" customWidth="1"/>
    <col min="21" max="21" width="27.08203125" style="305" customWidth="1"/>
    <col min="22" max="22" width="40.33203125" style="310" customWidth="1"/>
  </cols>
  <sheetData>
    <row r="1" spans="1:22" s="319" customFormat="1" ht="35" customHeight="1" x14ac:dyDescent="0.3">
      <c r="A1" s="324" t="s">
        <v>150</v>
      </c>
      <c r="B1" s="325" t="s">
        <v>154</v>
      </c>
      <c r="C1" s="326" t="s">
        <v>157</v>
      </c>
      <c r="D1" s="327" t="s">
        <v>131</v>
      </c>
      <c r="E1" s="327" t="s">
        <v>132</v>
      </c>
      <c r="F1" s="326" t="s">
        <v>133</v>
      </c>
      <c r="G1" s="326" t="s">
        <v>134</v>
      </c>
      <c r="H1" s="325" t="s">
        <v>151</v>
      </c>
      <c r="I1" s="328" t="s">
        <v>136</v>
      </c>
      <c r="J1" s="326" t="s">
        <v>137</v>
      </c>
      <c r="K1" s="325" t="s">
        <v>152</v>
      </c>
      <c r="L1" s="328" t="s">
        <v>139</v>
      </c>
      <c r="M1" s="325" t="s">
        <v>153</v>
      </c>
      <c r="N1" s="326" t="s">
        <v>141</v>
      </c>
      <c r="O1" s="328" t="s">
        <v>142</v>
      </c>
      <c r="P1" s="326" t="s">
        <v>143</v>
      </c>
      <c r="Q1" s="326" t="s">
        <v>144</v>
      </c>
      <c r="R1" s="326" t="s">
        <v>145</v>
      </c>
      <c r="S1" s="325" t="s">
        <v>155</v>
      </c>
      <c r="T1" s="329" t="s">
        <v>146</v>
      </c>
      <c r="U1" s="326" t="s">
        <v>147</v>
      </c>
      <c r="V1" s="330" t="s">
        <v>148</v>
      </c>
    </row>
    <row r="2" spans="1:22" s="84" customFormat="1" ht="17" customHeight="1" x14ac:dyDescent="0.35">
      <c r="A2" s="331"/>
      <c r="C2" s="303"/>
      <c r="D2" s="306"/>
      <c r="E2" s="306"/>
      <c r="F2" s="303"/>
      <c r="G2" s="303"/>
      <c r="I2" s="309"/>
      <c r="J2" s="303"/>
      <c r="L2" s="309"/>
      <c r="N2" s="303"/>
      <c r="O2" s="309"/>
      <c r="P2" s="303"/>
      <c r="Q2" s="303"/>
      <c r="R2" s="303"/>
      <c r="T2" s="311"/>
      <c r="U2" s="303"/>
      <c r="V2" s="332"/>
    </row>
    <row r="3" spans="1:22" s="87" customFormat="1" ht="17" customHeight="1" x14ac:dyDescent="0.3">
      <c r="A3" s="333">
        <v>45658</v>
      </c>
      <c r="B3" s="86" t="s">
        <v>149</v>
      </c>
      <c r="C3" s="313">
        <f>+'SSC Recharge Summary'!AD77</f>
        <v>185</v>
      </c>
      <c r="D3" s="314">
        <f>+'SSC Recharge Summary'!AD72</f>
        <v>440161.09813871293</v>
      </c>
      <c r="E3" s="308">
        <f>+D3-'P&amp; L budget 2025'!MB259</f>
        <v>1805.5195719453041</v>
      </c>
      <c r="F3" s="315" t="str">
        <f>'SSC Recharge Summary'!AD73&amp;" "&amp;":"&amp;" "&amp;'SSC Recharge Summary'!AD74</f>
        <v>0.91 : 0.09</v>
      </c>
      <c r="G3" s="316">
        <f>D3/C3</f>
        <v>2379.2491791281782</v>
      </c>
      <c r="H3" s="86" t="s">
        <v>135</v>
      </c>
      <c r="I3" s="88">
        <f>SUM('SSC Recharge Summary'!AD8:AD18)/D3</f>
        <v>0.75403746810765471</v>
      </c>
      <c r="J3" s="301" t="s">
        <v>158</v>
      </c>
      <c r="K3" s="86" t="s">
        <v>138</v>
      </c>
      <c r="L3" s="88" cm="1">
        <f t="array" ref="L3">SUM('SSC Recharge Summary'!AD31:AD34/'ISSC spend kpi'!D3)</f>
        <v>2.9580306063069734E-2</v>
      </c>
      <c r="M3" s="86" t="s">
        <v>140</v>
      </c>
      <c r="N3" s="301">
        <f>SUM('SSC Recharge Summary'!AD21:AD28)</f>
        <v>46088.069813084112</v>
      </c>
      <c r="O3" s="88">
        <f>N3/D3</f>
        <v>0.10470727651301856</v>
      </c>
      <c r="P3" s="301">
        <f>N3/C3</f>
        <v>249.12470169234655</v>
      </c>
      <c r="Q3" s="301" t="s">
        <v>158</v>
      </c>
      <c r="R3" s="316">
        <f>SUM('SSC Recharge Summary'!AD35:AD52)/C3</f>
        <v>90.414633747584375</v>
      </c>
      <c r="S3" s="86" t="s">
        <v>156</v>
      </c>
      <c r="T3" s="302">
        <f>SUM('SSC Recharge Summary'!AD37:AD38)/C3</f>
        <v>59.97097297297298</v>
      </c>
      <c r="U3" s="301">
        <f>SUM('SSC Recharge Summary'!AD37:AD38)</f>
        <v>11094.630000000001</v>
      </c>
      <c r="V3" s="334">
        <f>'[1]ISSC Spend_KPI''s'!$F$27</f>
        <v>2.5205839514021808E-2</v>
      </c>
    </row>
    <row r="4" spans="1:22" s="84" customFormat="1" ht="17" customHeight="1" x14ac:dyDescent="0.35">
      <c r="A4" s="335">
        <v>45689</v>
      </c>
      <c r="B4" s="85" t="s">
        <v>149</v>
      </c>
      <c r="C4" s="317">
        <f>+'SSC Recharge Summary'!AD154</f>
        <v>189</v>
      </c>
      <c r="D4" s="318">
        <f>+'SSC Recharge Summary'!AD149</f>
        <v>448023.20266885083</v>
      </c>
      <c r="E4" s="306"/>
      <c r="F4" s="303"/>
      <c r="G4" s="303"/>
      <c r="H4" s="85" t="s">
        <v>135</v>
      </c>
      <c r="I4" s="309"/>
      <c r="J4" s="303"/>
      <c r="K4" s="85" t="s">
        <v>138</v>
      </c>
      <c r="L4" s="88" cm="1">
        <f t="array" ref="L4">SUM('SSC Recharge Summary'!AD121:AD123/D4)</f>
        <v>2.619049622899321E-2</v>
      </c>
      <c r="M4" s="85" t="s">
        <v>140</v>
      </c>
      <c r="N4" s="303"/>
      <c r="O4" s="309"/>
      <c r="P4" s="303"/>
      <c r="Q4" s="303"/>
      <c r="R4" s="303"/>
      <c r="S4" s="85" t="s">
        <v>156</v>
      </c>
      <c r="T4" s="311"/>
      <c r="U4" s="303"/>
      <c r="V4" s="332"/>
    </row>
    <row r="5" spans="1:22" s="84" customFormat="1" ht="17" customHeight="1" x14ac:dyDescent="0.35">
      <c r="A5" s="335">
        <v>45717</v>
      </c>
      <c r="B5" s="85" t="s">
        <v>149</v>
      </c>
      <c r="C5" s="304"/>
      <c r="D5" s="306"/>
      <c r="E5" s="306"/>
      <c r="F5" s="303"/>
      <c r="G5" s="303"/>
      <c r="H5" s="85" t="s">
        <v>135</v>
      </c>
      <c r="I5" s="309"/>
      <c r="J5" s="303"/>
      <c r="K5" s="85" t="s">
        <v>138</v>
      </c>
      <c r="L5" s="309"/>
      <c r="M5" s="85" t="s">
        <v>140</v>
      </c>
      <c r="N5" s="303"/>
      <c r="O5" s="309"/>
      <c r="P5" s="303"/>
      <c r="Q5" s="303"/>
      <c r="R5" s="303"/>
      <c r="S5" s="85" t="s">
        <v>156</v>
      </c>
      <c r="T5" s="311"/>
      <c r="U5" s="303"/>
      <c r="V5" s="332"/>
    </row>
    <row r="6" spans="1:22" s="84" customFormat="1" ht="17" customHeight="1" x14ac:dyDescent="0.35">
      <c r="A6" s="335">
        <v>45748</v>
      </c>
      <c r="B6" s="85" t="s">
        <v>149</v>
      </c>
      <c r="C6" s="304"/>
      <c r="D6" s="306"/>
      <c r="E6" s="306"/>
      <c r="F6" s="303"/>
      <c r="G6" s="303"/>
      <c r="H6" s="85" t="s">
        <v>135</v>
      </c>
      <c r="I6" s="309"/>
      <c r="J6" s="303"/>
      <c r="K6" s="85" t="s">
        <v>138</v>
      </c>
      <c r="L6" s="309"/>
      <c r="M6" s="85" t="s">
        <v>140</v>
      </c>
      <c r="N6" s="303"/>
      <c r="O6" s="309"/>
      <c r="P6" s="303"/>
      <c r="Q6" s="303"/>
      <c r="R6" s="303"/>
      <c r="S6" s="85" t="s">
        <v>156</v>
      </c>
      <c r="T6" s="311"/>
      <c r="U6" s="303"/>
      <c r="V6" s="332"/>
    </row>
    <row r="7" spans="1:22" s="84" customFormat="1" ht="17" customHeight="1" x14ac:dyDescent="0.35">
      <c r="A7" s="335">
        <v>45778</v>
      </c>
      <c r="B7" s="85" t="s">
        <v>149</v>
      </c>
      <c r="C7" s="304"/>
      <c r="D7" s="306"/>
      <c r="E7" s="306"/>
      <c r="F7" s="303"/>
      <c r="G7" s="303"/>
      <c r="H7" s="85" t="s">
        <v>135</v>
      </c>
      <c r="I7" s="309"/>
      <c r="J7" s="303"/>
      <c r="K7" s="85" t="s">
        <v>138</v>
      </c>
      <c r="L7" s="309"/>
      <c r="M7" s="85" t="s">
        <v>140</v>
      </c>
      <c r="N7" s="303"/>
      <c r="O7" s="309"/>
      <c r="P7" s="303"/>
      <c r="Q7" s="303"/>
      <c r="R7" s="303"/>
      <c r="S7" s="85" t="s">
        <v>156</v>
      </c>
      <c r="T7" s="311"/>
      <c r="U7" s="303"/>
      <c r="V7" s="332"/>
    </row>
    <row r="8" spans="1:22" s="84" customFormat="1" ht="17" customHeight="1" x14ac:dyDescent="0.35">
      <c r="A8" s="335">
        <v>45809</v>
      </c>
      <c r="B8" s="85" t="s">
        <v>149</v>
      </c>
      <c r="C8" s="304"/>
      <c r="D8" s="306"/>
      <c r="E8" s="306"/>
      <c r="F8" s="303"/>
      <c r="G8" s="303"/>
      <c r="H8" s="85" t="s">
        <v>135</v>
      </c>
      <c r="I8" s="309"/>
      <c r="J8" s="303"/>
      <c r="K8" s="85" t="s">
        <v>138</v>
      </c>
      <c r="L8" s="309"/>
      <c r="M8" s="85" t="s">
        <v>140</v>
      </c>
      <c r="N8" s="303"/>
      <c r="O8" s="309"/>
      <c r="P8" s="303"/>
      <c r="Q8" s="303"/>
      <c r="R8" s="303"/>
      <c r="S8" s="85" t="s">
        <v>156</v>
      </c>
      <c r="T8" s="311"/>
      <c r="U8" s="303"/>
      <c r="V8" s="332"/>
    </row>
    <row r="9" spans="1:22" s="84" customFormat="1" ht="17" customHeight="1" x14ac:dyDescent="0.35">
      <c r="A9" s="335">
        <v>45839</v>
      </c>
      <c r="B9" s="85" t="s">
        <v>149</v>
      </c>
      <c r="C9" s="304"/>
      <c r="D9" s="306"/>
      <c r="E9" s="306"/>
      <c r="F9" s="303"/>
      <c r="G9" s="303"/>
      <c r="H9" s="85" t="s">
        <v>135</v>
      </c>
      <c r="I9" s="309"/>
      <c r="J9" s="303"/>
      <c r="K9" s="85" t="s">
        <v>138</v>
      </c>
      <c r="L9" s="309"/>
      <c r="M9" s="85" t="s">
        <v>140</v>
      </c>
      <c r="N9" s="303"/>
      <c r="O9" s="309"/>
      <c r="P9" s="303"/>
      <c r="Q9" s="303"/>
      <c r="R9" s="303"/>
      <c r="S9" s="85" t="s">
        <v>156</v>
      </c>
      <c r="T9" s="311"/>
      <c r="U9" s="303"/>
      <c r="V9" s="332"/>
    </row>
    <row r="10" spans="1:22" s="84" customFormat="1" ht="17" customHeight="1" x14ac:dyDescent="0.35">
      <c r="A10" s="335">
        <v>45870</v>
      </c>
      <c r="B10" s="85" t="s">
        <v>149</v>
      </c>
      <c r="C10" s="304"/>
      <c r="D10" s="306"/>
      <c r="E10" s="306"/>
      <c r="F10" s="303"/>
      <c r="G10" s="303"/>
      <c r="H10" s="85" t="s">
        <v>135</v>
      </c>
      <c r="I10" s="309"/>
      <c r="J10" s="303"/>
      <c r="K10" s="85" t="s">
        <v>138</v>
      </c>
      <c r="L10" s="309"/>
      <c r="M10" s="85" t="s">
        <v>140</v>
      </c>
      <c r="N10" s="303"/>
      <c r="O10" s="309"/>
      <c r="P10" s="303"/>
      <c r="Q10" s="303"/>
      <c r="R10" s="303"/>
      <c r="S10" s="85" t="s">
        <v>156</v>
      </c>
      <c r="T10" s="311"/>
      <c r="U10" s="303"/>
      <c r="V10" s="332"/>
    </row>
    <row r="11" spans="1:22" s="84" customFormat="1" ht="17" customHeight="1" x14ac:dyDescent="0.35">
      <c r="A11" s="335">
        <v>45901</v>
      </c>
      <c r="B11" s="85" t="s">
        <v>149</v>
      </c>
      <c r="C11" s="304"/>
      <c r="D11" s="306"/>
      <c r="E11" s="306"/>
      <c r="F11" s="303"/>
      <c r="G11" s="303"/>
      <c r="H11" s="85" t="s">
        <v>135</v>
      </c>
      <c r="I11" s="309"/>
      <c r="J11" s="303"/>
      <c r="K11" s="85" t="s">
        <v>138</v>
      </c>
      <c r="L11" s="309"/>
      <c r="M11" s="85" t="s">
        <v>140</v>
      </c>
      <c r="N11" s="303"/>
      <c r="O11" s="309"/>
      <c r="P11" s="303"/>
      <c r="Q11" s="303"/>
      <c r="R11" s="303"/>
      <c r="S11" s="85" t="s">
        <v>156</v>
      </c>
      <c r="T11" s="311"/>
      <c r="U11" s="303"/>
      <c r="V11" s="332"/>
    </row>
    <row r="12" spans="1:22" s="84" customFormat="1" ht="17" customHeight="1" x14ac:dyDescent="0.35">
      <c r="A12" s="335">
        <v>45931</v>
      </c>
      <c r="B12" s="85" t="s">
        <v>149</v>
      </c>
      <c r="C12" s="304"/>
      <c r="D12" s="306"/>
      <c r="E12" s="306"/>
      <c r="F12" s="303"/>
      <c r="G12" s="303"/>
      <c r="H12" s="85" t="s">
        <v>135</v>
      </c>
      <c r="I12" s="309"/>
      <c r="J12" s="303"/>
      <c r="K12" s="85" t="s">
        <v>138</v>
      </c>
      <c r="L12" s="309"/>
      <c r="M12" s="85" t="s">
        <v>140</v>
      </c>
      <c r="N12" s="303"/>
      <c r="O12" s="309"/>
      <c r="P12" s="303"/>
      <c r="Q12" s="303"/>
      <c r="R12" s="303"/>
      <c r="S12" s="85" t="s">
        <v>156</v>
      </c>
      <c r="T12" s="311"/>
      <c r="U12" s="303"/>
      <c r="V12" s="332"/>
    </row>
    <row r="13" spans="1:22" s="84" customFormat="1" ht="17" customHeight="1" x14ac:dyDescent="0.35">
      <c r="A13" s="335">
        <v>45962</v>
      </c>
      <c r="B13" s="85" t="s">
        <v>149</v>
      </c>
      <c r="C13" s="304"/>
      <c r="D13" s="306"/>
      <c r="E13" s="306"/>
      <c r="F13" s="303"/>
      <c r="G13" s="303"/>
      <c r="H13" s="85" t="s">
        <v>135</v>
      </c>
      <c r="I13" s="309"/>
      <c r="J13" s="303"/>
      <c r="K13" s="85" t="s">
        <v>138</v>
      </c>
      <c r="L13" s="309"/>
      <c r="M13" s="85" t="s">
        <v>140</v>
      </c>
      <c r="N13" s="303"/>
      <c r="O13" s="309"/>
      <c r="P13" s="303"/>
      <c r="Q13" s="303"/>
      <c r="R13" s="303"/>
      <c r="S13" s="85" t="s">
        <v>156</v>
      </c>
      <c r="T13" s="311"/>
      <c r="U13" s="303"/>
      <c r="V13" s="332"/>
    </row>
    <row r="14" spans="1:22" s="84" customFormat="1" ht="17" customHeight="1" thickBot="1" x14ac:dyDescent="0.4">
      <c r="A14" s="336">
        <v>45992</v>
      </c>
      <c r="B14" s="337" t="s">
        <v>149</v>
      </c>
      <c r="C14" s="338"/>
      <c r="D14" s="339"/>
      <c r="E14" s="339"/>
      <c r="F14" s="340"/>
      <c r="G14" s="340"/>
      <c r="H14" s="337" t="s">
        <v>135</v>
      </c>
      <c r="I14" s="341"/>
      <c r="J14" s="340"/>
      <c r="K14" s="337" t="s">
        <v>138</v>
      </c>
      <c r="L14" s="341"/>
      <c r="M14" s="337" t="s">
        <v>140</v>
      </c>
      <c r="N14" s="340"/>
      <c r="O14" s="341"/>
      <c r="P14" s="340"/>
      <c r="Q14" s="340"/>
      <c r="R14" s="340"/>
      <c r="S14" s="337" t="s">
        <v>156</v>
      </c>
      <c r="T14" s="342"/>
      <c r="U14" s="340"/>
      <c r="V14" s="343"/>
    </row>
    <row r="15" spans="1:22" s="84" customFormat="1" ht="17" customHeight="1" x14ac:dyDescent="0.3">
      <c r="A15" s="49"/>
      <c r="B15" s="49"/>
      <c r="C15" s="320"/>
      <c r="D15" s="321"/>
      <c r="E15" s="321"/>
      <c r="F15" s="320"/>
      <c r="G15" s="320"/>
      <c r="H15" s="49"/>
      <c r="I15" s="322"/>
      <c r="J15" s="320"/>
      <c r="K15" s="49"/>
      <c r="L15" s="322"/>
      <c r="M15" s="49"/>
      <c r="N15" s="320"/>
      <c r="O15" s="322"/>
      <c r="P15" s="320"/>
      <c r="Q15" s="320"/>
      <c r="R15" s="320"/>
      <c r="S15" s="49"/>
      <c r="T15" s="323"/>
      <c r="U15" s="320"/>
      <c r="V15" s="322"/>
    </row>
  </sheetData>
  <autoFilter ref="A1:V1" xr:uid="{E5FB913C-4A62-4782-80F4-BB76959B34E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5B6D-E707-4758-B753-103250F7340E}">
  <dimension ref="A1:MN269"/>
  <sheetViews>
    <sheetView topLeftCell="LL1" workbookViewId="0">
      <selection activeCell="MB259" sqref="MB259"/>
    </sheetView>
  </sheetViews>
  <sheetFormatPr defaultColWidth="8.6640625" defaultRowHeight="14" outlineLevelCol="1" x14ac:dyDescent="0.3"/>
  <cols>
    <col min="1" max="1" width="2.5" style="89" customWidth="1"/>
    <col min="2" max="2" width="39.83203125" style="98" bestFit="1" customWidth="1"/>
    <col min="3" max="3" width="2.33203125" style="89" customWidth="1"/>
    <col min="4" max="4" width="14.6640625" style="162" customWidth="1" outlineLevel="1"/>
    <col min="5" max="7" width="13.9140625" style="162" bestFit="1" customWidth="1" outlineLevel="1"/>
    <col min="8" max="10" width="14.83203125" style="162" bestFit="1" customWidth="1" outlineLevel="1"/>
    <col min="11" max="11" width="13.9140625" style="162" bestFit="1" customWidth="1" outlineLevel="1"/>
    <col min="12" max="12" width="14.83203125" style="162" bestFit="1" customWidth="1" outlineLevel="1"/>
    <col min="13" max="13" width="13.9140625" style="162" bestFit="1" customWidth="1" outlineLevel="1"/>
    <col min="14" max="15" width="14.83203125" style="162" bestFit="1" customWidth="1" outlineLevel="1"/>
    <col min="16" max="16" width="18.1640625" style="299" bestFit="1" customWidth="1"/>
    <col min="17" max="17" width="3.83203125" style="300" customWidth="1"/>
    <col min="18" max="18" width="14.6640625" style="162" customWidth="1" outlineLevel="1"/>
    <col min="19" max="21" width="13.9140625" style="162" bestFit="1" customWidth="1" outlineLevel="1"/>
    <col min="22" max="24" width="14.83203125" style="162" bestFit="1" customWidth="1" outlineLevel="1"/>
    <col min="25" max="25" width="13.9140625" style="162" bestFit="1" customWidth="1" outlineLevel="1"/>
    <col min="26" max="26" width="14.83203125" style="162" bestFit="1" customWidth="1" outlineLevel="1"/>
    <col min="27" max="27" width="13.9140625" style="162" bestFit="1" customWidth="1" outlineLevel="1"/>
    <col min="28" max="29" width="14.83203125" style="162" bestFit="1" customWidth="1" outlineLevel="1"/>
    <col min="30" max="30" width="13.33203125" style="299" bestFit="1" customWidth="1"/>
    <col min="31" max="31" width="3.83203125" style="300" customWidth="1"/>
    <col min="32" max="32" width="14.6640625" style="162" customWidth="1" outlineLevel="1"/>
    <col min="33" max="35" width="13.9140625" style="162" bestFit="1" customWidth="1" outlineLevel="1"/>
    <col min="36" max="38" width="14.83203125" style="162" bestFit="1" customWidth="1" outlineLevel="1"/>
    <col min="39" max="39" width="13.9140625" style="162" bestFit="1" customWidth="1" outlineLevel="1"/>
    <col min="40" max="40" width="14.83203125" style="162" bestFit="1" customWidth="1" outlineLevel="1"/>
    <col min="41" max="41" width="13.9140625" style="162" bestFit="1" customWidth="1" outlineLevel="1"/>
    <col min="42" max="43" width="14.83203125" style="162" bestFit="1" customWidth="1" outlineLevel="1"/>
    <col min="44" max="44" width="16.33203125" style="299" bestFit="1" customWidth="1"/>
    <col min="45" max="45" width="3.83203125" style="161" customWidth="1"/>
    <col min="46" max="46" width="14.6640625" style="162" customWidth="1" outlineLevel="1"/>
    <col min="47" max="49" width="13.9140625" style="162" bestFit="1" customWidth="1" outlineLevel="1"/>
    <col min="50" max="52" width="14.83203125" style="162" bestFit="1" customWidth="1" outlineLevel="1"/>
    <col min="53" max="53" width="13.9140625" style="162" bestFit="1" customWidth="1" outlineLevel="1"/>
    <col min="54" max="54" width="14.83203125" style="162" bestFit="1" customWidth="1" outlineLevel="1"/>
    <col min="55" max="55" width="13.9140625" style="162" bestFit="1" customWidth="1" outlineLevel="1"/>
    <col min="56" max="57" width="14.83203125" style="162" bestFit="1" customWidth="1" outlineLevel="1"/>
    <col min="58" max="58" width="16.33203125" style="299" bestFit="1" customWidth="1"/>
    <col min="59" max="59" width="3.83203125" style="176" customWidth="1"/>
    <col min="60" max="60" width="14.6640625" style="162" customWidth="1" outlineLevel="1"/>
    <col min="61" max="63" width="13.9140625" style="162" bestFit="1" customWidth="1" outlineLevel="1"/>
    <col min="64" max="66" width="14.83203125" style="162" bestFit="1" customWidth="1" outlineLevel="1"/>
    <col min="67" max="67" width="13.9140625" style="162" bestFit="1" customWidth="1" outlineLevel="1"/>
    <col min="68" max="68" width="14.83203125" style="162" bestFit="1" customWidth="1" outlineLevel="1"/>
    <col min="69" max="69" width="13.9140625" style="162" bestFit="1" customWidth="1" outlineLevel="1"/>
    <col min="70" max="71" width="14.83203125" style="162" bestFit="1" customWidth="1" outlineLevel="1"/>
    <col min="72" max="72" width="16.33203125" style="299" bestFit="1" customWidth="1"/>
    <col min="73" max="73" width="3.83203125" style="161" customWidth="1"/>
    <col min="74" max="74" width="14.6640625" style="162" customWidth="1" outlineLevel="1"/>
    <col min="75" max="77" width="13.9140625" style="162" bestFit="1" customWidth="1" outlineLevel="1"/>
    <col min="78" max="80" width="14.83203125" style="162" bestFit="1" customWidth="1" outlineLevel="1"/>
    <col min="81" max="81" width="13.9140625" style="162" bestFit="1" customWidth="1" outlineLevel="1"/>
    <col min="82" max="82" width="14.83203125" style="162" bestFit="1" customWidth="1" outlineLevel="1"/>
    <col min="83" max="83" width="13.9140625" style="162" bestFit="1" customWidth="1" outlineLevel="1"/>
    <col min="84" max="85" width="14.83203125" style="162" bestFit="1" customWidth="1" outlineLevel="1"/>
    <col min="86" max="86" width="16.33203125" style="299" bestFit="1" customWidth="1"/>
    <col min="87" max="87" width="3.83203125" style="300" customWidth="1"/>
    <col min="88" max="88" width="14.6640625" style="162" customWidth="1" outlineLevel="1"/>
    <col min="89" max="91" width="13.9140625" style="162" bestFit="1" customWidth="1" outlineLevel="1"/>
    <col min="92" max="94" width="14.83203125" style="162" bestFit="1" customWidth="1" outlineLevel="1"/>
    <col min="95" max="95" width="13.9140625" style="162" bestFit="1" customWidth="1" outlineLevel="1"/>
    <col min="96" max="96" width="14.83203125" style="162" bestFit="1" customWidth="1" outlineLevel="1"/>
    <col min="97" max="97" width="13.9140625" style="162" bestFit="1" customWidth="1" outlineLevel="1"/>
    <col min="98" max="99" width="14.83203125" style="162" bestFit="1" customWidth="1" outlineLevel="1"/>
    <col min="100" max="100" width="16.33203125" style="299" bestFit="1" customWidth="1"/>
    <col min="101" max="101" width="3.83203125" style="300" customWidth="1"/>
    <col min="102" max="102" width="14.6640625" style="162" customWidth="1" outlineLevel="1"/>
    <col min="103" max="105" width="13.9140625" style="162" bestFit="1" customWidth="1" outlineLevel="1"/>
    <col min="106" max="108" width="14.83203125" style="162" bestFit="1" customWidth="1" outlineLevel="1"/>
    <col min="109" max="109" width="13.9140625" style="162" bestFit="1" customWidth="1" outlineLevel="1"/>
    <col min="110" max="110" width="14.83203125" style="162" bestFit="1" customWidth="1" outlineLevel="1"/>
    <col min="111" max="111" width="13.9140625" style="162" bestFit="1" customWidth="1" outlineLevel="1"/>
    <col min="112" max="113" width="14.83203125" style="162" bestFit="1" customWidth="1" outlineLevel="1"/>
    <col min="114" max="114" width="16.33203125" style="299" bestFit="1" customWidth="1"/>
    <col min="115" max="115" width="3.83203125" style="300" customWidth="1"/>
    <col min="116" max="116" width="14.6640625" style="162" customWidth="1" outlineLevel="1"/>
    <col min="117" max="119" width="13.9140625" style="162" bestFit="1" customWidth="1" outlineLevel="1"/>
    <col min="120" max="122" width="14.83203125" style="162" bestFit="1" customWidth="1" outlineLevel="1"/>
    <col min="123" max="123" width="13.9140625" style="162" bestFit="1" customWidth="1" outlineLevel="1"/>
    <col min="124" max="124" width="14.83203125" style="162" bestFit="1" customWidth="1" outlineLevel="1"/>
    <col min="125" max="125" width="13.9140625" style="162" bestFit="1" customWidth="1" outlineLevel="1"/>
    <col min="126" max="127" width="14.83203125" style="162" bestFit="1" customWidth="1" outlineLevel="1"/>
    <col min="128" max="128" width="16.33203125" style="299" bestFit="1" customWidth="1"/>
    <col min="129" max="129" width="3.83203125" style="300" customWidth="1"/>
    <col min="130" max="130" width="14.6640625" style="162" customWidth="1" outlineLevel="1"/>
    <col min="131" max="133" width="13.9140625" style="162" bestFit="1" customWidth="1" outlineLevel="1"/>
    <col min="134" max="136" width="14.83203125" style="162" bestFit="1" customWidth="1" outlineLevel="1"/>
    <col min="137" max="137" width="13.9140625" style="162" bestFit="1" customWidth="1" outlineLevel="1"/>
    <col min="138" max="138" width="14.83203125" style="162" bestFit="1" customWidth="1" outlineLevel="1"/>
    <col min="139" max="139" width="13.9140625" style="162" bestFit="1" customWidth="1" outlineLevel="1"/>
    <col min="140" max="141" width="14.83203125" style="162" bestFit="1" customWidth="1" outlineLevel="1"/>
    <col min="142" max="142" width="16.33203125" style="299" bestFit="1" customWidth="1"/>
    <col min="143" max="143" width="3.83203125" style="300" customWidth="1"/>
    <col min="144" max="144" width="14.6640625" style="162" customWidth="1" outlineLevel="1"/>
    <col min="145" max="147" width="13.9140625" style="162" bestFit="1" customWidth="1" outlineLevel="1"/>
    <col min="148" max="150" width="14.83203125" style="162" bestFit="1" customWidth="1" outlineLevel="1"/>
    <col min="151" max="151" width="13.9140625" style="162" bestFit="1" customWidth="1" outlineLevel="1"/>
    <col min="152" max="152" width="14.83203125" style="162" bestFit="1" customWidth="1" outlineLevel="1"/>
    <col min="153" max="153" width="13.9140625" style="162" bestFit="1" customWidth="1" outlineLevel="1"/>
    <col min="154" max="155" width="14.83203125" style="162" bestFit="1" customWidth="1" outlineLevel="1"/>
    <col min="156" max="156" width="16.33203125" style="299" bestFit="1" customWidth="1"/>
    <col min="157" max="157" width="3.83203125" style="300" customWidth="1"/>
    <col min="158" max="158" width="14.6640625" style="162" customWidth="1" outlineLevel="1"/>
    <col min="159" max="161" width="13.9140625" style="162" bestFit="1" customWidth="1" outlineLevel="1"/>
    <col min="162" max="164" width="14.83203125" style="162" bestFit="1" customWidth="1" outlineLevel="1"/>
    <col min="165" max="165" width="13.9140625" style="162" bestFit="1" customWidth="1" outlineLevel="1"/>
    <col min="166" max="166" width="14.83203125" style="162" bestFit="1" customWidth="1" outlineLevel="1"/>
    <col min="167" max="167" width="13.9140625" style="162" bestFit="1" customWidth="1" outlineLevel="1"/>
    <col min="168" max="169" width="14.83203125" style="162" bestFit="1" customWidth="1" outlineLevel="1"/>
    <col min="170" max="170" width="16.33203125" style="299" bestFit="1" customWidth="1"/>
    <col min="171" max="171" width="3.83203125" style="300" customWidth="1"/>
    <col min="172" max="172" width="14.6640625" style="162" customWidth="1" outlineLevel="1"/>
    <col min="173" max="175" width="13.9140625" style="162" bestFit="1" customWidth="1" outlineLevel="1"/>
    <col min="176" max="178" width="14.83203125" style="162" bestFit="1" customWidth="1" outlineLevel="1"/>
    <col min="179" max="179" width="13.9140625" style="162" bestFit="1" customWidth="1" outlineLevel="1"/>
    <col min="180" max="180" width="14.83203125" style="162" bestFit="1" customWidth="1" outlineLevel="1"/>
    <col min="181" max="181" width="13.9140625" style="162" bestFit="1" customWidth="1" outlineLevel="1"/>
    <col min="182" max="183" width="14.83203125" style="162" bestFit="1" customWidth="1" outlineLevel="1"/>
    <col min="184" max="184" width="16.33203125" style="299" bestFit="1" customWidth="1"/>
    <col min="185" max="185" width="3.83203125" style="300" customWidth="1"/>
    <col min="186" max="186" width="14.6640625" style="162" customWidth="1" outlineLevel="1"/>
    <col min="187" max="189" width="13.9140625" style="162" bestFit="1" customWidth="1" outlineLevel="1"/>
    <col min="190" max="192" width="14.83203125" style="162" bestFit="1" customWidth="1" outlineLevel="1"/>
    <col min="193" max="193" width="13.9140625" style="162" bestFit="1" customWidth="1" outlineLevel="1"/>
    <col min="194" max="194" width="14.83203125" style="162" bestFit="1" customWidth="1" outlineLevel="1"/>
    <col min="195" max="195" width="13.9140625" style="162" bestFit="1" customWidth="1" outlineLevel="1"/>
    <col min="196" max="197" width="14.83203125" style="162" bestFit="1" customWidth="1" outlineLevel="1"/>
    <col min="198" max="198" width="16.33203125" style="299" customWidth="1"/>
    <col min="199" max="199" width="3.83203125" style="300" customWidth="1"/>
    <col min="200" max="200" width="14.6640625" style="162" customWidth="1" outlineLevel="1"/>
    <col min="201" max="203" width="13.9140625" style="162" customWidth="1" outlineLevel="1"/>
    <col min="204" max="206" width="14.83203125" style="162" customWidth="1" outlineLevel="1"/>
    <col min="207" max="207" width="13.9140625" style="162" customWidth="1" outlineLevel="1"/>
    <col min="208" max="208" width="14.83203125" style="162" customWidth="1" outlineLevel="1"/>
    <col min="209" max="209" width="13.9140625" style="162" customWidth="1" outlineLevel="1"/>
    <col min="210" max="211" width="14.83203125" style="162" customWidth="1" outlineLevel="1"/>
    <col min="212" max="212" width="16.33203125" style="299" customWidth="1"/>
    <col min="213" max="213" width="3.83203125" style="300" customWidth="1"/>
    <col min="214" max="214" width="14.6640625" style="162" customWidth="1" outlineLevel="1"/>
    <col min="215" max="217" width="13.9140625" style="162" bestFit="1" customWidth="1" outlineLevel="1"/>
    <col min="218" max="220" width="14.83203125" style="162" bestFit="1" customWidth="1" outlineLevel="1"/>
    <col min="221" max="221" width="13.9140625" style="162" bestFit="1" customWidth="1" outlineLevel="1"/>
    <col min="222" max="222" width="14.83203125" style="162" bestFit="1" customWidth="1" outlineLevel="1"/>
    <col min="223" max="223" width="13.9140625" style="162" bestFit="1" customWidth="1" outlineLevel="1"/>
    <col min="224" max="225" width="14.83203125" style="162" bestFit="1" customWidth="1" outlineLevel="1"/>
    <col min="226" max="226" width="16.33203125" style="299" bestFit="1" customWidth="1"/>
    <col min="227" max="227" width="3.83203125" style="300" customWidth="1"/>
    <col min="228" max="228" width="14.6640625" style="162" customWidth="1" outlineLevel="1"/>
    <col min="229" max="231" width="13.9140625" style="162" bestFit="1" customWidth="1" outlineLevel="1"/>
    <col min="232" max="234" width="14.83203125" style="162" bestFit="1" customWidth="1" outlineLevel="1"/>
    <col min="235" max="235" width="13.9140625" style="162" bestFit="1" customWidth="1" outlineLevel="1"/>
    <col min="236" max="236" width="14.83203125" style="162" bestFit="1" customWidth="1" outlineLevel="1"/>
    <col min="237" max="237" width="13.9140625" style="162" bestFit="1" customWidth="1" outlineLevel="1"/>
    <col min="238" max="239" width="14.83203125" style="162" bestFit="1" customWidth="1" outlineLevel="1"/>
    <col min="240" max="240" width="16.33203125" style="299" bestFit="1" customWidth="1"/>
    <col min="241" max="241" width="3.83203125" style="300" customWidth="1"/>
    <col min="242" max="242" width="14.6640625" style="162" customWidth="1" outlineLevel="1"/>
    <col min="243" max="245" width="13.9140625" style="162" bestFit="1" customWidth="1" outlineLevel="1"/>
    <col min="246" max="248" width="14.83203125" style="162" bestFit="1" customWidth="1" outlineLevel="1"/>
    <col min="249" max="249" width="13.9140625" style="162" bestFit="1" customWidth="1" outlineLevel="1"/>
    <col min="250" max="250" width="14.83203125" style="162" bestFit="1" customWidth="1" outlineLevel="1"/>
    <col min="251" max="251" width="13.9140625" style="162" bestFit="1" customWidth="1" outlineLevel="1"/>
    <col min="252" max="253" width="14.83203125" style="162" bestFit="1" customWidth="1" outlineLevel="1"/>
    <col min="254" max="254" width="16.33203125" style="299" bestFit="1" customWidth="1"/>
    <col min="255" max="255" width="3.83203125" style="300" customWidth="1"/>
    <col min="256" max="256" width="14.6640625" style="162" customWidth="1" outlineLevel="1"/>
    <col min="257" max="259" width="13.9140625" style="162" bestFit="1" customWidth="1" outlineLevel="1"/>
    <col min="260" max="262" width="14.83203125" style="162" bestFit="1" customWidth="1" outlineLevel="1"/>
    <col min="263" max="263" width="13.9140625" style="162" bestFit="1" customWidth="1" outlineLevel="1"/>
    <col min="264" max="264" width="14.83203125" style="162" bestFit="1" customWidth="1" outlineLevel="1"/>
    <col min="265" max="265" width="13.9140625" style="162" bestFit="1" customWidth="1" outlineLevel="1"/>
    <col min="266" max="267" width="14.83203125" style="162" bestFit="1" customWidth="1" outlineLevel="1"/>
    <col min="268" max="268" width="16.33203125" style="299" bestFit="1" customWidth="1"/>
    <col min="269" max="269" width="3.83203125" style="300" customWidth="1"/>
    <col min="270" max="270" width="14.6640625" style="162" customWidth="1" outlineLevel="1"/>
    <col min="271" max="273" width="13.9140625" style="162" bestFit="1" customWidth="1" outlineLevel="1"/>
    <col min="274" max="276" width="14.83203125" style="162" bestFit="1" customWidth="1" outlineLevel="1"/>
    <col min="277" max="277" width="13.9140625" style="162" bestFit="1" customWidth="1" outlineLevel="1"/>
    <col min="278" max="278" width="14.83203125" style="162" bestFit="1" customWidth="1" outlineLevel="1"/>
    <col min="279" max="279" width="13.9140625" style="162" bestFit="1" customWidth="1" outlineLevel="1"/>
    <col min="280" max="281" width="14.83203125" style="162" bestFit="1" customWidth="1" outlineLevel="1"/>
    <col min="282" max="282" width="16.33203125" style="299" bestFit="1" customWidth="1"/>
    <col min="283" max="283" width="3.83203125" style="300" customWidth="1"/>
    <col min="284" max="284" width="14.6640625" style="162" customWidth="1" outlineLevel="1"/>
    <col min="285" max="287" width="13.9140625" style="162" bestFit="1" customWidth="1" outlineLevel="1"/>
    <col min="288" max="290" width="14.83203125" style="162" bestFit="1" customWidth="1" outlineLevel="1"/>
    <col min="291" max="291" width="13.9140625" style="162" bestFit="1" customWidth="1" outlineLevel="1"/>
    <col min="292" max="292" width="14.83203125" style="162" bestFit="1" customWidth="1" outlineLevel="1"/>
    <col min="293" max="293" width="13.9140625" style="162" bestFit="1" customWidth="1" outlineLevel="1"/>
    <col min="294" max="295" width="14.83203125" style="162" bestFit="1" customWidth="1" outlineLevel="1"/>
    <col min="296" max="296" width="16.33203125" style="299" bestFit="1" customWidth="1"/>
    <col min="297" max="297" width="3.83203125" style="300" customWidth="1"/>
    <col min="298" max="298" width="14.6640625" style="162" customWidth="1" outlineLevel="1"/>
    <col min="299" max="301" width="13.9140625" style="162" bestFit="1" customWidth="1" outlineLevel="1"/>
    <col min="302" max="304" width="14.83203125" style="162" bestFit="1" customWidth="1" outlineLevel="1"/>
    <col min="305" max="305" width="13.9140625" style="162" bestFit="1" customWidth="1" outlineLevel="1"/>
    <col min="306" max="306" width="14.83203125" style="162" bestFit="1" customWidth="1" outlineLevel="1"/>
    <col min="307" max="307" width="13.9140625" style="162" bestFit="1" customWidth="1" outlineLevel="1"/>
    <col min="308" max="309" width="14.83203125" style="162" bestFit="1" customWidth="1" outlineLevel="1"/>
    <col min="310" max="310" width="16.33203125" style="299" bestFit="1" customWidth="1"/>
    <col min="311" max="311" width="3.83203125" style="300" customWidth="1"/>
    <col min="312" max="312" width="14.6640625" style="162" customWidth="1" outlineLevel="1"/>
    <col min="313" max="315" width="13.9140625" style="162" bestFit="1" customWidth="1" outlineLevel="1"/>
    <col min="316" max="318" width="14.83203125" style="162" bestFit="1" customWidth="1" outlineLevel="1"/>
    <col min="319" max="319" width="13.9140625" style="162" bestFit="1" customWidth="1" outlineLevel="1"/>
    <col min="320" max="320" width="14.83203125" style="162" bestFit="1" customWidth="1" outlineLevel="1"/>
    <col min="321" max="321" width="13.9140625" style="162" bestFit="1" customWidth="1" outlineLevel="1"/>
    <col min="322" max="323" width="14.83203125" style="162" bestFit="1" customWidth="1" outlineLevel="1"/>
    <col min="324" max="324" width="16.33203125" style="299" bestFit="1" customWidth="1"/>
    <col min="325" max="325" width="3.83203125" style="300" customWidth="1"/>
    <col min="326" max="326" width="14.6640625" style="162" hidden="1" customWidth="1" outlineLevel="1"/>
    <col min="327" max="329" width="13.9140625" style="162" hidden="1" customWidth="1" outlineLevel="1"/>
    <col min="330" max="332" width="14.83203125" style="162" hidden="1" customWidth="1" outlineLevel="1"/>
    <col min="333" max="333" width="13.9140625" style="162" hidden="1" customWidth="1" outlineLevel="1"/>
    <col min="334" max="334" width="14.83203125" style="162" hidden="1" customWidth="1" outlineLevel="1"/>
    <col min="335" max="335" width="13.9140625" style="162" hidden="1" customWidth="1" outlineLevel="1"/>
    <col min="336" max="337" width="14.83203125" style="162" hidden="1" customWidth="1" outlineLevel="1"/>
    <col min="338" max="338" width="16.33203125" style="299" hidden="1" customWidth="1" collapsed="1"/>
    <col min="339" max="339" width="3.83203125" style="300" hidden="1" customWidth="1"/>
    <col min="340" max="352" width="16.33203125" style="299" bestFit="1" customWidth="1"/>
    <col min="353" max="353" width="13" style="162" bestFit="1" customWidth="1"/>
    <col min="354" max="16384" width="8.6640625" style="162"/>
  </cols>
  <sheetData>
    <row r="1" spans="1:352" s="89" customFormat="1" ht="13.5" thickBot="1" x14ac:dyDescent="0.35">
      <c r="B1" s="90" t="s">
        <v>159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1" t="str">
        <f>+P6</f>
        <v>Budget-2025</v>
      </c>
      <c r="Q1" s="92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1" t="str">
        <f>+AD6</f>
        <v>Budget-2025</v>
      </c>
      <c r="AE1" s="92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1" t="str">
        <f>+AR6</f>
        <v>Budget-2025</v>
      </c>
      <c r="AS1" s="92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1" t="str">
        <f>+BF6</f>
        <v>Budget-2025</v>
      </c>
      <c r="BG1" s="92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1" t="e">
        <f>+BT6</f>
        <v>#REF!</v>
      </c>
      <c r="BU1" s="92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1" t="e">
        <f>+CH6</f>
        <v>#REF!</v>
      </c>
      <c r="CI1" s="92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1" t="e">
        <f>+CV6</f>
        <v>#REF!</v>
      </c>
      <c r="CW1" s="92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1" t="e">
        <f>+DJ6</f>
        <v>#REF!</v>
      </c>
      <c r="DK1" s="92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1" t="e">
        <f>+DX6</f>
        <v>#REF!</v>
      </c>
      <c r="DY1" s="92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1" t="e">
        <f>+EL6</f>
        <v>#REF!</v>
      </c>
      <c r="EM1" s="92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1" t="e">
        <f>+EZ6</f>
        <v>#REF!</v>
      </c>
      <c r="FA1" s="92"/>
      <c r="FB1" s="90"/>
      <c r="FC1" s="90"/>
      <c r="FD1" s="90"/>
      <c r="FE1" s="90"/>
      <c r="FF1" s="90"/>
      <c r="FG1" s="90"/>
      <c r="FH1" s="90"/>
      <c r="FI1" s="90"/>
      <c r="FJ1" s="90"/>
      <c r="FK1" s="90"/>
      <c r="FL1" s="90"/>
      <c r="FM1" s="90"/>
      <c r="FN1" s="91" t="e">
        <f>+FN6</f>
        <v>#REF!</v>
      </c>
      <c r="FO1" s="92"/>
      <c r="FP1" s="90"/>
      <c r="FQ1" s="90"/>
      <c r="FR1" s="90"/>
      <c r="FS1" s="90"/>
      <c r="FT1" s="90"/>
      <c r="FU1" s="90"/>
      <c r="FV1" s="90"/>
      <c r="FW1" s="90"/>
      <c r="FX1" s="90"/>
      <c r="FY1" s="90"/>
      <c r="FZ1" s="90"/>
      <c r="GA1" s="90"/>
      <c r="GB1" s="91" t="e">
        <f>+GB6</f>
        <v>#REF!</v>
      </c>
      <c r="GC1" s="92"/>
      <c r="GD1" s="90"/>
      <c r="GE1" s="90"/>
      <c r="GF1" s="90"/>
      <c r="GG1" s="90"/>
      <c r="GH1" s="90"/>
      <c r="GI1" s="90"/>
      <c r="GJ1" s="90"/>
      <c r="GK1" s="90"/>
      <c r="GL1" s="90"/>
      <c r="GM1" s="90"/>
      <c r="GN1" s="90"/>
      <c r="GO1" s="90"/>
      <c r="GP1" s="91" t="e">
        <f>+GP6</f>
        <v>#REF!</v>
      </c>
      <c r="GQ1" s="92"/>
      <c r="GR1" s="90"/>
      <c r="GS1" s="90"/>
      <c r="GT1" s="90"/>
      <c r="GU1" s="90"/>
      <c r="GV1" s="90"/>
      <c r="GW1" s="90"/>
      <c r="GX1" s="90"/>
      <c r="GY1" s="90"/>
      <c r="GZ1" s="90"/>
      <c r="HA1" s="90"/>
      <c r="HB1" s="90"/>
      <c r="HC1" s="90"/>
      <c r="HD1" s="91" t="str">
        <f>+HD6</f>
        <v>Total</v>
      </c>
      <c r="HE1" s="92"/>
      <c r="HF1" s="90"/>
      <c r="HG1" s="90"/>
      <c r="HH1" s="90"/>
      <c r="HI1" s="90"/>
      <c r="HJ1" s="90"/>
      <c r="HK1" s="90"/>
      <c r="HL1" s="90"/>
      <c r="HM1" s="90"/>
      <c r="HN1" s="90"/>
      <c r="HO1" s="90"/>
      <c r="HP1" s="90"/>
      <c r="HQ1" s="90"/>
      <c r="HR1" s="91" t="e">
        <f>+HR6</f>
        <v>#REF!</v>
      </c>
      <c r="HS1" s="92"/>
      <c r="HT1" s="90"/>
      <c r="HU1" s="90"/>
      <c r="HV1" s="90"/>
      <c r="HW1" s="90"/>
      <c r="HX1" s="90"/>
      <c r="HY1" s="90"/>
      <c r="HZ1" s="90"/>
      <c r="IA1" s="90"/>
      <c r="IB1" s="90"/>
      <c r="IC1" s="90"/>
      <c r="ID1" s="90"/>
      <c r="IE1" s="90"/>
      <c r="IF1" s="91" t="e">
        <f>+IF6</f>
        <v>#REF!</v>
      </c>
      <c r="IG1" s="92"/>
      <c r="IH1" s="90"/>
      <c r="II1" s="90"/>
      <c r="IJ1" s="90"/>
      <c r="IK1" s="90"/>
      <c r="IL1" s="90"/>
      <c r="IM1" s="90"/>
      <c r="IN1" s="90"/>
      <c r="IO1" s="90"/>
      <c r="IP1" s="90"/>
      <c r="IQ1" s="90"/>
      <c r="IR1" s="90"/>
      <c r="IS1" s="90"/>
      <c r="IT1" s="91" t="e">
        <f>+IT6</f>
        <v>#REF!</v>
      </c>
      <c r="IU1" s="92"/>
      <c r="IV1" s="90"/>
      <c r="IW1" s="90"/>
      <c r="IX1" s="90"/>
      <c r="IY1" s="90"/>
      <c r="IZ1" s="90"/>
      <c r="JA1" s="90"/>
      <c r="JB1" s="90"/>
      <c r="JC1" s="90"/>
      <c r="JD1" s="90"/>
      <c r="JE1" s="90"/>
      <c r="JF1" s="90"/>
      <c r="JG1" s="90"/>
      <c r="JH1" s="91" t="e">
        <f>+JH6</f>
        <v>#REF!</v>
      </c>
      <c r="JI1" s="92"/>
      <c r="JJ1" s="90"/>
      <c r="JK1" s="90"/>
      <c r="JL1" s="90"/>
      <c r="JM1" s="90"/>
      <c r="JN1" s="90"/>
      <c r="JO1" s="90"/>
      <c r="JP1" s="90"/>
      <c r="JQ1" s="90"/>
      <c r="JR1" s="90"/>
      <c r="JS1" s="90"/>
      <c r="JT1" s="90"/>
      <c r="JU1" s="90"/>
      <c r="JV1" s="91" t="e">
        <f>+JV6</f>
        <v>#REF!</v>
      </c>
      <c r="JW1" s="92"/>
      <c r="JX1" s="90"/>
      <c r="JY1" s="90"/>
      <c r="JZ1" s="90"/>
      <c r="KA1" s="90"/>
      <c r="KB1" s="90"/>
      <c r="KC1" s="90"/>
      <c r="KD1" s="90"/>
      <c r="KE1" s="90"/>
      <c r="KF1" s="90"/>
      <c r="KG1" s="90"/>
      <c r="KH1" s="90"/>
      <c r="KI1" s="90"/>
      <c r="KJ1" s="91" t="e">
        <f>+KJ6</f>
        <v>#REF!</v>
      </c>
      <c r="KK1" s="92"/>
      <c r="KL1" s="90"/>
      <c r="KM1" s="90"/>
      <c r="KN1" s="90"/>
      <c r="KO1" s="90"/>
      <c r="KP1" s="90"/>
      <c r="KQ1" s="90"/>
      <c r="KR1" s="90"/>
      <c r="KS1" s="90"/>
      <c r="KT1" s="90"/>
      <c r="KU1" s="90"/>
      <c r="KV1" s="90"/>
      <c r="KW1" s="90"/>
      <c r="KX1" s="91" t="str">
        <f>+KX6</f>
        <v>Total</v>
      </c>
      <c r="KY1" s="92"/>
      <c r="KZ1" s="90"/>
      <c r="LA1" s="90"/>
      <c r="LB1" s="90"/>
      <c r="LC1" s="90"/>
      <c r="LD1" s="90"/>
      <c r="LE1" s="90"/>
      <c r="LF1" s="90"/>
      <c r="LG1" s="90"/>
      <c r="LH1" s="90"/>
      <c r="LI1" s="90"/>
      <c r="LJ1" s="90"/>
      <c r="LK1" s="90"/>
      <c r="LL1" s="91" t="str">
        <f>+LL6</f>
        <v>Total</v>
      </c>
      <c r="LM1" s="92"/>
      <c r="LN1" s="90"/>
      <c r="LO1" s="90"/>
      <c r="LP1" s="90"/>
      <c r="LQ1" s="90"/>
      <c r="LR1" s="90"/>
      <c r="LS1" s="90"/>
      <c r="LT1" s="90"/>
      <c r="LU1" s="90"/>
      <c r="LV1" s="90"/>
      <c r="LW1" s="90"/>
      <c r="LX1" s="90"/>
      <c r="LY1" s="90"/>
      <c r="LZ1" s="91" t="str">
        <f>+LZ6</f>
        <v>Total</v>
      </c>
      <c r="MA1" s="92"/>
      <c r="MB1" s="91" t="str">
        <f>+LZ1</f>
        <v>Total</v>
      </c>
      <c r="MC1" s="91" t="str">
        <f>+MB1</f>
        <v>Total</v>
      </c>
      <c r="MD1" s="91" t="str">
        <f t="shared" ref="MD1:MN1" si="0">+MC1</f>
        <v>Total</v>
      </c>
      <c r="ME1" s="91" t="str">
        <f t="shared" si="0"/>
        <v>Total</v>
      </c>
      <c r="MF1" s="91" t="str">
        <f t="shared" si="0"/>
        <v>Total</v>
      </c>
      <c r="MG1" s="91" t="str">
        <f t="shared" si="0"/>
        <v>Total</v>
      </c>
      <c r="MH1" s="91" t="str">
        <f t="shared" si="0"/>
        <v>Total</v>
      </c>
      <c r="MI1" s="91" t="str">
        <f t="shared" si="0"/>
        <v>Total</v>
      </c>
      <c r="MJ1" s="91" t="str">
        <f t="shared" si="0"/>
        <v>Total</v>
      </c>
      <c r="MK1" s="91" t="str">
        <f t="shared" si="0"/>
        <v>Total</v>
      </c>
      <c r="ML1" s="91" t="str">
        <f t="shared" si="0"/>
        <v>Total</v>
      </c>
      <c r="MM1" s="91" t="str">
        <f t="shared" si="0"/>
        <v>Total</v>
      </c>
      <c r="MN1" s="93" t="str">
        <f t="shared" si="0"/>
        <v>Total</v>
      </c>
    </row>
    <row r="2" spans="1:352" s="89" customFormat="1" ht="13.5" thickBot="1" x14ac:dyDescent="0.35">
      <c r="A2" s="94"/>
      <c r="B2" s="95" t="s">
        <v>160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6">
        <v>1</v>
      </c>
      <c r="Q2" s="92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6">
        <v>2</v>
      </c>
      <c r="AE2" s="92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6">
        <v>3</v>
      </c>
      <c r="AS2" s="92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6">
        <v>4</v>
      </c>
      <c r="BG2" s="92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6">
        <v>6</v>
      </c>
      <c r="BU2" s="92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6">
        <v>8</v>
      </c>
      <c r="CI2" s="92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6">
        <v>11</v>
      </c>
      <c r="CW2" s="92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6">
        <v>12</v>
      </c>
      <c r="DK2" s="92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6">
        <v>13</v>
      </c>
      <c r="DY2" s="92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0"/>
      <c r="EL2" s="96">
        <v>14</v>
      </c>
      <c r="EM2" s="92"/>
      <c r="EN2" s="90"/>
      <c r="EO2" s="90"/>
      <c r="EP2" s="90"/>
      <c r="EQ2" s="90"/>
      <c r="ER2" s="90"/>
      <c r="ES2" s="90"/>
      <c r="ET2" s="90"/>
      <c r="EU2" s="90"/>
      <c r="EV2" s="90"/>
      <c r="EW2" s="90"/>
      <c r="EX2" s="90"/>
      <c r="EY2" s="90"/>
      <c r="EZ2" s="96">
        <v>15</v>
      </c>
      <c r="FA2" s="92"/>
      <c r="FB2" s="90"/>
      <c r="FC2" s="90"/>
      <c r="FD2" s="90"/>
      <c r="FE2" s="90"/>
      <c r="FF2" s="90"/>
      <c r="FG2" s="90"/>
      <c r="FH2" s="90"/>
      <c r="FI2" s="90"/>
      <c r="FJ2" s="90"/>
      <c r="FK2" s="90"/>
      <c r="FL2" s="90"/>
      <c r="FM2" s="90"/>
      <c r="FN2" s="96">
        <v>16</v>
      </c>
      <c r="FO2" s="92"/>
      <c r="FP2" s="90"/>
      <c r="FQ2" s="90"/>
      <c r="FR2" s="90"/>
      <c r="FS2" s="90"/>
      <c r="FT2" s="90"/>
      <c r="FU2" s="90"/>
      <c r="FV2" s="90"/>
      <c r="FW2" s="90"/>
      <c r="FX2" s="90"/>
      <c r="FY2" s="90"/>
      <c r="FZ2" s="90"/>
      <c r="GA2" s="90"/>
      <c r="GB2" s="96">
        <v>17</v>
      </c>
      <c r="GC2" s="92"/>
      <c r="GD2" s="90"/>
      <c r="GE2" s="90"/>
      <c r="GF2" s="90"/>
      <c r="GG2" s="90"/>
      <c r="GH2" s="90"/>
      <c r="GI2" s="90"/>
      <c r="GJ2" s="90"/>
      <c r="GK2" s="90"/>
      <c r="GL2" s="90"/>
      <c r="GM2" s="90"/>
      <c r="GN2" s="90"/>
      <c r="GO2" s="90"/>
      <c r="GP2" s="96">
        <v>19</v>
      </c>
      <c r="GQ2" s="92"/>
      <c r="GR2" s="90"/>
      <c r="GS2" s="90"/>
      <c r="GT2" s="90"/>
      <c r="GU2" s="90"/>
      <c r="GV2" s="90"/>
      <c r="GW2" s="90"/>
      <c r="GX2" s="90"/>
      <c r="GY2" s="90"/>
      <c r="GZ2" s="90"/>
      <c r="HA2" s="90"/>
      <c r="HB2" s="90"/>
      <c r="HC2" s="90"/>
      <c r="HD2" s="96">
        <v>30</v>
      </c>
      <c r="HE2" s="92"/>
      <c r="HF2" s="90"/>
      <c r="HG2" s="90"/>
      <c r="HH2" s="90"/>
      <c r="HI2" s="90"/>
      <c r="HJ2" s="90"/>
      <c r="HK2" s="90"/>
      <c r="HL2" s="90"/>
      <c r="HM2" s="90"/>
      <c r="HN2" s="90"/>
      <c r="HO2" s="90"/>
      <c r="HP2" s="90"/>
      <c r="HQ2" s="90"/>
      <c r="HR2" s="96">
        <v>20</v>
      </c>
      <c r="HS2" s="92"/>
      <c r="HT2" s="90"/>
      <c r="HU2" s="90"/>
      <c r="HV2" s="90"/>
      <c r="HW2" s="90"/>
      <c r="HX2" s="90"/>
      <c r="HY2" s="90"/>
      <c r="HZ2" s="90"/>
      <c r="IA2" s="90"/>
      <c r="IB2" s="90"/>
      <c r="IC2" s="90"/>
      <c r="ID2" s="90"/>
      <c r="IE2" s="90"/>
      <c r="IF2" s="96">
        <v>21</v>
      </c>
      <c r="IG2" s="92"/>
      <c r="IH2" s="90"/>
      <c r="II2" s="90"/>
      <c r="IJ2" s="90"/>
      <c r="IK2" s="90"/>
      <c r="IL2" s="90"/>
      <c r="IM2" s="90"/>
      <c r="IN2" s="90"/>
      <c r="IO2" s="90"/>
      <c r="IP2" s="90"/>
      <c r="IQ2" s="90"/>
      <c r="IR2" s="90"/>
      <c r="IS2" s="90"/>
      <c r="IT2" s="96">
        <v>22</v>
      </c>
      <c r="IU2" s="92"/>
      <c r="IV2" s="90"/>
      <c r="IW2" s="90"/>
      <c r="IX2" s="90"/>
      <c r="IY2" s="90"/>
      <c r="IZ2" s="90"/>
      <c r="JA2" s="90"/>
      <c r="JB2" s="90"/>
      <c r="JC2" s="90"/>
      <c r="JD2" s="90"/>
      <c r="JE2" s="90"/>
      <c r="JF2" s="90"/>
      <c r="JG2" s="90"/>
      <c r="JH2" s="96">
        <v>23</v>
      </c>
      <c r="JI2" s="92"/>
      <c r="JJ2" s="90"/>
      <c r="JK2" s="90"/>
      <c r="JL2" s="90"/>
      <c r="JM2" s="90"/>
      <c r="JN2" s="90"/>
      <c r="JO2" s="90"/>
      <c r="JP2" s="90"/>
      <c r="JQ2" s="90"/>
      <c r="JR2" s="90"/>
      <c r="JS2" s="90"/>
      <c r="JT2" s="90"/>
      <c r="JU2" s="90"/>
      <c r="JV2" s="96">
        <v>24</v>
      </c>
      <c r="JW2" s="92"/>
      <c r="JX2" s="90"/>
      <c r="JY2" s="90"/>
      <c r="JZ2" s="90"/>
      <c r="KA2" s="90"/>
      <c r="KB2" s="90"/>
      <c r="KC2" s="90"/>
      <c r="KD2" s="90"/>
      <c r="KE2" s="90"/>
      <c r="KF2" s="90"/>
      <c r="KG2" s="90"/>
      <c r="KH2" s="90"/>
      <c r="KI2" s="90"/>
      <c r="KJ2" s="96">
        <v>25</v>
      </c>
      <c r="KK2" s="92"/>
      <c r="KL2" s="90"/>
      <c r="KM2" s="90"/>
      <c r="KN2" s="90"/>
      <c r="KO2" s="90"/>
      <c r="KP2" s="90"/>
      <c r="KQ2" s="90"/>
      <c r="KR2" s="90"/>
      <c r="KS2" s="90"/>
      <c r="KT2" s="90"/>
      <c r="KU2" s="90"/>
      <c r="KV2" s="90"/>
      <c r="KW2" s="90"/>
      <c r="KX2" s="96">
        <v>28</v>
      </c>
      <c r="KY2" s="92"/>
      <c r="KZ2" s="90"/>
      <c r="LA2" s="90"/>
      <c r="LB2" s="90"/>
      <c r="LC2" s="90"/>
      <c r="LD2" s="90"/>
      <c r="LE2" s="90"/>
      <c r="LF2" s="90"/>
      <c r="LG2" s="90"/>
      <c r="LH2" s="90"/>
      <c r="LI2" s="90"/>
      <c r="LJ2" s="90"/>
      <c r="LK2" s="90"/>
      <c r="LL2" s="96">
        <v>29</v>
      </c>
      <c r="LM2" s="92"/>
      <c r="LN2" s="90"/>
      <c r="LO2" s="90"/>
      <c r="LP2" s="90"/>
      <c r="LQ2" s="90"/>
      <c r="LR2" s="90"/>
      <c r="LS2" s="90"/>
      <c r="LT2" s="90"/>
      <c r="LU2" s="90"/>
      <c r="LV2" s="90"/>
      <c r="LW2" s="90"/>
      <c r="LX2" s="90"/>
      <c r="LY2" s="90"/>
      <c r="LZ2" s="96">
        <v>31</v>
      </c>
      <c r="MA2" s="92"/>
      <c r="MB2" s="97"/>
      <c r="MC2" s="97"/>
      <c r="MD2" s="97"/>
      <c r="ME2" s="97"/>
      <c r="MF2" s="97"/>
      <c r="MG2" s="97"/>
      <c r="MH2" s="97"/>
      <c r="MI2" s="97"/>
      <c r="MJ2" s="97"/>
      <c r="MK2" s="97"/>
      <c r="ML2" s="97"/>
      <c r="MM2" s="97"/>
      <c r="MN2" s="97"/>
    </row>
    <row r="3" spans="1:352" s="89" customFormat="1" ht="13.5" thickBot="1" x14ac:dyDescent="0.35">
      <c r="A3" s="94"/>
      <c r="B3" s="113" t="s">
        <v>161</v>
      </c>
      <c r="C3" s="99"/>
      <c r="D3" s="344" t="s">
        <v>10</v>
      </c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/>
      <c r="P3" s="114" t="str">
        <f>+D3</f>
        <v>Accounts</v>
      </c>
      <c r="Q3" s="115"/>
      <c r="R3" s="344" t="s">
        <v>11</v>
      </c>
      <c r="S3" s="345"/>
      <c r="T3" s="345"/>
      <c r="U3" s="345"/>
      <c r="V3" s="345"/>
      <c r="W3" s="345"/>
      <c r="X3" s="345"/>
      <c r="Y3" s="345"/>
      <c r="Z3" s="345"/>
      <c r="AA3" s="345"/>
      <c r="AB3" s="345"/>
      <c r="AC3" s="346"/>
      <c r="AD3" s="114" t="str">
        <f>+R3</f>
        <v>Admin</v>
      </c>
      <c r="AE3" s="115"/>
      <c r="AF3" s="344" t="s">
        <v>12</v>
      </c>
      <c r="AG3" s="345"/>
      <c r="AH3" s="345"/>
      <c r="AI3" s="345"/>
      <c r="AJ3" s="345"/>
      <c r="AK3" s="345"/>
      <c r="AL3" s="345"/>
      <c r="AM3" s="345"/>
      <c r="AN3" s="345"/>
      <c r="AO3" s="345"/>
      <c r="AP3" s="345"/>
      <c r="AQ3" s="346"/>
      <c r="AR3" s="114" t="str">
        <f>AF3</f>
        <v>Agency Services</v>
      </c>
      <c r="AS3" s="115"/>
      <c r="AT3" s="344" t="s">
        <v>13</v>
      </c>
      <c r="AU3" s="345"/>
      <c r="AV3" s="345"/>
      <c r="AW3" s="345"/>
      <c r="AX3" s="345"/>
      <c r="AY3" s="345"/>
      <c r="AZ3" s="345"/>
      <c r="BA3" s="345"/>
      <c r="BB3" s="345"/>
      <c r="BC3" s="345"/>
      <c r="BD3" s="345"/>
      <c r="BE3" s="346"/>
      <c r="BF3" s="114" t="str">
        <f>AT3</f>
        <v>Commercial</v>
      </c>
      <c r="BG3" s="115"/>
      <c r="BH3" s="344" t="s">
        <v>14</v>
      </c>
      <c r="BI3" s="345"/>
      <c r="BJ3" s="345"/>
      <c r="BK3" s="345"/>
      <c r="BL3" s="345"/>
      <c r="BM3" s="345"/>
      <c r="BN3" s="345"/>
      <c r="BO3" s="345"/>
      <c r="BP3" s="345"/>
      <c r="BQ3" s="345"/>
      <c r="BR3" s="345"/>
      <c r="BS3" s="346"/>
      <c r="BT3" s="116" t="str">
        <f>+BH3</f>
        <v>Consultancy Services</v>
      </c>
      <c r="BU3" s="115"/>
      <c r="BV3" s="344" t="s">
        <v>8</v>
      </c>
      <c r="BW3" s="345"/>
      <c r="BX3" s="345"/>
      <c r="BY3" s="345"/>
      <c r="BZ3" s="345"/>
      <c r="CA3" s="345"/>
      <c r="CB3" s="345"/>
      <c r="CC3" s="345"/>
      <c r="CD3" s="345"/>
      <c r="CE3" s="345"/>
      <c r="CF3" s="345"/>
      <c r="CG3" s="346"/>
      <c r="CH3" s="114" t="str">
        <f>+BV3</f>
        <v>Crew Management</v>
      </c>
      <c r="CI3" s="115"/>
      <c r="CJ3" s="344" t="s">
        <v>9</v>
      </c>
      <c r="CK3" s="345"/>
      <c r="CL3" s="345"/>
      <c r="CM3" s="345"/>
      <c r="CN3" s="345"/>
      <c r="CO3" s="345"/>
      <c r="CP3" s="345"/>
      <c r="CQ3" s="345"/>
      <c r="CR3" s="345"/>
      <c r="CS3" s="345"/>
      <c r="CT3" s="345"/>
      <c r="CU3" s="346"/>
      <c r="CV3" s="114" t="str">
        <f>+CJ3</f>
        <v>Cruise Management</v>
      </c>
      <c r="CW3" s="115"/>
      <c r="CX3" s="344" t="s">
        <v>16</v>
      </c>
      <c r="CY3" s="345"/>
      <c r="CZ3" s="345"/>
      <c r="DA3" s="345"/>
      <c r="DB3" s="345"/>
      <c r="DC3" s="345"/>
      <c r="DD3" s="345"/>
      <c r="DE3" s="345"/>
      <c r="DF3" s="345"/>
      <c r="DG3" s="345"/>
      <c r="DH3" s="345"/>
      <c r="DI3" s="346"/>
      <c r="DJ3" s="114" t="str">
        <f>+CX3</f>
        <v>IT</v>
      </c>
      <c r="DK3" s="115"/>
      <c r="DL3" s="344" t="s">
        <v>17</v>
      </c>
      <c r="DM3" s="345"/>
      <c r="DN3" s="345"/>
      <c r="DO3" s="345"/>
      <c r="DP3" s="345"/>
      <c r="DQ3" s="345"/>
      <c r="DR3" s="345"/>
      <c r="DS3" s="345"/>
      <c r="DT3" s="345"/>
      <c r="DU3" s="345"/>
      <c r="DV3" s="345"/>
      <c r="DW3" s="346"/>
      <c r="DX3" s="114" t="str">
        <f>+DL3</f>
        <v>Procurement</v>
      </c>
      <c r="DY3" s="115"/>
      <c r="DZ3" s="344" t="s">
        <v>17</v>
      </c>
      <c r="EA3" s="345"/>
      <c r="EB3" s="345"/>
      <c r="EC3" s="345"/>
      <c r="ED3" s="345"/>
      <c r="EE3" s="345"/>
      <c r="EF3" s="345"/>
      <c r="EG3" s="345"/>
      <c r="EH3" s="345"/>
      <c r="EI3" s="345"/>
      <c r="EJ3" s="345"/>
      <c r="EK3" s="346"/>
      <c r="EL3" s="114" t="str">
        <f>+DZ3</f>
        <v>Procurement</v>
      </c>
      <c r="EM3" s="115"/>
      <c r="EN3" s="344" t="s">
        <v>18</v>
      </c>
      <c r="EO3" s="345"/>
      <c r="EP3" s="345"/>
      <c r="EQ3" s="345"/>
      <c r="ER3" s="345"/>
      <c r="ES3" s="345"/>
      <c r="ET3" s="345"/>
      <c r="EU3" s="345"/>
      <c r="EV3" s="345"/>
      <c r="EW3" s="345"/>
      <c r="EX3" s="345"/>
      <c r="EY3" s="346"/>
      <c r="EZ3" s="114" t="str">
        <f>+EN3</f>
        <v>Ship Management</v>
      </c>
      <c r="FA3" s="115"/>
      <c r="FB3" s="344" t="s">
        <v>18</v>
      </c>
      <c r="FC3" s="345"/>
      <c r="FD3" s="345"/>
      <c r="FE3" s="345"/>
      <c r="FF3" s="345"/>
      <c r="FG3" s="345"/>
      <c r="FH3" s="345"/>
      <c r="FI3" s="345"/>
      <c r="FJ3" s="345"/>
      <c r="FK3" s="345"/>
      <c r="FL3" s="345"/>
      <c r="FM3" s="346"/>
      <c r="FN3" s="114" t="str">
        <f>+FB3</f>
        <v>Ship Management</v>
      </c>
      <c r="FO3" s="115"/>
      <c r="FP3" s="344" t="s">
        <v>18</v>
      </c>
      <c r="FQ3" s="345"/>
      <c r="FR3" s="345"/>
      <c r="FS3" s="345"/>
      <c r="FT3" s="345"/>
      <c r="FU3" s="345"/>
      <c r="FV3" s="345"/>
      <c r="FW3" s="345"/>
      <c r="FX3" s="345"/>
      <c r="FY3" s="345"/>
      <c r="FZ3" s="345"/>
      <c r="GA3" s="346"/>
      <c r="GB3" s="114" t="str">
        <f>+FP3</f>
        <v>Ship Management</v>
      </c>
      <c r="GC3" s="115"/>
      <c r="GD3" s="344" t="s">
        <v>18</v>
      </c>
      <c r="GE3" s="345"/>
      <c r="GF3" s="345"/>
      <c r="GG3" s="345"/>
      <c r="GH3" s="345"/>
      <c r="GI3" s="345"/>
      <c r="GJ3" s="345"/>
      <c r="GK3" s="345"/>
      <c r="GL3" s="345"/>
      <c r="GM3" s="345"/>
      <c r="GN3" s="345"/>
      <c r="GO3" s="346"/>
      <c r="GP3" s="116" t="str">
        <f>+GD3</f>
        <v>Ship Management</v>
      </c>
      <c r="GQ3" s="115"/>
      <c r="GR3" s="344" t="s">
        <v>162</v>
      </c>
      <c r="GS3" s="345"/>
      <c r="GT3" s="345"/>
      <c r="GU3" s="345"/>
      <c r="GV3" s="345"/>
      <c r="GW3" s="345"/>
      <c r="GX3" s="345"/>
      <c r="GY3" s="345"/>
      <c r="GZ3" s="345"/>
      <c r="HA3" s="345"/>
      <c r="HB3" s="345"/>
      <c r="HC3" s="346"/>
      <c r="HD3" s="114" t="str">
        <f>+GR3</f>
        <v>Vacant Seats</v>
      </c>
      <c r="HE3" s="115"/>
      <c r="HF3" s="344" t="s">
        <v>18</v>
      </c>
      <c r="HG3" s="345"/>
      <c r="HH3" s="345"/>
      <c r="HI3" s="345"/>
      <c r="HJ3" s="345"/>
      <c r="HK3" s="345"/>
      <c r="HL3" s="345"/>
      <c r="HM3" s="345"/>
      <c r="HN3" s="345"/>
      <c r="HO3" s="345"/>
      <c r="HP3" s="345"/>
      <c r="HQ3" s="346"/>
      <c r="HR3" s="114" t="str">
        <f>+HF3</f>
        <v>Ship Management</v>
      </c>
      <c r="HS3" s="115"/>
      <c r="HT3" s="344" t="s">
        <v>18</v>
      </c>
      <c r="HU3" s="345"/>
      <c r="HV3" s="345"/>
      <c r="HW3" s="345"/>
      <c r="HX3" s="345"/>
      <c r="HY3" s="345"/>
      <c r="HZ3" s="345"/>
      <c r="IA3" s="345"/>
      <c r="IB3" s="345"/>
      <c r="IC3" s="345"/>
      <c r="ID3" s="345"/>
      <c r="IE3" s="346"/>
      <c r="IF3" s="114" t="str">
        <f>+HT3</f>
        <v>Ship Management</v>
      </c>
      <c r="IG3" s="115"/>
      <c r="IH3" s="344" t="s">
        <v>18</v>
      </c>
      <c r="II3" s="345"/>
      <c r="IJ3" s="345"/>
      <c r="IK3" s="345"/>
      <c r="IL3" s="345"/>
      <c r="IM3" s="345"/>
      <c r="IN3" s="345"/>
      <c r="IO3" s="345"/>
      <c r="IP3" s="345"/>
      <c r="IQ3" s="345"/>
      <c r="IR3" s="345"/>
      <c r="IS3" s="346"/>
      <c r="IT3" s="114" t="str">
        <f>+IH3</f>
        <v>Ship Management</v>
      </c>
      <c r="IU3" s="115"/>
      <c r="IV3" s="344" t="s">
        <v>18</v>
      </c>
      <c r="IW3" s="345"/>
      <c r="IX3" s="345"/>
      <c r="IY3" s="345"/>
      <c r="IZ3" s="345"/>
      <c r="JA3" s="345"/>
      <c r="JB3" s="345"/>
      <c r="JC3" s="345"/>
      <c r="JD3" s="345"/>
      <c r="JE3" s="345"/>
      <c r="JF3" s="345"/>
      <c r="JG3" s="346"/>
      <c r="JH3" s="114" t="str">
        <f>+IV3</f>
        <v>Ship Management</v>
      </c>
      <c r="JI3" s="115"/>
      <c r="JJ3" s="344" t="s">
        <v>18</v>
      </c>
      <c r="JK3" s="345"/>
      <c r="JL3" s="345"/>
      <c r="JM3" s="345"/>
      <c r="JN3" s="345"/>
      <c r="JO3" s="345"/>
      <c r="JP3" s="345"/>
      <c r="JQ3" s="345"/>
      <c r="JR3" s="345"/>
      <c r="JS3" s="345"/>
      <c r="JT3" s="345"/>
      <c r="JU3" s="346"/>
      <c r="JV3" s="114" t="str">
        <f>+JJ3</f>
        <v>Ship Management</v>
      </c>
      <c r="JW3" s="115"/>
      <c r="JX3" s="344" t="s">
        <v>18</v>
      </c>
      <c r="JY3" s="345"/>
      <c r="JZ3" s="345"/>
      <c r="KA3" s="345"/>
      <c r="KB3" s="345"/>
      <c r="KC3" s="345"/>
      <c r="KD3" s="345"/>
      <c r="KE3" s="345"/>
      <c r="KF3" s="345"/>
      <c r="KG3" s="345"/>
      <c r="KH3" s="345"/>
      <c r="KI3" s="346"/>
      <c r="KJ3" s="114" t="str">
        <f>+JX3</f>
        <v>Ship Management</v>
      </c>
      <c r="KK3" s="115"/>
      <c r="KL3" s="344" t="s">
        <v>10</v>
      </c>
      <c r="KM3" s="345"/>
      <c r="KN3" s="345"/>
      <c r="KO3" s="345"/>
      <c r="KP3" s="345"/>
      <c r="KQ3" s="345"/>
      <c r="KR3" s="345"/>
      <c r="KS3" s="345"/>
      <c r="KT3" s="345"/>
      <c r="KU3" s="345"/>
      <c r="KV3" s="345"/>
      <c r="KW3" s="346"/>
      <c r="KX3" s="114" t="str">
        <f>+KL3</f>
        <v>Accounts</v>
      </c>
      <c r="KY3" s="115"/>
      <c r="KZ3" s="344" t="s">
        <v>10</v>
      </c>
      <c r="LA3" s="345"/>
      <c r="LB3" s="345"/>
      <c r="LC3" s="345"/>
      <c r="LD3" s="345"/>
      <c r="LE3" s="345"/>
      <c r="LF3" s="345"/>
      <c r="LG3" s="345"/>
      <c r="LH3" s="345"/>
      <c r="LI3" s="345"/>
      <c r="LJ3" s="345"/>
      <c r="LK3" s="346"/>
      <c r="LL3" s="116" t="str">
        <f>+KZ3</f>
        <v>Accounts</v>
      </c>
      <c r="LM3" s="115"/>
      <c r="LN3" s="344"/>
      <c r="LO3" s="345"/>
      <c r="LP3" s="345"/>
      <c r="LQ3" s="345"/>
      <c r="LR3" s="345"/>
      <c r="LS3" s="345"/>
      <c r="LT3" s="345"/>
      <c r="LU3" s="345"/>
      <c r="LV3" s="345"/>
      <c r="LW3" s="345"/>
      <c r="LX3" s="345"/>
      <c r="LY3" s="346"/>
      <c r="LZ3" s="114">
        <f>+LN3</f>
        <v>0</v>
      </c>
      <c r="MA3" s="115"/>
      <c r="MB3" s="117">
        <f>LN6</f>
        <v>45688</v>
      </c>
      <c r="MC3" s="117">
        <f>LO6</f>
        <v>45716</v>
      </c>
      <c r="MD3" s="117">
        <f t="shared" ref="MD3:MM3" si="1">LP6</f>
        <v>45747</v>
      </c>
      <c r="ME3" s="117">
        <f t="shared" si="1"/>
        <v>45777</v>
      </c>
      <c r="MF3" s="117">
        <f t="shared" si="1"/>
        <v>45808</v>
      </c>
      <c r="MG3" s="117">
        <f t="shared" si="1"/>
        <v>45838</v>
      </c>
      <c r="MH3" s="117">
        <f t="shared" si="1"/>
        <v>45869</v>
      </c>
      <c r="MI3" s="117">
        <f t="shared" si="1"/>
        <v>45900</v>
      </c>
      <c r="MJ3" s="117">
        <f t="shared" si="1"/>
        <v>45930</v>
      </c>
      <c r="MK3" s="117">
        <f t="shared" si="1"/>
        <v>45961</v>
      </c>
      <c r="ML3" s="117">
        <f t="shared" si="1"/>
        <v>45991</v>
      </c>
      <c r="MM3" s="117">
        <f t="shared" si="1"/>
        <v>46022</v>
      </c>
      <c r="MN3" s="118" t="str">
        <f>LZ6</f>
        <v>Total</v>
      </c>
    </row>
    <row r="4" spans="1:352" s="89" customFormat="1" ht="13.5" thickBot="1" x14ac:dyDescent="0.35">
      <c r="A4" s="94"/>
      <c r="B4" s="119" t="s">
        <v>163</v>
      </c>
      <c r="C4" s="99"/>
      <c r="D4" s="347" t="s">
        <v>25</v>
      </c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9"/>
      <c r="P4" s="120" t="str">
        <f>+D4</f>
        <v>Fleet Accounts</v>
      </c>
      <c r="Q4" s="115"/>
      <c r="R4" s="347" t="s">
        <v>26</v>
      </c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9"/>
      <c r="AD4" s="120" t="str">
        <f>+R4</f>
        <v>Administration</v>
      </c>
      <c r="AE4" s="115"/>
      <c r="AF4" s="347" t="s">
        <v>27</v>
      </c>
      <c r="AG4" s="348"/>
      <c r="AH4" s="348"/>
      <c r="AI4" s="348"/>
      <c r="AJ4" s="348"/>
      <c r="AK4" s="348"/>
      <c r="AL4" s="348"/>
      <c r="AM4" s="348"/>
      <c r="AN4" s="348"/>
      <c r="AO4" s="348"/>
      <c r="AP4" s="348"/>
      <c r="AQ4" s="349"/>
      <c r="AR4" s="120" t="str">
        <f>AF4</f>
        <v>Agency Hub</v>
      </c>
      <c r="AS4" s="115"/>
      <c r="AT4" s="347" t="s">
        <v>13</v>
      </c>
      <c r="AU4" s="348"/>
      <c r="AV4" s="348"/>
      <c r="AW4" s="348"/>
      <c r="AX4" s="348"/>
      <c r="AY4" s="348"/>
      <c r="AZ4" s="348"/>
      <c r="BA4" s="348"/>
      <c r="BB4" s="348"/>
      <c r="BC4" s="348"/>
      <c r="BD4" s="348"/>
      <c r="BE4" s="349"/>
      <c r="BF4" s="120" t="str">
        <f>AT4</f>
        <v>Commercial</v>
      </c>
      <c r="BG4" s="115"/>
      <c r="BH4" s="347" t="s">
        <v>28</v>
      </c>
      <c r="BI4" s="348"/>
      <c r="BJ4" s="348"/>
      <c r="BK4" s="348"/>
      <c r="BL4" s="348"/>
      <c r="BM4" s="348"/>
      <c r="BN4" s="348"/>
      <c r="BO4" s="348"/>
      <c r="BP4" s="348"/>
      <c r="BQ4" s="348"/>
      <c r="BR4" s="348"/>
      <c r="BS4" s="349"/>
      <c r="BT4" s="120" t="str">
        <f>+BH4</f>
        <v>Fleet Performance</v>
      </c>
      <c r="BU4" s="115"/>
      <c r="BV4" s="347" t="s">
        <v>22</v>
      </c>
      <c r="BW4" s="348"/>
      <c r="BX4" s="348"/>
      <c r="BY4" s="348"/>
      <c r="BZ4" s="348"/>
      <c r="CA4" s="348"/>
      <c r="CB4" s="348"/>
      <c r="CC4" s="348"/>
      <c r="CD4" s="348"/>
      <c r="CE4" s="348"/>
      <c r="CF4" s="348"/>
      <c r="CG4" s="349"/>
      <c r="CH4" s="120" t="str">
        <f>+BV4</f>
        <v>Group Marine HR</v>
      </c>
      <c r="CI4" s="115"/>
      <c r="CJ4" s="347" t="s">
        <v>23</v>
      </c>
      <c r="CK4" s="348"/>
      <c r="CL4" s="348"/>
      <c r="CM4" s="348"/>
      <c r="CN4" s="348"/>
      <c r="CO4" s="348"/>
      <c r="CP4" s="348"/>
      <c r="CQ4" s="348"/>
      <c r="CR4" s="348"/>
      <c r="CS4" s="348"/>
      <c r="CT4" s="348"/>
      <c r="CU4" s="349"/>
      <c r="CV4" s="121" t="str">
        <f>+CJ4</f>
        <v>Miami Ship Management</v>
      </c>
      <c r="CW4" s="115"/>
      <c r="CX4" s="347" t="s">
        <v>31</v>
      </c>
      <c r="CY4" s="348"/>
      <c r="CZ4" s="348"/>
      <c r="DA4" s="348"/>
      <c r="DB4" s="348"/>
      <c r="DC4" s="348"/>
      <c r="DD4" s="348"/>
      <c r="DE4" s="348"/>
      <c r="DF4" s="348"/>
      <c r="DG4" s="348"/>
      <c r="DH4" s="348"/>
      <c r="DI4" s="349"/>
      <c r="DJ4" s="120" t="str">
        <f>+CX4</f>
        <v>Group IT</v>
      </c>
      <c r="DK4" s="115"/>
      <c r="DL4" s="347" t="s">
        <v>32</v>
      </c>
      <c r="DM4" s="348"/>
      <c r="DN4" s="348"/>
      <c r="DO4" s="348"/>
      <c r="DP4" s="348"/>
      <c r="DQ4" s="348"/>
      <c r="DR4" s="348"/>
      <c r="DS4" s="348"/>
      <c r="DT4" s="348"/>
      <c r="DU4" s="348"/>
      <c r="DV4" s="348"/>
      <c r="DW4" s="349"/>
      <c r="DX4" s="120" t="str">
        <f>+DL4</f>
        <v>Galleymasters</v>
      </c>
      <c r="DY4" s="115"/>
      <c r="DZ4" s="347" t="s">
        <v>33</v>
      </c>
      <c r="EA4" s="348"/>
      <c r="EB4" s="348"/>
      <c r="EC4" s="348"/>
      <c r="ED4" s="348"/>
      <c r="EE4" s="348"/>
      <c r="EF4" s="348"/>
      <c r="EG4" s="348"/>
      <c r="EH4" s="348"/>
      <c r="EI4" s="348"/>
      <c r="EJ4" s="348"/>
      <c r="EK4" s="349"/>
      <c r="EL4" s="120" t="str">
        <f>+DZ4</f>
        <v>Sourcing</v>
      </c>
      <c r="EM4" s="115"/>
      <c r="EN4" s="347" t="s">
        <v>34</v>
      </c>
      <c r="EO4" s="348"/>
      <c r="EP4" s="348"/>
      <c r="EQ4" s="348"/>
      <c r="ER4" s="348"/>
      <c r="ES4" s="348"/>
      <c r="ET4" s="348"/>
      <c r="EU4" s="348"/>
      <c r="EV4" s="348"/>
      <c r="EW4" s="348"/>
      <c r="EX4" s="348"/>
      <c r="EY4" s="349"/>
      <c r="EZ4" s="120" t="str">
        <f>+EN4</f>
        <v>Antwerp Dry</v>
      </c>
      <c r="FA4" s="115"/>
      <c r="FB4" s="347" t="s">
        <v>35</v>
      </c>
      <c r="FC4" s="348"/>
      <c r="FD4" s="348"/>
      <c r="FE4" s="348"/>
      <c r="FF4" s="348"/>
      <c r="FG4" s="348"/>
      <c r="FH4" s="348"/>
      <c r="FI4" s="348"/>
      <c r="FJ4" s="348"/>
      <c r="FK4" s="348"/>
      <c r="FL4" s="348"/>
      <c r="FM4" s="349"/>
      <c r="FN4" s="120" t="str">
        <f>+FB4</f>
        <v>Goes Dry</v>
      </c>
      <c r="FO4" s="115"/>
      <c r="FP4" s="347" t="s">
        <v>36</v>
      </c>
      <c r="FQ4" s="348"/>
      <c r="FR4" s="348"/>
      <c r="FS4" s="348"/>
      <c r="FT4" s="348"/>
      <c r="FU4" s="348"/>
      <c r="FV4" s="348"/>
      <c r="FW4" s="348"/>
      <c r="FX4" s="348"/>
      <c r="FY4" s="348"/>
      <c r="FZ4" s="348"/>
      <c r="GA4" s="349"/>
      <c r="GB4" s="120" t="str">
        <f>+FP4</f>
        <v>Group Operations</v>
      </c>
      <c r="GC4" s="115"/>
      <c r="GD4" s="347" t="s">
        <v>37</v>
      </c>
      <c r="GE4" s="348"/>
      <c r="GF4" s="348"/>
      <c r="GG4" s="348"/>
      <c r="GH4" s="348"/>
      <c r="GI4" s="348"/>
      <c r="GJ4" s="348"/>
      <c r="GK4" s="348"/>
      <c r="GL4" s="348"/>
      <c r="GM4" s="348"/>
      <c r="GN4" s="348"/>
      <c r="GO4" s="349"/>
      <c r="GP4" s="121" t="str">
        <f>+GD4</f>
        <v>Group Shared Service Center</v>
      </c>
      <c r="GQ4" s="115"/>
      <c r="GR4" s="347" t="s">
        <v>162</v>
      </c>
      <c r="GS4" s="348"/>
      <c r="GT4" s="348"/>
      <c r="GU4" s="348"/>
      <c r="GV4" s="348"/>
      <c r="GW4" s="348"/>
      <c r="GX4" s="348"/>
      <c r="GY4" s="348"/>
      <c r="GZ4" s="348"/>
      <c r="HA4" s="348"/>
      <c r="HB4" s="348"/>
      <c r="HC4" s="349"/>
      <c r="HD4" s="120" t="str">
        <f>+GR4</f>
        <v>Vacant Seats</v>
      </c>
      <c r="HE4" s="115"/>
      <c r="HF4" s="347" t="s">
        <v>38</v>
      </c>
      <c r="HG4" s="348"/>
      <c r="HH4" s="348"/>
      <c r="HI4" s="348"/>
      <c r="HJ4" s="348"/>
      <c r="HK4" s="348"/>
      <c r="HL4" s="348"/>
      <c r="HM4" s="348"/>
      <c r="HN4" s="348"/>
      <c r="HO4" s="348"/>
      <c r="HP4" s="348"/>
      <c r="HQ4" s="349"/>
      <c r="HR4" s="120" t="str">
        <f>+HF4</f>
        <v>Hamburg Dry</v>
      </c>
      <c r="HS4" s="115"/>
      <c r="HT4" s="347" t="s">
        <v>39</v>
      </c>
      <c r="HU4" s="348"/>
      <c r="HV4" s="348"/>
      <c r="HW4" s="348"/>
      <c r="HX4" s="348"/>
      <c r="HY4" s="348"/>
      <c r="HZ4" s="348"/>
      <c r="IA4" s="348"/>
      <c r="IB4" s="348"/>
      <c r="IC4" s="348"/>
      <c r="ID4" s="348"/>
      <c r="IE4" s="349"/>
      <c r="IF4" s="120" t="str">
        <f>+HT4</f>
        <v>Hong Kong Dry 1</v>
      </c>
      <c r="IG4" s="115"/>
      <c r="IH4" s="347" t="s">
        <v>40</v>
      </c>
      <c r="II4" s="348"/>
      <c r="IJ4" s="348"/>
      <c r="IK4" s="348"/>
      <c r="IL4" s="348"/>
      <c r="IM4" s="348"/>
      <c r="IN4" s="348"/>
      <c r="IO4" s="348"/>
      <c r="IP4" s="348"/>
      <c r="IQ4" s="348"/>
      <c r="IR4" s="348"/>
      <c r="IS4" s="349"/>
      <c r="IT4" s="120" t="str">
        <f>+IH4</f>
        <v>JV Ardmore</v>
      </c>
      <c r="IU4" s="115"/>
      <c r="IV4" s="347" t="s">
        <v>41</v>
      </c>
      <c r="IW4" s="348"/>
      <c r="IX4" s="348"/>
      <c r="IY4" s="348"/>
      <c r="IZ4" s="348"/>
      <c r="JA4" s="348"/>
      <c r="JB4" s="348"/>
      <c r="JC4" s="348"/>
      <c r="JD4" s="348"/>
      <c r="JE4" s="348"/>
      <c r="JF4" s="348"/>
      <c r="JG4" s="349"/>
      <c r="JH4" s="120" t="str">
        <f>+IV4</f>
        <v>Singapore Dry</v>
      </c>
      <c r="JI4" s="115"/>
      <c r="JJ4" s="347" t="s">
        <v>42</v>
      </c>
      <c r="JK4" s="348"/>
      <c r="JL4" s="348"/>
      <c r="JM4" s="348"/>
      <c r="JN4" s="348"/>
      <c r="JO4" s="348"/>
      <c r="JP4" s="348"/>
      <c r="JQ4" s="348"/>
      <c r="JR4" s="348"/>
      <c r="JS4" s="348"/>
      <c r="JT4" s="348"/>
      <c r="JU4" s="349"/>
      <c r="JV4" s="120" t="str">
        <f>+JJ4</f>
        <v>Singapore Tanker 1</v>
      </c>
      <c r="JW4" s="115"/>
      <c r="JX4" s="347" t="s">
        <v>43</v>
      </c>
      <c r="JY4" s="348"/>
      <c r="JZ4" s="348"/>
      <c r="KA4" s="348"/>
      <c r="KB4" s="348"/>
      <c r="KC4" s="348"/>
      <c r="KD4" s="348"/>
      <c r="KE4" s="348"/>
      <c r="KF4" s="348"/>
      <c r="KG4" s="348"/>
      <c r="KH4" s="348"/>
      <c r="KI4" s="349"/>
      <c r="KJ4" s="120" t="str">
        <f>+JX4</f>
        <v>Singapore Tanker 2</v>
      </c>
      <c r="KK4" s="115"/>
      <c r="KL4" s="347" t="s">
        <v>164</v>
      </c>
      <c r="KM4" s="348"/>
      <c r="KN4" s="348"/>
      <c r="KO4" s="348"/>
      <c r="KP4" s="348"/>
      <c r="KQ4" s="348"/>
      <c r="KR4" s="348"/>
      <c r="KS4" s="348"/>
      <c r="KT4" s="348"/>
      <c r="KU4" s="348"/>
      <c r="KV4" s="348"/>
      <c r="KW4" s="349"/>
      <c r="KX4" s="120" t="str">
        <f>+KL4</f>
        <v>Accounts Payables</v>
      </c>
      <c r="KY4" s="115"/>
      <c r="KZ4" s="347" t="s">
        <v>24</v>
      </c>
      <c r="LA4" s="348"/>
      <c r="LB4" s="348"/>
      <c r="LC4" s="348"/>
      <c r="LD4" s="348"/>
      <c r="LE4" s="348"/>
      <c r="LF4" s="348"/>
      <c r="LG4" s="348"/>
      <c r="LH4" s="348"/>
      <c r="LI4" s="348"/>
      <c r="LJ4" s="348"/>
      <c r="LK4" s="349"/>
      <c r="LL4" s="121" t="str">
        <f>+KZ4</f>
        <v>CMI Accounts Payables</v>
      </c>
      <c r="LM4" s="115"/>
      <c r="LN4" s="347"/>
      <c r="LO4" s="348"/>
      <c r="LP4" s="348"/>
      <c r="LQ4" s="348"/>
      <c r="LR4" s="348"/>
      <c r="LS4" s="348"/>
      <c r="LT4" s="348"/>
      <c r="LU4" s="348"/>
      <c r="LV4" s="348"/>
      <c r="LW4" s="348"/>
      <c r="LX4" s="348"/>
      <c r="LY4" s="349"/>
      <c r="LZ4" s="120">
        <f>+LN4</f>
        <v>0</v>
      </c>
      <c r="MA4" s="115"/>
      <c r="MB4" s="122" t="s">
        <v>165</v>
      </c>
      <c r="MC4" s="122" t="str">
        <f>MB4</f>
        <v>All Divisions</v>
      </c>
      <c r="MD4" s="122" t="str">
        <f t="shared" ref="MD4:MN7" si="2">MC4</f>
        <v>All Divisions</v>
      </c>
      <c r="ME4" s="122" t="str">
        <f t="shared" si="2"/>
        <v>All Divisions</v>
      </c>
      <c r="MF4" s="122" t="str">
        <f t="shared" si="2"/>
        <v>All Divisions</v>
      </c>
      <c r="MG4" s="122" t="str">
        <f t="shared" si="2"/>
        <v>All Divisions</v>
      </c>
      <c r="MH4" s="122" t="str">
        <f t="shared" si="2"/>
        <v>All Divisions</v>
      </c>
      <c r="MI4" s="122" t="str">
        <f t="shared" si="2"/>
        <v>All Divisions</v>
      </c>
      <c r="MJ4" s="122" t="str">
        <f t="shared" si="2"/>
        <v>All Divisions</v>
      </c>
      <c r="MK4" s="122" t="str">
        <f t="shared" si="2"/>
        <v>All Divisions</v>
      </c>
      <c r="ML4" s="122" t="str">
        <f t="shared" si="2"/>
        <v>All Divisions</v>
      </c>
      <c r="MM4" s="122" t="str">
        <f t="shared" si="2"/>
        <v>All Divisions</v>
      </c>
      <c r="MN4" s="123" t="str">
        <f t="shared" si="2"/>
        <v>All Divisions</v>
      </c>
    </row>
    <row r="5" spans="1:352" s="89" customFormat="1" ht="12.5" x14ac:dyDescent="0.25">
      <c r="A5" s="110"/>
      <c r="B5" s="124" t="s">
        <v>166</v>
      </c>
      <c r="C5" s="110"/>
      <c r="D5" s="125" t="s">
        <v>167</v>
      </c>
      <c r="E5" s="126" t="s">
        <v>167</v>
      </c>
      <c r="F5" s="126" t="s">
        <v>167</v>
      </c>
      <c r="G5" s="126" t="s">
        <v>167</v>
      </c>
      <c r="H5" s="126" t="s">
        <v>167</v>
      </c>
      <c r="I5" s="126" t="s">
        <v>167</v>
      </c>
      <c r="J5" s="126" t="s">
        <v>167</v>
      </c>
      <c r="K5" s="126" t="s">
        <v>167</v>
      </c>
      <c r="L5" s="126" t="s">
        <v>167</v>
      </c>
      <c r="M5" s="126" t="s">
        <v>167</v>
      </c>
      <c r="N5" s="126" t="s">
        <v>167</v>
      </c>
      <c r="O5" s="126" t="s">
        <v>167</v>
      </c>
      <c r="P5" s="127" t="s">
        <v>167</v>
      </c>
      <c r="Q5" s="128"/>
      <c r="R5" s="125" t="s">
        <v>167</v>
      </c>
      <c r="S5" s="126" t="s">
        <v>167</v>
      </c>
      <c r="T5" s="126" t="s">
        <v>167</v>
      </c>
      <c r="U5" s="126" t="s">
        <v>167</v>
      </c>
      <c r="V5" s="126" t="s">
        <v>167</v>
      </c>
      <c r="W5" s="126" t="s">
        <v>167</v>
      </c>
      <c r="X5" s="126" t="s">
        <v>167</v>
      </c>
      <c r="Y5" s="126" t="s">
        <v>167</v>
      </c>
      <c r="Z5" s="126" t="s">
        <v>167</v>
      </c>
      <c r="AA5" s="126" t="s">
        <v>167</v>
      </c>
      <c r="AB5" s="126" t="s">
        <v>167</v>
      </c>
      <c r="AC5" s="126" t="s">
        <v>167</v>
      </c>
      <c r="AD5" s="127" t="s">
        <v>167</v>
      </c>
      <c r="AE5" s="128"/>
      <c r="AF5" s="125" t="s">
        <v>167</v>
      </c>
      <c r="AG5" s="126" t="s">
        <v>167</v>
      </c>
      <c r="AH5" s="126" t="s">
        <v>167</v>
      </c>
      <c r="AI5" s="126" t="s">
        <v>167</v>
      </c>
      <c r="AJ5" s="126" t="s">
        <v>167</v>
      </c>
      <c r="AK5" s="126" t="s">
        <v>167</v>
      </c>
      <c r="AL5" s="126" t="s">
        <v>167</v>
      </c>
      <c r="AM5" s="126" t="s">
        <v>167</v>
      </c>
      <c r="AN5" s="126" t="s">
        <v>167</v>
      </c>
      <c r="AO5" s="126" t="s">
        <v>167</v>
      </c>
      <c r="AP5" s="126" t="s">
        <v>167</v>
      </c>
      <c r="AQ5" s="126" t="s">
        <v>167</v>
      </c>
      <c r="AR5" s="127" t="s">
        <v>167</v>
      </c>
      <c r="AS5" s="128"/>
      <c r="AT5" s="125" t="s">
        <v>167</v>
      </c>
      <c r="AU5" s="126" t="s">
        <v>167</v>
      </c>
      <c r="AV5" s="126" t="s">
        <v>167</v>
      </c>
      <c r="AW5" s="126" t="s">
        <v>167</v>
      </c>
      <c r="AX5" s="126" t="s">
        <v>167</v>
      </c>
      <c r="AY5" s="126" t="s">
        <v>167</v>
      </c>
      <c r="AZ5" s="126" t="s">
        <v>167</v>
      </c>
      <c r="BA5" s="126" t="s">
        <v>167</v>
      </c>
      <c r="BB5" s="126" t="s">
        <v>167</v>
      </c>
      <c r="BC5" s="126" t="s">
        <v>167</v>
      </c>
      <c r="BD5" s="126" t="s">
        <v>167</v>
      </c>
      <c r="BE5" s="126" t="s">
        <v>167</v>
      </c>
      <c r="BF5" s="127" t="s">
        <v>167</v>
      </c>
      <c r="BG5" s="128"/>
      <c r="BH5" s="125" t="s">
        <v>167</v>
      </c>
      <c r="BI5" s="126" t="s">
        <v>167</v>
      </c>
      <c r="BJ5" s="126" t="s">
        <v>167</v>
      </c>
      <c r="BK5" s="126" t="s">
        <v>167</v>
      </c>
      <c r="BL5" s="126" t="s">
        <v>167</v>
      </c>
      <c r="BM5" s="126" t="s">
        <v>167</v>
      </c>
      <c r="BN5" s="126" t="s">
        <v>167</v>
      </c>
      <c r="BO5" s="126" t="s">
        <v>167</v>
      </c>
      <c r="BP5" s="126" t="s">
        <v>167</v>
      </c>
      <c r="BQ5" s="126" t="s">
        <v>167</v>
      </c>
      <c r="BR5" s="126" t="s">
        <v>167</v>
      </c>
      <c r="BS5" s="126" t="s">
        <v>167</v>
      </c>
      <c r="BT5" s="127" t="s">
        <v>167</v>
      </c>
      <c r="BU5" s="128"/>
      <c r="BV5" s="125" t="s">
        <v>167</v>
      </c>
      <c r="BW5" s="126" t="s">
        <v>167</v>
      </c>
      <c r="BX5" s="126" t="s">
        <v>167</v>
      </c>
      <c r="BY5" s="126" t="s">
        <v>167</v>
      </c>
      <c r="BZ5" s="126" t="s">
        <v>167</v>
      </c>
      <c r="CA5" s="126" t="s">
        <v>167</v>
      </c>
      <c r="CB5" s="126" t="s">
        <v>167</v>
      </c>
      <c r="CC5" s="126" t="s">
        <v>167</v>
      </c>
      <c r="CD5" s="126" t="s">
        <v>167</v>
      </c>
      <c r="CE5" s="126" t="s">
        <v>167</v>
      </c>
      <c r="CF5" s="126" t="s">
        <v>167</v>
      </c>
      <c r="CG5" s="126" t="s">
        <v>167</v>
      </c>
      <c r="CH5" s="127" t="s">
        <v>167</v>
      </c>
      <c r="CI5" s="128"/>
      <c r="CJ5" s="125" t="s">
        <v>167</v>
      </c>
      <c r="CK5" s="126" t="s">
        <v>167</v>
      </c>
      <c r="CL5" s="126" t="s">
        <v>167</v>
      </c>
      <c r="CM5" s="126" t="s">
        <v>167</v>
      </c>
      <c r="CN5" s="126" t="s">
        <v>167</v>
      </c>
      <c r="CO5" s="126" t="s">
        <v>167</v>
      </c>
      <c r="CP5" s="126" t="s">
        <v>167</v>
      </c>
      <c r="CQ5" s="126" t="s">
        <v>167</v>
      </c>
      <c r="CR5" s="126" t="s">
        <v>167</v>
      </c>
      <c r="CS5" s="126" t="s">
        <v>167</v>
      </c>
      <c r="CT5" s="126" t="s">
        <v>167</v>
      </c>
      <c r="CU5" s="126" t="s">
        <v>167</v>
      </c>
      <c r="CV5" s="127" t="s">
        <v>167</v>
      </c>
      <c r="CW5" s="128"/>
      <c r="CX5" s="125" t="s">
        <v>167</v>
      </c>
      <c r="CY5" s="126" t="s">
        <v>167</v>
      </c>
      <c r="CZ5" s="126" t="s">
        <v>167</v>
      </c>
      <c r="DA5" s="126" t="s">
        <v>167</v>
      </c>
      <c r="DB5" s="126" t="s">
        <v>167</v>
      </c>
      <c r="DC5" s="126" t="s">
        <v>167</v>
      </c>
      <c r="DD5" s="126" t="s">
        <v>167</v>
      </c>
      <c r="DE5" s="126" t="s">
        <v>167</v>
      </c>
      <c r="DF5" s="126" t="s">
        <v>167</v>
      </c>
      <c r="DG5" s="126" t="s">
        <v>167</v>
      </c>
      <c r="DH5" s="126" t="s">
        <v>167</v>
      </c>
      <c r="DI5" s="126" t="s">
        <v>167</v>
      </c>
      <c r="DJ5" s="127" t="s">
        <v>167</v>
      </c>
      <c r="DK5" s="128"/>
      <c r="DL5" s="125" t="s">
        <v>167</v>
      </c>
      <c r="DM5" s="126" t="s">
        <v>167</v>
      </c>
      <c r="DN5" s="126" t="s">
        <v>167</v>
      </c>
      <c r="DO5" s="126" t="s">
        <v>167</v>
      </c>
      <c r="DP5" s="126" t="s">
        <v>167</v>
      </c>
      <c r="DQ5" s="126" t="s">
        <v>167</v>
      </c>
      <c r="DR5" s="126" t="s">
        <v>167</v>
      </c>
      <c r="DS5" s="126" t="s">
        <v>167</v>
      </c>
      <c r="DT5" s="126" t="s">
        <v>167</v>
      </c>
      <c r="DU5" s="126" t="s">
        <v>167</v>
      </c>
      <c r="DV5" s="126" t="s">
        <v>167</v>
      </c>
      <c r="DW5" s="126" t="s">
        <v>167</v>
      </c>
      <c r="DX5" s="127" t="s">
        <v>167</v>
      </c>
      <c r="DY5" s="128"/>
      <c r="DZ5" s="125" t="s">
        <v>167</v>
      </c>
      <c r="EA5" s="126" t="s">
        <v>167</v>
      </c>
      <c r="EB5" s="126" t="s">
        <v>167</v>
      </c>
      <c r="EC5" s="126" t="s">
        <v>167</v>
      </c>
      <c r="ED5" s="126" t="s">
        <v>167</v>
      </c>
      <c r="EE5" s="126" t="s">
        <v>167</v>
      </c>
      <c r="EF5" s="126" t="s">
        <v>167</v>
      </c>
      <c r="EG5" s="126" t="s">
        <v>167</v>
      </c>
      <c r="EH5" s="126" t="s">
        <v>167</v>
      </c>
      <c r="EI5" s="126" t="s">
        <v>167</v>
      </c>
      <c r="EJ5" s="126" t="s">
        <v>167</v>
      </c>
      <c r="EK5" s="126" t="s">
        <v>167</v>
      </c>
      <c r="EL5" s="127" t="s">
        <v>167</v>
      </c>
      <c r="EM5" s="128"/>
      <c r="EN5" s="125" t="s">
        <v>167</v>
      </c>
      <c r="EO5" s="126" t="s">
        <v>167</v>
      </c>
      <c r="EP5" s="126" t="s">
        <v>167</v>
      </c>
      <c r="EQ5" s="126" t="s">
        <v>167</v>
      </c>
      <c r="ER5" s="126" t="s">
        <v>167</v>
      </c>
      <c r="ES5" s="126" t="s">
        <v>167</v>
      </c>
      <c r="ET5" s="126" t="s">
        <v>167</v>
      </c>
      <c r="EU5" s="126" t="s">
        <v>167</v>
      </c>
      <c r="EV5" s="126" t="s">
        <v>167</v>
      </c>
      <c r="EW5" s="126" t="s">
        <v>167</v>
      </c>
      <c r="EX5" s="126" t="s">
        <v>167</v>
      </c>
      <c r="EY5" s="126" t="s">
        <v>167</v>
      </c>
      <c r="EZ5" s="127" t="s">
        <v>167</v>
      </c>
      <c r="FA5" s="128"/>
      <c r="FB5" s="125" t="s">
        <v>167</v>
      </c>
      <c r="FC5" s="126" t="s">
        <v>167</v>
      </c>
      <c r="FD5" s="126" t="s">
        <v>167</v>
      </c>
      <c r="FE5" s="126" t="s">
        <v>167</v>
      </c>
      <c r="FF5" s="126" t="s">
        <v>167</v>
      </c>
      <c r="FG5" s="126" t="s">
        <v>167</v>
      </c>
      <c r="FH5" s="126" t="s">
        <v>167</v>
      </c>
      <c r="FI5" s="126" t="s">
        <v>167</v>
      </c>
      <c r="FJ5" s="126" t="s">
        <v>167</v>
      </c>
      <c r="FK5" s="126" t="s">
        <v>167</v>
      </c>
      <c r="FL5" s="126" t="s">
        <v>167</v>
      </c>
      <c r="FM5" s="126" t="s">
        <v>167</v>
      </c>
      <c r="FN5" s="127" t="s">
        <v>167</v>
      </c>
      <c r="FO5" s="128"/>
      <c r="FP5" s="125" t="s">
        <v>167</v>
      </c>
      <c r="FQ5" s="126" t="s">
        <v>167</v>
      </c>
      <c r="FR5" s="126" t="s">
        <v>167</v>
      </c>
      <c r="FS5" s="126" t="s">
        <v>167</v>
      </c>
      <c r="FT5" s="126" t="s">
        <v>167</v>
      </c>
      <c r="FU5" s="126" t="s">
        <v>167</v>
      </c>
      <c r="FV5" s="126" t="s">
        <v>167</v>
      </c>
      <c r="FW5" s="126" t="s">
        <v>167</v>
      </c>
      <c r="FX5" s="126" t="s">
        <v>167</v>
      </c>
      <c r="FY5" s="126" t="s">
        <v>167</v>
      </c>
      <c r="FZ5" s="126" t="s">
        <v>167</v>
      </c>
      <c r="GA5" s="126" t="s">
        <v>167</v>
      </c>
      <c r="GB5" s="127" t="s">
        <v>167</v>
      </c>
      <c r="GC5" s="128"/>
      <c r="GD5" s="125" t="s">
        <v>167</v>
      </c>
      <c r="GE5" s="126" t="s">
        <v>167</v>
      </c>
      <c r="GF5" s="126" t="s">
        <v>167</v>
      </c>
      <c r="GG5" s="126" t="s">
        <v>167</v>
      </c>
      <c r="GH5" s="126" t="s">
        <v>167</v>
      </c>
      <c r="GI5" s="126" t="s">
        <v>167</v>
      </c>
      <c r="GJ5" s="126" t="s">
        <v>167</v>
      </c>
      <c r="GK5" s="126" t="s">
        <v>167</v>
      </c>
      <c r="GL5" s="126" t="s">
        <v>167</v>
      </c>
      <c r="GM5" s="126" t="s">
        <v>167</v>
      </c>
      <c r="GN5" s="126" t="s">
        <v>167</v>
      </c>
      <c r="GO5" s="126" t="s">
        <v>167</v>
      </c>
      <c r="GP5" s="127" t="s">
        <v>167</v>
      </c>
      <c r="GQ5" s="128"/>
      <c r="GR5" s="125" t="s">
        <v>167</v>
      </c>
      <c r="GS5" s="126" t="s">
        <v>167</v>
      </c>
      <c r="GT5" s="126" t="s">
        <v>167</v>
      </c>
      <c r="GU5" s="126" t="s">
        <v>167</v>
      </c>
      <c r="GV5" s="126" t="s">
        <v>167</v>
      </c>
      <c r="GW5" s="126" t="s">
        <v>167</v>
      </c>
      <c r="GX5" s="126" t="s">
        <v>167</v>
      </c>
      <c r="GY5" s="126" t="s">
        <v>167</v>
      </c>
      <c r="GZ5" s="126" t="s">
        <v>167</v>
      </c>
      <c r="HA5" s="126" t="s">
        <v>167</v>
      </c>
      <c r="HB5" s="126" t="s">
        <v>167</v>
      </c>
      <c r="HC5" s="126" t="s">
        <v>167</v>
      </c>
      <c r="HD5" s="127" t="s">
        <v>167</v>
      </c>
      <c r="HE5" s="128"/>
      <c r="HF5" s="125" t="s">
        <v>167</v>
      </c>
      <c r="HG5" s="126" t="s">
        <v>167</v>
      </c>
      <c r="HH5" s="126" t="s">
        <v>167</v>
      </c>
      <c r="HI5" s="126" t="s">
        <v>167</v>
      </c>
      <c r="HJ5" s="126" t="s">
        <v>167</v>
      </c>
      <c r="HK5" s="126" t="s">
        <v>167</v>
      </c>
      <c r="HL5" s="126" t="s">
        <v>167</v>
      </c>
      <c r="HM5" s="126" t="s">
        <v>167</v>
      </c>
      <c r="HN5" s="126" t="s">
        <v>167</v>
      </c>
      <c r="HO5" s="126" t="s">
        <v>167</v>
      </c>
      <c r="HP5" s="126" t="s">
        <v>167</v>
      </c>
      <c r="HQ5" s="126" t="s">
        <v>167</v>
      </c>
      <c r="HR5" s="127" t="s">
        <v>167</v>
      </c>
      <c r="HS5" s="128"/>
      <c r="HT5" s="125" t="s">
        <v>167</v>
      </c>
      <c r="HU5" s="126" t="s">
        <v>167</v>
      </c>
      <c r="HV5" s="126" t="s">
        <v>167</v>
      </c>
      <c r="HW5" s="126" t="s">
        <v>167</v>
      </c>
      <c r="HX5" s="126" t="s">
        <v>167</v>
      </c>
      <c r="HY5" s="126" t="s">
        <v>167</v>
      </c>
      <c r="HZ5" s="126" t="s">
        <v>167</v>
      </c>
      <c r="IA5" s="126" t="s">
        <v>167</v>
      </c>
      <c r="IB5" s="126" t="s">
        <v>167</v>
      </c>
      <c r="IC5" s="126" t="s">
        <v>167</v>
      </c>
      <c r="ID5" s="126" t="s">
        <v>167</v>
      </c>
      <c r="IE5" s="126" t="s">
        <v>167</v>
      </c>
      <c r="IF5" s="127" t="s">
        <v>167</v>
      </c>
      <c r="IG5" s="128"/>
      <c r="IH5" s="125" t="s">
        <v>167</v>
      </c>
      <c r="II5" s="126" t="s">
        <v>167</v>
      </c>
      <c r="IJ5" s="126" t="s">
        <v>167</v>
      </c>
      <c r="IK5" s="126" t="s">
        <v>167</v>
      </c>
      <c r="IL5" s="126" t="s">
        <v>167</v>
      </c>
      <c r="IM5" s="126" t="s">
        <v>167</v>
      </c>
      <c r="IN5" s="126" t="s">
        <v>167</v>
      </c>
      <c r="IO5" s="126" t="s">
        <v>167</v>
      </c>
      <c r="IP5" s="126" t="s">
        <v>167</v>
      </c>
      <c r="IQ5" s="126" t="s">
        <v>167</v>
      </c>
      <c r="IR5" s="126" t="s">
        <v>167</v>
      </c>
      <c r="IS5" s="126" t="s">
        <v>167</v>
      </c>
      <c r="IT5" s="127" t="s">
        <v>167</v>
      </c>
      <c r="IU5" s="128"/>
      <c r="IV5" s="125" t="s">
        <v>167</v>
      </c>
      <c r="IW5" s="126" t="s">
        <v>167</v>
      </c>
      <c r="IX5" s="126" t="s">
        <v>167</v>
      </c>
      <c r="IY5" s="126" t="s">
        <v>167</v>
      </c>
      <c r="IZ5" s="126" t="s">
        <v>167</v>
      </c>
      <c r="JA5" s="126" t="s">
        <v>167</v>
      </c>
      <c r="JB5" s="126" t="s">
        <v>167</v>
      </c>
      <c r="JC5" s="126" t="s">
        <v>167</v>
      </c>
      <c r="JD5" s="126" t="s">
        <v>167</v>
      </c>
      <c r="JE5" s="126" t="s">
        <v>167</v>
      </c>
      <c r="JF5" s="126" t="s">
        <v>167</v>
      </c>
      <c r="JG5" s="126" t="s">
        <v>167</v>
      </c>
      <c r="JH5" s="127" t="s">
        <v>167</v>
      </c>
      <c r="JI5" s="128"/>
      <c r="JJ5" s="125" t="s">
        <v>167</v>
      </c>
      <c r="JK5" s="126" t="s">
        <v>167</v>
      </c>
      <c r="JL5" s="126" t="s">
        <v>167</v>
      </c>
      <c r="JM5" s="126" t="s">
        <v>167</v>
      </c>
      <c r="JN5" s="126" t="s">
        <v>167</v>
      </c>
      <c r="JO5" s="126" t="s">
        <v>167</v>
      </c>
      <c r="JP5" s="126" t="s">
        <v>167</v>
      </c>
      <c r="JQ5" s="126" t="s">
        <v>167</v>
      </c>
      <c r="JR5" s="126" t="s">
        <v>167</v>
      </c>
      <c r="JS5" s="126" t="s">
        <v>167</v>
      </c>
      <c r="JT5" s="126" t="s">
        <v>167</v>
      </c>
      <c r="JU5" s="126" t="s">
        <v>167</v>
      </c>
      <c r="JV5" s="127" t="s">
        <v>167</v>
      </c>
      <c r="JW5" s="128"/>
      <c r="JX5" s="125" t="s">
        <v>167</v>
      </c>
      <c r="JY5" s="126" t="s">
        <v>167</v>
      </c>
      <c r="JZ5" s="126" t="s">
        <v>167</v>
      </c>
      <c r="KA5" s="126" t="s">
        <v>167</v>
      </c>
      <c r="KB5" s="126" t="s">
        <v>167</v>
      </c>
      <c r="KC5" s="126" t="s">
        <v>167</v>
      </c>
      <c r="KD5" s="126" t="s">
        <v>167</v>
      </c>
      <c r="KE5" s="126" t="s">
        <v>167</v>
      </c>
      <c r="KF5" s="126" t="s">
        <v>167</v>
      </c>
      <c r="KG5" s="126" t="s">
        <v>167</v>
      </c>
      <c r="KH5" s="126" t="s">
        <v>167</v>
      </c>
      <c r="KI5" s="126" t="s">
        <v>167</v>
      </c>
      <c r="KJ5" s="127" t="s">
        <v>167</v>
      </c>
      <c r="KK5" s="128"/>
      <c r="KL5" s="125" t="s">
        <v>167</v>
      </c>
      <c r="KM5" s="126" t="s">
        <v>167</v>
      </c>
      <c r="KN5" s="126" t="s">
        <v>167</v>
      </c>
      <c r="KO5" s="126" t="s">
        <v>167</v>
      </c>
      <c r="KP5" s="126" t="s">
        <v>167</v>
      </c>
      <c r="KQ5" s="126" t="s">
        <v>167</v>
      </c>
      <c r="KR5" s="126" t="s">
        <v>167</v>
      </c>
      <c r="KS5" s="126" t="s">
        <v>167</v>
      </c>
      <c r="KT5" s="126" t="s">
        <v>167</v>
      </c>
      <c r="KU5" s="126" t="s">
        <v>167</v>
      </c>
      <c r="KV5" s="126" t="s">
        <v>167</v>
      </c>
      <c r="KW5" s="126" t="s">
        <v>167</v>
      </c>
      <c r="KX5" s="127" t="s">
        <v>167</v>
      </c>
      <c r="KY5" s="128"/>
      <c r="KZ5" s="125" t="s">
        <v>167</v>
      </c>
      <c r="LA5" s="126" t="s">
        <v>167</v>
      </c>
      <c r="LB5" s="126" t="s">
        <v>167</v>
      </c>
      <c r="LC5" s="126" t="s">
        <v>167</v>
      </c>
      <c r="LD5" s="126" t="s">
        <v>167</v>
      </c>
      <c r="LE5" s="126" t="s">
        <v>167</v>
      </c>
      <c r="LF5" s="126" t="s">
        <v>167</v>
      </c>
      <c r="LG5" s="126" t="s">
        <v>167</v>
      </c>
      <c r="LH5" s="126" t="s">
        <v>167</v>
      </c>
      <c r="LI5" s="126" t="s">
        <v>167</v>
      </c>
      <c r="LJ5" s="126" t="s">
        <v>167</v>
      </c>
      <c r="LK5" s="126" t="s">
        <v>167</v>
      </c>
      <c r="LL5" s="127" t="s">
        <v>167</v>
      </c>
      <c r="LM5" s="128"/>
      <c r="LN5" s="125" t="s">
        <v>167</v>
      </c>
      <c r="LO5" s="126" t="s">
        <v>167</v>
      </c>
      <c r="LP5" s="126" t="s">
        <v>167</v>
      </c>
      <c r="LQ5" s="126" t="s">
        <v>167</v>
      </c>
      <c r="LR5" s="126" t="s">
        <v>167</v>
      </c>
      <c r="LS5" s="126" t="s">
        <v>167</v>
      </c>
      <c r="LT5" s="126" t="s">
        <v>167</v>
      </c>
      <c r="LU5" s="126" t="s">
        <v>167</v>
      </c>
      <c r="LV5" s="126" t="s">
        <v>167</v>
      </c>
      <c r="LW5" s="126" t="s">
        <v>167</v>
      </c>
      <c r="LX5" s="126" t="s">
        <v>167</v>
      </c>
      <c r="LY5" s="126" t="s">
        <v>167</v>
      </c>
      <c r="LZ5" s="127" t="s">
        <v>167</v>
      </c>
      <c r="MA5" s="128"/>
      <c r="MB5" s="129" t="s">
        <v>167</v>
      </c>
      <c r="MC5" s="129" t="str">
        <f>MB5</f>
        <v>INR</v>
      </c>
      <c r="MD5" s="129" t="str">
        <f t="shared" si="2"/>
        <v>INR</v>
      </c>
      <c r="ME5" s="129" t="str">
        <f t="shared" si="2"/>
        <v>INR</v>
      </c>
      <c r="MF5" s="129" t="str">
        <f t="shared" si="2"/>
        <v>INR</v>
      </c>
      <c r="MG5" s="129" t="str">
        <f t="shared" si="2"/>
        <v>INR</v>
      </c>
      <c r="MH5" s="129" t="str">
        <f t="shared" si="2"/>
        <v>INR</v>
      </c>
      <c r="MI5" s="129" t="str">
        <f t="shared" si="2"/>
        <v>INR</v>
      </c>
      <c r="MJ5" s="129" t="str">
        <f t="shared" si="2"/>
        <v>INR</v>
      </c>
      <c r="MK5" s="129" t="str">
        <f t="shared" si="2"/>
        <v>INR</v>
      </c>
      <c r="ML5" s="129" t="str">
        <f t="shared" si="2"/>
        <v>INR</v>
      </c>
      <c r="MM5" s="129" t="str">
        <f t="shared" si="2"/>
        <v>INR</v>
      </c>
      <c r="MN5" s="130" t="str">
        <f t="shared" si="2"/>
        <v>INR</v>
      </c>
    </row>
    <row r="6" spans="1:352" s="89" customFormat="1" ht="15.75" customHeight="1" thickBot="1" x14ac:dyDescent="0.35">
      <c r="A6" s="131"/>
      <c r="B6" s="132" t="s">
        <v>168</v>
      </c>
      <c r="C6" s="131"/>
      <c r="D6" s="133">
        <v>45688</v>
      </c>
      <c r="E6" s="134">
        <v>45716</v>
      </c>
      <c r="F6" s="134">
        <v>45747</v>
      </c>
      <c r="G6" s="134">
        <v>45777</v>
      </c>
      <c r="H6" s="134">
        <v>45808</v>
      </c>
      <c r="I6" s="134">
        <v>45838</v>
      </c>
      <c r="J6" s="134">
        <v>45869</v>
      </c>
      <c r="K6" s="134">
        <v>45900</v>
      </c>
      <c r="L6" s="134">
        <v>45930</v>
      </c>
      <c r="M6" s="134">
        <v>45961</v>
      </c>
      <c r="N6" s="134">
        <v>45991</v>
      </c>
      <c r="O6" s="134">
        <v>46022</v>
      </c>
      <c r="P6" s="135" t="s">
        <v>169</v>
      </c>
      <c r="Q6" s="136"/>
      <c r="R6" s="134">
        <v>45688</v>
      </c>
      <c r="S6" s="134">
        <v>45716</v>
      </c>
      <c r="T6" s="134">
        <v>45747</v>
      </c>
      <c r="U6" s="134">
        <v>45777</v>
      </c>
      <c r="V6" s="134">
        <v>45808</v>
      </c>
      <c r="W6" s="134">
        <v>45838</v>
      </c>
      <c r="X6" s="134">
        <v>45869</v>
      </c>
      <c r="Y6" s="134">
        <v>45900</v>
      </c>
      <c r="Z6" s="134">
        <v>45930</v>
      </c>
      <c r="AA6" s="134">
        <v>45961</v>
      </c>
      <c r="AB6" s="134">
        <v>45991</v>
      </c>
      <c r="AC6" s="134">
        <v>46022</v>
      </c>
      <c r="AD6" s="137" t="str">
        <f>+P6</f>
        <v>Budget-2025</v>
      </c>
      <c r="AE6" s="128"/>
      <c r="AF6" s="133">
        <v>45688</v>
      </c>
      <c r="AG6" s="134">
        <v>45716</v>
      </c>
      <c r="AH6" s="134">
        <v>45747</v>
      </c>
      <c r="AI6" s="134">
        <v>45777</v>
      </c>
      <c r="AJ6" s="134">
        <v>45808</v>
      </c>
      <c r="AK6" s="134">
        <v>45838</v>
      </c>
      <c r="AL6" s="134">
        <v>45869</v>
      </c>
      <c r="AM6" s="134">
        <v>45900</v>
      </c>
      <c r="AN6" s="134">
        <v>45930</v>
      </c>
      <c r="AO6" s="134">
        <v>45961</v>
      </c>
      <c r="AP6" s="134">
        <v>45991</v>
      </c>
      <c r="AQ6" s="134">
        <v>46022</v>
      </c>
      <c r="AR6" s="137" t="str">
        <f>AD6</f>
        <v>Budget-2025</v>
      </c>
      <c r="AS6" s="138"/>
      <c r="AT6" s="133">
        <v>45688</v>
      </c>
      <c r="AU6" s="134">
        <v>45716</v>
      </c>
      <c r="AV6" s="134">
        <v>45747</v>
      </c>
      <c r="AW6" s="134">
        <v>45777</v>
      </c>
      <c r="AX6" s="134">
        <v>45808</v>
      </c>
      <c r="AY6" s="134">
        <v>45838</v>
      </c>
      <c r="AZ6" s="134">
        <v>45869</v>
      </c>
      <c r="BA6" s="134">
        <v>45900</v>
      </c>
      <c r="BB6" s="134">
        <v>45930</v>
      </c>
      <c r="BC6" s="134">
        <v>45961</v>
      </c>
      <c r="BD6" s="134">
        <v>45991</v>
      </c>
      <c r="BE6" s="134">
        <v>46022</v>
      </c>
      <c r="BF6" s="137" t="str">
        <f>AR6</f>
        <v>Budget-2025</v>
      </c>
      <c r="BG6" s="138"/>
      <c r="BH6" s="133">
        <v>45688</v>
      </c>
      <c r="BI6" s="134">
        <v>45716</v>
      </c>
      <c r="BJ6" s="134">
        <v>45747</v>
      </c>
      <c r="BK6" s="134">
        <v>45777</v>
      </c>
      <c r="BL6" s="134">
        <v>45808</v>
      </c>
      <c r="BM6" s="134">
        <v>45838</v>
      </c>
      <c r="BN6" s="134">
        <v>45869</v>
      </c>
      <c r="BO6" s="134">
        <v>45900</v>
      </c>
      <c r="BP6" s="134">
        <v>45930</v>
      </c>
      <c r="BQ6" s="134">
        <v>45961</v>
      </c>
      <c r="BR6" s="134">
        <v>45991</v>
      </c>
      <c r="BS6" s="134">
        <v>46022</v>
      </c>
      <c r="BT6" s="137" t="e">
        <f>+#REF!</f>
        <v>#REF!</v>
      </c>
      <c r="BU6" s="138"/>
      <c r="BV6" s="133">
        <v>45688</v>
      </c>
      <c r="BW6" s="134">
        <v>45716</v>
      </c>
      <c r="BX6" s="134">
        <v>45747</v>
      </c>
      <c r="BY6" s="134">
        <v>45777</v>
      </c>
      <c r="BZ6" s="134">
        <v>45808</v>
      </c>
      <c r="CA6" s="134">
        <v>45838</v>
      </c>
      <c r="CB6" s="134">
        <v>45869</v>
      </c>
      <c r="CC6" s="134">
        <v>45900</v>
      </c>
      <c r="CD6" s="134">
        <v>45930</v>
      </c>
      <c r="CE6" s="134">
        <v>45961</v>
      </c>
      <c r="CF6" s="134">
        <v>45991</v>
      </c>
      <c r="CG6" s="134">
        <v>46022</v>
      </c>
      <c r="CH6" s="137" t="e">
        <f>+#REF!</f>
        <v>#REF!</v>
      </c>
      <c r="CI6" s="138"/>
      <c r="CJ6" s="133">
        <v>45688</v>
      </c>
      <c r="CK6" s="134">
        <v>45716</v>
      </c>
      <c r="CL6" s="134">
        <v>45747</v>
      </c>
      <c r="CM6" s="134">
        <v>45777</v>
      </c>
      <c r="CN6" s="134">
        <v>45808</v>
      </c>
      <c r="CO6" s="134">
        <v>45838</v>
      </c>
      <c r="CP6" s="134">
        <v>45869</v>
      </c>
      <c r="CQ6" s="134">
        <v>45900</v>
      </c>
      <c r="CR6" s="134">
        <v>45930</v>
      </c>
      <c r="CS6" s="134">
        <v>45961</v>
      </c>
      <c r="CT6" s="134">
        <v>45991</v>
      </c>
      <c r="CU6" s="134">
        <v>46022</v>
      </c>
      <c r="CV6" s="137" t="e">
        <f>+#REF!</f>
        <v>#REF!</v>
      </c>
      <c r="CW6" s="138"/>
      <c r="CX6" s="133">
        <v>45688</v>
      </c>
      <c r="CY6" s="134">
        <v>45716</v>
      </c>
      <c r="CZ6" s="134">
        <v>45747</v>
      </c>
      <c r="DA6" s="134">
        <v>45777</v>
      </c>
      <c r="DB6" s="134">
        <v>45808</v>
      </c>
      <c r="DC6" s="134">
        <v>45838</v>
      </c>
      <c r="DD6" s="134">
        <v>45869</v>
      </c>
      <c r="DE6" s="134">
        <v>45900</v>
      </c>
      <c r="DF6" s="134">
        <v>45930</v>
      </c>
      <c r="DG6" s="134">
        <v>45961</v>
      </c>
      <c r="DH6" s="134">
        <v>45991</v>
      </c>
      <c r="DI6" s="134">
        <v>46022</v>
      </c>
      <c r="DJ6" s="137" t="e">
        <f>+CV6</f>
        <v>#REF!</v>
      </c>
      <c r="DK6" s="138"/>
      <c r="DL6" s="133">
        <v>45688</v>
      </c>
      <c r="DM6" s="134">
        <v>45716</v>
      </c>
      <c r="DN6" s="134">
        <v>45747</v>
      </c>
      <c r="DO6" s="134">
        <v>45777</v>
      </c>
      <c r="DP6" s="134">
        <v>45808</v>
      </c>
      <c r="DQ6" s="134">
        <v>45838</v>
      </c>
      <c r="DR6" s="134">
        <v>45869</v>
      </c>
      <c r="DS6" s="134">
        <v>45900</v>
      </c>
      <c r="DT6" s="134">
        <v>45930</v>
      </c>
      <c r="DU6" s="134">
        <v>45961</v>
      </c>
      <c r="DV6" s="134">
        <v>45991</v>
      </c>
      <c r="DW6" s="134">
        <v>46022</v>
      </c>
      <c r="DX6" s="137" t="e">
        <f>+DJ6</f>
        <v>#REF!</v>
      </c>
      <c r="DY6" s="138"/>
      <c r="DZ6" s="133">
        <v>45688</v>
      </c>
      <c r="EA6" s="134">
        <v>45716</v>
      </c>
      <c r="EB6" s="134">
        <v>45747</v>
      </c>
      <c r="EC6" s="134">
        <v>45777</v>
      </c>
      <c r="ED6" s="134">
        <v>45808</v>
      </c>
      <c r="EE6" s="134">
        <v>45838</v>
      </c>
      <c r="EF6" s="134">
        <v>45869</v>
      </c>
      <c r="EG6" s="134">
        <v>45900</v>
      </c>
      <c r="EH6" s="134">
        <v>45930</v>
      </c>
      <c r="EI6" s="134">
        <v>45961</v>
      </c>
      <c r="EJ6" s="134">
        <v>45991</v>
      </c>
      <c r="EK6" s="134">
        <v>46022</v>
      </c>
      <c r="EL6" s="137" t="e">
        <f>+DX6</f>
        <v>#REF!</v>
      </c>
      <c r="EM6" s="138"/>
      <c r="EN6" s="133">
        <v>45688</v>
      </c>
      <c r="EO6" s="134">
        <v>45716</v>
      </c>
      <c r="EP6" s="134">
        <v>45747</v>
      </c>
      <c r="EQ6" s="134">
        <v>45777</v>
      </c>
      <c r="ER6" s="134">
        <v>45808</v>
      </c>
      <c r="ES6" s="134">
        <v>45838</v>
      </c>
      <c r="ET6" s="134">
        <v>45869</v>
      </c>
      <c r="EU6" s="134">
        <v>45900</v>
      </c>
      <c r="EV6" s="134">
        <v>45930</v>
      </c>
      <c r="EW6" s="134">
        <v>45961</v>
      </c>
      <c r="EX6" s="134">
        <v>45991</v>
      </c>
      <c r="EY6" s="134">
        <v>46022</v>
      </c>
      <c r="EZ6" s="137" t="e">
        <f>+EL6</f>
        <v>#REF!</v>
      </c>
      <c r="FA6" s="138"/>
      <c r="FB6" s="133">
        <v>45688</v>
      </c>
      <c r="FC6" s="134">
        <v>45716</v>
      </c>
      <c r="FD6" s="134">
        <v>45747</v>
      </c>
      <c r="FE6" s="134">
        <v>45777</v>
      </c>
      <c r="FF6" s="134">
        <v>45808</v>
      </c>
      <c r="FG6" s="134">
        <v>45838</v>
      </c>
      <c r="FH6" s="134">
        <v>45869</v>
      </c>
      <c r="FI6" s="134">
        <v>45900</v>
      </c>
      <c r="FJ6" s="134">
        <v>45930</v>
      </c>
      <c r="FK6" s="134">
        <v>45961</v>
      </c>
      <c r="FL6" s="134">
        <v>45991</v>
      </c>
      <c r="FM6" s="134">
        <v>46022</v>
      </c>
      <c r="FN6" s="137" t="e">
        <f>+EZ6</f>
        <v>#REF!</v>
      </c>
      <c r="FO6" s="138"/>
      <c r="FP6" s="133">
        <v>45688</v>
      </c>
      <c r="FQ6" s="134">
        <v>45716</v>
      </c>
      <c r="FR6" s="134">
        <v>45747</v>
      </c>
      <c r="FS6" s="134">
        <v>45777</v>
      </c>
      <c r="FT6" s="134">
        <v>45808</v>
      </c>
      <c r="FU6" s="134">
        <v>45838</v>
      </c>
      <c r="FV6" s="134">
        <v>45869</v>
      </c>
      <c r="FW6" s="134">
        <v>45900</v>
      </c>
      <c r="FX6" s="134">
        <v>45930</v>
      </c>
      <c r="FY6" s="134">
        <v>45961</v>
      </c>
      <c r="FZ6" s="134">
        <v>45991</v>
      </c>
      <c r="GA6" s="134">
        <v>46022</v>
      </c>
      <c r="GB6" s="137" t="e">
        <f>+FN6</f>
        <v>#REF!</v>
      </c>
      <c r="GC6" s="138"/>
      <c r="GD6" s="133">
        <v>45688</v>
      </c>
      <c r="GE6" s="134">
        <v>45716</v>
      </c>
      <c r="GF6" s="134">
        <v>45747</v>
      </c>
      <c r="GG6" s="134">
        <v>45777</v>
      </c>
      <c r="GH6" s="134">
        <v>45808</v>
      </c>
      <c r="GI6" s="134">
        <v>45838</v>
      </c>
      <c r="GJ6" s="134">
        <v>45869</v>
      </c>
      <c r="GK6" s="134">
        <v>45900</v>
      </c>
      <c r="GL6" s="134">
        <v>45930</v>
      </c>
      <c r="GM6" s="134">
        <v>45961</v>
      </c>
      <c r="GN6" s="134">
        <v>45991</v>
      </c>
      <c r="GO6" s="134">
        <v>46022</v>
      </c>
      <c r="GP6" s="137" t="e">
        <f>+#REF!</f>
        <v>#REF!</v>
      </c>
      <c r="GQ6" s="138"/>
      <c r="GR6" s="133">
        <v>45688</v>
      </c>
      <c r="GS6" s="134">
        <v>45716</v>
      </c>
      <c r="GT6" s="134">
        <v>45747</v>
      </c>
      <c r="GU6" s="134">
        <v>45777</v>
      </c>
      <c r="GV6" s="134">
        <v>45808</v>
      </c>
      <c r="GW6" s="134">
        <v>45838</v>
      </c>
      <c r="GX6" s="134">
        <v>45869</v>
      </c>
      <c r="GY6" s="134">
        <v>45900</v>
      </c>
      <c r="GZ6" s="134">
        <v>45930</v>
      </c>
      <c r="HA6" s="134">
        <v>45961</v>
      </c>
      <c r="HB6" s="134">
        <v>45991</v>
      </c>
      <c r="HC6" s="134">
        <v>46022</v>
      </c>
      <c r="HD6" s="137" t="str">
        <f>+LL6</f>
        <v>Total</v>
      </c>
      <c r="HE6" s="138"/>
      <c r="HF6" s="133">
        <v>45688</v>
      </c>
      <c r="HG6" s="134">
        <v>45716</v>
      </c>
      <c r="HH6" s="134">
        <v>45747</v>
      </c>
      <c r="HI6" s="134">
        <v>45777</v>
      </c>
      <c r="HJ6" s="134">
        <v>45808</v>
      </c>
      <c r="HK6" s="134">
        <v>45838</v>
      </c>
      <c r="HL6" s="134">
        <v>45869</v>
      </c>
      <c r="HM6" s="134">
        <v>45900</v>
      </c>
      <c r="HN6" s="134">
        <v>45930</v>
      </c>
      <c r="HO6" s="134">
        <v>45961</v>
      </c>
      <c r="HP6" s="134">
        <v>45991</v>
      </c>
      <c r="HQ6" s="134">
        <v>46022</v>
      </c>
      <c r="HR6" s="137" t="e">
        <f>+GP6</f>
        <v>#REF!</v>
      </c>
      <c r="HS6" s="138"/>
      <c r="HT6" s="133">
        <v>45688</v>
      </c>
      <c r="HU6" s="134">
        <v>45716</v>
      </c>
      <c r="HV6" s="134">
        <v>45747</v>
      </c>
      <c r="HW6" s="134">
        <v>45777</v>
      </c>
      <c r="HX6" s="134">
        <v>45808</v>
      </c>
      <c r="HY6" s="134">
        <v>45838</v>
      </c>
      <c r="HZ6" s="134">
        <v>45869</v>
      </c>
      <c r="IA6" s="134">
        <v>45900</v>
      </c>
      <c r="IB6" s="134">
        <v>45930</v>
      </c>
      <c r="IC6" s="134">
        <v>45961</v>
      </c>
      <c r="ID6" s="134">
        <v>45991</v>
      </c>
      <c r="IE6" s="134">
        <v>46022</v>
      </c>
      <c r="IF6" s="137" t="e">
        <f>+HR6</f>
        <v>#REF!</v>
      </c>
      <c r="IG6" s="138"/>
      <c r="IH6" s="133">
        <v>45688</v>
      </c>
      <c r="II6" s="134">
        <v>45716</v>
      </c>
      <c r="IJ6" s="134">
        <v>45747</v>
      </c>
      <c r="IK6" s="134">
        <v>45777</v>
      </c>
      <c r="IL6" s="134">
        <v>45808</v>
      </c>
      <c r="IM6" s="134">
        <v>45838</v>
      </c>
      <c r="IN6" s="134">
        <v>45869</v>
      </c>
      <c r="IO6" s="134">
        <v>45900</v>
      </c>
      <c r="IP6" s="134">
        <v>45930</v>
      </c>
      <c r="IQ6" s="134">
        <v>45961</v>
      </c>
      <c r="IR6" s="134">
        <v>45991</v>
      </c>
      <c r="IS6" s="134">
        <v>46022</v>
      </c>
      <c r="IT6" s="137" t="e">
        <f>+IF6</f>
        <v>#REF!</v>
      </c>
      <c r="IU6" s="138"/>
      <c r="IV6" s="133">
        <v>45688</v>
      </c>
      <c r="IW6" s="134">
        <v>45716</v>
      </c>
      <c r="IX6" s="134">
        <v>45747</v>
      </c>
      <c r="IY6" s="134">
        <v>45777</v>
      </c>
      <c r="IZ6" s="134">
        <v>45808</v>
      </c>
      <c r="JA6" s="134">
        <v>45838</v>
      </c>
      <c r="JB6" s="134">
        <v>45869</v>
      </c>
      <c r="JC6" s="134">
        <v>45900</v>
      </c>
      <c r="JD6" s="134">
        <v>45930</v>
      </c>
      <c r="JE6" s="134">
        <v>45961</v>
      </c>
      <c r="JF6" s="134">
        <v>45991</v>
      </c>
      <c r="JG6" s="134">
        <v>46022</v>
      </c>
      <c r="JH6" s="137" t="e">
        <f>+IT6</f>
        <v>#REF!</v>
      </c>
      <c r="JI6" s="138"/>
      <c r="JJ6" s="133">
        <v>45688</v>
      </c>
      <c r="JK6" s="134">
        <v>45716</v>
      </c>
      <c r="JL6" s="134">
        <v>45747</v>
      </c>
      <c r="JM6" s="134">
        <v>45777</v>
      </c>
      <c r="JN6" s="134">
        <v>45808</v>
      </c>
      <c r="JO6" s="134">
        <v>45838</v>
      </c>
      <c r="JP6" s="134">
        <v>45869</v>
      </c>
      <c r="JQ6" s="134">
        <v>45900</v>
      </c>
      <c r="JR6" s="134">
        <v>45930</v>
      </c>
      <c r="JS6" s="134">
        <v>45961</v>
      </c>
      <c r="JT6" s="134">
        <v>45991</v>
      </c>
      <c r="JU6" s="134">
        <v>46022</v>
      </c>
      <c r="JV6" s="137" t="e">
        <f>+JH6</f>
        <v>#REF!</v>
      </c>
      <c r="JW6" s="138"/>
      <c r="JX6" s="133">
        <v>45688</v>
      </c>
      <c r="JY6" s="134">
        <v>45716</v>
      </c>
      <c r="JZ6" s="134">
        <v>45747</v>
      </c>
      <c r="KA6" s="134">
        <v>45777</v>
      </c>
      <c r="KB6" s="134">
        <v>45808</v>
      </c>
      <c r="KC6" s="134">
        <v>45838</v>
      </c>
      <c r="KD6" s="134">
        <v>45869</v>
      </c>
      <c r="KE6" s="134">
        <v>45900</v>
      </c>
      <c r="KF6" s="134">
        <v>45930</v>
      </c>
      <c r="KG6" s="134">
        <v>45961</v>
      </c>
      <c r="KH6" s="134">
        <v>45991</v>
      </c>
      <c r="KI6" s="134">
        <v>46022</v>
      </c>
      <c r="KJ6" s="137" t="e">
        <f>+JV6</f>
        <v>#REF!</v>
      </c>
      <c r="KK6" s="138"/>
      <c r="KL6" s="133">
        <v>45688</v>
      </c>
      <c r="KM6" s="134">
        <v>45716</v>
      </c>
      <c r="KN6" s="134">
        <v>45747</v>
      </c>
      <c r="KO6" s="134">
        <v>45777</v>
      </c>
      <c r="KP6" s="134">
        <v>45808</v>
      </c>
      <c r="KQ6" s="134">
        <v>45838</v>
      </c>
      <c r="KR6" s="134">
        <v>45869</v>
      </c>
      <c r="KS6" s="134">
        <v>45900</v>
      </c>
      <c r="KT6" s="134">
        <v>45930</v>
      </c>
      <c r="KU6" s="134">
        <v>45961</v>
      </c>
      <c r="KV6" s="134">
        <v>45991</v>
      </c>
      <c r="KW6" s="134">
        <v>46022</v>
      </c>
      <c r="KX6" s="137" t="s">
        <v>47</v>
      </c>
      <c r="KY6" s="138"/>
      <c r="KZ6" s="133">
        <v>45688</v>
      </c>
      <c r="LA6" s="134">
        <v>45716</v>
      </c>
      <c r="LB6" s="134">
        <v>45747</v>
      </c>
      <c r="LC6" s="134">
        <v>45777</v>
      </c>
      <c r="LD6" s="134">
        <v>45808</v>
      </c>
      <c r="LE6" s="134">
        <v>45838</v>
      </c>
      <c r="LF6" s="134">
        <v>45869</v>
      </c>
      <c r="LG6" s="134">
        <v>45900</v>
      </c>
      <c r="LH6" s="134">
        <v>45930</v>
      </c>
      <c r="LI6" s="134">
        <v>45961</v>
      </c>
      <c r="LJ6" s="134">
        <v>45991</v>
      </c>
      <c r="LK6" s="134">
        <v>46022</v>
      </c>
      <c r="LL6" s="137" t="str">
        <f>+KX6</f>
        <v>Total</v>
      </c>
      <c r="LM6" s="138"/>
      <c r="LN6" s="133">
        <v>45688</v>
      </c>
      <c r="LO6" s="134">
        <v>45716</v>
      </c>
      <c r="LP6" s="134">
        <v>45747</v>
      </c>
      <c r="LQ6" s="134">
        <v>45777</v>
      </c>
      <c r="LR6" s="134">
        <v>45808</v>
      </c>
      <c r="LS6" s="134">
        <v>45838</v>
      </c>
      <c r="LT6" s="134">
        <v>45869</v>
      </c>
      <c r="LU6" s="134">
        <v>45900</v>
      </c>
      <c r="LV6" s="134">
        <v>45930</v>
      </c>
      <c r="LW6" s="134">
        <v>45961</v>
      </c>
      <c r="LX6" s="134">
        <v>45991</v>
      </c>
      <c r="LY6" s="134">
        <v>46022</v>
      </c>
      <c r="LZ6" s="137" t="str">
        <f>+HD6</f>
        <v>Total</v>
      </c>
      <c r="MA6" s="138"/>
      <c r="MB6" s="139" t="s">
        <v>47</v>
      </c>
      <c r="MC6" s="139" t="str">
        <f>MB6</f>
        <v>Total</v>
      </c>
      <c r="MD6" s="139" t="str">
        <f t="shared" si="2"/>
        <v>Total</v>
      </c>
      <c r="ME6" s="139" t="str">
        <f t="shared" si="2"/>
        <v>Total</v>
      </c>
      <c r="MF6" s="139" t="str">
        <f t="shared" si="2"/>
        <v>Total</v>
      </c>
      <c r="MG6" s="139" t="str">
        <f t="shared" si="2"/>
        <v>Total</v>
      </c>
      <c r="MH6" s="139" t="str">
        <f t="shared" si="2"/>
        <v>Total</v>
      </c>
      <c r="MI6" s="139" t="str">
        <f t="shared" si="2"/>
        <v>Total</v>
      </c>
      <c r="MJ6" s="139" t="str">
        <f t="shared" si="2"/>
        <v>Total</v>
      </c>
      <c r="MK6" s="139" t="str">
        <f t="shared" si="2"/>
        <v>Total</v>
      </c>
      <c r="ML6" s="139" t="str">
        <f t="shared" si="2"/>
        <v>Total</v>
      </c>
      <c r="MM6" s="139" t="str">
        <f t="shared" si="2"/>
        <v>Total</v>
      </c>
      <c r="MN6" s="140" t="str">
        <f>MM6</f>
        <v>Total</v>
      </c>
    </row>
    <row r="7" spans="1:352" s="141" customFormat="1" ht="13" x14ac:dyDescent="0.3">
      <c r="B7" s="142" t="s">
        <v>170</v>
      </c>
      <c r="D7" s="143" t="s">
        <v>171</v>
      </c>
      <c r="E7" s="144" t="s">
        <v>171</v>
      </c>
      <c r="F7" s="144" t="s">
        <v>171</v>
      </c>
      <c r="G7" s="144" t="s">
        <v>171</v>
      </c>
      <c r="H7" s="144" t="s">
        <v>171</v>
      </c>
      <c r="I7" s="144" t="s">
        <v>171</v>
      </c>
      <c r="J7" s="144" t="s">
        <v>171</v>
      </c>
      <c r="K7" s="144" t="s">
        <v>171</v>
      </c>
      <c r="L7" s="144" t="s">
        <v>171</v>
      </c>
      <c r="M7" s="144" t="s">
        <v>171</v>
      </c>
      <c r="N7" s="144" t="s">
        <v>171</v>
      </c>
      <c r="O7" s="144" t="s">
        <v>171</v>
      </c>
      <c r="P7" s="145" t="s">
        <v>171</v>
      </c>
      <c r="Q7" s="136"/>
      <c r="R7" s="146" t="s">
        <v>172</v>
      </c>
      <c r="S7" s="147" t="s">
        <v>172</v>
      </c>
      <c r="T7" s="147" t="s">
        <v>172</v>
      </c>
      <c r="U7" s="147" t="s">
        <v>172</v>
      </c>
      <c r="V7" s="147" t="s">
        <v>172</v>
      </c>
      <c r="W7" s="147" t="s">
        <v>172</v>
      </c>
      <c r="X7" s="147" t="s">
        <v>172</v>
      </c>
      <c r="Y7" s="147" t="s">
        <v>172</v>
      </c>
      <c r="Z7" s="147" t="s">
        <v>172</v>
      </c>
      <c r="AA7" s="147" t="s">
        <v>172</v>
      </c>
      <c r="AB7" s="147" t="s">
        <v>172</v>
      </c>
      <c r="AC7" s="147" t="s">
        <v>172</v>
      </c>
      <c r="AD7" s="145" t="s">
        <v>172</v>
      </c>
      <c r="AE7" s="128"/>
      <c r="AF7" s="143" t="s">
        <v>173</v>
      </c>
      <c r="AG7" s="144" t="s">
        <v>173</v>
      </c>
      <c r="AH7" s="144" t="s">
        <v>173</v>
      </c>
      <c r="AI7" s="144" t="s">
        <v>173</v>
      </c>
      <c r="AJ7" s="144" t="s">
        <v>173</v>
      </c>
      <c r="AK7" s="144" t="s">
        <v>173</v>
      </c>
      <c r="AL7" s="144" t="s">
        <v>173</v>
      </c>
      <c r="AM7" s="144" t="s">
        <v>173</v>
      </c>
      <c r="AN7" s="144" t="s">
        <v>173</v>
      </c>
      <c r="AO7" s="144" t="s">
        <v>173</v>
      </c>
      <c r="AP7" s="144" t="s">
        <v>173</v>
      </c>
      <c r="AQ7" s="148" t="s">
        <v>173</v>
      </c>
      <c r="AR7" s="145" t="s">
        <v>173</v>
      </c>
      <c r="AS7" s="138"/>
      <c r="AT7" s="143" t="s">
        <v>174</v>
      </c>
      <c r="AU7" s="144" t="s">
        <v>174</v>
      </c>
      <c r="AV7" s="144" t="s">
        <v>174</v>
      </c>
      <c r="AW7" s="144" t="s">
        <v>174</v>
      </c>
      <c r="AX7" s="144" t="s">
        <v>174</v>
      </c>
      <c r="AY7" s="144" t="s">
        <v>174</v>
      </c>
      <c r="AZ7" s="144" t="s">
        <v>174</v>
      </c>
      <c r="BA7" s="144" t="s">
        <v>174</v>
      </c>
      <c r="BB7" s="144" t="s">
        <v>174</v>
      </c>
      <c r="BC7" s="144" t="s">
        <v>174</v>
      </c>
      <c r="BD7" s="144" t="s">
        <v>174</v>
      </c>
      <c r="BE7" s="144" t="s">
        <v>174</v>
      </c>
      <c r="BF7" s="145" t="s">
        <v>174</v>
      </c>
      <c r="BG7" s="149"/>
      <c r="BH7" s="143" t="s">
        <v>175</v>
      </c>
      <c r="BI7" s="144" t="s">
        <v>175</v>
      </c>
      <c r="BJ7" s="144" t="s">
        <v>175</v>
      </c>
      <c r="BK7" s="144" t="s">
        <v>175</v>
      </c>
      <c r="BL7" s="144" t="s">
        <v>175</v>
      </c>
      <c r="BM7" s="144" t="s">
        <v>175</v>
      </c>
      <c r="BN7" s="144" t="s">
        <v>175</v>
      </c>
      <c r="BO7" s="144" t="s">
        <v>175</v>
      </c>
      <c r="BP7" s="144" t="s">
        <v>175</v>
      </c>
      <c r="BQ7" s="144" t="s">
        <v>175</v>
      </c>
      <c r="BR7" s="144" t="s">
        <v>175</v>
      </c>
      <c r="BS7" s="148" t="s">
        <v>175</v>
      </c>
      <c r="BT7" s="145" t="s">
        <v>175</v>
      </c>
      <c r="BU7" s="150"/>
      <c r="BV7" s="143" t="s">
        <v>176</v>
      </c>
      <c r="BW7" s="144" t="s">
        <v>176</v>
      </c>
      <c r="BX7" s="144" t="s">
        <v>176</v>
      </c>
      <c r="BY7" s="144" t="s">
        <v>176</v>
      </c>
      <c r="BZ7" s="144" t="s">
        <v>176</v>
      </c>
      <c r="CA7" s="144" t="s">
        <v>176</v>
      </c>
      <c r="CB7" s="144" t="s">
        <v>176</v>
      </c>
      <c r="CC7" s="144" t="s">
        <v>176</v>
      </c>
      <c r="CD7" s="144" t="s">
        <v>176</v>
      </c>
      <c r="CE7" s="144" t="s">
        <v>176</v>
      </c>
      <c r="CF7" s="144" t="s">
        <v>176</v>
      </c>
      <c r="CG7" s="144" t="s">
        <v>176</v>
      </c>
      <c r="CH7" s="145" t="s">
        <v>176</v>
      </c>
      <c r="CI7" s="150"/>
      <c r="CJ7" s="143" t="s">
        <v>177</v>
      </c>
      <c r="CK7" s="144" t="s">
        <v>177</v>
      </c>
      <c r="CL7" s="144" t="s">
        <v>177</v>
      </c>
      <c r="CM7" s="144" t="s">
        <v>177</v>
      </c>
      <c r="CN7" s="144" t="s">
        <v>177</v>
      </c>
      <c r="CO7" s="144" t="s">
        <v>177</v>
      </c>
      <c r="CP7" s="144" t="s">
        <v>177</v>
      </c>
      <c r="CQ7" s="144" t="s">
        <v>177</v>
      </c>
      <c r="CR7" s="144" t="s">
        <v>177</v>
      </c>
      <c r="CS7" s="144" t="s">
        <v>177</v>
      </c>
      <c r="CT7" s="144" t="s">
        <v>177</v>
      </c>
      <c r="CU7" s="144" t="s">
        <v>177</v>
      </c>
      <c r="CV7" s="145" t="s">
        <v>177</v>
      </c>
      <c r="CW7" s="150"/>
      <c r="CX7" s="143" t="s">
        <v>178</v>
      </c>
      <c r="CY7" s="144" t="s">
        <v>178</v>
      </c>
      <c r="CZ7" s="144" t="s">
        <v>178</v>
      </c>
      <c r="DA7" s="144" t="s">
        <v>178</v>
      </c>
      <c r="DB7" s="144" t="s">
        <v>178</v>
      </c>
      <c r="DC7" s="144" t="s">
        <v>178</v>
      </c>
      <c r="DD7" s="144" t="s">
        <v>178</v>
      </c>
      <c r="DE7" s="144" t="s">
        <v>178</v>
      </c>
      <c r="DF7" s="144" t="s">
        <v>178</v>
      </c>
      <c r="DG7" s="144" t="s">
        <v>178</v>
      </c>
      <c r="DH7" s="144" t="s">
        <v>178</v>
      </c>
      <c r="DI7" s="144" t="s">
        <v>178</v>
      </c>
      <c r="DJ7" s="145" t="s">
        <v>178</v>
      </c>
      <c r="DK7" s="150"/>
      <c r="DL7" s="143" t="s">
        <v>179</v>
      </c>
      <c r="DM7" s="144" t="s">
        <v>179</v>
      </c>
      <c r="DN7" s="144" t="s">
        <v>179</v>
      </c>
      <c r="DO7" s="144" t="s">
        <v>179</v>
      </c>
      <c r="DP7" s="144" t="s">
        <v>179</v>
      </c>
      <c r="DQ7" s="144" t="s">
        <v>179</v>
      </c>
      <c r="DR7" s="144" t="s">
        <v>179</v>
      </c>
      <c r="DS7" s="144" t="s">
        <v>179</v>
      </c>
      <c r="DT7" s="144" t="s">
        <v>179</v>
      </c>
      <c r="DU7" s="144" t="s">
        <v>179</v>
      </c>
      <c r="DV7" s="144" t="s">
        <v>179</v>
      </c>
      <c r="DW7" s="144" t="s">
        <v>179</v>
      </c>
      <c r="DX7" s="145" t="s">
        <v>179</v>
      </c>
      <c r="DY7" s="150"/>
      <c r="DZ7" s="143" t="s">
        <v>180</v>
      </c>
      <c r="EA7" s="144" t="s">
        <v>180</v>
      </c>
      <c r="EB7" s="144" t="s">
        <v>180</v>
      </c>
      <c r="EC7" s="144" t="s">
        <v>180</v>
      </c>
      <c r="ED7" s="144" t="s">
        <v>180</v>
      </c>
      <c r="EE7" s="144" t="s">
        <v>180</v>
      </c>
      <c r="EF7" s="144" t="s">
        <v>180</v>
      </c>
      <c r="EG7" s="144" t="s">
        <v>180</v>
      </c>
      <c r="EH7" s="144" t="s">
        <v>180</v>
      </c>
      <c r="EI7" s="144" t="s">
        <v>180</v>
      </c>
      <c r="EJ7" s="144" t="s">
        <v>180</v>
      </c>
      <c r="EK7" s="144" t="s">
        <v>180</v>
      </c>
      <c r="EL7" s="145" t="s">
        <v>180</v>
      </c>
      <c r="EM7" s="150"/>
      <c r="EN7" s="143" t="s">
        <v>181</v>
      </c>
      <c r="EO7" s="144" t="s">
        <v>181</v>
      </c>
      <c r="EP7" s="144" t="s">
        <v>181</v>
      </c>
      <c r="EQ7" s="144" t="s">
        <v>181</v>
      </c>
      <c r="ER7" s="144" t="s">
        <v>181</v>
      </c>
      <c r="ES7" s="144" t="s">
        <v>181</v>
      </c>
      <c r="ET7" s="144" t="s">
        <v>181</v>
      </c>
      <c r="EU7" s="144" t="s">
        <v>181</v>
      </c>
      <c r="EV7" s="144" t="s">
        <v>181</v>
      </c>
      <c r="EW7" s="144" t="s">
        <v>181</v>
      </c>
      <c r="EX7" s="144" t="s">
        <v>181</v>
      </c>
      <c r="EY7" s="144" t="s">
        <v>181</v>
      </c>
      <c r="EZ7" s="145" t="s">
        <v>181</v>
      </c>
      <c r="FA7" s="150"/>
      <c r="FB7" s="143" t="s">
        <v>182</v>
      </c>
      <c r="FC7" s="144" t="s">
        <v>182</v>
      </c>
      <c r="FD7" s="144" t="s">
        <v>182</v>
      </c>
      <c r="FE7" s="144" t="s">
        <v>182</v>
      </c>
      <c r="FF7" s="144" t="s">
        <v>182</v>
      </c>
      <c r="FG7" s="144" t="s">
        <v>182</v>
      </c>
      <c r="FH7" s="144" t="s">
        <v>182</v>
      </c>
      <c r="FI7" s="144" t="s">
        <v>182</v>
      </c>
      <c r="FJ7" s="144" t="s">
        <v>182</v>
      </c>
      <c r="FK7" s="144" t="s">
        <v>182</v>
      </c>
      <c r="FL7" s="144" t="s">
        <v>182</v>
      </c>
      <c r="FM7" s="144" t="s">
        <v>182</v>
      </c>
      <c r="FN7" s="145" t="s">
        <v>182</v>
      </c>
      <c r="FO7" s="150"/>
      <c r="FP7" s="143" t="s">
        <v>183</v>
      </c>
      <c r="FQ7" s="144" t="s">
        <v>183</v>
      </c>
      <c r="FR7" s="144" t="s">
        <v>183</v>
      </c>
      <c r="FS7" s="144" t="s">
        <v>183</v>
      </c>
      <c r="FT7" s="144" t="s">
        <v>183</v>
      </c>
      <c r="FU7" s="144" t="s">
        <v>183</v>
      </c>
      <c r="FV7" s="144" t="s">
        <v>183</v>
      </c>
      <c r="FW7" s="144" t="s">
        <v>183</v>
      </c>
      <c r="FX7" s="144" t="s">
        <v>183</v>
      </c>
      <c r="FY7" s="144" t="s">
        <v>183</v>
      </c>
      <c r="FZ7" s="144" t="s">
        <v>183</v>
      </c>
      <c r="GA7" s="144" t="s">
        <v>183</v>
      </c>
      <c r="GB7" s="145" t="s">
        <v>183</v>
      </c>
      <c r="GC7" s="150"/>
      <c r="GD7" s="143" t="s">
        <v>184</v>
      </c>
      <c r="GE7" s="144" t="s">
        <v>184</v>
      </c>
      <c r="GF7" s="144" t="s">
        <v>184</v>
      </c>
      <c r="GG7" s="144" t="s">
        <v>184</v>
      </c>
      <c r="GH7" s="144" t="s">
        <v>184</v>
      </c>
      <c r="GI7" s="144" t="s">
        <v>184</v>
      </c>
      <c r="GJ7" s="144" t="s">
        <v>184</v>
      </c>
      <c r="GK7" s="144" t="s">
        <v>184</v>
      </c>
      <c r="GL7" s="144" t="s">
        <v>184</v>
      </c>
      <c r="GM7" s="144" t="s">
        <v>184</v>
      </c>
      <c r="GN7" s="144" t="s">
        <v>184</v>
      </c>
      <c r="GO7" s="144" t="s">
        <v>184</v>
      </c>
      <c r="GP7" s="145" t="s">
        <v>184</v>
      </c>
      <c r="GQ7" s="150"/>
      <c r="GR7" s="143" t="s">
        <v>162</v>
      </c>
      <c r="GS7" s="144" t="s">
        <v>162</v>
      </c>
      <c r="GT7" s="144" t="s">
        <v>162</v>
      </c>
      <c r="GU7" s="144" t="s">
        <v>162</v>
      </c>
      <c r="GV7" s="144" t="s">
        <v>162</v>
      </c>
      <c r="GW7" s="144" t="s">
        <v>162</v>
      </c>
      <c r="GX7" s="144" t="s">
        <v>162</v>
      </c>
      <c r="GY7" s="144" t="s">
        <v>162</v>
      </c>
      <c r="GZ7" s="144" t="s">
        <v>162</v>
      </c>
      <c r="HA7" s="144" t="s">
        <v>162</v>
      </c>
      <c r="HB7" s="144" t="s">
        <v>162</v>
      </c>
      <c r="HC7" s="144" t="s">
        <v>162</v>
      </c>
      <c r="HD7" s="145" t="s">
        <v>162</v>
      </c>
      <c r="HE7" s="150"/>
      <c r="HF7" s="143" t="s">
        <v>185</v>
      </c>
      <c r="HG7" s="144" t="s">
        <v>185</v>
      </c>
      <c r="HH7" s="144" t="s">
        <v>185</v>
      </c>
      <c r="HI7" s="144" t="s">
        <v>185</v>
      </c>
      <c r="HJ7" s="144" t="s">
        <v>185</v>
      </c>
      <c r="HK7" s="144" t="s">
        <v>185</v>
      </c>
      <c r="HL7" s="144" t="s">
        <v>185</v>
      </c>
      <c r="HM7" s="144" t="s">
        <v>185</v>
      </c>
      <c r="HN7" s="144" t="s">
        <v>185</v>
      </c>
      <c r="HO7" s="144" t="s">
        <v>185</v>
      </c>
      <c r="HP7" s="144" t="s">
        <v>185</v>
      </c>
      <c r="HQ7" s="144" t="s">
        <v>185</v>
      </c>
      <c r="HR7" s="145" t="s">
        <v>185</v>
      </c>
      <c r="HS7" s="150"/>
      <c r="HT7" s="143" t="s">
        <v>186</v>
      </c>
      <c r="HU7" s="144" t="s">
        <v>186</v>
      </c>
      <c r="HV7" s="144" t="s">
        <v>186</v>
      </c>
      <c r="HW7" s="144" t="s">
        <v>186</v>
      </c>
      <c r="HX7" s="144" t="s">
        <v>186</v>
      </c>
      <c r="HY7" s="144" t="s">
        <v>186</v>
      </c>
      <c r="HZ7" s="144" t="s">
        <v>186</v>
      </c>
      <c r="IA7" s="144" t="s">
        <v>186</v>
      </c>
      <c r="IB7" s="144" t="s">
        <v>186</v>
      </c>
      <c r="IC7" s="144" t="s">
        <v>186</v>
      </c>
      <c r="ID7" s="144" t="s">
        <v>186</v>
      </c>
      <c r="IE7" s="144" t="s">
        <v>186</v>
      </c>
      <c r="IF7" s="145" t="s">
        <v>186</v>
      </c>
      <c r="IG7" s="150"/>
      <c r="IH7" s="143" t="s">
        <v>187</v>
      </c>
      <c r="II7" s="144" t="s">
        <v>187</v>
      </c>
      <c r="IJ7" s="144" t="s">
        <v>187</v>
      </c>
      <c r="IK7" s="144" t="s">
        <v>187</v>
      </c>
      <c r="IL7" s="144" t="s">
        <v>187</v>
      </c>
      <c r="IM7" s="144" t="s">
        <v>187</v>
      </c>
      <c r="IN7" s="144" t="s">
        <v>187</v>
      </c>
      <c r="IO7" s="144" t="s">
        <v>187</v>
      </c>
      <c r="IP7" s="144" t="s">
        <v>187</v>
      </c>
      <c r="IQ7" s="144" t="s">
        <v>187</v>
      </c>
      <c r="IR7" s="144" t="s">
        <v>187</v>
      </c>
      <c r="IS7" s="144" t="s">
        <v>187</v>
      </c>
      <c r="IT7" s="145" t="s">
        <v>187</v>
      </c>
      <c r="IU7" s="150"/>
      <c r="IV7" s="143" t="s">
        <v>188</v>
      </c>
      <c r="IW7" s="144" t="s">
        <v>188</v>
      </c>
      <c r="IX7" s="144" t="s">
        <v>188</v>
      </c>
      <c r="IY7" s="144" t="s">
        <v>188</v>
      </c>
      <c r="IZ7" s="144" t="s">
        <v>188</v>
      </c>
      <c r="JA7" s="144" t="s">
        <v>188</v>
      </c>
      <c r="JB7" s="144" t="s">
        <v>188</v>
      </c>
      <c r="JC7" s="144" t="s">
        <v>188</v>
      </c>
      <c r="JD7" s="144" t="s">
        <v>188</v>
      </c>
      <c r="JE7" s="144" t="s">
        <v>188</v>
      </c>
      <c r="JF7" s="144" t="s">
        <v>188</v>
      </c>
      <c r="JG7" s="144" t="s">
        <v>188</v>
      </c>
      <c r="JH7" s="145" t="s">
        <v>188</v>
      </c>
      <c r="JI7" s="150"/>
      <c r="JJ7" s="143" t="s">
        <v>189</v>
      </c>
      <c r="JK7" s="144" t="s">
        <v>189</v>
      </c>
      <c r="JL7" s="144" t="s">
        <v>189</v>
      </c>
      <c r="JM7" s="144" t="s">
        <v>189</v>
      </c>
      <c r="JN7" s="144" t="s">
        <v>189</v>
      </c>
      <c r="JO7" s="144" t="s">
        <v>189</v>
      </c>
      <c r="JP7" s="144" t="s">
        <v>189</v>
      </c>
      <c r="JQ7" s="144" t="s">
        <v>189</v>
      </c>
      <c r="JR7" s="144" t="s">
        <v>189</v>
      </c>
      <c r="JS7" s="144" t="s">
        <v>189</v>
      </c>
      <c r="JT7" s="144" t="s">
        <v>189</v>
      </c>
      <c r="JU7" s="144" t="s">
        <v>189</v>
      </c>
      <c r="JV7" s="145" t="s">
        <v>189</v>
      </c>
      <c r="JW7" s="150"/>
      <c r="JX7" s="143" t="s">
        <v>190</v>
      </c>
      <c r="JY7" s="144" t="s">
        <v>190</v>
      </c>
      <c r="JZ7" s="144" t="s">
        <v>190</v>
      </c>
      <c r="KA7" s="144" t="s">
        <v>190</v>
      </c>
      <c r="KB7" s="144" t="s">
        <v>190</v>
      </c>
      <c r="KC7" s="144" t="s">
        <v>190</v>
      </c>
      <c r="KD7" s="144" t="s">
        <v>190</v>
      </c>
      <c r="KE7" s="144" t="s">
        <v>190</v>
      </c>
      <c r="KF7" s="144" t="s">
        <v>190</v>
      </c>
      <c r="KG7" s="144" t="s">
        <v>190</v>
      </c>
      <c r="KH7" s="144" t="s">
        <v>190</v>
      </c>
      <c r="KI7" s="144" t="s">
        <v>190</v>
      </c>
      <c r="KJ7" s="145" t="s">
        <v>190</v>
      </c>
      <c r="KK7" s="150"/>
      <c r="KL7" s="143" t="s">
        <v>191</v>
      </c>
      <c r="KM7" s="144" t="s">
        <v>191</v>
      </c>
      <c r="KN7" s="144" t="s">
        <v>191</v>
      </c>
      <c r="KO7" s="144" t="s">
        <v>191</v>
      </c>
      <c r="KP7" s="144" t="s">
        <v>191</v>
      </c>
      <c r="KQ7" s="144" t="s">
        <v>191</v>
      </c>
      <c r="KR7" s="144" t="s">
        <v>191</v>
      </c>
      <c r="KS7" s="144" t="s">
        <v>191</v>
      </c>
      <c r="KT7" s="144" t="s">
        <v>191</v>
      </c>
      <c r="KU7" s="144" t="s">
        <v>191</v>
      </c>
      <c r="KV7" s="144" t="s">
        <v>191</v>
      </c>
      <c r="KW7" s="144" t="s">
        <v>191</v>
      </c>
      <c r="KX7" s="145" t="s">
        <v>191</v>
      </c>
      <c r="KY7" s="150"/>
      <c r="KZ7" s="143" t="s">
        <v>192</v>
      </c>
      <c r="LA7" s="144" t="s">
        <v>192</v>
      </c>
      <c r="LB7" s="144" t="s">
        <v>192</v>
      </c>
      <c r="LC7" s="144" t="s">
        <v>192</v>
      </c>
      <c r="LD7" s="144" t="s">
        <v>192</v>
      </c>
      <c r="LE7" s="144" t="s">
        <v>192</v>
      </c>
      <c r="LF7" s="144" t="s">
        <v>192</v>
      </c>
      <c r="LG7" s="144" t="s">
        <v>192</v>
      </c>
      <c r="LH7" s="144" t="s">
        <v>192</v>
      </c>
      <c r="LI7" s="144" t="s">
        <v>192</v>
      </c>
      <c r="LJ7" s="144" t="s">
        <v>192</v>
      </c>
      <c r="LK7" s="144" t="s">
        <v>192</v>
      </c>
      <c r="LL7" s="145" t="s">
        <v>192</v>
      </c>
      <c r="LM7" s="150"/>
      <c r="LN7" s="143"/>
      <c r="LO7" s="144"/>
      <c r="LP7" s="144"/>
      <c r="LQ7" s="144"/>
      <c r="LR7" s="144"/>
      <c r="LS7" s="144"/>
      <c r="LT7" s="144"/>
      <c r="LU7" s="144"/>
      <c r="LV7" s="144"/>
      <c r="LW7" s="144"/>
      <c r="LX7" s="144"/>
      <c r="LY7" s="144"/>
      <c r="LZ7" s="145"/>
      <c r="MA7" s="150"/>
      <c r="MB7" s="151" t="s">
        <v>193</v>
      </c>
      <c r="MC7" s="151" t="str">
        <f>MB7</f>
        <v>30 Divisions</v>
      </c>
      <c r="MD7" s="151" t="str">
        <f t="shared" si="2"/>
        <v>30 Divisions</v>
      </c>
      <c r="ME7" s="151" t="str">
        <f t="shared" si="2"/>
        <v>30 Divisions</v>
      </c>
      <c r="MF7" s="151" t="str">
        <f t="shared" si="2"/>
        <v>30 Divisions</v>
      </c>
      <c r="MG7" s="151" t="str">
        <f t="shared" si="2"/>
        <v>30 Divisions</v>
      </c>
      <c r="MH7" s="151" t="str">
        <f t="shared" si="2"/>
        <v>30 Divisions</v>
      </c>
      <c r="MI7" s="151" t="str">
        <f t="shared" si="2"/>
        <v>30 Divisions</v>
      </c>
      <c r="MJ7" s="151" t="str">
        <f t="shared" si="2"/>
        <v>30 Divisions</v>
      </c>
      <c r="MK7" s="151" t="str">
        <f t="shared" si="2"/>
        <v>30 Divisions</v>
      </c>
      <c r="ML7" s="151" t="str">
        <f t="shared" si="2"/>
        <v>30 Divisions</v>
      </c>
      <c r="MM7" s="151" t="str">
        <f t="shared" si="2"/>
        <v>30 Divisions</v>
      </c>
      <c r="MN7" s="151" t="str">
        <f t="shared" si="2"/>
        <v>30 Divisions</v>
      </c>
    </row>
    <row r="8" spans="1:352" hidden="1" x14ac:dyDescent="0.3">
      <c r="B8" s="152" t="s">
        <v>194</v>
      </c>
      <c r="D8" s="153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5"/>
      <c r="Q8" s="156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7"/>
      <c r="AE8" s="158"/>
      <c r="AF8" s="153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7"/>
      <c r="AS8" s="159"/>
      <c r="AT8" s="153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7"/>
      <c r="BG8" s="160"/>
      <c r="BH8" s="153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7"/>
      <c r="BV8" s="153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7"/>
      <c r="CI8" s="161"/>
      <c r="CJ8" s="153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7"/>
      <c r="CW8" s="161"/>
      <c r="CX8" s="153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7"/>
      <c r="DK8" s="161"/>
      <c r="DL8" s="153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7"/>
      <c r="DY8" s="161"/>
      <c r="DZ8" s="153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7"/>
      <c r="EM8" s="161"/>
      <c r="EN8" s="153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7"/>
      <c r="FA8" s="161"/>
      <c r="FB8" s="153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7"/>
      <c r="FO8" s="161"/>
      <c r="FP8" s="153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7"/>
      <c r="GC8" s="161"/>
      <c r="GD8" s="153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7"/>
      <c r="GQ8" s="161"/>
      <c r="GR8" s="153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7"/>
      <c r="HE8" s="161"/>
      <c r="HF8" s="153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7"/>
      <c r="HS8" s="161"/>
      <c r="HT8" s="153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7"/>
      <c r="IG8" s="161"/>
      <c r="IH8" s="153"/>
      <c r="II8" s="154"/>
      <c r="IJ8" s="154"/>
      <c r="IK8" s="154"/>
      <c r="IL8" s="154"/>
      <c r="IM8" s="154"/>
      <c r="IN8" s="154"/>
      <c r="IO8" s="154"/>
      <c r="IP8" s="154"/>
      <c r="IQ8" s="154"/>
      <c r="IR8" s="154"/>
      <c r="IS8" s="154"/>
      <c r="IT8" s="157"/>
      <c r="IU8" s="161"/>
      <c r="IV8" s="153"/>
      <c r="IW8" s="154"/>
      <c r="IX8" s="154"/>
      <c r="IY8" s="154"/>
      <c r="IZ8" s="154"/>
      <c r="JA8" s="154"/>
      <c r="JB8" s="154"/>
      <c r="JC8" s="154"/>
      <c r="JD8" s="154"/>
      <c r="JE8" s="154"/>
      <c r="JF8" s="154"/>
      <c r="JG8" s="154"/>
      <c r="JH8" s="157"/>
      <c r="JI8" s="161"/>
      <c r="JJ8" s="153"/>
      <c r="JK8" s="154"/>
      <c r="JL8" s="154"/>
      <c r="JM8" s="154"/>
      <c r="JN8" s="154"/>
      <c r="JO8" s="154"/>
      <c r="JP8" s="154"/>
      <c r="JQ8" s="154"/>
      <c r="JR8" s="154"/>
      <c r="JS8" s="154"/>
      <c r="JT8" s="154"/>
      <c r="JU8" s="154"/>
      <c r="JV8" s="157"/>
      <c r="JW8" s="161"/>
      <c r="JX8" s="153"/>
      <c r="JY8" s="154"/>
      <c r="JZ8" s="154"/>
      <c r="KA8" s="154"/>
      <c r="KB8" s="154"/>
      <c r="KC8" s="154"/>
      <c r="KD8" s="154"/>
      <c r="KE8" s="154"/>
      <c r="KF8" s="154"/>
      <c r="KG8" s="154"/>
      <c r="KH8" s="154"/>
      <c r="KI8" s="154"/>
      <c r="KJ8" s="157"/>
      <c r="KK8" s="161"/>
      <c r="KL8" s="153"/>
      <c r="KM8" s="154"/>
      <c r="KN8" s="154"/>
      <c r="KO8" s="154"/>
      <c r="KP8" s="154"/>
      <c r="KQ8" s="154"/>
      <c r="KR8" s="154"/>
      <c r="KS8" s="154"/>
      <c r="KT8" s="154"/>
      <c r="KU8" s="154"/>
      <c r="KV8" s="154"/>
      <c r="KW8" s="154"/>
      <c r="KX8" s="157"/>
      <c r="KY8" s="161"/>
      <c r="KZ8" s="153"/>
      <c r="LA8" s="154"/>
      <c r="LB8" s="154"/>
      <c r="LC8" s="154"/>
      <c r="LD8" s="154"/>
      <c r="LE8" s="154"/>
      <c r="LF8" s="154"/>
      <c r="LG8" s="154"/>
      <c r="LH8" s="154"/>
      <c r="LI8" s="154"/>
      <c r="LJ8" s="154"/>
      <c r="LK8" s="154"/>
      <c r="LL8" s="157"/>
      <c r="LM8" s="161"/>
      <c r="LN8" s="153"/>
      <c r="LO8" s="154"/>
      <c r="LP8" s="154"/>
      <c r="LQ8" s="154"/>
      <c r="LR8" s="154"/>
      <c r="LS8" s="154"/>
      <c r="LT8" s="154"/>
      <c r="LU8" s="154"/>
      <c r="LV8" s="154"/>
      <c r="LW8" s="154"/>
      <c r="LX8" s="154"/>
      <c r="LY8" s="154"/>
      <c r="LZ8" s="157"/>
      <c r="MA8" s="161"/>
      <c r="MB8" s="157"/>
      <c r="MC8" s="157"/>
      <c r="MD8" s="157"/>
      <c r="ME8" s="157"/>
      <c r="MF8" s="157"/>
      <c r="MG8" s="157"/>
      <c r="MH8" s="157"/>
      <c r="MI8" s="157"/>
      <c r="MJ8" s="157"/>
      <c r="MK8" s="157"/>
      <c r="ML8" s="157"/>
      <c r="MM8" s="157"/>
      <c r="MN8" s="157"/>
    </row>
    <row r="9" spans="1:352" hidden="1" x14ac:dyDescent="0.3">
      <c r="B9" s="98" t="s">
        <v>195</v>
      </c>
      <c r="D9" s="163">
        <v>0</v>
      </c>
      <c r="E9" s="164">
        <v>0</v>
      </c>
      <c r="F9" s="164">
        <v>0</v>
      </c>
      <c r="G9" s="154">
        <v>0</v>
      </c>
      <c r="H9" s="154">
        <v>0</v>
      </c>
      <c r="I9" s="154">
        <v>0</v>
      </c>
      <c r="J9" s="154">
        <v>0</v>
      </c>
      <c r="K9" s="154">
        <v>0</v>
      </c>
      <c r="L9" s="154">
        <v>0</v>
      </c>
      <c r="M9" s="154">
        <v>0</v>
      </c>
      <c r="N9" s="154">
        <v>0</v>
      </c>
      <c r="O9" s="154">
        <v>0</v>
      </c>
      <c r="P9" s="157">
        <f>+SUBTOTAL(9,D9:O9)</f>
        <v>0</v>
      </c>
      <c r="Q9" s="161"/>
      <c r="R9" s="163">
        <v>0</v>
      </c>
      <c r="S9" s="164">
        <v>0</v>
      </c>
      <c r="T9" s="154">
        <v>0</v>
      </c>
      <c r="U9" s="154">
        <v>0</v>
      </c>
      <c r="V9" s="154">
        <v>0</v>
      </c>
      <c r="W9" s="154">
        <v>0</v>
      </c>
      <c r="X9" s="154">
        <v>0</v>
      </c>
      <c r="Y9" s="154">
        <v>0</v>
      </c>
      <c r="Z9" s="154">
        <v>0</v>
      </c>
      <c r="AA9" s="154">
        <v>0</v>
      </c>
      <c r="AB9" s="154">
        <v>0</v>
      </c>
      <c r="AC9" s="154">
        <v>0</v>
      </c>
      <c r="AD9" s="157">
        <f>+SUBTOTAL(9,R9:AC9)</f>
        <v>0</v>
      </c>
      <c r="AE9" s="161"/>
      <c r="AF9" s="163">
        <v>0</v>
      </c>
      <c r="AG9" s="164">
        <v>0</v>
      </c>
      <c r="AH9" s="154">
        <v>0</v>
      </c>
      <c r="AI9" s="154">
        <v>0</v>
      </c>
      <c r="AJ9" s="154">
        <v>0</v>
      </c>
      <c r="AK9" s="154">
        <v>0</v>
      </c>
      <c r="AL9" s="154">
        <v>0</v>
      </c>
      <c r="AM9" s="154">
        <v>0</v>
      </c>
      <c r="AN9" s="154">
        <v>0</v>
      </c>
      <c r="AO9" s="154">
        <v>0</v>
      </c>
      <c r="AP9" s="154">
        <v>0</v>
      </c>
      <c r="AQ9" s="154">
        <v>0</v>
      </c>
      <c r="AR9" s="157">
        <f>+SUBTOTAL(9,AF9:AQ9)</f>
        <v>0</v>
      </c>
      <c r="AT9" s="163">
        <v>0</v>
      </c>
      <c r="AU9" s="164">
        <v>0</v>
      </c>
      <c r="AV9" s="154">
        <v>0</v>
      </c>
      <c r="AW9" s="154">
        <v>0</v>
      </c>
      <c r="AX9" s="154">
        <v>0</v>
      </c>
      <c r="AY9" s="154">
        <v>0</v>
      </c>
      <c r="AZ9" s="154">
        <v>0</v>
      </c>
      <c r="BA9" s="154">
        <v>0</v>
      </c>
      <c r="BB9" s="154">
        <v>0</v>
      </c>
      <c r="BC9" s="154">
        <v>0</v>
      </c>
      <c r="BD9" s="154">
        <v>0</v>
      </c>
      <c r="BE9" s="154">
        <v>0</v>
      </c>
      <c r="BF9" s="157">
        <f>+SUBTOTAL(9,AT9:BE9)</f>
        <v>0</v>
      </c>
      <c r="BG9" s="160"/>
      <c r="BH9" s="163">
        <v>0</v>
      </c>
      <c r="BI9" s="164">
        <v>0</v>
      </c>
      <c r="BJ9" s="154">
        <v>0</v>
      </c>
      <c r="BK9" s="154">
        <v>0</v>
      </c>
      <c r="BL9" s="154">
        <v>0</v>
      </c>
      <c r="BM9" s="154">
        <v>0</v>
      </c>
      <c r="BN9" s="154">
        <v>0</v>
      </c>
      <c r="BO9" s="154">
        <v>0</v>
      </c>
      <c r="BP9" s="154">
        <v>0</v>
      </c>
      <c r="BQ9" s="154">
        <v>0</v>
      </c>
      <c r="BR9" s="154">
        <v>0</v>
      </c>
      <c r="BS9" s="154">
        <v>0</v>
      </c>
      <c r="BT9" s="157">
        <f>+SUBTOTAL(9,BH9:BS9)</f>
        <v>0</v>
      </c>
      <c r="BV9" s="163">
        <v>0</v>
      </c>
      <c r="BW9" s="164">
        <v>0</v>
      </c>
      <c r="BX9" s="154">
        <v>0</v>
      </c>
      <c r="BY9" s="154">
        <v>0</v>
      </c>
      <c r="BZ9" s="154">
        <v>0</v>
      </c>
      <c r="CA9" s="154">
        <v>0</v>
      </c>
      <c r="CB9" s="154">
        <v>0</v>
      </c>
      <c r="CC9" s="154">
        <v>0</v>
      </c>
      <c r="CD9" s="154">
        <v>0</v>
      </c>
      <c r="CE9" s="154">
        <v>0</v>
      </c>
      <c r="CF9" s="154">
        <v>0</v>
      </c>
      <c r="CG9" s="154">
        <v>0</v>
      </c>
      <c r="CH9" s="157">
        <f>+SUBTOTAL(9,BV9:CG9)</f>
        <v>0</v>
      </c>
      <c r="CI9" s="161"/>
      <c r="CJ9" s="163">
        <v>0</v>
      </c>
      <c r="CK9" s="164">
        <v>0</v>
      </c>
      <c r="CL9" s="154">
        <v>0</v>
      </c>
      <c r="CM9" s="154">
        <v>0</v>
      </c>
      <c r="CN9" s="154">
        <v>0</v>
      </c>
      <c r="CO9" s="154">
        <v>0</v>
      </c>
      <c r="CP9" s="154">
        <v>0</v>
      </c>
      <c r="CQ9" s="154">
        <v>0</v>
      </c>
      <c r="CR9" s="154">
        <v>0</v>
      </c>
      <c r="CS9" s="154">
        <v>0</v>
      </c>
      <c r="CT9" s="154">
        <v>0</v>
      </c>
      <c r="CU9" s="154">
        <v>0</v>
      </c>
      <c r="CV9" s="157">
        <f>+SUBTOTAL(9,CJ9:CU9)</f>
        <v>0</v>
      </c>
      <c r="CW9" s="161"/>
      <c r="CX9" s="163">
        <v>0</v>
      </c>
      <c r="CY9" s="164">
        <v>0</v>
      </c>
      <c r="CZ9" s="154">
        <v>0</v>
      </c>
      <c r="DA9" s="154">
        <v>0</v>
      </c>
      <c r="DB9" s="154">
        <v>0</v>
      </c>
      <c r="DC9" s="154">
        <v>0</v>
      </c>
      <c r="DD9" s="154">
        <v>0</v>
      </c>
      <c r="DE9" s="154">
        <v>0</v>
      </c>
      <c r="DF9" s="154">
        <v>0</v>
      </c>
      <c r="DG9" s="154">
        <v>0</v>
      </c>
      <c r="DH9" s="154">
        <v>0</v>
      </c>
      <c r="DI9" s="154">
        <v>0</v>
      </c>
      <c r="DJ9" s="157">
        <f>+SUBTOTAL(9,CX9:DI9)</f>
        <v>0</v>
      </c>
      <c r="DK9" s="161"/>
      <c r="DL9" s="163">
        <v>0</v>
      </c>
      <c r="DM9" s="164">
        <v>0</v>
      </c>
      <c r="DN9" s="154">
        <v>0</v>
      </c>
      <c r="DO9" s="154">
        <v>0</v>
      </c>
      <c r="DP9" s="154">
        <v>0</v>
      </c>
      <c r="DQ9" s="154">
        <v>0</v>
      </c>
      <c r="DR9" s="154">
        <v>0</v>
      </c>
      <c r="DS9" s="154">
        <v>0</v>
      </c>
      <c r="DT9" s="154">
        <v>0</v>
      </c>
      <c r="DU9" s="154">
        <v>0</v>
      </c>
      <c r="DV9" s="154">
        <v>0</v>
      </c>
      <c r="DW9" s="154">
        <v>0</v>
      </c>
      <c r="DX9" s="157">
        <f>+SUBTOTAL(9,DL9:DW9)</f>
        <v>0</v>
      </c>
      <c r="DY9" s="161"/>
      <c r="DZ9" s="163">
        <v>0</v>
      </c>
      <c r="EA9" s="164">
        <v>0</v>
      </c>
      <c r="EB9" s="154">
        <v>0</v>
      </c>
      <c r="EC9" s="154">
        <v>0</v>
      </c>
      <c r="ED9" s="154">
        <v>0</v>
      </c>
      <c r="EE9" s="154">
        <v>0</v>
      </c>
      <c r="EF9" s="154">
        <v>0</v>
      </c>
      <c r="EG9" s="154">
        <v>0</v>
      </c>
      <c r="EH9" s="154">
        <v>0</v>
      </c>
      <c r="EI9" s="154">
        <v>0</v>
      </c>
      <c r="EJ9" s="154">
        <v>0</v>
      </c>
      <c r="EK9" s="154">
        <v>0</v>
      </c>
      <c r="EL9" s="157">
        <f>+SUBTOTAL(9,DZ9:EK9)</f>
        <v>0</v>
      </c>
      <c r="EM9" s="161"/>
      <c r="EN9" s="163">
        <v>0</v>
      </c>
      <c r="EO9" s="164">
        <v>0</v>
      </c>
      <c r="EP9" s="154">
        <v>0</v>
      </c>
      <c r="EQ9" s="154">
        <v>0</v>
      </c>
      <c r="ER9" s="154">
        <v>0</v>
      </c>
      <c r="ES9" s="154">
        <v>0</v>
      </c>
      <c r="ET9" s="154">
        <v>0</v>
      </c>
      <c r="EU9" s="154">
        <v>0</v>
      </c>
      <c r="EV9" s="154">
        <v>0</v>
      </c>
      <c r="EW9" s="154">
        <v>0</v>
      </c>
      <c r="EX9" s="154">
        <v>0</v>
      </c>
      <c r="EY9" s="154">
        <v>0</v>
      </c>
      <c r="EZ9" s="157">
        <f>+SUBTOTAL(9,EN9:EY9)</f>
        <v>0</v>
      </c>
      <c r="FA9" s="161"/>
      <c r="FB9" s="163">
        <v>0</v>
      </c>
      <c r="FC9" s="164">
        <v>0</v>
      </c>
      <c r="FD9" s="154">
        <v>0</v>
      </c>
      <c r="FE9" s="154">
        <v>0</v>
      </c>
      <c r="FF9" s="154">
        <v>0</v>
      </c>
      <c r="FG9" s="154">
        <v>0</v>
      </c>
      <c r="FH9" s="154">
        <v>0</v>
      </c>
      <c r="FI9" s="154">
        <v>0</v>
      </c>
      <c r="FJ9" s="154">
        <v>0</v>
      </c>
      <c r="FK9" s="154">
        <v>0</v>
      </c>
      <c r="FL9" s="154">
        <v>0</v>
      </c>
      <c r="FM9" s="154">
        <v>0</v>
      </c>
      <c r="FN9" s="157">
        <f>+SUBTOTAL(9,FB9:FM9)</f>
        <v>0</v>
      </c>
      <c r="FO9" s="161"/>
      <c r="FP9" s="163">
        <v>0</v>
      </c>
      <c r="FQ9" s="164">
        <v>0</v>
      </c>
      <c r="FR9" s="154">
        <v>0</v>
      </c>
      <c r="FS9" s="154">
        <v>0</v>
      </c>
      <c r="FT9" s="154">
        <v>0</v>
      </c>
      <c r="FU9" s="154">
        <v>0</v>
      </c>
      <c r="FV9" s="154">
        <v>0</v>
      </c>
      <c r="FW9" s="154">
        <v>0</v>
      </c>
      <c r="FX9" s="154">
        <v>0</v>
      </c>
      <c r="FY9" s="154">
        <v>0</v>
      </c>
      <c r="FZ9" s="154">
        <v>0</v>
      </c>
      <c r="GA9" s="154">
        <v>0</v>
      </c>
      <c r="GB9" s="157">
        <f>+SUBTOTAL(9,FP9:GA9)</f>
        <v>0</v>
      </c>
      <c r="GC9" s="161"/>
      <c r="GD9" s="163">
        <v>0</v>
      </c>
      <c r="GE9" s="164">
        <v>0</v>
      </c>
      <c r="GF9" s="154">
        <v>0</v>
      </c>
      <c r="GG9" s="154">
        <v>0</v>
      </c>
      <c r="GH9" s="154">
        <v>0</v>
      </c>
      <c r="GI9" s="154">
        <v>0</v>
      </c>
      <c r="GJ9" s="154">
        <v>0</v>
      </c>
      <c r="GK9" s="154">
        <v>0</v>
      </c>
      <c r="GL9" s="154">
        <v>0</v>
      </c>
      <c r="GM9" s="154">
        <v>0</v>
      </c>
      <c r="GN9" s="154">
        <v>0</v>
      </c>
      <c r="GO9" s="154">
        <v>0</v>
      </c>
      <c r="GP9" s="157">
        <f>+SUBTOTAL(9,GD9:GO9)</f>
        <v>0</v>
      </c>
      <c r="GQ9" s="161"/>
      <c r="GR9" s="163">
        <v>0</v>
      </c>
      <c r="GS9" s="164">
        <v>0</v>
      </c>
      <c r="GT9" s="154">
        <v>0</v>
      </c>
      <c r="GU9" s="154">
        <v>0</v>
      </c>
      <c r="GV9" s="154">
        <v>0</v>
      </c>
      <c r="GW9" s="154">
        <v>0</v>
      </c>
      <c r="GX9" s="154">
        <v>0</v>
      </c>
      <c r="GY9" s="154">
        <v>0</v>
      </c>
      <c r="GZ9" s="154">
        <v>0</v>
      </c>
      <c r="HA9" s="154">
        <v>0</v>
      </c>
      <c r="HB9" s="154">
        <v>0</v>
      </c>
      <c r="HC9" s="154">
        <v>0</v>
      </c>
      <c r="HD9" s="157">
        <f>+SUBTOTAL(9,GR9:HC9)</f>
        <v>0</v>
      </c>
      <c r="HE9" s="161"/>
      <c r="HF9" s="163">
        <v>0</v>
      </c>
      <c r="HG9" s="164">
        <v>0</v>
      </c>
      <c r="HH9" s="154">
        <v>0</v>
      </c>
      <c r="HI9" s="154">
        <v>0</v>
      </c>
      <c r="HJ9" s="154">
        <v>0</v>
      </c>
      <c r="HK9" s="154">
        <v>0</v>
      </c>
      <c r="HL9" s="154">
        <v>0</v>
      </c>
      <c r="HM9" s="154">
        <v>0</v>
      </c>
      <c r="HN9" s="154">
        <v>0</v>
      </c>
      <c r="HO9" s="154">
        <v>0</v>
      </c>
      <c r="HP9" s="154">
        <v>0</v>
      </c>
      <c r="HQ9" s="154">
        <v>0</v>
      </c>
      <c r="HR9" s="157">
        <f>+SUBTOTAL(9,HF9:HQ9)</f>
        <v>0</v>
      </c>
      <c r="HS9" s="161"/>
      <c r="HT9" s="163">
        <v>0</v>
      </c>
      <c r="HU9" s="164">
        <v>0</v>
      </c>
      <c r="HV9" s="154">
        <v>0</v>
      </c>
      <c r="HW9" s="154">
        <v>0</v>
      </c>
      <c r="HX9" s="154">
        <v>0</v>
      </c>
      <c r="HY9" s="154">
        <v>0</v>
      </c>
      <c r="HZ9" s="154">
        <v>0</v>
      </c>
      <c r="IA9" s="154">
        <v>0</v>
      </c>
      <c r="IB9" s="154">
        <v>0</v>
      </c>
      <c r="IC9" s="154">
        <v>0</v>
      </c>
      <c r="ID9" s="154">
        <v>0</v>
      </c>
      <c r="IE9" s="154">
        <v>0</v>
      </c>
      <c r="IF9" s="157">
        <f>+SUBTOTAL(9,HT9:IE9)</f>
        <v>0</v>
      </c>
      <c r="IG9" s="161"/>
      <c r="IH9" s="163">
        <v>0</v>
      </c>
      <c r="II9" s="164">
        <v>0</v>
      </c>
      <c r="IJ9" s="154">
        <v>0</v>
      </c>
      <c r="IK9" s="154">
        <v>0</v>
      </c>
      <c r="IL9" s="154">
        <v>0</v>
      </c>
      <c r="IM9" s="154">
        <v>0</v>
      </c>
      <c r="IN9" s="154">
        <v>0</v>
      </c>
      <c r="IO9" s="154">
        <v>0</v>
      </c>
      <c r="IP9" s="154">
        <v>0</v>
      </c>
      <c r="IQ9" s="154">
        <v>0</v>
      </c>
      <c r="IR9" s="154">
        <v>0</v>
      </c>
      <c r="IS9" s="154">
        <v>0</v>
      </c>
      <c r="IT9" s="157">
        <f>+SUBTOTAL(9,IH9:IS9)</f>
        <v>0</v>
      </c>
      <c r="IU9" s="161"/>
      <c r="IV9" s="163">
        <v>0</v>
      </c>
      <c r="IW9" s="164">
        <v>0</v>
      </c>
      <c r="IX9" s="154">
        <v>0</v>
      </c>
      <c r="IY9" s="154">
        <v>0</v>
      </c>
      <c r="IZ9" s="154">
        <v>0</v>
      </c>
      <c r="JA9" s="154">
        <v>0</v>
      </c>
      <c r="JB9" s="154">
        <v>0</v>
      </c>
      <c r="JC9" s="154">
        <v>0</v>
      </c>
      <c r="JD9" s="154">
        <v>0</v>
      </c>
      <c r="JE9" s="154">
        <v>0</v>
      </c>
      <c r="JF9" s="154">
        <v>0</v>
      </c>
      <c r="JG9" s="154">
        <v>0</v>
      </c>
      <c r="JH9" s="157">
        <f>+SUBTOTAL(9,IV9:JG9)</f>
        <v>0</v>
      </c>
      <c r="JI9" s="161"/>
      <c r="JJ9" s="163">
        <v>0</v>
      </c>
      <c r="JK9" s="164">
        <v>0</v>
      </c>
      <c r="JL9" s="154">
        <v>0</v>
      </c>
      <c r="JM9" s="154">
        <v>0</v>
      </c>
      <c r="JN9" s="154">
        <v>0</v>
      </c>
      <c r="JO9" s="154">
        <v>0</v>
      </c>
      <c r="JP9" s="154">
        <v>0</v>
      </c>
      <c r="JQ9" s="154">
        <v>0</v>
      </c>
      <c r="JR9" s="154">
        <v>0</v>
      </c>
      <c r="JS9" s="154">
        <v>0</v>
      </c>
      <c r="JT9" s="154">
        <v>0</v>
      </c>
      <c r="JU9" s="154">
        <v>0</v>
      </c>
      <c r="JV9" s="157">
        <f>+SUBTOTAL(9,JJ9:JU9)</f>
        <v>0</v>
      </c>
      <c r="JW9" s="161"/>
      <c r="JX9" s="163">
        <v>0</v>
      </c>
      <c r="JY9" s="164">
        <v>0</v>
      </c>
      <c r="JZ9" s="154">
        <v>0</v>
      </c>
      <c r="KA9" s="154">
        <v>0</v>
      </c>
      <c r="KB9" s="154">
        <v>0</v>
      </c>
      <c r="KC9" s="154">
        <v>0</v>
      </c>
      <c r="KD9" s="154">
        <v>0</v>
      </c>
      <c r="KE9" s="154">
        <v>0</v>
      </c>
      <c r="KF9" s="154">
        <v>0</v>
      </c>
      <c r="KG9" s="154">
        <v>0</v>
      </c>
      <c r="KH9" s="154">
        <v>0</v>
      </c>
      <c r="KI9" s="154">
        <v>0</v>
      </c>
      <c r="KJ9" s="157">
        <f>+SUBTOTAL(9,JX9:KI9)</f>
        <v>0</v>
      </c>
      <c r="KK9" s="161"/>
      <c r="KL9" s="163">
        <v>0</v>
      </c>
      <c r="KM9" s="164">
        <v>0</v>
      </c>
      <c r="KN9" s="154">
        <v>0</v>
      </c>
      <c r="KO9" s="154">
        <v>0</v>
      </c>
      <c r="KP9" s="154">
        <v>0</v>
      </c>
      <c r="KQ9" s="154">
        <v>0</v>
      </c>
      <c r="KR9" s="154">
        <v>0</v>
      </c>
      <c r="KS9" s="154">
        <v>0</v>
      </c>
      <c r="KT9" s="154">
        <v>0</v>
      </c>
      <c r="KU9" s="154">
        <v>0</v>
      </c>
      <c r="KV9" s="154">
        <v>0</v>
      </c>
      <c r="KW9" s="154">
        <v>0</v>
      </c>
      <c r="KX9" s="157">
        <f>+SUBTOTAL(9,KL9:KW9)</f>
        <v>0</v>
      </c>
      <c r="KY9" s="161"/>
      <c r="KZ9" s="163">
        <v>0</v>
      </c>
      <c r="LA9" s="164">
        <v>0</v>
      </c>
      <c r="LB9" s="154">
        <v>0</v>
      </c>
      <c r="LC9" s="154">
        <v>0</v>
      </c>
      <c r="LD9" s="154">
        <v>0</v>
      </c>
      <c r="LE9" s="154">
        <v>0</v>
      </c>
      <c r="LF9" s="154">
        <v>0</v>
      </c>
      <c r="LG9" s="154">
        <v>0</v>
      </c>
      <c r="LH9" s="154">
        <v>0</v>
      </c>
      <c r="LI9" s="154">
        <v>0</v>
      </c>
      <c r="LJ9" s="154">
        <v>0</v>
      </c>
      <c r="LK9" s="154">
        <v>0</v>
      </c>
      <c r="LL9" s="157">
        <f>+SUBTOTAL(9,KZ9:LK9)</f>
        <v>0</v>
      </c>
      <c r="LM9" s="161"/>
      <c r="LN9" s="163">
        <v>0</v>
      </c>
      <c r="LO9" s="164">
        <v>0</v>
      </c>
      <c r="LP9" s="154">
        <v>0</v>
      </c>
      <c r="LQ9" s="154">
        <v>0</v>
      </c>
      <c r="LR9" s="154">
        <v>0</v>
      </c>
      <c r="LS9" s="154">
        <v>0</v>
      </c>
      <c r="LT9" s="154">
        <v>0</v>
      </c>
      <c r="LU9" s="154">
        <v>0</v>
      </c>
      <c r="LV9" s="154">
        <v>0</v>
      </c>
      <c r="LW9" s="154">
        <v>0</v>
      </c>
      <c r="LX9" s="154">
        <v>0</v>
      </c>
      <c r="LY9" s="154">
        <v>0</v>
      </c>
      <c r="LZ9" s="157">
        <f>+SUBTOTAL(9,LN9:LY9)</f>
        <v>0</v>
      </c>
      <c r="MA9" s="161"/>
      <c r="MB9" s="157">
        <f t="shared" ref="MB9:MM10" si="3">SUMIF($D$6:$LY$6,MB$3,$D9:$LY9)</f>
        <v>0</v>
      </c>
      <c r="MC9" s="157">
        <f t="shared" si="3"/>
        <v>0</v>
      </c>
      <c r="MD9" s="157">
        <f t="shared" si="3"/>
        <v>0</v>
      </c>
      <c r="ME9" s="157">
        <f t="shared" si="3"/>
        <v>0</v>
      </c>
      <c r="MF9" s="157">
        <f t="shared" si="3"/>
        <v>0</v>
      </c>
      <c r="MG9" s="157">
        <f t="shared" si="3"/>
        <v>0</v>
      </c>
      <c r="MH9" s="157">
        <f t="shared" si="3"/>
        <v>0</v>
      </c>
      <c r="MI9" s="157">
        <f t="shared" si="3"/>
        <v>0</v>
      </c>
      <c r="MJ9" s="157">
        <f t="shared" si="3"/>
        <v>0</v>
      </c>
      <c r="MK9" s="157">
        <f t="shared" si="3"/>
        <v>0</v>
      </c>
      <c r="ML9" s="157">
        <f t="shared" si="3"/>
        <v>0</v>
      </c>
      <c r="MM9" s="157">
        <f t="shared" si="3"/>
        <v>0</v>
      </c>
      <c r="MN9" s="157">
        <f>SUM(MB9:MM9)</f>
        <v>0</v>
      </c>
    </row>
    <row r="10" spans="1:352" hidden="1" x14ac:dyDescent="0.3">
      <c r="B10" s="98" t="s">
        <v>196</v>
      </c>
      <c r="D10" s="163">
        <v>0</v>
      </c>
      <c r="E10" s="164">
        <v>0</v>
      </c>
      <c r="F10" s="154">
        <v>0</v>
      </c>
      <c r="G10" s="154">
        <v>0</v>
      </c>
      <c r="H10" s="154">
        <v>0</v>
      </c>
      <c r="I10" s="154">
        <v>0</v>
      </c>
      <c r="J10" s="154">
        <v>0</v>
      </c>
      <c r="K10" s="154">
        <v>0</v>
      </c>
      <c r="L10" s="154">
        <v>0</v>
      </c>
      <c r="M10" s="154">
        <v>0</v>
      </c>
      <c r="N10" s="154">
        <v>0</v>
      </c>
      <c r="O10" s="154">
        <v>0</v>
      </c>
      <c r="P10" s="157">
        <f>+SUBTOTAL(9,D10:O10)</f>
        <v>0</v>
      </c>
      <c r="Q10" s="161"/>
      <c r="R10" s="163">
        <v>0</v>
      </c>
      <c r="S10" s="164">
        <v>0</v>
      </c>
      <c r="T10" s="154">
        <v>0</v>
      </c>
      <c r="U10" s="154">
        <v>0</v>
      </c>
      <c r="V10" s="154">
        <v>0</v>
      </c>
      <c r="W10" s="154">
        <v>0</v>
      </c>
      <c r="X10" s="154">
        <v>0</v>
      </c>
      <c r="Y10" s="154">
        <v>0</v>
      </c>
      <c r="Z10" s="154">
        <v>0</v>
      </c>
      <c r="AA10" s="154">
        <v>0</v>
      </c>
      <c r="AB10" s="154">
        <v>0</v>
      </c>
      <c r="AC10" s="154">
        <v>0</v>
      </c>
      <c r="AD10" s="157">
        <f>+SUBTOTAL(9,R10:AC10)</f>
        <v>0</v>
      </c>
      <c r="AE10" s="161"/>
      <c r="AF10" s="163">
        <v>0</v>
      </c>
      <c r="AG10" s="164">
        <v>0</v>
      </c>
      <c r="AH10" s="154">
        <v>0</v>
      </c>
      <c r="AI10" s="154">
        <v>0</v>
      </c>
      <c r="AJ10" s="154">
        <v>0</v>
      </c>
      <c r="AK10" s="154">
        <v>0</v>
      </c>
      <c r="AL10" s="154">
        <v>0</v>
      </c>
      <c r="AM10" s="154">
        <v>0</v>
      </c>
      <c r="AN10" s="154">
        <v>0</v>
      </c>
      <c r="AO10" s="154">
        <v>0</v>
      </c>
      <c r="AP10" s="154">
        <v>0</v>
      </c>
      <c r="AQ10" s="154">
        <v>0</v>
      </c>
      <c r="AR10" s="157">
        <f>+SUBTOTAL(9,AF10:AQ10)</f>
        <v>0</v>
      </c>
      <c r="AT10" s="163">
        <v>0</v>
      </c>
      <c r="AU10" s="164">
        <v>0</v>
      </c>
      <c r="AV10" s="154">
        <v>0</v>
      </c>
      <c r="AW10" s="154">
        <v>0</v>
      </c>
      <c r="AX10" s="154">
        <v>0</v>
      </c>
      <c r="AY10" s="154">
        <v>0</v>
      </c>
      <c r="AZ10" s="154">
        <v>0</v>
      </c>
      <c r="BA10" s="154">
        <v>0</v>
      </c>
      <c r="BB10" s="154">
        <v>0</v>
      </c>
      <c r="BC10" s="154">
        <v>0</v>
      </c>
      <c r="BD10" s="154">
        <v>0</v>
      </c>
      <c r="BE10" s="154">
        <v>0</v>
      </c>
      <c r="BF10" s="157">
        <f>+SUBTOTAL(9,AT10:BE10)</f>
        <v>0</v>
      </c>
      <c r="BG10" s="161"/>
      <c r="BH10" s="163">
        <v>0</v>
      </c>
      <c r="BI10" s="164">
        <v>0</v>
      </c>
      <c r="BJ10" s="154">
        <v>0</v>
      </c>
      <c r="BK10" s="154">
        <v>0</v>
      </c>
      <c r="BL10" s="154">
        <v>0</v>
      </c>
      <c r="BM10" s="154">
        <v>0</v>
      </c>
      <c r="BN10" s="154">
        <v>0</v>
      </c>
      <c r="BO10" s="154">
        <v>0</v>
      </c>
      <c r="BP10" s="154">
        <v>0</v>
      </c>
      <c r="BQ10" s="154">
        <v>0</v>
      </c>
      <c r="BR10" s="154">
        <v>0</v>
      </c>
      <c r="BS10" s="154">
        <v>0</v>
      </c>
      <c r="BT10" s="157">
        <f>+SUBTOTAL(9,BH10:BS10)</f>
        <v>0</v>
      </c>
      <c r="BV10" s="163">
        <v>0</v>
      </c>
      <c r="BW10" s="164">
        <v>0</v>
      </c>
      <c r="BX10" s="154">
        <v>0</v>
      </c>
      <c r="BY10" s="154">
        <v>0</v>
      </c>
      <c r="BZ10" s="154">
        <v>0</v>
      </c>
      <c r="CA10" s="154">
        <v>0</v>
      </c>
      <c r="CB10" s="154">
        <v>0</v>
      </c>
      <c r="CC10" s="154">
        <v>0</v>
      </c>
      <c r="CD10" s="154">
        <v>0</v>
      </c>
      <c r="CE10" s="154">
        <v>0</v>
      </c>
      <c r="CF10" s="154">
        <v>0</v>
      </c>
      <c r="CG10" s="154">
        <v>0</v>
      </c>
      <c r="CH10" s="157">
        <f>+SUBTOTAL(9,BV10:CG10)</f>
        <v>0</v>
      </c>
      <c r="CI10" s="161"/>
      <c r="CJ10" s="163">
        <v>0</v>
      </c>
      <c r="CK10" s="164">
        <v>0</v>
      </c>
      <c r="CL10" s="154">
        <v>0</v>
      </c>
      <c r="CM10" s="154">
        <v>0</v>
      </c>
      <c r="CN10" s="154">
        <v>0</v>
      </c>
      <c r="CO10" s="154">
        <v>0</v>
      </c>
      <c r="CP10" s="154">
        <v>0</v>
      </c>
      <c r="CQ10" s="154">
        <v>0</v>
      </c>
      <c r="CR10" s="154">
        <v>0</v>
      </c>
      <c r="CS10" s="154">
        <v>0</v>
      </c>
      <c r="CT10" s="154">
        <v>0</v>
      </c>
      <c r="CU10" s="154">
        <v>0</v>
      </c>
      <c r="CV10" s="157">
        <f>+SUBTOTAL(9,CJ10:CU10)</f>
        <v>0</v>
      </c>
      <c r="CW10" s="161"/>
      <c r="CX10" s="163">
        <v>0</v>
      </c>
      <c r="CY10" s="164">
        <v>0</v>
      </c>
      <c r="CZ10" s="154">
        <v>0</v>
      </c>
      <c r="DA10" s="154">
        <v>0</v>
      </c>
      <c r="DB10" s="154">
        <v>0</v>
      </c>
      <c r="DC10" s="154">
        <v>0</v>
      </c>
      <c r="DD10" s="154">
        <v>0</v>
      </c>
      <c r="DE10" s="154">
        <v>0</v>
      </c>
      <c r="DF10" s="154">
        <v>0</v>
      </c>
      <c r="DG10" s="154">
        <v>0</v>
      </c>
      <c r="DH10" s="154">
        <v>0</v>
      </c>
      <c r="DI10" s="154">
        <v>0</v>
      </c>
      <c r="DJ10" s="157">
        <f>+SUBTOTAL(9,CX10:DI10)</f>
        <v>0</v>
      </c>
      <c r="DK10" s="161"/>
      <c r="DL10" s="163">
        <v>0</v>
      </c>
      <c r="DM10" s="164">
        <v>0</v>
      </c>
      <c r="DN10" s="154">
        <v>0</v>
      </c>
      <c r="DO10" s="154">
        <v>0</v>
      </c>
      <c r="DP10" s="154">
        <v>0</v>
      </c>
      <c r="DQ10" s="154">
        <v>0</v>
      </c>
      <c r="DR10" s="154">
        <v>0</v>
      </c>
      <c r="DS10" s="154">
        <v>0</v>
      </c>
      <c r="DT10" s="154">
        <v>0</v>
      </c>
      <c r="DU10" s="154">
        <v>0</v>
      </c>
      <c r="DV10" s="154">
        <v>0</v>
      </c>
      <c r="DW10" s="154">
        <v>0</v>
      </c>
      <c r="DX10" s="157">
        <f>+SUBTOTAL(9,DL10:DW10)</f>
        <v>0</v>
      </c>
      <c r="DY10" s="161"/>
      <c r="DZ10" s="163">
        <v>0</v>
      </c>
      <c r="EA10" s="164">
        <v>0</v>
      </c>
      <c r="EB10" s="154">
        <v>0</v>
      </c>
      <c r="EC10" s="154">
        <v>0</v>
      </c>
      <c r="ED10" s="154">
        <v>0</v>
      </c>
      <c r="EE10" s="154">
        <v>0</v>
      </c>
      <c r="EF10" s="154">
        <v>0</v>
      </c>
      <c r="EG10" s="154">
        <v>0</v>
      </c>
      <c r="EH10" s="154">
        <v>0</v>
      </c>
      <c r="EI10" s="154">
        <v>0</v>
      </c>
      <c r="EJ10" s="154">
        <v>0</v>
      </c>
      <c r="EK10" s="154">
        <v>0</v>
      </c>
      <c r="EL10" s="157">
        <f>+SUBTOTAL(9,DZ10:EK10)</f>
        <v>0</v>
      </c>
      <c r="EM10" s="161"/>
      <c r="EN10" s="163">
        <v>0</v>
      </c>
      <c r="EO10" s="164">
        <v>0</v>
      </c>
      <c r="EP10" s="154">
        <v>0</v>
      </c>
      <c r="EQ10" s="154">
        <v>0</v>
      </c>
      <c r="ER10" s="154">
        <v>0</v>
      </c>
      <c r="ES10" s="154">
        <v>0</v>
      </c>
      <c r="ET10" s="154">
        <v>0</v>
      </c>
      <c r="EU10" s="154">
        <v>0</v>
      </c>
      <c r="EV10" s="154">
        <v>0</v>
      </c>
      <c r="EW10" s="154">
        <v>0</v>
      </c>
      <c r="EX10" s="154">
        <v>0</v>
      </c>
      <c r="EY10" s="154">
        <v>0</v>
      </c>
      <c r="EZ10" s="157">
        <f>+SUBTOTAL(9,EN10:EY10)</f>
        <v>0</v>
      </c>
      <c r="FA10" s="161"/>
      <c r="FB10" s="163">
        <v>0</v>
      </c>
      <c r="FC10" s="164">
        <v>0</v>
      </c>
      <c r="FD10" s="154">
        <v>0</v>
      </c>
      <c r="FE10" s="154">
        <v>0</v>
      </c>
      <c r="FF10" s="154">
        <v>0</v>
      </c>
      <c r="FG10" s="154">
        <v>0</v>
      </c>
      <c r="FH10" s="154">
        <v>0</v>
      </c>
      <c r="FI10" s="154">
        <v>0</v>
      </c>
      <c r="FJ10" s="154">
        <v>0</v>
      </c>
      <c r="FK10" s="154">
        <v>0</v>
      </c>
      <c r="FL10" s="154">
        <v>0</v>
      </c>
      <c r="FM10" s="154">
        <v>0</v>
      </c>
      <c r="FN10" s="157">
        <f>+SUBTOTAL(9,FB10:FM10)</f>
        <v>0</v>
      </c>
      <c r="FO10" s="161"/>
      <c r="FP10" s="163">
        <v>0</v>
      </c>
      <c r="FQ10" s="164">
        <v>0</v>
      </c>
      <c r="FR10" s="154">
        <v>0</v>
      </c>
      <c r="FS10" s="154">
        <v>0</v>
      </c>
      <c r="FT10" s="154">
        <v>0</v>
      </c>
      <c r="FU10" s="154">
        <v>0</v>
      </c>
      <c r="FV10" s="154">
        <v>0</v>
      </c>
      <c r="FW10" s="154">
        <v>0</v>
      </c>
      <c r="FX10" s="154">
        <v>0</v>
      </c>
      <c r="FY10" s="154">
        <v>0</v>
      </c>
      <c r="FZ10" s="154">
        <v>0</v>
      </c>
      <c r="GA10" s="154">
        <v>0</v>
      </c>
      <c r="GB10" s="157">
        <f>+SUBTOTAL(9,FP10:GA10)</f>
        <v>0</v>
      </c>
      <c r="GC10" s="161"/>
      <c r="GD10" s="163">
        <v>0</v>
      </c>
      <c r="GE10" s="164">
        <v>0</v>
      </c>
      <c r="GF10" s="154">
        <v>0</v>
      </c>
      <c r="GG10" s="154">
        <v>0</v>
      </c>
      <c r="GH10" s="154">
        <v>0</v>
      </c>
      <c r="GI10" s="154">
        <v>0</v>
      </c>
      <c r="GJ10" s="154">
        <v>0</v>
      </c>
      <c r="GK10" s="154">
        <v>0</v>
      </c>
      <c r="GL10" s="154">
        <v>0</v>
      </c>
      <c r="GM10" s="154">
        <v>0</v>
      </c>
      <c r="GN10" s="154">
        <v>0</v>
      </c>
      <c r="GO10" s="154">
        <v>0</v>
      </c>
      <c r="GP10" s="157">
        <f>+SUBTOTAL(9,GD10:GO10)</f>
        <v>0</v>
      </c>
      <c r="GQ10" s="161"/>
      <c r="GR10" s="163">
        <v>0</v>
      </c>
      <c r="GS10" s="164">
        <v>0</v>
      </c>
      <c r="GT10" s="154">
        <v>0</v>
      </c>
      <c r="GU10" s="154">
        <v>0</v>
      </c>
      <c r="GV10" s="154">
        <v>0</v>
      </c>
      <c r="GW10" s="154">
        <v>0</v>
      </c>
      <c r="GX10" s="154">
        <v>0</v>
      </c>
      <c r="GY10" s="154">
        <v>0</v>
      </c>
      <c r="GZ10" s="154">
        <v>0</v>
      </c>
      <c r="HA10" s="154">
        <v>0</v>
      </c>
      <c r="HB10" s="154">
        <v>0</v>
      </c>
      <c r="HC10" s="154">
        <v>0</v>
      </c>
      <c r="HD10" s="157">
        <f>+SUBTOTAL(9,GR10:HC10)</f>
        <v>0</v>
      </c>
      <c r="HE10" s="161"/>
      <c r="HF10" s="163">
        <v>0</v>
      </c>
      <c r="HG10" s="164">
        <v>0</v>
      </c>
      <c r="HH10" s="154">
        <v>0</v>
      </c>
      <c r="HI10" s="154">
        <v>0</v>
      </c>
      <c r="HJ10" s="154">
        <v>0</v>
      </c>
      <c r="HK10" s="154">
        <v>0</v>
      </c>
      <c r="HL10" s="154">
        <v>0</v>
      </c>
      <c r="HM10" s="154">
        <v>0</v>
      </c>
      <c r="HN10" s="154">
        <v>0</v>
      </c>
      <c r="HO10" s="154">
        <v>0</v>
      </c>
      <c r="HP10" s="154">
        <v>0</v>
      </c>
      <c r="HQ10" s="154">
        <v>0</v>
      </c>
      <c r="HR10" s="157">
        <f>+SUBTOTAL(9,HF10:HQ10)</f>
        <v>0</v>
      </c>
      <c r="HS10" s="161"/>
      <c r="HT10" s="163">
        <v>0</v>
      </c>
      <c r="HU10" s="164">
        <v>0</v>
      </c>
      <c r="HV10" s="154">
        <v>0</v>
      </c>
      <c r="HW10" s="154">
        <v>0</v>
      </c>
      <c r="HX10" s="154">
        <v>0</v>
      </c>
      <c r="HY10" s="154">
        <v>0</v>
      </c>
      <c r="HZ10" s="154">
        <v>0</v>
      </c>
      <c r="IA10" s="154">
        <v>0</v>
      </c>
      <c r="IB10" s="154">
        <v>0</v>
      </c>
      <c r="IC10" s="154">
        <v>0</v>
      </c>
      <c r="ID10" s="154">
        <v>0</v>
      </c>
      <c r="IE10" s="154">
        <v>0</v>
      </c>
      <c r="IF10" s="157">
        <f>+SUBTOTAL(9,HT10:IE10)</f>
        <v>0</v>
      </c>
      <c r="IG10" s="161"/>
      <c r="IH10" s="163">
        <v>0</v>
      </c>
      <c r="II10" s="164">
        <v>0</v>
      </c>
      <c r="IJ10" s="154">
        <v>0</v>
      </c>
      <c r="IK10" s="154">
        <v>0</v>
      </c>
      <c r="IL10" s="154">
        <v>0</v>
      </c>
      <c r="IM10" s="154">
        <v>0</v>
      </c>
      <c r="IN10" s="154">
        <v>0</v>
      </c>
      <c r="IO10" s="154">
        <v>0</v>
      </c>
      <c r="IP10" s="154">
        <v>0</v>
      </c>
      <c r="IQ10" s="154">
        <v>0</v>
      </c>
      <c r="IR10" s="154">
        <v>0</v>
      </c>
      <c r="IS10" s="154">
        <v>0</v>
      </c>
      <c r="IT10" s="157">
        <f>+SUBTOTAL(9,IH10:IS10)</f>
        <v>0</v>
      </c>
      <c r="IU10" s="161"/>
      <c r="IV10" s="163">
        <v>0</v>
      </c>
      <c r="IW10" s="164">
        <v>0</v>
      </c>
      <c r="IX10" s="154">
        <v>0</v>
      </c>
      <c r="IY10" s="154">
        <v>0</v>
      </c>
      <c r="IZ10" s="154">
        <v>0</v>
      </c>
      <c r="JA10" s="154">
        <v>0</v>
      </c>
      <c r="JB10" s="154">
        <v>0</v>
      </c>
      <c r="JC10" s="154">
        <v>0</v>
      </c>
      <c r="JD10" s="154">
        <v>0</v>
      </c>
      <c r="JE10" s="154">
        <v>0</v>
      </c>
      <c r="JF10" s="154">
        <v>0</v>
      </c>
      <c r="JG10" s="154">
        <v>0</v>
      </c>
      <c r="JH10" s="157">
        <f>+SUBTOTAL(9,IV10:JG10)</f>
        <v>0</v>
      </c>
      <c r="JI10" s="161"/>
      <c r="JJ10" s="163">
        <v>0</v>
      </c>
      <c r="JK10" s="164">
        <v>0</v>
      </c>
      <c r="JL10" s="154">
        <v>0</v>
      </c>
      <c r="JM10" s="154">
        <v>0</v>
      </c>
      <c r="JN10" s="154">
        <v>0</v>
      </c>
      <c r="JO10" s="154">
        <v>0</v>
      </c>
      <c r="JP10" s="154">
        <v>0</v>
      </c>
      <c r="JQ10" s="154">
        <v>0</v>
      </c>
      <c r="JR10" s="154">
        <v>0</v>
      </c>
      <c r="JS10" s="154">
        <v>0</v>
      </c>
      <c r="JT10" s="154">
        <v>0</v>
      </c>
      <c r="JU10" s="154">
        <v>0</v>
      </c>
      <c r="JV10" s="157">
        <f>+SUBTOTAL(9,JJ10:JU10)</f>
        <v>0</v>
      </c>
      <c r="JW10" s="161"/>
      <c r="JX10" s="163">
        <v>0</v>
      </c>
      <c r="JY10" s="164">
        <v>0</v>
      </c>
      <c r="JZ10" s="154">
        <v>0</v>
      </c>
      <c r="KA10" s="154">
        <v>0</v>
      </c>
      <c r="KB10" s="154">
        <v>0</v>
      </c>
      <c r="KC10" s="154">
        <v>0</v>
      </c>
      <c r="KD10" s="154">
        <v>0</v>
      </c>
      <c r="KE10" s="154">
        <v>0</v>
      </c>
      <c r="KF10" s="154">
        <v>0</v>
      </c>
      <c r="KG10" s="154">
        <v>0</v>
      </c>
      <c r="KH10" s="154">
        <v>0</v>
      </c>
      <c r="KI10" s="154">
        <v>0</v>
      </c>
      <c r="KJ10" s="157">
        <f>+SUBTOTAL(9,JX10:KI10)</f>
        <v>0</v>
      </c>
      <c r="KK10" s="161"/>
      <c r="KL10" s="163">
        <v>0</v>
      </c>
      <c r="KM10" s="164">
        <v>0</v>
      </c>
      <c r="KN10" s="154">
        <v>0</v>
      </c>
      <c r="KO10" s="154">
        <v>0</v>
      </c>
      <c r="KP10" s="154">
        <v>0</v>
      </c>
      <c r="KQ10" s="154">
        <v>0</v>
      </c>
      <c r="KR10" s="154">
        <v>0</v>
      </c>
      <c r="KS10" s="154">
        <v>0</v>
      </c>
      <c r="KT10" s="154">
        <v>0</v>
      </c>
      <c r="KU10" s="154">
        <v>0</v>
      </c>
      <c r="KV10" s="154">
        <v>0</v>
      </c>
      <c r="KW10" s="154">
        <v>0</v>
      </c>
      <c r="KX10" s="157">
        <f>+SUBTOTAL(9,KL10:KW10)</f>
        <v>0</v>
      </c>
      <c r="KY10" s="161"/>
      <c r="KZ10" s="163">
        <v>0</v>
      </c>
      <c r="LA10" s="164">
        <v>0</v>
      </c>
      <c r="LB10" s="154">
        <v>0</v>
      </c>
      <c r="LC10" s="154">
        <v>0</v>
      </c>
      <c r="LD10" s="154">
        <v>0</v>
      </c>
      <c r="LE10" s="154">
        <v>0</v>
      </c>
      <c r="LF10" s="154">
        <v>0</v>
      </c>
      <c r="LG10" s="154">
        <v>0</v>
      </c>
      <c r="LH10" s="154">
        <v>0</v>
      </c>
      <c r="LI10" s="154">
        <v>0</v>
      </c>
      <c r="LJ10" s="154">
        <v>0</v>
      </c>
      <c r="LK10" s="154">
        <v>0</v>
      </c>
      <c r="LL10" s="157">
        <f>+SUBTOTAL(9,KZ10:LK10)</f>
        <v>0</v>
      </c>
      <c r="LM10" s="161"/>
      <c r="LN10" s="163">
        <v>0</v>
      </c>
      <c r="LO10" s="164">
        <v>0</v>
      </c>
      <c r="LP10" s="154">
        <v>0</v>
      </c>
      <c r="LQ10" s="154">
        <v>0</v>
      </c>
      <c r="LR10" s="154">
        <v>0</v>
      </c>
      <c r="LS10" s="154">
        <v>0</v>
      </c>
      <c r="LT10" s="154">
        <v>0</v>
      </c>
      <c r="LU10" s="154">
        <v>0</v>
      </c>
      <c r="LV10" s="154">
        <v>0</v>
      </c>
      <c r="LW10" s="154">
        <v>0</v>
      </c>
      <c r="LX10" s="154">
        <v>0</v>
      </c>
      <c r="LY10" s="154">
        <v>0</v>
      </c>
      <c r="LZ10" s="157">
        <f>+SUBTOTAL(9,LN10:LY10)</f>
        <v>0</v>
      </c>
      <c r="MA10" s="161"/>
      <c r="MB10" s="157">
        <f t="shared" si="3"/>
        <v>0</v>
      </c>
      <c r="MC10" s="157">
        <f t="shared" si="3"/>
        <v>0</v>
      </c>
      <c r="MD10" s="157">
        <f t="shared" si="3"/>
        <v>0</v>
      </c>
      <c r="ME10" s="157">
        <f t="shared" si="3"/>
        <v>0</v>
      </c>
      <c r="MF10" s="157">
        <f t="shared" si="3"/>
        <v>0</v>
      </c>
      <c r="MG10" s="157">
        <f t="shared" si="3"/>
        <v>0</v>
      </c>
      <c r="MH10" s="157">
        <f t="shared" si="3"/>
        <v>0</v>
      </c>
      <c r="MI10" s="157">
        <f t="shared" si="3"/>
        <v>0</v>
      </c>
      <c r="MJ10" s="157">
        <f t="shared" si="3"/>
        <v>0</v>
      </c>
      <c r="MK10" s="157">
        <f t="shared" si="3"/>
        <v>0</v>
      </c>
      <c r="ML10" s="157">
        <f t="shared" si="3"/>
        <v>0</v>
      </c>
      <c r="MM10" s="157">
        <f t="shared" si="3"/>
        <v>0</v>
      </c>
      <c r="MN10" s="157">
        <f>SUM(MB10:MM10)</f>
        <v>0</v>
      </c>
    </row>
    <row r="11" spans="1:352" hidden="1" x14ac:dyDescent="0.3">
      <c r="D11" s="153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7"/>
      <c r="Q11" s="161"/>
      <c r="R11" s="153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7"/>
      <c r="AE11" s="161"/>
      <c r="AF11" s="153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7"/>
      <c r="AT11" s="153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7"/>
      <c r="BG11" s="161"/>
      <c r="BH11" s="153"/>
      <c r="BI11" s="154"/>
      <c r="BJ11" s="154"/>
      <c r="BK11" s="154"/>
      <c r="BL11" s="154"/>
      <c r="BM11" s="154"/>
      <c r="BN11" s="154"/>
      <c r="BO11" s="154"/>
      <c r="BP11" s="154"/>
      <c r="BQ11" s="154"/>
      <c r="BR11" s="154"/>
      <c r="BS11" s="154"/>
      <c r="BT11" s="157"/>
      <c r="BV11" s="153"/>
      <c r="BW11" s="154"/>
      <c r="BX11" s="154"/>
      <c r="BY11" s="154"/>
      <c r="BZ11" s="154"/>
      <c r="CA11" s="154"/>
      <c r="CB11" s="154"/>
      <c r="CC11" s="154"/>
      <c r="CD11" s="154"/>
      <c r="CE11" s="154"/>
      <c r="CF11" s="154"/>
      <c r="CG11" s="154"/>
      <c r="CH11" s="157"/>
      <c r="CI11" s="161"/>
      <c r="CJ11" s="153"/>
      <c r="CK11" s="154"/>
      <c r="CL11" s="154"/>
      <c r="CM11" s="154"/>
      <c r="CN11" s="154"/>
      <c r="CO11" s="154"/>
      <c r="CP11" s="154"/>
      <c r="CQ11" s="154"/>
      <c r="CR11" s="154"/>
      <c r="CS11" s="154"/>
      <c r="CT11" s="154"/>
      <c r="CU11" s="154"/>
      <c r="CV11" s="157"/>
      <c r="CW11" s="161"/>
      <c r="CX11" s="153"/>
      <c r="CY11" s="154"/>
      <c r="CZ11" s="154"/>
      <c r="DA11" s="154"/>
      <c r="DB11" s="154"/>
      <c r="DC11" s="154"/>
      <c r="DD11" s="154"/>
      <c r="DE11" s="154"/>
      <c r="DF11" s="154"/>
      <c r="DG11" s="154"/>
      <c r="DH11" s="154"/>
      <c r="DI11" s="154"/>
      <c r="DJ11" s="157"/>
      <c r="DK11" s="161"/>
      <c r="DL11" s="153"/>
      <c r="DM11" s="154"/>
      <c r="DN11" s="154"/>
      <c r="DO11" s="154"/>
      <c r="DP11" s="154"/>
      <c r="DQ11" s="154"/>
      <c r="DR11" s="154"/>
      <c r="DS11" s="154"/>
      <c r="DT11" s="154"/>
      <c r="DU11" s="154"/>
      <c r="DV11" s="154"/>
      <c r="DW11" s="154"/>
      <c r="DX11" s="157"/>
      <c r="DY11" s="161"/>
      <c r="DZ11" s="153"/>
      <c r="EA11" s="154"/>
      <c r="EB11" s="154"/>
      <c r="EC11" s="154"/>
      <c r="ED11" s="154"/>
      <c r="EE11" s="154"/>
      <c r="EF11" s="154"/>
      <c r="EG11" s="154"/>
      <c r="EH11" s="154"/>
      <c r="EI11" s="154"/>
      <c r="EJ11" s="154"/>
      <c r="EK11" s="154"/>
      <c r="EL11" s="157"/>
      <c r="EM11" s="161"/>
      <c r="EN11" s="153"/>
      <c r="EO11" s="154"/>
      <c r="EP11" s="154"/>
      <c r="EQ11" s="154"/>
      <c r="ER11" s="154"/>
      <c r="ES11" s="154"/>
      <c r="ET11" s="154"/>
      <c r="EU11" s="154"/>
      <c r="EV11" s="154"/>
      <c r="EW11" s="154"/>
      <c r="EX11" s="154"/>
      <c r="EY11" s="154"/>
      <c r="EZ11" s="157"/>
      <c r="FA11" s="161"/>
      <c r="FB11" s="153"/>
      <c r="FC11" s="154"/>
      <c r="FD11" s="154"/>
      <c r="FE11" s="154"/>
      <c r="FF11" s="154"/>
      <c r="FG11" s="154"/>
      <c r="FH11" s="154"/>
      <c r="FI11" s="154"/>
      <c r="FJ11" s="154"/>
      <c r="FK11" s="154"/>
      <c r="FL11" s="154"/>
      <c r="FM11" s="154"/>
      <c r="FN11" s="157"/>
      <c r="FO11" s="161"/>
      <c r="FP11" s="153"/>
      <c r="FQ11" s="154"/>
      <c r="FR11" s="154"/>
      <c r="FS11" s="154"/>
      <c r="FT11" s="154"/>
      <c r="FU11" s="154"/>
      <c r="FV11" s="154"/>
      <c r="FW11" s="154"/>
      <c r="FX11" s="154"/>
      <c r="FY11" s="154"/>
      <c r="FZ11" s="154"/>
      <c r="GA11" s="154"/>
      <c r="GB11" s="157"/>
      <c r="GC11" s="161"/>
      <c r="GD11" s="153"/>
      <c r="GE11" s="154"/>
      <c r="GF11" s="154"/>
      <c r="GG11" s="154"/>
      <c r="GH11" s="154"/>
      <c r="GI11" s="154"/>
      <c r="GJ11" s="154"/>
      <c r="GK11" s="154"/>
      <c r="GL11" s="154"/>
      <c r="GM11" s="154"/>
      <c r="GN11" s="154"/>
      <c r="GO11" s="154"/>
      <c r="GP11" s="157"/>
      <c r="GQ11" s="161"/>
      <c r="GR11" s="153"/>
      <c r="GS11" s="154"/>
      <c r="GT11" s="154"/>
      <c r="GU11" s="154"/>
      <c r="GV11" s="154"/>
      <c r="GW11" s="154"/>
      <c r="GX11" s="154"/>
      <c r="GY11" s="154"/>
      <c r="GZ11" s="154"/>
      <c r="HA11" s="154"/>
      <c r="HB11" s="154"/>
      <c r="HC11" s="154"/>
      <c r="HD11" s="157"/>
      <c r="HE11" s="161"/>
      <c r="HF11" s="153"/>
      <c r="HG11" s="154"/>
      <c r="HH11" s="154"/>
      <c r="HI11" s="154"/>
      <c r="HJ11" s="154"/>
      <c r="HK11" s="154"/>
      <c r="HL11" s="154"/>
      <c r="HM11" s="154"/>
      <c r="HN11" s="154"/>
      <c r="HO11" s="154"/>
      <c r="HP11" s="154"/>
      <c r="HQ11" s="154"/>
      <c r="HR11" s="157"/>
      <c r="HS11" s="161"/>
      <c r="HT11" s="153"/>
      <c r="HU11" s="154"/>
      <c r="HV11" s="154"/>
      <c r="HW11" s="154"/>
      <c r="HX11" s="154"/>
      <c r="HY11" s="154"/>
      <c r="HZ11" s="154"/>
      <c r="IA11" s="154"/>
      <c r="IB11" s="154"/>
      <c r="IC11" s="154"/>
      <c r="ID11" s="154"/>
      <c r="IE11" s="154"/>
      <c r="IF11" s="157"/>
      <c r="IG11" s="161"/>
      <c r="IH11" s="153"/>
      <c r="II11" s="154"/>
      <c r="IJ11" s="154"/>
      <c r="IK11" s="154"/>
      <c r="IL11" s="154"/>
      <c r="IM11" s="154"/>
      <c r="IN11" s="154"/>
      <c r="IO11" s="154"/>
      <c r="IP11" s="154"/>
      <c r="IQ11" s="154"/>
      <c r="IR11" s="154"/>
      <c r="IS11" s="154"/>
      <c r="IT11" s="157"/>
      <c r="IU11" s="161"/>
      <c r="IV11" s="153"/>
      <c r="IW11" s="154"/>
      <c r="IX11" s="154"/>
      <c r="IY11" s="154"/>
      <c r="IZ11" s="154"/>
      <c r="JA11" s="154"/>
      <c r="JB11" s="154"/>
      <c r="JC11" s="154"/>
      <c r="JD11" s="154"/>
      <c r="JE11" s="154"/>
      <c r="JF11" s="154"/>
      <c r="JG11" s="154"/>
      <c r="JH11" s="157"/>
      <c r="JI11" s="161"/>
      <c r="JJ11" s="153"/>
      <c r="JK11" s="154"/>
      <c r="JL11" s="154"/>
      <c r="JM11" s="154"/>
      <c r="JN11" s="154"/>
      <c r="JO11" s="154"/>
      <c r="JP11" s="154"/>
      <c r="JQ11" s="154"/>
      <c r="JR11" s="154"/>
      <c r="JS11" s="154"/>
      <c r="JT11" s="154"/>
      <c r="JU11" s="154"/>
      <c r="JV11" s="157"/>
      <c r="JW11" s="161"/>
      <c r="JX11" s="153"/>
      <c r="JY11" s="154"/>
      <c r="JZ11" s="154"/>
      <c r="KA11" s="154"/>
      <c r="KB11" s="154"/>
      <c r="KC11" s="154"/>
      <c r="KD11" s="154"/>
      <c r="KE11" s="154"/>
      <c r="KF11" s="154"/>
      <c r="KG11" s="154"/>
      <c r="KH11" s="154"/>
      <c r="KI11" s="154"/>
      <c r="KJ11" s="157"/>
      <c r="KK11" s="161"/>
      <c r="KL11" s="153"/>
      <c r="KM11" s="154"/>
      <c r="KN11" s="154"/>
      <c r="KO11" s="154"/>
      <c r="KP11" s="154"/>
      <c r="KQ11" s="154"/>
      <c r="KR11" s="154"/>
      <c r="KS11" s="154"/>
      <c r="KT11" s="154"/>
      <c r="KU11" s="154"/>
      <c r="KV11" s="154"/>
      <c r="KW11" s="154"/>
      <c r="KX11" s="157"/>
      <c r="KY11" s="161"/>
      <c r="KZ11" s="153"/>
      <c r="LA11" s="154"/>
      <c r="LB11" s="154"/>
      <c r="LC11" s="154"/>
      <c r="LD11" s="154"/>
      <c r="LE11" s="154"/>
      <c r="LF11" s="154"/>
      <c r="LG11" s="154"/>
      <c r="LH11" s="154"/>
      <c r="LI11" s="154"/>
      <c r="LJ11" s="154"/>
      <c r="LK11" s="154"/>
      <c r="LL11" s="157"/>
      <c r="LM11" s="161"/>
      <c r="LN11" s="153"/>
      <c r="LO11" s="154"/>
      <c r="LP11" s="154"/>
      <c r="LQ11" s="154"/>
      <c r="LR11" s="154"/>
      <c r="LS11" s="154"/>
      <c r="LT11" s="154"/>
      <c r="LU11" s="154"/>
      <c r="LV11" s="154"/>
      <c r="LW11" s="154"/>
      <c r="LX11" s="154"/>
      <c r="LY11" s="154"/>
      <c r="LZ11" s="157"/>
      <c r="MA11" s="161"/>
      <c r="MB11" s="157"/>
      <c r="MC11" s="157"/>
      <c r="MD11" s="157"/>
      <c r="ME11" s="157"/>
      <c r="MF11" s="157"/>
      <c r="MG11" s="157"/>
      <c r="MH11" s="157"/>
      <c r="MI11" s="157"/>
      <c r="MJ11" s="157"/>
      <c r="MK11" s="157"/>
      <c r="ML11" s="157"/>
      <c r="MM11" s="157"/>
      <c r="MN11" s="157"/>
    </row>
    <row r="12" spans="1:352" s="170" customFormat="1" hidden="1" x14ac:dyDescent="0.3">
      <c r="A12" s="165"/>
      <c r="B12" s="166" t="s">
        <v>197</v>
      </c>
      <c r="C12" s="165"/>
      <c r="D12" s="167">
        <f>SUM(D9:D11)</f>
        <v>0</v>
      </c>
      <c r="E12" s="168">
        <f t="shared" ref="E12:O12" si="4">SUM(E9:E11)</f>
        <v>0</v>
      </c>
      <c r="F12" s="168">
        <f t="shared" si="4"/>
        <v>0</v>
      </c>
      <c r="G12" s="168">
        <f t="shared" si="4"/>
        <v>0</v>
      </c>
      <c r="H12" s="168">
        <f t="shared" si="4"/>
        <v>0</v>
      </c>
      <c r="I12" s="168">
        <f t="shared" si="4"/>
        <v>0</v>
      </c>
      <c r="J12" s="168">
        <f t="shared" si="4"/>
        <v>0</v>
      </c>
      <c r="K12" s="168">
        <f t="shared" si="4"/>
        <v>0</v>
      </c>
      <c r="L12" s="168">
        <f t="shared" si="4"/>
        <v>0</v>
      </c>
      <c r="M12" s="168">
        <f t="shared" si="4"/>
        <v>0</v>
      </c>
      <c r="N12" s="168">
        <f t="shared" si="4"/>
        <v>0</v>
      </c>
      <c r="O12" s="168">
        <f t="shared" si="4"/>
        <v>0</v>
      </c>
      <c r="P12" s="169">
        <f>+SUBTOTAL(9,D12:O12)</f>
        <v>0</v>
      </c>
      <c r="Q12" s="161"/>
      <c r="R12" s="167">
        <f>SUM(R9:R11)</f>
        <v>0</v>
      </c>
      <c r="S12" s="168">
        <f t="shared" ref="S12:AC12" si="5">SUM(S9:S11)</f>
        <v>0</v>
      </c>
      <c r="T12" s="168">
        <f t="shared" si="5"/>
        <v>0</v>
      </c>
      <c r="U12" s="168">
        <f t="shared" si="5"/>
        <v>0</v>
      </c>
      <c r="V12" s="168">
        <f t="shared" si="5"/>
        <v>0</v>
      </c>
      <c r="W12" s="168">
        <f t="shared" si="5"/>
        <v>0</v>
      </c>
      <c r="X12" s="168">
        <f t="shared" si="5"/>
        <v>0</v>
      </c>
      <c r="Y12" s="168">
        <f t="shared" si="5"/>
        <v>0</v>
      </c>
      <c r="Z12" s="168">
        <f t="shared" si="5"/>
        <v>0</v>
      </c>
      <c r="AA12" s="168">
        <f t="shared" si="5"/>
        <v>0</v>
      </c>
      <c r="AB12" s="168">
        <f t="shared" si="5"/>
        <v>0</v>
      </c>
      <c r="AC12" s="168">
        <f t="shared" si="5"/>
        <v>0</v>
      </c>
      <c r="AD12" s="169">
        <f>+SUBTOTAL(9,R12:AC12)</f>
        <v>0</v>
      </c>
      <c r="AE12" s="161"/>
      <c r="AF12" s="167">
        <f>SUM(AF9:AF11)</f>
        <v>0</v>
      </c>
      <c r="AG12" s="168">
        <f t="shared" ref="AG12:AQ12" si="6">SUM(AG9:AG11)</f>
        <v>0</v>
      </c>
      <c r="AH12" s="168">
        <f t="shared" si="6"/>
        <v>0</v>
      </c>
      <c r="AI12" s="168">
        <f t="shared" si="6"/>
        <v>0</v>
      </c>
      <c r="AJ12" s="168">
        <f t="shared" si="6"/>
        <v>0</v>
      </c>
      <c r="AK12" s="168">
        <f t="shared" si="6"/>
        <v>0</v>
      </c>
      <c r="AL12" s="168">
        <f t="shared" si="6"/>
        <v>0</v>
      </c>
      <c r="AM12" s="168">
        <f t="shared" si="6"/>
        <v>0</v>
      </c>
      <c r="AN12" s="168">
        <f t="shared" si="6"/>
        <v>0</v>
      </c>
      <c r="AO12" s="168">
        <f t="shared" si="6"/>
        <v>0</v>
      </c>
      <c r="AP12" s="168">
        <f t="shared" si="6"/>
        <v>0</v>
      </c>
      <c r="AQ12" s="168">
        <f t="shared" si="6"/>
        <v>0</v>
      </c>
      <c r="AR12" s="169">
        <f>+SUBTOTAL(9,AF12:AQ12)</f>
        <v>0</v>
      </c>
      <c r="AS12" s="161"/>
      <c r="AT12" s="167">
        <f>SUM(AT9:AT11)</f>
        <v>0</v>
      </c>
      <c r="AU12" s="168">
        <f t="shared" ref="AU12:BE12" si="7">SUM(AU9:AU11)</f>
        <v>0</v>
      </c>
      <c r="AV12" s="168">
        <f t="shared" si="7"/>
        <v>0</v>
      </c>
      <c r="AW12" s="168">
        <f t="shared" si="7"/>
        <v>0</v>
      </c>
      <c r="AX12" s="168">
        <f t="shared" si="7"/>
        <v>0</v>
      </c>
      <c r="AY12" s="168">
        <f t="shared" si="7"/>
        <v>0</v>
      </c>
      <c r="AZ12" s="168">
        <f t="shared" si="7"/>
        <v>0</v>
      </c>
      <c r="BA12" s="168">
        <f t="shared" si="7"/>
        <v>0</v>
      </c>
      <c r="BB12" s="168">
        <f t="shared" si="7"/>
        <v>0</v>
      </c>
      <c r="BC12" s="168">
        <f t="shared" si="7"/>
        <v>0</v>
      </c>
      <c r="BD12" s="168">
        <f t="shared" si="7"/>
        <v>0</v>
      </c>
      <c r="BE12" s="168">
        <f t="shared" si="7"/>
        <v>0</v>
      </c>
      <c r="BF12" s="169">
        <f>+SUBTOTAL(9,AT12:BE12)</f>
        <v>0</v>
      </c>
      <c r="BG12" s="161"/>
      <c r="BH12" s="167">
        <f>SUM(BH9:BH11)</f>
        <v>0</v>
      </c>
      <c r="BI12" s="168">
        <f t="shared" ref="BI12:BS12" si="8">SUM(BI9:BI11)</f>
        <v>0</v>
      </c>
      <c r="BJ12" s="168">
        <f t="shared" si="8"/>
        <v>0</v>
      </c>
      <c r="BK12" s="168">
        <f t="shared" si="8"/>
        <v>0</v>
      </c>
      <c r="BL12" s="168">
        <f t="shared" si="8"/>
        <v>0</v>
      </c>
      <c r="BM12" s="168">
        <f t="shared" si="8"/>
        <v>0</v>
      </c>
      <c r="BN12" s="168">
        <f t="shared" si="8"/>
        <v>0</v>
      </c>
      <c r="BO12" s="168">
        <f t="shared" si="8"/>
        <v>0</v>
      </c>
      <c r="BP12" s="168">
        <f t="shared" si="8"/>
        <v>0</v>
      </c>
      <c r="BQ12" s="168">
        <f t="shared" si="8"/>
        <v>0</v>
      </c>
      <c r="BR12" s="168">
        <f t="shared" si="8"/>
        <v>0</v>
      </c>
      <c r="BS12" s="168">
        <f t="shared" si="8"/>
        <v>0</v>
      </c>
      <c r="BT12" s="169">
        <f>+SUBTOTAL(9,BH12:BS12)</f>
        <v>0</v>
      </c>
      <c r="BU12" s="161"/>
      <c r="BV12" s="167">
        <f>SUM(BV9:BV11)</f>
        <v>0</v>
      </c>
      <c r="BW12" s="168">
        <f t="shared" ref="BW12:CG12" si="9">SUM(BW9:BW11)</f>
        <v>0</v>
      </c>
      <c r="BX12" s="168">
        <f t="shared" si="9"/>
        <v>0</v>
      </c>
      <c r="BY12" s="168">
        <f t="shared" si="9"/>
        <v>0</v>
      </c>
      <c r="BZ12" s="168">
        <f t="shared" si="9"/>
        <v>0</v>
      </c>
      <c r="CA12" s="168">
        <f t="shared" si="9"/>
        <v>0</v>
      </c>
      <c r="CB12" s="168">
        <f t="shared" si="9"/>
        <v>0</v>
      </c>
      <c r="CC12" s="168">
        <f t="shared" si="9"/>
        <v>0</v>
      </c>
      <c r="CD12" s="168">
        <f t="shared" si="9"/>
        <v>0</v>
      </c>
      <c r="CE12" s="168">
        <f t="shared" si="9"/>
        <v>0</v>
      </c>
      <c r="CF12" s="168">
        <f t="shared" si="9"/>
        <v>0</v>
      </c>
      <c r="CG12" s="168">
        <f t="shared" si="9"/>
        <v>0</v>
      </c>
      <c r="CH12" s="169">
        <f>+SUBTOTAL(9,BV12:CG12)</f>
        <v>0</v>
      </c>
      <c r="CI12" s="161"/>
      <c r="CJ12" s="167">
        <f>SUM(CJ9:CJ11)</f>
        <v>0</v>
      </c>
      <c r="CK12" s="168">
        <f t="shared" ref="CK12:CU12" si="10">SUM(CK9:CK11)</f>
        <v>0</v>
      </c>
      <c r="CL12" s="168">
        <f t="shared" si="10"/>
        <v>0</v>
      </c>
      <c r="CM12" s="168">
        <f t="shared" si="10"/>
        <v>0</v>
      </c>
      <c r="CN12" s="168">
        <f t="shared" si="10"/>
        <v>0</v>
      </c>
      <c r="CO12" s="168">
        <f t="shared" si="10"/>
        <v>0</v>
      </c>
      <c r="CP12" s="168">
        <f t="shared" si="10"/>
        <v>0</v>
      </c>
      <c r="CQ12" s="168">
        <f t="shared" si="10"/>
        <v>0</v>
      </c>
      <c r="CR12" s="168">
        <f t="shared" si="10"/>
        <v>0</v>
      </c>
      <c r="CS12" s="168">
        <f t="shared" si="10"/>
        <v>0</v>
      </c>
      <c r="CT12" s="168">
        <f t="shared" si="10"/>
        <v>0</v>
      </c>
      <c r="CU12" s="168">
        <f t="shared" si="10"/>
        <v>0</v>
      </c>
      <c r="CV12" s="169">
        <f>+SUBTOTAL(9,CJ12:CU12)</f>
        <v>0</v>
      </c>
      <c r="CW12" s="161"/>
      <c r="CX12" s="167">
        <f>SUM(CX9:CX11)</f>
        <v>0</v>
      </c>
      <c r="CY12" s="168">
        <f t="shared" ref="CY12:DI12" si="11">SUM(CY9:CY11)</f>
        <v>0</v>
      </c>
      <c r="CZ12" s="168">
        <f t="shared" si="11"/>
        <v>0</v>
      </c>
      <c r="DA12" s="168">
        <f t="shared" si="11"/>
        <v>0</v>
      </c>
      <c r="DB12" s="168">
        <f t="shared" si="11"/>
        <v>0</v>
      </c>
      <c r="DC12" s="168">
        <f t="shared" si="11"/>
        <v>0</v>
      </c>
      <c r="DD12" s="168">
        <f t="shared" si="11"/>
        <v>0</v>
      </c>
      <c r="DE12" s="168">
        <f t="shared" si="11"/>
        <v>0</v>
      </c>
      <c r="DF12" s="168">
        <f t="shared" si="11"/>
        <v>0</v>
      </c>
      <c r="DG12" s="168">
        <f t="shared" si="11"/>
        <v>0</v>
      </c>
      <c r="DH12" s="168">
        <f t="shared" si="11"/>
        <v>0</v>
      </c>
      <c r="DI12" s="168">
        <f t="shared" si="11"/>
        <v>0</v>
      </c>
      <c r="DJ12" s="169">
        <f>+SUBTOTAL(9,CX12:DI12)</f>
        <v>0</v>
      </c>
      <c r="DK12" s="161"/>
      <c r="DL12" s="167">
        <f>SUM(DL9:DL11)</f>
        <v>0</v>
      </c>
      <c r="DM12" s="168">
        <f t="shared" ref="DM12:DW12" si="12">SUM(DM9:DM11)</f>
        <v>0</v>
      </c>
      <c r="DN12" s="168">
        <f t="shared" si="12"/>
        <v>0</v>
      </c>
      <c r="DO12" s="168">
        <f t="shared" si="12"/>
        <v>0</v>
      </c>
      <c r="DP12" s="168">
        <f t="shared" si="12"/>
        <v>0</v>
      </c>
      <c r="DQ12" s="168">
        <f t="shared" si="12"/>
        <v>0</v>
      </c>
      <c r="DR12" s="168">
        <f t="shared" si="12"/>
        <v>0</v>
      </c>
      <c r="DS12" s="168">
        <f t="shared" si="12"/>
        <v>0</v>
      </c>
      <c r="DT12" s="168">
        <f t="shared" si="12"/>
        <v>0</v>
      </c>
      <c r="DU12" s="168">
        <f t="shared" si="12"/>
        <v>0</v>
      </c>
      <c r="DV12" s="168">
        <f t="shared" si="12"/>
        <v>0</v>
      </c>
      <c r="DW12" s="168">
        <f t="shared" si="12"/>
        <v>0</v>
      </c>
      <c r="DX12" s="169">
        <f>+SUBTOTAL(9,DL12:DW12)</f>
        <v>0</v>
      </c>
      <c r="DY12" s="161"/>
      <c r="DZ12" s="167">
        <f>SUM(DZ9:DZ11)</f>
        <v>0</v>
      </c>
      <c r="EA12" s="168">
        <f t="shared" ref="EA12:EK12" si="13">SUM(EA9:EA11)</f>
        <v>0</v>
      </c>
      <c r="EB12" s="168">
        <f t="shared" si="13"/>
        <v>0</v>
      </c>
      <c r="EC12" s="168">
        <f t="shared" si="13"/>
        <v>0</v>
      </c>
      <c r="ED12" s="168">
        <f t="shared" si="13"/>
        <v>0</v>
      </c>
      <c r="EE12" s="168">
        <f t="shared" si="13"/>
        <v>0</v>
      </c>
      <c r="EF12" s="168">
        <f t="shared" si="13"/>
        <v>0</v>
      </c>
      <c r="EG12" s="168">
        <f t="shared" si="13"/>
        <v>0</v>
      </c>
      <c r="EH12" s="168">
        <f t="shared" si="13"/>
        <v>0</v>
      </c>
      <c r="EI12" s="168">
        <f t="shared" si="13"/>
        <v>0</v>
      </c>
      <c r="EJ12" s="168">
        <f t="shared" si="13"/>
        <v>0</v>
      </c>
      <c r="EK12" s="168">
        <f t="shared" si="13"/>
        <v>0</v>
      </c>
      <c r="EL12" s="169">
        <f>+SUBTOTAL(9,DZ12:EK12)</f>
        <v>0</v>
      </c>
      <c r="EM12" s="161"/>
      <c r="EN12" s="167">
        <f>SUM(EN9:EN11)</f>
        <v>0</v>
      </c>
      <c r="EO12" s="168">
        <f t="shared" ref="EO12:EY12" si="14">SUM(EO9:EO11)</f>
        <v>0</v>
      </c>
      <c r="EP12" s="168">
        <f t="shared" si="14"/>
        <v>0</v>
      </c>
      <c r="EQ12" s="168">
        <f t="shared" si="14"/>
        <v>0</v>
      </c>
      <c r="ER12" s="168">
        <f t="shared" si="14"/>
        <v>0</v>
      </c>
      <c r="ES12" s="168">
        <f t="shared" si="14"/>
        <v>0</v>
      </c>
      <c r="ET12" s="168">
        <f t="shared" si="14"/>
        <v>0</v>
      </c>
      <c r="EU12" s="168">
        <f t="shared" si="14"/>
        <v>0</v>
      </c>
      <c r="EV12" s="168">
        <f t="shared" si="14"/>
        <v>0</v>
      </c>
      <c r="EW12" s="168">
        <f t="shared" si="14"/>
        <v>0</v>
      </c>
      <c r="EX12" s="168">
        <f t="shared" si="14"/>
        <v>0</v>
      </c>
      <c r="EY12" s="168">
        <f t="shared" si="14"/>
        <v>0</v>
      </c>
      <c r="EZ12" s="169">
        <f>+SUBTOTAL(9,EN12:EY12)</f>
        <v>0</v>
      </c>
      <c r="FA12" s="161"/>
      <c r="FB12" s="167">
        <f>SUM(FB9:FB11)</f>
        <v>0</v>
      </c>
      <c r="FC12" s="168">
        <f t="shared" ref="FC12:FM12" si="15">SUM(FC9:FC11)</f>
        <v>0</v>
      </c>
      <c r="FD12" s="168">
        <f t="shared" si="15"/>
        <v>0</v>
      </c>
      <c r="FE12" s="168">
        <f t="shared" si="15"/>
        <v>0</v>
      </c>
      <c r="FF12" s="168">
        <f t="shared" si="15"/>
        <v>0</v>
      </c>
      <c r="FG12" s="168">
        <f t="shared" si="15"/>
        <v>0</v>
      </c>
      <c r="FH12" s="168">
        <f t="shared" si="15"/>
        <v>0</v>
      </c>
      <c r="FI12" s="168">
        <f t="shared" si="15"/>
        <v>0</v>
      </c>
      <c r="FJ12" s="168">
        <f t="shared" si="15"/>
        <v>0</v>
      </c>
      <c r="FK12" s="168">
        <f t="shared" si="15"/>
        <v>0</v>
      </c>
      <c r="FL12" s="168">
        <f t="shared" si="15"/>
        <v>0</v>
      </c>
      <c r="FM12" s="168">
        <f t="shared" si="15"/>
        <v>0</v>
      </c>
      <c r="FN12" s="169">
        <f>+SUBTOTAL(9,FB12:FM12)</f>
        <v>0</v>
      </c>
      <c r="FO12" s="161"/>
      <c r="FP12" s="167">
        <f>SUM(FP9:FP11)</f>
        <v>0</v>
      </c>
      <c r="FQ12" s="168">
        <f t="shared" ref="FQ12:GA12" si="16">SUM(FQ9:FQ11)</f>
        <v>0</v>
      </c>
      <c r="FR12" s="168">
        <f t="shared" si="16"/>
        <v>0</v>
      </c>
      <c r="FS12" s="168">
        <f t="shared" si="16"/>
        <v>0</v>
      </c>
      <c r="FT12" s="168">
        <f t="shared" si="16"/>
        <v>0</v>
      </c>
      <c r="FU12" s="168">
        <f t="shared" si="16"/>
        <v>0</v>
      </c>
      <c r="FV12" s="168">
        <f t="shared" si="16"/>
        <v>0</v>
      </c>
      <c r="FW12" s="168">
        <f t="shared" si="16"/>
        <v>0</v>
      </c>
      <c r="FX12" s="168">
        <f t="shared" si="16"/>
        <v>0</v>
      </c>
      <c r="FY12" s="168">
        <f t="shared" si="16"/>
        <v>0</v>
      </c>
      <c r="FZ12" s="168">
        <f t="shared" si="16"/>
        <v>0</v>
      </c>
      <c r="GA12" s="168">
        <f t="shared" si="16"/>
        <v>0</v>
      </c>
      <c r="GB12" s="169">
        <f>+SUBTOTAL(9,FP12:GA12)</f>
        <v>0</v>
      </c>
      <c r="GC12" s="161"/>
      <c r="GD12" s="167">
        <f>SUM(GD9:GD11)</f>
        <v>0</v>
      </c>
      <c r="GE12" s="168">
        <f t="shared" ref="GE12:GO12" si="17">SUM(GE9:GE11)</f>
        <v>0</v>
      </c>
      <c r="GF12" s="168">
        <f t="shared" si="17"/>
        <v>0</v>
      </c>
      <c r="GG12" s="168">
        <f t="shared" si="17"/>
        <v>0</v>
      </c>
      <c r="GH12" s="168">
        <f t="shared" si="17"/>
        <v>0</v>
      </c>
      <c r="GI12" s="168">
        <f t="shared" si="17"/>
        <v>0</v>
      </c>
      <c r="GJ12" s="168">
        <f t="shared" si="17"/>
        <v>0</v>
      </c>
      <c r="GK12" s="168">
        <f t="shared" si="17"/>
        <v>0</v>
      </c>
      <c r="GL12" s="168">
        <f t="shared" si="17"/>
        <v>0</v>
      </c>
      <c r="GM12" s="168">
        <f t="shared" si="17"/>
        <v>0</v>
      </c>
      <c r="GN12" s="168">
        <f t="shared" si="17"/>
        <v>0</v>
      </c>
      <c r="GO12" s="168">
        <f t="shared" si="17"/>
        <v>0</v>
      </c>
      <c r="GP12" s="169">
        <f>+SUBTOTAL(9,GD12:GO12)</f>
        <v>0</v>
      </c>
      <c r="GQ12" s="161"/>
      <c r="GR12" s="167">
        <f>SUM(GR9:GR11)</f>
        <v>0</v>
      </c>
      <c r="GS12" s="168">
        <f t="shared" ref="GS12:HC12" si="18">SUM(GS9:GS11)</f>
        <v>0</v>
      </c>
      <c r="GT12" s="168">
        <f t="shared" si="18"/>
        <v>0</v>
      </c>
      <c r="GU12" s="168">
        <f t="shared" si="18"/>
        <v>0</v>
      </c>
      <c r="GV12" s="168">
        <f t="shared" si="18"/>
        <v>0</v>
      </c>
      <c r="GW12" s="168">
        <f t="shared" si="18"/>
        <v>0</v>
      </c>
      <c r="GX12" s="168">
        <f t="shared" si="18"/>
        <v>0</v>
      </c>
      <c r="GY12" s="168">
        <f t="shared" si="18"/>
        <v>0</v>
      </c>
      <c r="GZ12" s="168">
        <f t="shared" si="18"/>
        <v>0</v>
      </c>
      <c r="HA12" s="168">
        <f t="shared" si="18"/>
        <v>0</v>
      </c>
      <c r="HB12" s="168">
        <f t="shared" si="18"/>
        <v>0</v>
      </c>
      <c r="HC12" s="168">
        <f t="shared" si="18"/>
        <v>0</v>
      </c>
      <c r="HD12" s="169">
        <f>+SUBTOTAL(9,GR12:HC12)</f>
        <v>0</v>
      </c>
      <c r="HE12" s="161"/>
      <c r="HF12" s="167">
        <f>SUM(HF9:HF11)</f>
        <v>0</v>
      </c>
      <c r="HG12" s="168">
        <f t="shared" ref="HG12:HQ12" si="19">SUM(HG9:HG11)</f>
        <v>0</v>
      </c>
      <c r="HH12" s="168">
        <f t="shared" si="19"/>
        <v>0</v>
      </c>
      <c r="HI12" s="168">
        <f t="shared" si="19"/>
        <v>0</v>
      </c>
      <c r="HJ12" s="168">
        <f t="shared" si="19"/>
        <v>0</v>
      </c>
      <c r="HK12" s="168">
        <f t="shared" si="19"/>
        <v>0</v>
      </c>
      <c r="HL12" s="168">
        <f t="shared" si="19"/>
        <v>0</v>
      </c>
      <c r="HM12" s="168">
        <f t="shared" si="19"/>
        <v>0</v>
      </c>
      <c r="HN12" s="168">
        <f t="shared" si="19"/>
        <v>0</v>
      </c>
      <c r="HO12" s="168">
        <f t="shared" si="19"/>
        <v>0</v>
      </c>
      <c r="HP12" s="168">
        <f t="shared" si="19"/>
        <v>0</v>
      </c>
      <c r="HQ12" s="168">
        <f t="shared" si="19"/>
        <v>0</v>
      </c>
      <c r="HR12" s="169">
        <f>+SUBTOTAL(9,HF12:HQ12)</f>
        <v>0</v>
      </c>
      <c r="HS12" s="161"/>
      <c r="HT12" s="167">
        <f>SUM(HT9:HT11)</f>
        <v>0</v>
      </c>
      <c r="HU12" s="168">
        <f t="shared" ref="HU12:IE12" si="20">SUM(HU9:HU11)</f>
        <v>0</v>
      </c>
      <c r="HV12" s="168">
        <f t="shared" si="20"/>
        <v>0</v>
      </c>
      <c r="HW12" s="168">
        <f t="shared" si="20"/>
        <v>0</v>
      </c>
      <c r="HX12" s="168">
        <f t="shared" si="20"/>
        <v>0</v>
      </c>
      <c r="HY12" s="168">
        <f t="shared" si="20"/>
        <v>0</v>
      </c>
      <c r="HZ12" s="168">
        <f t="shared" si="20"/>
        <v>0</v>
      </c>
      <c r="IA12" s="168">
        <f t="shared" si="20"/>
        <v>0</v>
      </c>
      <c r="IB12" s="168">
        <f t="shared" si="20"/>
        <v>0</v>
      </c>
      <c r="IC12" s="168">
        <f t="shared" si="20"/>
        <v>0</v>
      </c>
      <c r="ID12" s="168">
        <f t="shared" si="20"/>
        <v>0</v>
      </c>
      <c r="IE12" s="168">
        <f t="shared" si="20"/>
        <v>0</v>
      </c>
      <c r="IF12" s="169">
        <f>+SUBTOTAL(9,HT12:IE12)</f>
        <v>0</v>
      </c>
      <c r="IG12" s="161"/>
      <c r="IH12" s="167">
        <f>SUM(IH9:IH11)</f>
        <v>0</v>
      </c>
      <c r="II12" s="168">
        <f t="shared" ref="II12:IS12" si="21">SUM(II9:II11)</f>
        <v>0</v>
      </c>
      <c r="IJ12" s="168">
        <f t="shared" si="21"/>
        <v>0</v>
      </c>
      <c r="IK12" s="168">
        <f t="shared" si="21"/>
        <v>0</v>
      </c>
      <c r="IL12" s="168">
        <f t="shared" si="21"/>
        <v>0</v>
      </c>
      <c r="IM12" s="168">
        <f t="shared" si="21"/>
        <v>0</v>
      </c>
      <c r="IN12" s="168">
        <f t="shared" si="21"/>
        <v>0</v>
      </c>
      <c r="IO12" s="168">
        <f t="shared" si="21"/>
        <v>0</v>
      </c>
      <c r="IP12" s="168">
        <f t="shared" si="21"/>
        <v>0</v>
      </c>
      <c r="IQ12" s="168">
        <f t="shared" si="21"/>
        <v>0</v>
      </c>
      <c r="IR12" s="168">
        <f t="shared" si="21"/>
        <v>0</v>
      </c>
      <c r="IS12" s="168">
        <f t="shared" si="21"/>
        <v>0</v>
      </c>
      <c r="IT12" s="169">
        <f>+SUBTOTAL(9,IH12:IS12)</f>
        <v>0</v>
      </c>
      <c r="IU12" s="161"/>
      <c r="IV12" s="167">
        <f>SUM(IV9:IV11)</f>
        <v>0</v>
      </c>
      <c r="IW12" s="168">
        <f t="shared" ref="IW12:JG12" si="22">SUM(IW9:IW11)</f>
        <v>0</v>
      </c>
      <c r="IX12" s="168">
        <f t="shared" si="22"/>
        <v>0</v>
      </c>
      <c r="IY12" s="168">
        <f t="shared" si="22"/>
        <v>0</v>
      </c>
      <c r="IZ12" s="168">
        <f t="shared" si="22"/>
        <v>0</v>
      </c>
      <c r="JA12" s="168">
        <f t="shared" si="22"/>
        <v>0</v>
      </c>
      <c r="JB12" s="168">
        <f t="shared" si="22"/>
        <v>0</v>
      </c>
      <c r="JC12" s="168">
        <f t="shared" si="22"/>
        <v>0</v>
      </c>
      <c r="JD12" s="168">
        <f t="shared" si="22"/>
        <v>0</v>
      </c>
      <c r="JE12" s="168">
        <f t="shared" si="22"/>
        <v>0</v>
      </c>
      <c r="JF12" s="168">
        <f t="shared" si="22"/>
        <v>0</v>
      </c>
      <c r="JG12" s="168">
        <f t="shared" si="22"/>
        <v>0</v>
      </c>
      <c r="JH12" s="169">
        <f>+SUBTOTAL(9,IV12:JG12)</f>
        <v>0</v>
      </c>
      <c r="JI12" s="161"/>
      <c r="JJ12" s="167">
        <f>SUM(JJ9:JJ11)</f>
        <v>0</v>
      </c>
      <c r="JK12" s="168">
        <f t="shared" ref="JK12:JU12" si="23">SUM(JK9:JK11)</f>
        <v>0</v>
      </c>
      <c r="JL12" s="168">
        <f t="shared" si="23"/>
        <v>0</v>
      </c>
      <c r="JM12" s="168">
        <f t="shared" si="23"/>
        <v>0</v>
      </c>
      <c r="JN12" s="168">
        <f t="shared" si="23"/>
        <v>0</v>
      </c>
      <c r="JO12" s="168">
        <f t="shared" si="23"/>
        <v>0</v>
      </c>
      <c r="JP12" s="168">
        <f t="shared" si="23"/>
        <v>0</v>
      </c>
      <c r="JQ12" s="168">
        <f t="shared" si="23"/>
        <v>0</v>
      </c>
      <c r="JR12" s="168">
        <f t="shared" si="23"/>
        <v>0</v>
      </c>
      <c r="JS12" s="168">
        <f t="shared" si="23"/>
        <v>0</v>
      </c>
      <c r="JT12" s="168">
        <f t="shared" si="23"/>
        <v>0</v>
      </c>
      <c r="JU12" s="168">
        <f t="shared" si="23"/>
        <v>0</v>
      </c>
      <c r="JV12" s="169">
        <f>+SUBTOTAL(9,JJ12:JU12)</f>
        <v>0</v>
      </c>
      <c r="JW12" s="161"/>
      <c r="JX12" s="167">
        <f>SUM(JX9:JX11)</f>
        <v>0</v>
      </c>
      <c r="JY12" s="168">
        <f t="shared" ref="JY12:KI12" si="24">SUM(JY9:JY11)</f>
        <v>0</v>
      </c>
      <c r="JZ12" s="168">
        <f t="shared" si="24"/>
        <v>0</v>
      </c>
      <c r="KA12" s="168">
        <f t="shared" si="24"/>
        <v>0</v>
      </c>
      <c r="KB12" s="168">
        <f t="shared" si="24"/>
        <v>0</v>
      </c>
      <c r="KC12" s="168">
        <f t="shared" si="24"/>
        <v>0</v>
      </c>
      <c r="KD12" s="168">
        <f t="shared" si="24"/>
        <v>0</v>
      </c>
      <c r="KE12" s="168">
        <f t="shared" si="24"/>
        <v>0</v>
      </c>
      <c r="KF12" s="168">
        <f t="shared" si="24"/>
        <v>0</v>
      </c>
      <c r="KG12" s="168">
        <f t="shared" si="24"/>
        <v>0</v>
      </c>
      <c r="KH12" s="168">
        <f t="shared" si="24"/>
        <v>0</v>
      </c>
      <c r="KI12" s="168">
        <f t="shared" si="24"/>
        <v>0</v>
      </c>
      <c r="KJ12" s="169">
        <f>+SUBTOTAL(9,JX12:KI12)</f>
        <v>0</v>
      </c>
      <c r="KK12" s="161"/>
      <c r="KL12" s="167">
        <f>SUM(KL9:KL11)</f>
        <v>0</v>
      </c>
      <c r="KM12" s="168">
        <f t="shared" ref="KM12:KW12" si="25">SUM(KM9:KM11)</f>
        <v>0</v>
      </c>
      <c r="KN12" s="168">
        <f t="shared" si="25"/>
        <v>0</v>
      </c>
      <c r="KO12" s="168">
        <f t="shared" si="25"/>
        <v>0</v>
      </c>
      <c r="KP12" s="168">
        <f t="shared" si="25"/>
        <v>0</v>
      </c>
      <c r="KQ12" s="168">
        <f t="shared" si="25"/>
        <v>0</v>
      </c>
      <c r="KR12" s="168">
        <f t="shared" si="25"/>
        <v>0</v>
      </c>
      <c r="KS12" s="168">
        <f t="shared" si="25"/>
        <v>0</v>
      </c>
      <c r="KT12" s="168">
        <f t="shared" si="25"/>
        <v>0</v>
      </c>
      <c r="KU12" s="168">
        <f t="shared" si="25"/>
        <v>0</v>
      </c>
      <c r="KV12" s="168">
        <f t="shared" si="25"/>
        <v>0</v>
      </c>
      <c r="KW12" s="168">
        <f t="shared" si="25"/>
        <v>0</v>
      </c>
      <c r="KX12" s="169">
        <f>+SUBTOTAL(9,KL12:KW12)</f>
        <v>0</v>
      </c>
      <c r="KY12" s="161"/>
      <c r="KZ12" s="167">
        <f>SUM(KZ9:KZ11)</f>
        <v>0</v>
      </c>
      <c r="LA12" s="168">
        <f t="shared" ref="LA12:LK12" si="26">SUM(LA9:LA11)</f>
        <v>0</v>
      </c>
      <c r="LB12" s="168">
        <f t="shared" si="26"/>
        <v>0</v>
      </c>
      <c r="LC12" s="168">
        <f t="shared" si="26"/>
        <v>0</v>
      </c>
      <c r="LD12" s="168">
        <f t="shared" si="26"/>
        <v>0</v>
      </c>
      <c r="LE12" s="168">
        <f t="shared" si="26"/>
        <v>0</v>
      </c>
      <c r="LF12" s="168">
        <f t="shared" si="26"/>
        <v>0</v>
      </c>
      <c r="LG12" s="168">
        <f t="shared" si="26"/>
        <v>0</v>
      </c>
      <c r="LH12" s="168">
        <f t="shared" si="26"/>
        <v>0</v>
      </c>
      <c r="LI12" s="168">
        <f t="shared" si="26"/>
        <v>0</v>
      </c>
      <c r="LJ12" s="168">
        <f t="shared" si="26"/>
        <v>0</v>
      </c>
      <c r="LK12" s="168">
        <f t="shared" si="26"/>
        <v>0</v>
      </c>
      <c r="LL12" s="169">
        <f>+SUBTOTAL(9,KZ12:LK12)</f>
        <v>0</v>
      </c>
      <c r="LM12" s="161"/>
      <c r="LN12" s="167">
        <f>SUM(LN9:LN11)</f>
        <v>0</v>
      </c>
      <c r="LO12" s="168">
        <f t="shared" ref="LO12:LY12" si="27">SUM(LO9:LO11)</f>
        <v>0</v>
      </c>
      <c r="LP12" s="168">
        <f t="shared" si="27"/>
        <v>0</v>
      </c>
      <c r="LQ12" s="168">
        <f t="shared" si="27"/>
        <v>0</v>
      </c>
      <c r="LR12" s="168">
        <f t="shared" si="27"/>
        <v>0</v>
      </c>
      <c r="LS12" s="168">
        <f t="shared" si="27"/>
        <v>0</v>
      </c>
      <c r="LT12" s="168">
        <f t="shared" si="27"/>
        <v>0</v>
      </c>
      <c r="LU12" s="168">
        <f t="shared" si="27"/>
        <v>0</v>
      </c>
      <c r="LV12" s="168">
        <f t="shared" si="27"/>
        <v>0</v>
      </c>
      <c r="LW12" s="168">
        <f t="shared" si="27"/>
        <v>0</v>
      </c>
      <c r="LX12" s="168">
        <f t="shared" si="27"/>
        <v>0</v>
      </c>
      <c r="LY12" s="168">
        <f t="shared" si="27"/>
        <v>0</v>
      </c>
      <c r="LZ12" s="169">
        <f>+SUBTOTAL(9,LN12:LY12)</f>
        <v>0</v>
      </c>
      <c r="MA12" s="161"/>
      <c r="MB12" s="169">
        <f t="shared" ref="MB12:MC12" si="28">SUM(MB9:MB11)</f>
        <v>0</v>
      </c>
      <c r="MC12" s="169">
        <f t="shared" si="28"/>
        <v>0</v>
      </c>
      <c r="MD12" s="169">
        <f t="shared" ref="MD12:MN12" si="29">SUM(MD9:MD11)</f>
        <v>0</v>
      </c>
      <c r="ME12" s="169">
        <f t="shared" si="29"/>
        <v>0</v>
      </c>
      <c r="MF12" s="169">
        <f t="shared" si="29"/>
        <v>0</v>
      </c>
      <c r="MG12" s="169">
        <f t="shared" si="29"/>
        <v>0</v>
      </c>
      <c r="MH12" s="169">
        <f t="shared" si="29"/>
        <v>0</v>
      </c>
      <c r="MI12" s="169">
        <f t="shared" si="29"/>
        <v>0</v>
      </c>
      <c r="MJ12" s="169">
        <f t="shared" si="29"/>
        <v>0</v>
      </c>
      <c r="MK12" s="169">
        <f t="shared" si="29"/>
        <v>0</v>
      </c>
      <c r="ML12" s="169">
        <f t="shared" si="29"/>
        <v>0</v>
      </c>
      <c r="MM12" s="169">
        <f t="shared" si="29"/>
        <v>0</v>
      </c>
      <c r="MN12" s="169">
        <f t="shared" si="29"/>
        <v>0</v>
      </c>
    </row>
    <row r="13" spans="1:352" hidden="1" x14ac:dyDescent="0.3">
      <c r="D13" s="153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7"/>
      <c r="Q13" s="161"/>
      <c r="R13" s="153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7"/>
      <c r="AE13" s="161"/>
      <c r="AF13" s="153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7"/>
      <c r="AT13" s="153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7"/>
      <c r="BG13" s="161"/>
      <c r="BH13" s="153"/>
      <c r="BI13" s="154"/>
      <c r="BJ13" s="154"/>
      <c r="BK13" s="154"/>
      <c r="BL13" s="154"/>
      <c r="BM13" s="154"/>
      <c r="BN13" s="154"/>
      <c r="BO13" s="154"/>
      <c r="BP13" s="154"/>
      <c r="BQ13" s="154"/>
      <c r="BR13" s="154"/>
      <c r="BS13" s="154"/>
      <c r="BT13" s="157"/>
      <c r="BV13" s="153"/>
      <c r="BW13" s="154"/>
      <c r="BX13" s="154"/>
      <c r="BY13" s="154"/>
      <c r="BZ13" s="154"/>
      <c r="CA13" s="154"/>
      <c r="CB13" s="154"/>
      <c r="CC13" s="154"/>
      <c r="CD13" s="154"/>
      <c r="CE13" s="154"/>
      <c r="CF13" s="154"/>
      <c r="CG13" s="154"/>
      <c r="CH13" s="157"/>
      <c r="CI13" s="161"/>
      <c r="CJ13" s="153"/>
      <c r="CK13" s="154"/>
      <c r="CL13" s="154"/>
      <c r="CM13" s="154"/>
      <c r="CN13" s="154"/>
      <c r="CO13" s="154"/>
      <c r="CP13" s="154"/>
      <c r="CQ13" s="154"/>
      <c r="CR13" s="154"/>
      <c r="CS13" s="154"/>
      <c r="CT13" s="154"/>
      <c r="CU13" s="154"/>
      <c r="CV13" s="157"/>
      <c r="CW13" s="161"/>
      <c r="CX13" s="153"/>
      <c r="CY13" s="154"/>
      <c r="CZ13" s="154"/>
      <c r="DA13" s="154"/>
      <c r="DB13" s="154"/>
      <c r="DC13" s="154"/>
      <c r="DD13" s="154"/>
      <c r="DE13" s="154"/>
      <c r="DF13" s="154"/>
      <c r="DG13" s="154"/>
      <c r="DH13" s="154"/>
      <c r="DI13" s="154"/>
      <c r="DJ13" s="157"/>
      <c r="DK13" s="161"/>
      <c r="DL13" s="153"/>
      <c r="DM13" s="154"/>
      <c r="DN13" s="154"/>
      <c r="DO13" s="154"/>
      <c r="DP13" s="154"/>
      <c r="DQ13" s="154"/>
      <c r="DR13" s="154"/>
      <c r="DS13" s="154"/>
      <c r="DT13" s="154"/>
      <c r="DU13" s="154"/>
      <c r="DV13" s="154"/>
      <c r="DW13" s="154"/>
      <c r="DX13" s="157"/>
      <c r="DY13" s="161"/>
      <c r="DZ13" s="153"/>
      <c r="EA13" s="154"/>
      <c r="EB13" s="154"/>
      <c r="EC13" s="154"/>
      <c r="ED13" s="154"/>
      <c r="EE13" s="154"/>
      <c r="EF13" s="154"/>
      <c r="EG13" s="154"/>
      <c r="EH13" s="154"/>
      <c r="EI13" s="154"/>
      <c r="EJ13" s="154"/>
      <c r="EK13" s="154"/>
      <c r="EL13" s="157"/>
      <c r="EM13" s="161"/>
      <c r="EN13" s="153"/>
      <c r="EO13" s="154"/>
      <c r="EP13" s="154"/>
      <c r="EQ13" s="154"/>
      <c r="ER13" s="154"/>
      <c r="ES13" s="154"/>
      <c r="ET13" s="154"/>
      <c r="EU13" s="154"/>
      <c r="EV13" s="154"/>
      <c r="EW13" s="154"/>
      <c r="EX13" s="154"/>
      <c r="EY13" s="154"/>
      <c r="EZ13" s="157"/>
      <c r="FA13" s="161"/>
      <c r="FB13" s="153"/>
      <c r="FC13" s="154"/>
      <c r="FD13" s="154"/>
      <c r="FE13" s="154"/>
      <c r="FF13" s="154"/>
      <c r="FG13" s="154"/>
      <c r="FH13" s="154"/>
      <c r="FI13" s="154"/>
      <c r="FJ13" s="154"/>
      <c r="FK13" s="154"/>
      <c r="FL13" s="154"/>
      <c r="FM13" s="154"/>
      <c r="FN13" s="157"/>
      <c r="FO13" s="161"/>
      <c r="FP13" s="153"/>
      <c r="FQ13" s="154"/>
      <c r="FR13" s="154"/>
      <c r="FS13" s="154"/>
      <c r="FT13" s="154"/>
      <c r="FU13" s="154"/>
      <c r="FV13" s="154"/>
      <c r="FW13" s="154"/>
      <c r="FX13" s="154"/>
      <c r="FY13" s="154"/>
      <c r="FZ13" s="154"/>
      <c r="GA13" s="154"/>
      <c r="GB13" s="157"/>
      <c r="GC13" s="161"/>
      <c r="GD13" s="153"/>
      <c r="GE13" s="154"/>
      <c r="GF13" s="154"/>
      <c r="GG13" s="154"/>
      <c r="GH13" s="154"/>
      <c r="GI13" s="154"/>
      <c r="GJ13" s="154"/>
      <c r="GK13" s="154"/>
      <c r="GL13" s="154"/>
      <c r="GM13" s="154"/>
      <c r="GN13" s="154"/>
      <c r="GO13" s="154"/>
      <c r="GP13" s="157"/>
      <c r="GQ13" s="161"/>
      <c r="GR13" s="153"/>
      <c r="GS13" s="154"/>
      <c r="GT13" s="154"/>
      <c r="GU13" s="154"/>
      <c r="GV13" s="154"/>
      <c r="GW13" s="154"/>
      <c r="GX13" s="154"/>
      <c r="GY13" s="154"/>
      <c r="GZ13" s="154"/>
      <c r="HA13" s="154"/>
      <c r="HB13" s="154"/>
      <c r="HC13" s="154"/>
      <c r="HD13" s="157"/>
      <c r="HE13" s="161"/>
      <c r="HF13" s="153"/>
      <c r="HG13" s="154"/>
      <c r="HH13" s="154"/>
      <c r="HI13" s="154"/>
      <c r="HJ13" s="154"/>
      <c r="HK13" s="154"/>
      <c r="HL13" s="154"/>
      <c r="HM13" s="154"/>
      <c r="HN13" s="154"/>
      <c r="HO13" s="154"/>
      <c r="HP13" s="154"/>
      <c r="HQ13" s="154"/>
      <c r="HR13" s="157"/>
      <c r="HS13" s="161"/>
      <c r="HT13" s="153"/>
      <c r="HU13" s="154"/>
      <c r="HV13" s="154"/>
      <c r="HW13" s="154"/>
      <c r="HX13" s="154"/>
      <c r="HY13" s="154"/>
      <c r="HZ13" s="154"/>
      <c r="IA13" s="154"/>
      <c r="IB13" s="154"/>
      <c r="IC13" s="154"/>
      <c r="ID13" s="154"/>
      <c r="IE13" s="154"/>
      <c r="IF13" s="157"/>
      <c r="IG13" s="161"/>
      <c r="IH13" s="153"/>
      <c r="II13" s="154"/>
      <c r="IJ13" s="154"/>
      <c r="IK13" s="154"/>
      <c r="IL13" s="154"/>
      <c r="IM13" s="154"/>
      <c r="IN13" s="154"/>
      <c r="IO13" s="154"/>
      <c r="IP13" s="154"/>
      <c r="IQ13" s="154"/>
      <c r="IR13" s="154"/>
      <c r="IS13" s="154"/>
      <c r="IT13" s="157"/>
      <c r="IU13" s="161"/>
      <c r="IV13" s="153"/>
      <c r="IW13" s="154"/>
      <c r="IX13" s="154"/>
      <c r="IY13" s="154"/>
      <c r="IZ13" s="154"/>
      <c r="JA13" s="154"/>
      <c r="JB13" s="154"/>
      <c r="JC13" s="154"/>
      <c r="JD13" s="154"/>
      <c r="JE13" s="154"/>
      <c r="JF13" s="154"/>
      <c r="JG13" s="154"/>
      <c r="JH13" s="157"/>
      <c r="JI13" s="161"/>
      <c r="JJ13" s="153"/>
      <c r="JK13" s="154"/>
      <c r="JL13" s="154"/>
      <c r="JM13" s="154"/>
      <c r="JN13" s="154"/>
      <c r="JO13" s="154"/>
      <c r="JP13" s="154"/>
      <c r="JQ13" s="154"/>
      <c r="JR13" s="154"/>
      <c r="JS13" s="154"/>
      <c r="JT13" s="154"/>
      <c r="JU13" s="154"/>
      <c r="JV13" s="157"/>
      <c r="JW13" s="161"/>
      <c r="JX13" s="153"/>
      <c r="JY13" s="154"/>
      <c r="JZ13" s="154"/>
      <c r="KA13" s="154"/>
      <c r="KB13" s="154"/>
      <c r="KC13" s="154"/>
      <c r="KD13" s="154"/>
      <c r="KE13" s="154"/>
      <c r="KF13" s="154"/>
      <c r="KG13" s="154"/>
      <c r="KH13" s="154"/>
      <c r="KI13" s="154"/>
      <c r="KJ13" s="157"/>
      <c r="KK13" s="161"/>
      <c r="KL13" s="153"/>
      <c r="KM13" s="154"/>
      <c r="KN13" s="154"/>
      <c r="KO13" s="154"/>
      <c r="KP13" s="154"/>
      <c r="KQ13" s="154"/>
      <c r="KR13" s="154"/>
      <c r="KS13" s="154"/>
      <c r="KT13" s="154"/>
      <c r="KU13" s="154"/>
      <c r="KV13" s="154"/>
      <c r="KW13" s="154"/>
      <c r="KX13" s="157"/>
      <c r="KY13" s="161"/>
      <c r="KZ13" s="153"/>
      <c r="LA13" s="154"/>
      <c r="LB13" s="154"/>
      <c r="LC13" s="154"/>
      <c r="LD13" s="154"/>
      <c r="LE13" s="154"/>
      <c r="LF13" s="154"/>
      <c r="LG13" s="154"/>
      <c r="LH13" s="154"/>
      <c r="LI13" s="154"/>
      <c r="LJ13" s="154"/>
      <c r="LK13" s="154"/>
      <c r="LL13" s="157"/>
      <c r="LM13" s="161"/>
      <c r="LN13" s="153"/>
      <c r="LO13" s="154"/>
      <c r="LP13" s="154"/>
      <c r="LQ13" s="154"/>
      <c r="LR13" s="154"/>
      <c r="LS13" s="154"/>
      <c r="LT13" s="154"/>
      <c r="LU13" s="154"/>
      <c r="LV13" s="154"/>
      <c r="LW13" s="154"/>
      <c r="LX13" s="154"/>
      <c r="LY13" s="154"/>
      <c r="LZ13" s="157"/>
      <c r="MA13" s="161"/>
      <c r="MB13" s="157"/>
      <c r="MC13" s="157"/>
      <c r="MD13" s="157"/>
      <c r="ME13" s="157"/>
      <c r="MF13" s="157"/>
      <c r="MG13" s="157"/>
      <c r="MH13" s="157"/>
      <c r="MI13" s="157"/>
      <c r="MJ13" s="157"/>
      <c r="MK13" s="157"/>
      <c r="ML13" s="157"/>
      <c r="MM13" s="157"/>
      <c r="MN13" s="157"/>
    </row>
    <row r="14" spans="1:352" ht="13" hidden="1" x14ac:dyDescent="0.3">
      <c r="B14" s="171" t="s">
        <v>198</v>
      </c>
      <c r="C14" s="172"/>
      <c r="D14" s="173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5"/>
      <c r="Q14" s="176"/>
      <c r="R14" s="173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5"/>
      <c r="AE14" s="176"/>
      <c r="AF14" s="173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5"/>
      <c r="AS14" s="176"/>
      <c r="AT14" s="173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5"/>
      <c r="BH14" s="173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5"/>
      <c r="BU14" s="176"/>
      <c r="BV14" s="173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5"/>
      <c r="CI14" s="176"/>
      <c r="CJ14" s="173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5"/>
      <c r="CW14" s="176"/>
      <c r="CX14" s="173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5"/>
      <c r="DK14" s="176"/>
      <c r="DL14" s="173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5"/>
      <c r="DY14" s="176"/>
      <c r="DZ14" s="173"/>
      <c r="EA14" s="174"/>
      <c r="EB14" s="174"/>
      <c r="EC14" s="174"/>
      <c r="ED14" s="174"/>
      <c r="EE14" s="174"/>
      <c r="EF14" s="174"/>
      <c r="EG14" s="174"/>
      <c r="EH14" s="174"/>
      <c r="EI14" s="174"/>
      <c r="EJ14" s="174"/>
      <c r="EK14" s="174"/>
      <c r="EL14" s="175"/>
      <c r="EM14" s="176"/>
      <c r="EN14" s="173"/>
      <c r="EO14" s="174"/>
      <c r="EP14" s="174"/>
      <c r="EQ14" s="174"/>
      <c r="ER14" s="174"/>
      <c r="ES14" s="174"/>
      <c r="ET14" s="174"/>
      <c r="EU14" s="174"/>
      <c r="EV14" s="174"/>
      <c r="EW14" s="174"/>
      <c r="EX14" s="174"/>
      <c r="EY14" s="174"/>
      <c r="EZ14" s="175"/>
      <c r="FA14" s="176"/>
      <c r="FB14" s="173"/>
      <c r="FC14" s="174"/>
      <c r="FD14" s="174"/>
      <c r="FE14" s="174"/>
      <c r="FF14" s="174"/>
      <c r="FG14" s="174"/>
      <c r="FH14" s="174"/>
      <c r="FI14" s="174"/>
      <c r="FJ14" s="174"/>
      <c r="FK14" s="174"/>
      <c r="FL14" s="174"/>
      <c r="FM14" s="174"/>
      <c r="FN14" s="175"/>
      <c r="FO14" s="176"/>
      <c r="FP14" s="173"/>
      <c r="FQ14" s="174"/>
      <c r="FR14" s="174"/>
      <c r="FS14" s="174"/>
      <c r="FT14" s="174"/>
      <c r="FU14" s="174"/>
      <c r="FV14" s="174"/>
      <c r="FW14" s="174"/>
      <c r="FX14" s="174"/>
      <c r="FY14" s="174"/>
      <c r="FZ14" s="174"/>
      <c r="GA14" s="174"/>
      <c r="GB14" s="175"/>
      <c r="GC14" s="176"/>
      <c r="GD14" s="173"/>
      <c r="GE14" s="174"/>
      <c r="GF14" s="174"/>
      <c r="GG14" s="174"/>
      <c r="GH14" s="174"/>
      <c r="GI14" s="174"/>
      <c r="GJ14" s="174"/>
      <c r="GK14" s="174"/>
      <c r="GL14" s="174"/>
      <c r="GM14" s="174"/>
      <c r="GN14" s="174"/>
      <c r="GO14" s="174"/>
      <c r="GP14" s="175"/>
      <c r="GQ14" s="176"/>
      <c r="GR14" s="173"/>
      <c r="GS14" s="174"/>
      <c r="GT14" s="174"/>
      <c r="GU14" s="174"/>
      <c r="GV14" s="174"/>
      <c r="GW14" s="174"/>
      <c r="GX14" s="174"/>
      <c r="GY14" s="174"/>
      <c r="GZ14" s="174"/>
      <c r="HA14" s="174"/>
      <c r="HB14" s="174"/>
      <c r="HC14" s="174"/>
      <c r="HD14" s="175"/>
      <c r="HE14" s="176"/>
      <c r="HF14" s="173"/>
      <c r="HG14" s="174"/>
      <c r="HH14" s="174"/>
      <c r="HI14" s="174"/>
      <c r="HJ14" s="174"/>
      <c r="HK14" s="174"/>
      <c r="HL14" s="174"/>
      <c r="HM14" s="174"/>
      <c r="HN14" s="174"/>
      <c r="HO14" s="174"/>
      <c r="HP14" s="174"/>
      <c r="HQ14" s="174"/>
      <c r="HR14" s="175"/>
      <c r="HS14" s="176"/>
      <c r="HT14" s="173"/>
      <c r="HU14" s="174"/>
      <c r="HV14" s="174"/>
      <c r="HW14" s="174"/>
      <c r="HX14" s="174"/>
      <c r="HY14" s="174"/>
      <c r="HZ14" s="174"/>
      <c r="IA14" s="174"/>
      <c r="IB14" s="174"/>
      <c r="IC14" s="174"/>
      <c r="ID14" s="174"/>
      <c r="IE14" s="174"/>
      <c r="IF14" s="175"/>
      <c r="IG14" s="176"/>
      <c r="IH14" s="173"/>
      <c r="II14" s="174"/>
      <c r="IJ14" s="174"/>
      <c r="IK14" s="174"/>
      <c r="IL14" s="174"/>
      <c r="IM14" s="174"/>
      <c r="IN14" s="174"/>
      <c r="IO14" s="174"/>
      <c r="IP14" s="174"/>
      <c r="IQ14" s="174"/>
      <c r="IR14" s="174"/>
      <c r="IS14" s="174"/>
      <c r="IT14" s="175"/>
      <c r="IU14" s="176"/>
      <c r="IV14" s="173"/>
      <c r="IW14" s="174"/>
      <c r="IX14" s="174"/>
      <c r="IY14" s="174"/>
      <c r="IZ14" s="174"/>
      <c r="JA14" s="174"/>
      <c r="JB14" s="174"/>
      <c r="JC14" s="174"/>
      <c r="JD14" s="174"/>
      <c r="JE14" s="174"/>
      <c r="JF14" s="174"/>
      <c r="JG14" s="174"/>
      <c r="JH14" s="175"/>
      <c r="JI14" s="176"/>
      <c r="JJ14" s="173"/>
      <c r="JK14" s="174"/>
      <c r="JL14" s="174"/>
      <c r="JM14" s="174"/>
      <c r="JN14" s="174"/>
      <c r="JO14" s="174"/>
      <c r="JP14" s="174"/>
      <c r="JQ14" s="174"/>
      <c r="JR14" s="174"/>
      <c r="JS14" s="174"/>
      <c r="JT14" s="174"/>
      <c r="JU14" s="174"/>
      <c r="JV14" s="175"/>
      <c r="JW14" s="176"/>
      <c r="JX14" s="173"/>
      <c r="JY14" s="174"/>
      <c r="JZ14" s="174"/>
      <c r="KA14" s="174"/>
      <c r="KB14" s="174"/>
      <c r="KC14" s="174"/>
      <c r="KD14" s="174"/>
      <c r="KE14" s="174"/>
      <c r="KF14" s="174"/>
      <c r="KG14" s="174"/>
      <c r="KH14" s="174"/>
      <c r="KI14" s="174"/>
      <c r="KJ14" s="175"/>
      <c r="KK14" s="176"/>
      <c r="KL14" s="173"/>
      <c r="KM14" s="174"/>
      <c r="KN14" s="174"/>
      <c r="KO14" s="174"/>
      <c r="KP14" s="174"/>
      <c r="KQ14" s="174"/>
      <c r="KR14" s="174"/>
      <c r="KS14" s="174"/>
      <c r="KT14" s="174"/>
      <c r="KU14" s="174"/>
      <c r="KV14" s="174"/>
      <c r="KW14" s="174"/>
      <c r="KX14" s="175"/>
      <c r="KY14" s="176"/>
      <c r="KZ14" s="173"/>
      <c r="LA14" s="174"/>
      <c r="LB14" s="174"/>
      <c r="LC14" s="174"/>
      <c r="LD14" s="174"/>
      <c r="LE14" s="174"/>
      <c r="LF14" s="174"/>
      <c r="LG14" s="174"/>
      <c r="LH14" s="174"/>
      <c r="LI14" s="174"/>
      <c r="LJ14" s="174"/>
      <c r="LK14" s="174"/>
      <c r="LL14" s="175"/>
      <c r="LM14" s="176"/>
      <c r="LN14" s="173"/>
      <c r="LO14" s="174"/>
      <c r="LP14" s="174"/>
      <c r="LQ14" s="174"/>
      <c r="LR14" s="174"/>
      <c r="LS14" s="174"/>
      <c r="LT14" s="174"/>
      <c r="LU14" s="174"/>
      <c r="LV14" s="174"/>
      <c r="LW14" s="174"/>
      <c r="LX14" s="174"/>
      <c r="LY14" s="174"/>
      <c r="LZ14" s="175"/>
      <c r="MA14" s="176"/>
      <c r="MB14" s="175"/>
      <c r="MC14" s="175"/>
      <c r="MD14" s="175"/>
      <c r="ME14" s="175"/>
      <c r="MF14" s="175"/>
      <c r="MG14" s="175"/>
      <c r="MH14" s="175"/>
      <c r="MI14" s="175"/>
      <c r="MJ14" s="175"/>
      <c r="MK14" s="175"/>
      <c r="ML14" s="175"/>
      <c r="MM14" s="175"/>
      <c r="MN14" s="175"/>
    </row>
    <row r="15" spans="1:352" hidden="1" x14ac:dyDescent="0.25">
      <c r="B15" s="70" t="s">
        <v>8</v>
      </c>
      <c r="C15" s="98"/>
      <c r="D15" s="163">
        <v>0</v>
      </c>
      <c r="E15" s="164">
        <v>0</v>
      </c>
      <c r="F15" s="164">
        <v>0</v>
      </c>
      <c r="G15" s="164">
        <v>0</v>
      </c>
      <c r="H15" s="164">
        <v>0</v>
      </c>
      <c r="I15" s="164">
        <v>0</v>
      </c>
      <c r="J15" s="164">
        <v>0</v>
      </c>
      <c r="K15" s="164">
        <v>0</v>
      </c>
      <c r="L15" s="164">
        <v>0</v>
      </c>
      <c r="M15" s="164">
        <v>0</v>
      </c>
      <c r="N15" s="164">
        <v>0</v>
      </c>
      <c r="O15" s="164">
        <v>0</v>
      </c>
      <c r="P15" s="157">
        <f t="shared" ref="P15:P23" si="30">+SUBTOTAL(9,D15:O15)</f>
        <v>0</v>
      </c>
      <c r="Q15" s="161"/>
      <c r="R15" s="163">
        <v>0</v>
      </c>
      <c r="S15" s="164">
        <v>0</v>
      </c>
      <c r="T15" s="164">
        <v>0</v>
      </c>
      <c r="U15" s="164">
        <v>0</v>
      </c>
      <c r="V15" s="164">
        <v>0</v>
      </c>
      <c r="W15" s="164">
        <v>0</v>
      </c>
      <c r="X15" s="164">
        <v>0</v>
      </c>
      <c r="Y15" s="164">
        <v>0</v>
      </c>
      <c r="Z15" s="164">
        <v>0</v>
      </c>
      <c r="AA15" s="164">
        <v>0</v>
      </c>
      <c r="AB15" s="164">
        <v>0</v>
      </c>
      <c r="AC15" s="164">
        <v>0</v>
      </c>
      <c r="AD15" s="157">
        <f t="shared" ref="AD15:AD23" si="31">+SUBTOTAL(9,R15:AC15)</f>
        <v>0</v>
      </c>
      <c r="AE15" s="161"/>
      <c r="AF15" s="163">
        <v>0</v>
      </c>
      <c r="AG15" s="164">
        <v>0</v>
      </c>
      <c r="AH15" s="164">
        <v>0</v>
      </c>
      <c r="AI15" s="164">
        <v>0</v>
      </c>
      <c r="AJ15" s="164">
        <v>0</v>
      </c>
      <c r="AK15" s="164">
        <v>0</v>
      </c>
      <c r="AL15" s="164">
        <v>0</v>
      </c>
      <c r="AM15" s="164">
        <v>0</v>
      </c>
      <c r="AN15" s="164">
        <v>0</v>
      </c>
      <c r="AO15" s="164">
        <v>0</v>
      </c>
      <c r="AP15" s="164">
        <v>0</v>
      </c>
      <c r="AQ15" s="164">
        <v>0</v>
      </c>
      <c r="AR15" s="157">
        <f t="shared" ref="AR15:AR23" si="32">+SUBTOTAL(9,AF15:AQ15)</f>
        <v>0</v>
      </c>
      <c r="AT15" s="163">
        <v>0</v>
      </c>
      <c r="AU15" s="164">
        <v>0</v>
      </c>
      <c r="AV15" s="164">
        <v>0</v>
      </c>
      <c r="AW15" s="164">
        <v>0</v>
      </c>
      <c r="AX15" s="164">
        <v>0</v>
      </c>
      <c r="AY15" s="164">
        <v>0</v>
      </c>
      <c r="AZ15" s="164">
        <v>0</v>
      </c>
      <c r="BA15" s="164">
        <v>0</v>
      </c>
      <c r="BB15" s="154">
        <v>0</v>
      </c>
      <c r="BC15" s="154">
        <v>0</v>
      </c>
      <c r="BD15" s="154">
        <v>0</v>
      </c>
      <c r="BE15" s="154">
        <v>0</v>
      </c>
      <c r="BF15" s="157">
        <f t="shared" ref="BF15:BF23" si="33">+SUBTOTAL(9,AT15:BE15)</f>
        <v>0</v>
      </c>
      <c r="BG15" s="161"/>
      <c r="BH15" s="163">
        <v>0</v>
      </c>
      <c r="BI15" s="164">
        <v>0</v>
      </c>
      <c r="BJ15" s="154">
        <v>0</v>
      </c>
      <c r="BK15" s="154">
        <v>0</v>
      </c>
      <c r="BL15" s="154">
        <v>0</v>
      </c>
      <c r="BM15" s="154">
        <v>0</v>
      </c>
      <c r="BN15" s="154">
        <v>0</v>
      </c>
      <c r="BO15" s="154">
        <v>0</v>
      </c>
      <c r="BP15" s="154">
        <v>0</v>
      </c>
      <c r="BQ15" s="154">
        <v>0</v>
      </c>
      <c r="BR15" s="154">
        <v>0</v>
      </c>
      <c r="BS15" s="154">
        <v>0</v>
      </c>
      <c r="BT15" s="157">
        <f t="shared" ref="BT15:BT23" si="34">+SUBTOTAL(9,BH15:BS15)</f>
        <v>0</v>
      </c>
      <c r="BV15" s="163">
        <v>0</v>
      </c>
      <c r="BW15" s="164">
        <v>0</v>
      </c>
      <c r="BX15" s="154">
        <v>0</v>
      </c>
      <c r="BY15" s="154">
        <v>0</v>
      </c>
      <c r="BZ15" s="154">
        <v>0</v>
      </c>
      <c r="CA15" s="154">
        <v>0</v>
      </c>
      <c r="CB15" s="154">
        <v>0</v>
      </c>
      <c r="CC15" s="154">
        <v>0</v>
      </c>
      <c r="CD15" s="154">
        <v>0</v>
      </c>
      <c r="CE15" s="154">
        <v>0</v>
      </c>
      <c r="CF15" s="154">
        <v>0</v>
      </c>
      <c r="CG15" s="154">
        <v>0</v>
      </c>
      <c r="CH15" s="157">
        <f t="shared" ref="CH15:CH23" si="35">+SUBTOTAL(9,BV15:CG15)</f>
        <v>0</v>
      </c>
      <c r="CI15" s="161"/>
      <c r="CJ15" s="163">
        <v>0</v>
      </c>
      <c r="CK15" s="164">
        <v>0</v>
      </c>
      <c r="CL15" s="154">
        <v>0</v>
      </c>
      <c r="CM15" s="154">
        <v>0</v>
      </c>
      <c r="CN15" s="154">
        <v>0</v>
      </c>
      <c r="CO15" s="154">
        <v>0</v>
      </c>
      <c r="CP15" s="154">
        <v>0</v>
      </c>
      <c r="CQ15" s="154">
        <v>0</v>
      </c>
      <c r="CR15" s="154">
        <v>0</v>
      </c>
      <c r="CS15" s="154">
        <v>0</v>
      </c>
      <c r="CT15" s="154">
        <v>0</v>
      </c>
      <c r="CU15" s="154">
        <v>0</v>
      </c>
      <c r="CV15" s="157">
        <f t="shared" ref="CV15:CV23" si="36">+SUBTOTAL(9,CJ15:CU15)</f>
        <v>0</v>
      </c>
      <c r="CW15" s="161"/>
      <c r="CX15" s="163">
        <v>0</v>
      </c>
      <c r="CY15" s="164">
        <v>0</v>
      </c>
      <c r="CZ15" s="154">
        <v>0</v>
      </c>
      <c r="DA15" s="154">
        <v>0</v>
      </c>
      <c r="DB15" s="154">
        <v>0</v>
      </c>
      <c r="DC15" s="154">
        <v>0</v>
      </c>
      <c r="DD15" s="154">
        <v>0</v>
      </c>
      <c r="DE15" s="154">
        <v>0</v>
      </c>
      <c r="DF15" s="154">
        <v>0</v>
      </c>
      <c r="DG15" s="154">
        <v>0</v>
      </c>
      <c r="DH15" s="154">
        <v>0</v>
      </c>
      <c r="DI15" s="154">
        <v>0</v>
      </c>
      <c r="DJ15" s="157">
        <f t="shared" ref="DJ15:DJ23" si="37">+SUBTOTAL(9,CX15:DI15)</f>
        <v>0</v>
      </c>
      <c r="DK15" s="161"/>
      <c r="DL15" s="163">
        <v>0</v>
      </c>
      <c r="DM15" s="164">
        <v>0</v>
      </c>
      <c r="DN15" s="154">
        <v>0</v>
      </c>
      <c r="DO15" s="154">
        <v>0</v>
      </c>
      <c r="DP15" s="154">
        <v>0</v>
      </c>
      <c r="DQ15" s="154">
        <v>0</v>
      </c>
      <c r="DR15" s="154">
        <v>0</v>
      </c>
      <c r="DS15" s="154">
        <v>0</v>
      </c>
      <c r="DT15" s="154">
        <v>0</v>
      </c>
      <c r="DU15" s="154">
        <v>0</v>
      </c>
      <c r="DV15" s="154">
        <v>0</v>
      </c>
      <c r="DW15" s="154">
        <v>0</v>
      </c>
      <c r="DX15" s="157">
        <f>+SUBTOTAL(9,DL15:DW15)</f>
        <v>0</v>
      </c>
      <c r="DY15" s="161"/>
      <c r="DZ15" s="163">
        <v>0</v>
      </c>
      <c r="EA15" s="164">
        <v>0</v>
      </c>
      <c r="EB15" s="154">
        <v>0</v>
      </c>
      <c r="EC15" s="154">
        <v>0</v>
      </c>
      <c r="ED15" s="154">
        <v>0</v>
      </c>
      <c r="EE15" s="154">
        <v>0</v>
      </c>
      <c r="EF15" s="154">
        <v>0</v>
      </c>
      <c r="EG15" s="154">
        <v>0</v>
      </c>
      <c r="EH15" s="154">
        <v>0</v>
      </c>
      <c r="EI15" s="154">
        <v>0</v>
      </c>
      <c r="EJ15" s="154">
        <v>0</v>
      </c>
      <c r="EK15" s="154">
        <v>0</v>
      </c>
      <c r="EL15" s="157">
        <f t="shared" ref="EL15:EL23" si="38">+SUBTOTAL(9,DZ15:EK15)</f>
        <v>0</v>
      </c>
      <c r="EM15" s="161"/>
      <c r="EN15" s="163">
        <v>0</v>
      </c>
      <c r="EO15" s="164">
        <v>0</v>
      </c>
      <c r="EP15" s="154">
        <v>0</v>
      </c>
      <c r="EQ15" s="154">
        <v>0</v>
      </c>
      <c r="ER15" s="154">
        <v>0</v>
      </c>
      <c r="ES15" s="154">
        <v>0</v>
      </c>
      <c r="ET15" s="154">
        <v>0</v>
      </c>
      <c r="EU15" s="154">
        <v>0</v>
      </c>
      <c r="EV15" s="154">
        <v>0</v>
      </c>
      <c r="EW15" s="154">
        <v>0</v>
      </c>
      <c r="EX15" s="154">
        <v>0</v>
      </c>
      <c r="EY15" s="154">
        <v>0</v>
      </c>
      <c r="EZ15" s="157">
        <f t="shared" ref="EZ15:EZ23" si="39">+SUBTOTAL(9,EN15:EY15)</f>
        <v>0</v>
      </c>
      <c r="FA15" s="161"/>
      <c r="FB15" s="163">
        <v>0</v>
      </c>
      <c r="FC15" s="164">
        <v>0</v>
      </c>
      <c r="FD15" s="154">
        <v>0</v>
      </c>
      <c r="FE15" s="154">
        <v>0</v>
      </c>
      <c r="FF15" s="154">
        <v>0</v>
      </c>
      <c r="FG15" s="154">
        <v>0</v>
      </c>
      <c r="FH15" s="154">
        <v>0</v>
      </c>
      <c r="FI15" s="154">
        <v>0</v>
      </c>
      <c r="FJ15" s="154">
        <v>0</v>
      </c>
      <c r="FK15" s="154">
        <v>0</v>
      </c>
      <c r="FL15" s="154">
        <v>0</v>
      </c>
      <c r="FM15" s="154">
        <v>0</v>
      </c>
      <c r="FN15" s="157">
        <f t="shared" ref="FN15:FN23" si="40">+SUBTOTAL(9,FB15:FM15)</f>
        <v>0</v>
      </c>
      <c r="FO15" s="161"/>
      <c r="FP15" s="163">
        <v>0</v>
      </c>
      <c r="FQ15" s="164">
        <v>0</v>
      </c>
      <c r="FR15" s="154">
        <v>0</v>
      </c>
      <c r="FS15" s="154">
        <v>0</v>
      </c>
      <c r="FT15" s="154">
        <v>0</v>
      </c>
      <c r="FU15" s="154">
        <v>0</v>
      </c>
      <c r="FV15" s="154">
        <v>0</v>
      </c>
      <c r="FW15" s="154">
        <v>0</v>
      </c>
      <c r="FX15" s="154">
        <v>0</v>
      </c>
      <c r="FY15" s="154">
        <v>0</v>
      </c>
      <c r="FZ15" s="154">
        <v>0</v>
      </c>
      <c r="GA15" s="154">
        <v>0</v>
      </c>
      <c r="GB15" s="157">
        <f t="shared" ref="GB15:GB23" si="41">+SUBTOTAL(9,FP15:GA15)</f>
        <v>0</v>
      </c>
      <c r="GC15" s="161"/>
      <c r="GD15" s="163">
        <v>0</v>
      </c>
      <c r="GE15" s="164">
        <v>0</v>
      </c>
      <c r="GF15" s="154">
        <v>0</v>
      </c>
      <c r="GG15" s="154">
        <v>0</v>
      </c>
      <c r="GH15" s="154">
        <v>0</v>
      </c>
      <c r="GI15" s="154">
        <v>0</v>
      </c>
      <c r="GJ15" s="154">
        <v>0</v>
      </c>
      <c r="GK15" s="154">
        <v>0</v>
      </c>
      <c r="GL15" s="154">
        <v>0</v>
      </c>
      <c r="GM15" s="154">
        <v>0</v>
      </c>
      <c r="GN15" s="154">
        <v>0</v>
      </c>
      <c r="GO15" s="154">
        <v>0</v>
      </c>
      <c r="GP15" s="157">
        <f t="shared" ref="GP15:GP23" si="42">+SUBTOTAL(9,GD15:GO15)</f>
        <v>0</v>
      </c>
      <c r="GQ15" s="161"/>
      <c r="GR15" s="163">
        <v>0</v>
      </c>
      <c r="GS15" s="164">
        <v>0</v>
      </c>
      <c r="GT15" s="154">
        <v>0</v>
      </c>
      <c r="GU15" s="154">
        <v>0</v>
      </c>
      <c r="GV15" s="154">
        <v>0</v>
      </c>
      <c r="GW15" s="154">
        <v>0</v>
      </c>
      <c r="GX15" s="154">
        <v>0</v>
      </c>
      <c r="GY15" s="154">
        <v>0</v>
      </c>
      <c r="GZ15" s="154">
        <v>0</v>
      </c>
      <c r="HA15" s="154">
        <v>0</v>
      </c>
      <c r="HB15" s="154">
        <v>0</v>
      </c>
      <c r="HC15" s="154">
        <v>0</v>
      </c>
      <c r="HD15" s="157">
        <f t="shared" ref="HD15:HD23" si="43">+SUBTOTAL(9,GR15:HC15)</f>
        <v>0</v>
      </c>
      <c r="HE15" s="161"/>
      <c r="HF15" s="163">
        <v>0</v>
      </c>
      <c r="HG15" s="164">
        <v>0</v>
      </c>
      <c r="HH15" s="154">
        <v>0</v>
      </c>
      <c r="HI15" s="154">
        <v>0</v>
      </c>
      <c r="HJ15" s="154">
        <v>0</v>
      </c>
      <c r="HK15" s="154">
        <v>0</v>
      </c>
      <c r="HL15" s="154">
        <v>0</v>
      </c>
      <c r="HM15" s="154">
        <v>0</v>
      </c>
      <c r="HN15" s="154">
        <v>0</v>
      </c>
      <c r="HO15" s="154">
        <v>0</v>
      </c>
      <c r="HP15" s="154">
        <v>0</v>
      </c>
      <c r="HQ15" s="154">
        <v>0</v>
      </c>
      <c r="HR15" s="157">
        <f t="shared" ref="HR15:HR23" si="44">+SUBTOTAL(9,HF15:HQ15)</f>
        <v>0</v>
      </c>
      <c r="HS15" s="161"/>
      <c r="HT15" s="163">
        <v>0</v>
      </c>
      <c r="HU15" s="164">
        <v>0</v>
      </c>
      <c r="HV15" s="154">
        <v>0</v>
      </c>
      <c r="HW15" s="154">
        <v>0</v>
      </c>
      <c r="HX15" s="154">
        <v>0</v>
      </c>
      <c r="HY15" s="154">
        <v>0</v>
      </c>
      <c r="HZ15" s="154">
        <v>0</v>
      </c>
      <c r="IA15" s="154">
        <v>0</v>
      </c>
      <c r="IB15" s="154">
        <v>0</v>
      </c>
      <c r="IC15" s="154">
        <v>0</v>
      </c>
      <c r="ID15" s="154">
        <v>0</v>
      </c>
      <c r="IE15" s="154">
        <v>0</v>
      </c>
      <c r="IF15" s="157">
        <f t="shared" ref="IF15:IF23" si="45">+SUBTOTAL(9,HT15:IE15)</f>
        <v>0</v>
      </c>
      <c r="IG15" s="161"/>
      <c r="IH15" s="163">
        <v>0</v>
      </c>
      <c r="II15" s="164">
        <v>0</v>
      </c>
      <c r="IJ15" s="154">
        <v>0</v>
      </c>
      <c r="IK15" s="154">
        <v>0</v>
      </c>
      <c r="IL15" s="154">
        <v>0</v>
      </c>
      <c r="IM15" s="154">
        <v>0</v>
      </c>
      <c r="IN15" s="154">
        <v>0</v>
      </c>
      <c r="IO15" s="154">
        <v>0</v>
      </c>
      <c r="IP15" s="154">
        <v>0</v>
      </c>
      <c r="IQ15" s="154">
        <v>0</v>
      </c>
      <c r="IR15" s="154">
        <v>0</v>
      </c>
      <c r="IS15" s="154">
        <v>0</v>
      </c>
      <c r="IT15" s="157">
        <f t="shared" ref="IT15:IT23" si="46">+SUBTOTAL(9,IH15:IS15)</f>
        <v>0</v>
      </c>
      <c r="IU15" s="161"/>
      <c r="IV15" s="163">
        <v>0</v>
      </c>
      <c r="IW15" s="164">
        <v>0</v>
      </c>
      <c r="IX15" s="154">
        <v>0</v>
      </c>
      <c r="IY15" s="154">
        <v>0</v>
      </c>
      <c r="IZ15" s="154">
        <v>0</v>
      </c>
      <c r="JA15" s="154">
        <v>0</v>
      </c>
      <c r="JB15" s="154">
        <v>0</v>
      </c>
      <c r="JC15" s="154">
        <v>0</v>
      </c>
      <c r="JD15" s="154">
        <v>0</v>
      </c>
      <c r="JE15" s="154">
        <v>0</v>
      </c>
      <c r="JF15" s="154">
        <v>0</v>
      </c>
      <c r="JG15" s="154">
        <v>0</v>
      </c>
      <c r="JH15" s="157">
        <f t="shared" ref="JH15:JH23" si="47">+SUBTOTAL(9,IV15:JG15)</f>
        <v>0</v>
      </c>
      <c r="JI15" s="161"/>
      <c r="JJ15" s="163">
        <v>0</v>
      </c>
      <c r="JK15" s="164">
        <v>0</v>
      </c>
      <c r="JL15" s="154">
        <v>0</v>
      </c>
      <c r="JM15" s="154">
        <v>0</v>
      </c>
      <c r="JN15" s="154">
        <v>0</v>
      </c>
      <c r="JO15" s="154">
        <v>0</v>
      </c>
      <c r="JP15" s="154">
        <v>0</v>
      </c>
      <c r="JQ15" s="154">
        <v>0</v>
      </c>
      <c r="JR15" s="154">
        <v>0</v>
      </c>
      <c r="JS15" s="154">
        <v>0</v>
      </c>
      <c r="JT15" s="154">
        <v>0</v>
      </c>
      <c r="JU15" s="154">
        <v>0</v>
      </c>
      <c r="JV15" s="157">
        <f t="shared" ref="JV15:JV23" si="48">+SUBTOTAL(9,JJ15:JU15)</f>
        <v>0</v>
      </c>
      <c r="JW15" s="161"/>
      <c r="JX15" s="163">
        <v>0</v>
      </c>
      <c r="JY15" s="164">
        <v>0</v>
      </c>
      <c r="JZ15" s="154">
        <v>0</v>
      </c>
      <c r="KA15" s="154">
        <v>0</v>
      </c>
      <c r="KB15" s="154">
        <v>0</v>
      </c>
      <c r="KC15" s="154">
        <v>0</v>
      </c>
      <c r="KD15" s="154">
        <v>0</v>
      </c>
      <c r="KE15" s="154">
        <v>0</v>
      </c>
      <c r="KF15" s="154">
        <v>0</v>
      </c>
      <c r="KG15" s="154">
        <v>0</v>
      </c>
      <c r="KH15" s="154">
        <v>0</v>
      </c>
      <c r="KI15" s="154">
        <v>0</v>
      </c>
      <c r="KJ15" s="157">
        <f t="shared" ref="KJ15:KJ23" si="49">+SUBTOTAL(9,JX15:KI15)</f>
        <v>0</v>
      </c>
      <c r="KK15" s="161"/>
      <c r="KL15" s="163">
        <v>0</v>
      </c>
      <c r="KM15" s="164">
        <v>0</v>
      </c>
      <c r="KN15" s="154">
        <v>0</v>
      </c>
      <c r="KO15" s="154">
        <v>0</v>
      </c>
      <c r="KP15" s="154">
        <v>0</v>
      </c>
      <c r="KQ15" s="154">
        <v>0</v>
      </c>
      <c r="KR15" s="154">
        <v>0</v>
      </c>
      <c r="KS15" s="154">
        <v>0</v>
      </c>
      <c r="KT15" s="154">
        <v>0</v>
      </c>
      <c r="KU15" s="154">
        <v>0</v>
      </c>
      <c r="KV15" s="154">
        <v>0</v>
      </c>
      <c r="KW15" s="154">
        <v>0</v>
      </c>
      <c r="KX15" s="157">
        <f t="shared" ref="KX15:KX23" si="50">+SUBTOTAL(9,KL15:KW15)</f>
        <v>0</v>
      </c>
      <c r="KY15" s="161"/>
      <c r="KZ15" s="163">
        <v>0</v>
      </c>
      <c r="LA15" s="164">
        <v>0</v>
      </c>
      <c r="LB15" s="154">
        <v>0</v>
      </c>
      <c r="LC15" s="154">
        <v>0</v>
      </c>
      <c r="LD15" s="154">
        <v>0</v>
      </c>
      <c r="LE15" s="154">
        <v>0</v>
      </c>
      <c r="LF15" s="154">
        <v>0</v>
      </c>
      <c r="LG15" s="154">
        <v>0</v>
      </c>
      <c r="LH15" s="154">
        <v>0</v>
      </c>
      <c r="LI15" s="154">
        <v>0</v>
      </c>
      <c r="LJ15" s="154">
        <v>0</v>
      </c>
      <c r="LK15" s="154">
        <v>0</v>
      </c>
      <c r="LL15" s="157">
        <f t="shared" ref="LL15:LL23" si="51">+SUBTOTAL(9,KZ15:LK15)</f>
        <v>0</v>
      </c>
      <c r="LM15" s="161"/>
      <c r="LN15" s="163">
        <v>0</v>
      </c>
      <c r="LO15" s="164">
        <v>0</v>
      </c>
      <c r="LP15" s="154">
        <v>0</v>
      </c>
      <c r="LQ15" s="154">
        <v>0</v>
      </c>
      <c r="LR15" s="154">
        <v>0</v>
      </c>
      <c r="LS15" s="154">
        <v>0</v>
      </c>
      <c r="LT15" s="154">
        <v>0</v>
      </c>
      <c r="LU15" s="154">
        <v>0</v>
      </c>
      <c r="LV15" s="154">
        <v>0</v>
      </c>
      <c r="LW15" s="154">
        <v>0</v>
      </c>
      <c r="LX15" s="154">
        <v>0</v>
      </c>
      <c r="LY15" s="154">
        <v>0</v>
      </c>
      <c r="LZ15" s="157">
        <f t="shared" ref="LZ15:LZ23" si="52">+SUBTOTAL(9,LN15:LY15)</f>
        <v>0</v>
      </c>
      <c r="MA15" s="161"/>
      <c r="MB15" s="157">
        <f t="shared" ref="MB15:MM21" si="53">SUMIF($D$6:$LY$6,MB$3,$D15:$LY15)</f>
        <v>0</v>
      </c>
      <c r="MC15" s="157">
        <f t="shared" si="53"/>
        <v>0</v>
      </c>
      <c r="MD15" s="157">
        <f t="shared" si="53"/>
        <v>0</v>
      </c>
      <c r="ME15" s="157">
        <f t="shared" si="53"/>
        <v>0</v>
      </c>
      <c r="MF15" s="157">
        <f t="shared" si="53"/>
        <v>0</v>
      </c>
      <c r="MG15" s="157">
        <f t="shared" si="53"/>
        <v>0</v>
      </c>
      <c r="MH15" s="157">
        <f t="shared" si="53"/>
        <v>0</v>
      </c>
      <c r="MI15" s="157">
        <f t="shared" si="53"/>
        <v>0</v>
      </c>
      <c r="MJ15" s="157">
        <f t="shared" si="53"/>
        <v>0</v>
      </c>
      <c r="MK15" s="157">
        <f t="shared" si="53"/>
        <v>0</v>
      </c>
      <c r="ML15" s="157">
        <f t="shared" si="53"/>
        <v>0</v>
      </c>
      <c r="MM15" s="157">
        <f t="shared" si="53"/>
        <v>0</v>
      </c>
      <c r="MN15" s="157">
        <f t="shared" ref="MN15:MN21" si="54">SUM(MB15:MM15)</f>
        <v>0</v>
      </c>
    </row>
    <row r="16" spans="1:352" hidden="1" x14ac:dyDescent="0.25">
      <c r="B16" s="64" t="s">
        <v>9</v>
      </c>
      <c r="D16" s="163">
        <v>0</v>
      </c>
      <c r="E16" s="177">
        <v>0</v>
      </c>
      <c r="F16" s="177">
        <v>0</v>
      </c>
      <c r="G16" s="177">
        <v>0</v>
      </c>
      <c r="H16" s="177">
        <v>0</v>
      </c>
      <c r="I16" s="177">
        <v>0</v>
      </c>
      <c r="J16" s="177">
        <v>0</v>
      </c>
      <c r="K16" s="177">
        <v>0</v>
      </c>
      <c r="L16" s="177">
        <v>0</v>
      </c>
      <c r="M16" s="177">
        <v>0</v>
      </c>
      <c r="N16" s="177">
        <v>0</v>
      </c>
      <c r="O16" s="177">
        <v>0</v>
      </c>
      <c r="P16" s="157">
        <f t="shared" si="30"/>
        <v>0</v>
      </c>
      <c r="Q16" s="161"/>
      <c r="R16" s="163">
        <v>0</v>
      </c>
      <c r="S16" s="177">
        <v>0</v>
      </c>
      <c r="T16" s="177">
        <v>0</v>
      </c>
      <c r="U16" s="177">
        <v>0</v>
      </c>
      <c r="V16" s="177">
        <v>0</v>
      </c>
      <c r="W16" s="177">
        <v>0</v>
      </c>
      <c r="X16" s="177">
        <v>0</v>
      </c>
      <c r="Y16" s="177">
        <v>0</v>
      </c>
      <c r="Z16" s="177">
        <v>0</v>
      </c>
      <c r="AA16" s="177">
        <v>0</v>
      </c>
      <c r="AB16" s="177">
        <v>0</v>
      </c>
      <c r="AC16" s="177">
        <v>0</v>
      </c>
      <c r="AD16" s="157">
        <f t="shared" si="31"/>
        <v>0</v>
      </c>
      <c r="AE16" s="161"/>
      <c r="AF16" s="163">
        <v>0</v>
      </c>
      <c r="AG16" s="177">
        <v>0</v>
      </c>
      <c r="AH16" s="177">
        <v>0</v>
      </c>
      <c r="AI16" s="177">
        <v>0</v>
      </c>
      <c r="AJ16" s="177">
        <v>0</v>
      </c>
      <c r="AK16" s="177">
        <v>0</v>
      </c>
      <c r="AL16" s="177">
        <v>0</v>
      </c>
      <c r="AM16" s="177">
        <v>0</v>
      </c>
      <c r="AN16" s="177">
        <v>0</v>
      </c>
      <c r="AO16" s="177">
        <v>0</v>
      </c>
      <c r="AP16" s="177">
        <v>0</v>
      </c>
      <c r="AQ16" s="177">
        <v>0</v>
      </c>
      <c r="AR16" s="157">
        <f t="shared" si="32"/>
        <v>0</v>
      </c>
      <c r="AT16" s="163">
        <v>0</v>
      </c>
      <c r="AU16" s="177">
        <v>0</v>
      </c>
      <c r="AV16" s="177">
        <v>0</v>
      </c>
      <c r="AW16" s="177">
        <v>0</v>
      </c>
      <c r="AX16" s="177">
        <v>0</v>
      </c>
      <c r="AY16" s="177">
        <v>0</v>
      </c>
      <c r="AZ16" s="177">
        <v>0</v>
      </c>
      <c r="BA16" s="177">
        <v>0</v>
      </c>
      <c r="BB16" s="154">
        <v>0</v>
      </c>
      <c r="BC16" s="154">
        <v>0</v>
      </c>
      <c r="BD16" s="154">
        <v>0</v>
      </c>
      <c r="BE16" s="154">
        <v>0</v>
      </c>
      <c r="BF16" s="157">
        <f t="shared" si="33"/>
        <v>0</v>
      </c>
      <c r="BG16" s="161"/>
      <c r="BH16" s="163">
        <v>0</v>
      </c>
      <c r="BI16" s="164">
        <v>0</v>
      </c>
      <c r="BJ16" s="154">
        <v>0</v>
      </c>
      <c r="BK16" s="154">
        <v>0</v>
      </c>
      <c r="BL16" s="154">
        <v>0</v>
      </c>
      <c r="BM16" s="154">
        <v>0</v>
      </c>
      <c r="BN16" s="154">
        <v>0</v>
      </c>
      <c r="BO16" s="154">
        <v>0</v>
      </c>
      <c r="BP16" s="154">
        <v>0</v>
      </c>
      <c r="BQ16" s="154">
        <v>0</v>
      </c>
      <c r="BR16" s="154">
        <v>0</v>
      </c>
      <c r="BS16" s="154">
        <v>0</v>
      </c>
      <c r="BT16" s="157">
        <f t="shared" si="34"/>
        <v>0</v>
      </c>
      <c r="BV16" s="163">
        <v>0</v>
      </c>
      <c r="BW16" s="164">
        <v>0</v>
      </c>
      <c r="BX16" s="154">
        <v>0</v>
      </c>
      <c r="BY16" s="154">
        <v>0</v>
      </c>
      <c r="BZ16" s="154">
        <v>0</v>
      </c>
      <c r="CA16" s="154">
        <v>0</v>
      </c>
      <c r="CB16" s="154">
        <v>0</v>
      </c>
      <c r="CC16" s="154">
        <v>0</v>
      </c>
      <c r="CD16" s="154">
        <v>0</v>
      </c>
      <c r="CE16" s="154">
        <v>0</v>
      </c>
      <c r="CF16" s="154">
        <v>0</v>
      </c>
      <c r="CG16" s="154">
        <v>0</v>
      </c>
      <c r="CH16" s="157">
        <f t="shared" si="35"/>
        <v>0</v>
      </c>
      <c r="CI16" s="161"/>
      <c r="CJ16" s="163">
        <v>0</v>
      </c>
      <c r="CK16" s="164">
        <v>0</v>
      </c>
      <c r="CL16" s="154">
        <v>0</v>
      </c>
      <c r="CM16" s="154">
        <v>0</v>
      </c>
      <c r="CN16" s="154">
        <v>0</v>
      </c>
      <c r="CO16" s="154">
        <v>0</v>
      </c>
      <c r="CP16" s="154">
        <v>0</v>
      </c>
      <c r="CQ16" s="154">
        <v>0</v>
      </c>
      <c r="CR16" s="154">
        <v>0</v>
      </c>
      <c r="CS16" s="154">
        <v>0</v>
      </c>
      <c r="CT16" s="154">
        <v>0</v>
      </c>
      <c r="CU16" s="154">
        <v>0</v>
      </c>
      <c r="CV16" s="157">
        <f t="shared" si="36"/>
        <v>0</v>
      </c>
      <c r="CW16" s="161"/>
      <c r="CX16" s="163">
        <v>0</v>
      </c>
      <c r="CY16" s="164">
        <v>0</v>
      </c>
      <c r="CZ16" s="154">
        <v>0</v>
      </c>
      <c r="DA16" s="154">
        <v>0</v>
      </c>
      <c r="DB16" s="154">
        <v>0</v>
      </c>
      <c r="DC16" s="154">
        <v>0</v>
      </c>
      <c r="DD16" s="154">
        <v>0</v>
      </c>
      <c r="DE16" s="154">
        <v>0</v>
      </c>
      <c r="DF16" s="154">
        <v>0</v>
      </c>
      <c r="DG16" s="154">
        <v>0</v>
      </c>
      <c r="DH16" s="154">
        <v>0</v>
      </c>
      <c r="DI16" s="154">
        <v>0</v>
      </c>
      <c r="DJ16" s="157">
        <f>+SUBTOTAL(9,CX16:DI16)</f>
        <v>0</v>
      </c>
      <c r="DK16" s="161"/>
      <c r="DL16" s="163">
        <v>0</v>
      </c>
      <c r="DM16" s="164">
        <v>0</v>
      </c>
      <c r="DN16" s="154">
        <v>0</v>
      </c>
      <c r="DO16" s="154">
        <v>0</v>
      </c>
      <c r="DP16" s="154">
        <v>0</v>
      </c>
      <c r="DQ16" s="154">
        <v>0</v>
      </c>
      <c r="DR16" s="154">
        <v>0</v>
      </c>
      <c r="DS16" s="154">
        <v>0</v>
      </c>
      <c r="DT16" s="154">
        <v>0</v>
      </c>
      <c r="DU16" s="154">
        <v>0</v>
      </c>
      <c r="DV16" s="154">
        <v>0</v>
      </c>
      <c r="DW16" s="154">
        <v>0</v>
      </c>
      <c r="DX16" s="157">
        <f t="shared" ref="DX16:DX23" si="55">+SUBTOTAL(9,DL16:DW16)</f>
        <v>0</v>
      </c>
      <c r="DY16" s="161"/>
      <c r="DZ16" s="163">
        <v>0</v>
      </c>
      <c r="EA16" s="164">
        <v>0</v>
      </c>
      <c r="EB16" s="154">
        <v>0</v>
      </c>
      <c r="EC16" s="154">
        <v>0</v>
      </c>
      <c r="ED16" s="154">
        <v>0</v>
      </c>
      <c r="EE16" s="154">
        <v>0</v>
      </c>
      <c r="EF16" s="154">
        <v>0</v>
      </c>
      <c r="EG16" s="154">
        <v>0</v>
      </c>
      <c r="EH16" s="154">
        <v>0</v>
      </c>
      <c r="EI16" s="154">
        <v>0</v>
      </c>
      <c r="EJ16" s="154">
        <v>0</v>
      </c>
      <c r="EK16" s="154">
        <v>0</v>
      </c>
      <c r="EL16" s="157">
        <f t="shared" si="38"/>
        <v>0</v>
      </c>
      <c r="EM16" s="161"/>
      <c r="EN16" s="163">
        <v>0</v>
      </c>
      <c r="EO16" s="164">
        <v>0</v>
      </c>
      <c r="EP16" s="154">
        <v>0</v>
      </c>
      <c r="EQ16" s="154">
        <v>0</v>
      </c>
      <c r="ER16" s="154">
        <v>0</v>
      </c>
      <c r="ES16" s="154">
        <v>0</v>
      </c>
      <c r="ET16" s="154">
        <v>0</v>
      </c>
      <c r="EU16" s="154">
        <v>0</v>
      </c>
      <c r="EV16" s="154">
        <v>0</v>
      </c>
      <c r="EW16" s="154">
        <v>0</v>
      </c>
      <c r="EX16" s="154">
        <v>0</v>
      </c>
      <c r="EY16" s="154">
        <v>0</v>
      </c>
      <c r="EZ16" s="157">
        <f t="shared" si="39"/>
        <v>0</v>
      </c>
      <c r="FA16" s="161"/>
      <c r="FB16" s="163">
        <v>0</v>
      </c>
      <c r="FC16" s="164">
        <v>0</v>
      </c>
      <c r="FD16" s="154">
        <v>0</v>
      </c>
      <c r="FE16" s="154">
        <v>0</v>
      </c>
      <c r="FF16" s="154">
        <v>0</v>
      </c>
      <c r="FG16" s="154">
        <v>0</v>
      </c>
      <c r="FH16" s="154">
        <v>0</v>
      </c>
      <c r="FI16" s="154">
        <v>0</v>
      </c>
      <c r="FJ16" s="154">
        <v>0</v>
      </c>
      <c r="FK16" s="154">
        <v>0</v>
      </c>
      <c r="FL16" s="154">
        <v>0</v>
      </c>
      <c r="FM16" s="154">
        <v>0</v>
      </c>
      <c r="FN16" s="157">
        <f t="shared" si="40"/>
        <v>0</v>
      </c>
      <c r="FO16" s="161"/>
      <c r="FP16" s="163">
        <v>0</v>
      </c>
      <c r="FQ16" s="164">
        <v>0</v>
      </c>
      <c r="FR16" s="154">
        <v>0</v>
      </c>
      <c r="FS16" s="154">
        <v>0</v>
      </c>
      <c r="FT16" s="154">
        <v>0</v>
      </c>
      <c r="FU16" s="154">
        <v>0</v>
      </c>
      <c r="FV16" s="154">
        <v>0</v>
      </c>
      <c r="FW16" s="154">
        <v>0</v>
      </c>
      <c r="FX16" s="154">
        <v>0</v>
      </c>
      <c r="FY16" s="154">
        <v>0</v>
      </c>
      <c r="FZ16" s="154">
        <v>0</v>
      </c>
      <c r="GA16" s="154">
        <v>0</v>
      </c>
      <c r="GB16" s="157">
        <f t="shared" si="41"/>
        <v>0</v>
      </c>
      <c r="GC16" s="161"/>
      <c r="GD16" s="163">
        <v>0</v>
      </c>
      <c r="GE16" s="164">
        <v>0</v>
      </c>
      <c r="GF16" s="154">
        <v>0</v>
      </c>
      <c r="GG16" s="154">
        <v>0</v>
      </c>
      <c r="GH16" s="154">
        <v>0</v>
      </c>
      <c r="GI16" s="154">
        <v>0</v>
      </c>
      <c r="GJ16" s="154">
        <v>0</v>
      </c>
      <c r="GK16" s="154">
        <v>0</v>
      </c>
      <c r="GL16" s="154">
        <v>0</v>
      </c>
      <c r="GM16" s="154">
        <v>0</v>
      </c>
      <c r="GN16" s="154">
        <v>0</v>
      </c>
      <c r="GO16" s="154">
        <v>0</v>
      </c>
      <c r="GP16" s="157">
        <f t="shared" si="42"/>
        <v>0</v>
      </c>
      <c r="GQ16" s="161"/>
      <c r="GR16" s="163">
        <v>0</v>
      </c>
      <c r="GS16" s="164">
        <v>0</v>
      </c>
      <c r="GT16" s="154">
        <v>0</v>
      </c>
      <c r="GU16" s="154">
        <v>0</v>
      </c>
      <c r="GV16" s="154">
        <v>0</v>
      </c>
      <c r="GW16" s="154">
        <v>0</v>
      </c>
      <c r="GX16" s="154">
        <v>0</v>
      </c>
      <c r="GY16" s="154">
        <v>0</v>
      </c>
      <c r="GZ16" s="154">
        <v>0</v>
      </c>
      <c r="HA16" s="154">
        <v>0</v>
      </c>
      <c r="HB16" s="154">
        <v>0</v>
      </c>
      <c r="HC16" s="154">
        <v>0</v>
      </c>
      <c r="HD16" s="157">
        <f t="shared" si="43"/>
        <v>0</v>
      </c>
      <c r="HE16" s="161"/>
      <c r="HF16" s="163">
        <v>0</v>
      </c>
      <c r="HG16" s="164">
        <v>0</v>
      </c>
      <c r="HH16" s="154">
        <v>0</v>
      </c>
      <c r="HI16" s="154">
        <v>0</v>
      </c>
      <c r="HJ16" s="154">
        <v>0</v>
      </c>
      <c r="HK16" s="154">
        <v>0</v>
      </c>
      <c r="HL16" s="154">
        <v>0</v>
      </c>
      <c r="HM16" s="154">
        <v>0</v>
      </c>
      <c r="HN16" s="154">
        <v>0</v>
      </c>
      <c r="HO16" s="154">
        <v>0</v>
      </c>
      <c r="HP16" s="154">
        <v>0</v>
      </c>
      <c r="HQ16" s="154">
        <v>0</v>
      </c>
      <c r="HR16" s="157">
        <f t="shared" si="44"/>
        <v>0</v>
      </c>
      <c r="HS16" s="161"/>
      <c r="HT16" s="163">
        <v>0</v>
      </c>
      <c r="HU16" s="164">
        <v>0</v>
      </c>
      <c r="HV16" s="154">
        <v>0</v>
      </c>
      <c r="HW16" s="154">
        <v>0</v>
      </c>
      <c r="HX16" s="154">
        <v>0</v>
      </c>
      <c r="HY16" s="154">
        <v>0</v>
      </c>
      <c r="HZ16" s="154">
        <v>0</v>
      </c>
      <c r="IA16" s="154">
        <v>0</v>
      </c>
      <c r="IB16" s="154">
        <v>0</v>
      </c>
      <c r="IC16" s="154">
        <v>0</v>
      </c>
      <c r="ID16" s="154">
        <v>0</v>
      </c>
      <c r="IE16" s="154">
        <v>0</v>
      </c>
      <c r="IF16" s="157">
        <f t="shared" si="45"/>
        <v>0</v>
      </c>
      <c r="IG16" s="161"/>
      <c r="IH16" s="163">
        <v>0</v>
      </c>
      <c r="II16" s="164">
        <v>0</v>
      </c>
      <c r="IJ16" s="154">
        <v>0</v>
      </c>
      <c r="IK16" s="154">
        <v>0</v>
      </c>
      <c r="IL16" s="154">
        <v>0</v>
      </c>
      <c r="IM16" s="154">
        <v>0</v>
      </c>
      <c r="IN16" s="154">
        <v>0</v>
      </c>
      <c r="IO16" s="154">
        <v>0</v>
      </c>
      <c r="IP16" s="154">
        <v>0</v>
      </c>
      <c r="IQ16" s="154">
        <v>0</v>
      </c>
      <c r="IR16" s="154">
        <v>0</v>
      </c>
      <c r="IS16" s="154">
        <v>0</v>
      </c>
      <c r="IT16" s="157">
        <f t="shared" si="46"/>
        <v>0</v>
      </c>
      <c r="IU16" s="161"/>
      <c r="IV16" s="163">
        <v>0</v>
      </c>
      <c r="IW16" s="164">
        <v>0</v>
      </c>
      <c r="IX16" s="154">
        <v>0</v>
      </c>
      <c r="IY16" s="154">
        <v>0</v>
      </c>
      <c r="IZ16" s="154">
        <v>0</v>
      </c>
      <c r="JA16" s="154">
        <v>0</v>
      </c>
      <c r="JB16" s="154">
        <v>0</v>
      </c>
      <c r="JC16" s="154">
        <v>0</v>
      </c>
      <c r="JD16" s="154">
        <v>0</v>
      </c>
      <c r="JE16" s="154">
        <v>0</v>
      </c>
      <c r="JF16" s="154">
        <v>0</v>
      </c>
      <c r="JG16" s="154">
        <v>0</v>
      </c>
      <c r="JH16" s="157">
        <f t="shared" si="47"/>
        <v>0</v>
      </c>
      <c r="JI16" s="161"/>
      <c r="JJ16" s="163">
        <v>0</v>
      </c>
      <c r="JK16" s="164">
        <v>0</v>
      </c>
      <c r="JL16" s="154">
        <v>0</v>
      </c>
      <c r="JM16" s="154">
        <v>0</v>
      </c>
      <c r="JN16" s="154">
        <v>0</v>
      </c>
      <c r="JO16" s="154">
        <v>0</v>
      </c>
      <c r="JP16" s="154">
        <v>0</v>
      </c>
      <c r="JQ16" s="154">
        <v>0</v>
      </c>
      <c r="JR16" s="154">
        <v>0</v>
      </c>
      <c r="JS16" s="154">
        <v>0</v>
      </c>
      <c r="JT16" s="154">
        <v>0</v>
      </c>
      <c r="JU16" s="154">
        <v>0</v>
      </c>
      <c r="JV16" s="157">
        <f t="shared" si="48"/>
        <v>0</v>
      </c>
      <c r="JW16" s="161"/>
      <c r="JX16" s="163">
        <v>0</v>
      </c>
      <c r="JY16" s="164">
        <v>0</v>
      </c>
      <c r="JZ16" s="154">
        <v>0</v>
      </c>
      <c r="KA16" s="154">
        <v>0</v>
      </c>
      <c r="KB16" s="154">
        <v>0</v>
      </c>
      <c r="KC16" s="154">
        <v>0</v>
      </c>
      <c r="KD16" s="154">
        <v>0</v>
      </c>
      <c r="KE16" s="154">
        <v>0</v>
      </c>
      <c r="KF16" s="154">
        <v>0</v>
      </c>
      <c r="KG16" s="154">
        <v>0</v>
      </c>
      <c r="KH16" s="154">
        <v>0</v>
      </c>
      <c r="KI16" s="154">
        <v>0</v>
      </c>
      <c r="KJ16" s="157">
        <f t="shared" si="49"/>
        <v>0</v>
      </c>
      <c r="KK16" s="161"/>
      <c r="KL16" s="163">
        <v>0</v>
      </c>
      <c r="KM16" s="164">
        <v>0</v>
      </c>
      <c r="KN16" s="154">
        <v>0</v>
      </c>
      <c r="KO16" s="154">
        <v>0</v>
      </c>
      <c r="KP16" s="154">
        <v>0</v>
      </c>
      <c r="KQ16" s="154">
        <v>0</v>
      </c>
      <c r="KR16" s="154">
        <v>0</v>
      </c>
      <c r="KS16" s="154">
        <v>0</v>
      </c>
      <c r="KT16" s="154">
        <v>0</v>
      </c>
      <c r="KU16" s="154">
        <v>0</v>
      </c>
      <c r="KV16" s="154">
        <v>0</v>
      </c>
      <c r="KW16" s="154">
        <v>0</v>
      </c>
      <c r="KX16" s="157">
        <f t="shared" si="50"/>
        <v>0</v>
      </c>
      <c r="KY16" s="161"/>
      <c r="KZ16" s="163">
        <v>0</v>
      </c>
      <c r="LA16" s="164">
        <v>0</v>
      </c>
      <c r="LB16" s="154">
        <v>0</v>
      </c>
      <c r="LC16" s="154">
        <v>0</v>
      </c>
      <c r="LD16" s="154">
        <v>0</v>
      </c>
      <c r="LE16" s="154">
        <v>0</v>
      </c>
      <c r="LF16" s="154">
        <v>0</v>
      </c>
      <c r="LG16" s="154">
        <v>0</v>
      </c>
      <c r="LH16" s="154">
        <v>0</v>
      </c>
      <c r="LI16" s="154">
        <v>0</v>
      </c>
      <c r="LJ16" s="154">
        <v>0</v>
      </c>
      <c r="LK16" s="154">
        <v>0</v>
      </c>
      <c r="LL16" s="157">
        <f t="shared" si="51"/>
        <v>0</v>
      </c>
      <c r="LM16" s="161"/>
      <c r="LN16" s="163">
        <v>0</v>
      </c>
      <c r="LO16" s="164">
        <v>0</v>
      </c>
      <c r="LP16" s="154">
        <v>0</v>
      </c>
      <c r="LQ16" s="154">
        <v>0</v>
      </c>
      <c r="LR16" s="154">
        <v>0</v>
      </c>
      <c r="LS16" s="154">
        <v>0</v>
      </c>
      <c r="LT16" s="154">
        <v>0</v>
      </c>
      <c r="LU16" s="154">
        <v>0</v>
      </c>
      <c r="LV16" s="154">
        <v>0</v>
      </c>
      <c r="LW16" s="154">
        <v>0</v>
      </c>
      <c r="LX16" s="154">
        <v>0</v>
      </c>
      <c r="LY16" s="154">
        <v>0</v>
      </c>
      <c r="LZ16" s="157">
        <f t="shared" si="52"/>
        <v>0</v>
      </c>
      <c r="MA16" s="161"/>
      <c r="MB16" s="157">
        <f t="shared" si="53"/>
        <v>0</v>
      </c>
      <c r="MC16" s="157">
        <f t="shared" si="53"/>
        <v>0</v>
      </c>
      <c r="MD16" s="157">
        <f t="shared" si="53"/>
        <v>0</v>
      </c>
      <c r="ME16" s="157">
        <f t="shared" si="53"/>
        <v>0</v>
      </c>
      <c r="MF16" s="157">
        <f t="shared" si="53"/>
        <v>0</v>
      </c>
      <c r="MG16" s="157">
        <f t="shared" si="53"/>
        <v>0</v>
      </c>
      <c r="MH16" s="157">
        <f t="shared" si="53"/>
        <v>0</v>
      </c>
      <c r="MI16" s="157">
        <f t="shared" si="53"/>
        <v>0</v>
      </c>
      <c r="MJ16" s="157">
        <f t="shared" si="53"/>
        <v>0</v>
      </c>
      <c r="MK16" s="157">
        <f t="shared" si="53"/>
        <v>0</v>
      </c>
      <c r="ML16" s="157">
        <f t="shared" si="53"/>
        <v>0</v>
      </c>
      <c r="MM16" s="157">
        <f t="shared" si="53"/>
        <v>0</v>
      </c>
      <c r="MN16" s="157">
        <f t="shared" si="54"/>
        <v>0</v>
      </c>
    </row>
    <row r="17" spans="1:352" s="180" customFormat="1" hidden="1" x14ac:dyDescent="0.25">
      <c r="A17" s="98"/>
      <c r="B17" s="178" t="s">
        <v>199</v>
      </c>
      <c r="C17" s="98"/>
      <c r="D17" s="163">
        <v>0</v>
      </c>
      <c r="E17" s="179">
        <v>0</v>
      </c>
      <c r="F17" s="179">
        <v>0</v>
      </c>
      <c r="G17" s="179">
        <v>0</v>
      </c>
      <c r="H17" s="179">
        <v>0</v>
      </c>
      <c r="I17" s="179">
        <v>0</v>
      </c>
      <c r="J17" s="179">
        <v>0</v>
      </c>
      <c r="K17" s="179">
        <v>0</v>
      </c>
      <c r="L17" s="179">
        <v>0</v>
      </c>
      <c r="M17" s="179">
        <v>0</v>
      </c>
      <c r="N17" s="179">
        <v>0</v>
      </c>
      <c r="O17" s="179">
        <v>0</v>
      </c>
      <c r="P17" s="157">
        <f t="shared" si="30"/>
        <v>0</v>
      </c>
      <c r="Q17" s="161"/>
      <c r="R17" s="163">
        <v>0</v>
      </c>
      <c r="S17" s="179">
        <v>0</v>
      </c>
      <c r="T17" s="179">
        <v>0</v>
      </c>
      <c r="U17" s="179">
        <v>0</v>
      </c>
      <c r="V17" s="179">
        <v>0</v>
      </c>
      <c r="W17" s="179">
        <v>0</v>
      </c>
      <c r="X17" s="179">
        <v>0</v>
      </c>
      <c r="Y17" s="179">
        <v>0</v>
      </c>
      <c r="Z17" s="179">
        <v>0</v>
      </c>
      <c r="AA17" s="179">
        <v>0</v>
      </c>
      <c r="AB17" s="179">
        <v>0</v>
      </c>
      <c r="AC17" s="179">
        <v>0</v>
      </c>
      <c r="AD17" s="157">
        <f t="shared" si="31"/>
        <v>0</v>
      </c>
      <c r="AE17" s="161"/>
      <c r="AF17" s="163">
        <v>0</v>
      </c>
      <c r="AG17" s="179">
        <v>0</v>
      </c>
      <c r="AH17" s="179">
        <v>0</v>
      </c>
      <c r="AI17" s="179">
        <v>0</v>
      </c>
      <c r="AJ17" s="179">
        <v>0</v>
      </c>
      <c r="AK17" s="179">
        <v>0</v>
      </c>
      <c r="AL17" s="179">
        <v>0</v>
      </c>
      <c r="AM17" s="179">
        <v>0</v>
      </c>
      <c r="AN17" s="179">
        <v>0</v>
      </c>
      <c r="AO17" s="179">
        <v>0</v>
      </c>
      <c r="AP17" s="179">
        <v>0</v>
      </c>
      <c r="AQ17" s="179">
        <v>0</v>
      </c>
      <c r="AR17" s="157">
        <f t="shared" si="32"/>
        <v>0</v>
      </c>
      <c r="AS17" s="161"/>
      <c r="AT17" s="163">
        <v>0</v>
      </c>
      <c r="AU17" s="179">
        <v>0</v>
      </c>
      <c r="AV17" s="179">
        <v>0</v>
      </c>
      <c r="AW17" s="179">
        <v>0</v>
      </c>
      <c r="AX17" s="179">
        <v>0</v>
      </c>
      <c r="AY17" s="179">
        <v>0</v>
      </c>
      <c r="AZ17" s="179">
        <v>0</v>
      </c>
      <c r="BA17" s="179">
        <v>0</v>
      </c>
      <c r="BB17" s="154">
        <v>0</v>
      </c>
      <c r="BC17" s="154">
        <v>0</v>
      </c>
      <c r="BD17" s="154">
        <v>0</v>
      </c>
      <c r="BE17" s="154">
        <v>0</v>
      </c>
      <c r="BF17" s="157">
        <f t="shared" si="33"/>
        <v>0</v>
      </c>
      <c r="BG17" s="161"/>
      <c r="BH17" s="163">
        <v>0</v>
      </c>
      <c r="BI17" s="164">
        <v>0</v>
      </c>
      <c r="BJ17" s="154">
        <v>0</v>
      </c>
      <c r="BK17" s="154">
        <v>0</v>
      </c>
      <c r="BL17" s="154">
        <v>0</v>
      </c>
      <c r="BM17" s="154">
        <v>0</v>
      </c>
      <c r="BN17" s="154">
        <v>0</v>
      </c>
      <c r="BO17" s="154">
        <v>0</v>
      </c>
      <c r="BP17" s="154">
        <v>0</v>
      </c>
      <c r="BQ17" s="154">
        <v>0</v>
      </c>
      <c r="BR17" s="154">
        <v>0</v>
      </c>
      <c r="BS17" s="154">
        <v>0</v>
      </c>
      <c r="BT17" s="157">
        <f t="shared" si="34"/>
        <v>0</v>
      </c>
      <c r="BU17" s="161"/>
      <c r="BV17" s="163">
        <v>0</v>
      </c>
      <c r="BW17" s="164">
        <v>0</v>
      </c>
      <c r="BX17" s="154">
        <v>0</v>
      </c>
      <c r="BY17" s="154">
        <v>0</v>
      </c>
      <c r="BZ17" s="154">
        <v>0</v>
      </c>
      <c r="CA17" s="154">
        <v>0</v>
      </c>
      <c r="CB17" s="154">
        <v>0</v>
      </c>
      <c r="CC17" s="154">
        <v>0</v>
      </c>
      <c r="CD17" s="154">
        <v>0</v>
      </c>
      <c r="CE17" s="154">
        <v>0</v>
      </c>
      <c r="CF17" s="154">
        <v>0</v>
      </c>
      <c r="CG17" s="154">
        <v>0</v>
      </c>
      <c r="CH17" s="157">
        <f>+SUBTOTAL(9,BV17:CG17)</f>
        <v>0</v>
      </c>
      <c r="CI17" s="161"/>
      <c r="CJ17" s="163">
        <v>0</v>
      </c>
      <c r="CK17" s="164">
        <v>0</v>
      </c>
      <c r="CL17" s="154">
        <v>0</v>
      </c>
      <c r="CM17" s="154">
        <v>0</v>
      </c>
      <c r="CN17" s="154">
        <v>0</v>
      </c>
      <c r="CO17" s="154">
        <v>0</v>
      </c>
      <c r="CP17" s="154">
        <v>0</v>
      </c>
      <c r="CQ17" s="154">
        <v>0</v>
      </c>
      <c r="CR17" s="154">
        <v>0</v>
      </c>
      <c r="CS17" s="154">
        <v>0</v>
      </c>
      <c r="CT17" s="154">
        <v>0</v>
      </c>
      <c r="CU17" s="154">
        <v>0</v>
      </c>
      <c r="CV17" s="157">
        <f t="shared" si="36"/>
        <v>0</v>
      </c>
      <c r="CW17" s="161"/>
      <c r="CX17" s="163">
        <v>0</v>
      </c>
      <c r="CY17" s="164">
        <v>0</v>
      </c>
      <c r="CZ17" s="154">
        <v>0</v>
      </c>
      <c r="DA17" s="154">
        <v>0</v>
      </c>
      <c r="DB17" s="154">
        <v>0</v>
      </c>
      <c r="DC17" s="154">
        <v>0</v>
      </c>
      <c r="DD17" s="154">
        <v>0</v>
      </c>
      <c r="DE17" s="154">
        <v>0</v>
      </c>
      <c r="DF17" s="154">
        <v>0</v>
      </c>
      <c r="DG17" s="154">
        <v>0</v>
      </c>
      <c r="DH17" s="154">
        <v>0</v>
      </c>
      <c r="DI17" s="154">
        <v>0</v>
      </c>
      <c r="DJ17" s="157">
        <f t="shared" si="37"/>
        <v>0</v>
      </c>
      <c r="DK17" s="161"/>
      <c r="DL17" s="163">
        <v>0</v>
      </c>
      <c r="DM17" s="164">
        <v>0</v>
      </c>
      <c r="DN17" s="154">
        <v>0</v>
      </c>
      <c r="DO17" s="154">
        <v>0</v>
      </c>
      <c r="DP17" s="154">
        <v>0</v>
      </c>
      <c r="DQ17" s="154">
        <v>0</v>
      </c>
      <c r="DR17" s="154">
        <v>0</v>
      </c>
      <c r="DS17" s="154">
        <v>0</v>
      </c>
      <c r="DT17" s="154">
        <v>0</v>
      </c>
      <c r="DU17" s="154">
        <v>0</v>
      </c>
      <c r="DV17" s="154">
        <v>0</v>
      </c>
      <c r="DW17" s="154">
        <v>0</v>
      </c>
      <c r="DX17" s="157">
        <f t="shared" si="55"/>
        <v>0</v>
      </c>
      <c r="DY17" s="161"/>
      <c r="DZ17" s="163">
        <v>0</v>
      </c>
      <c r="EA17" s="164">
        <v>0</v>
      </c>
      <c r="EB17" s="154">
        <v>0</v>
      </c>
      <c r="EC17" s="154">
        <v>0</v>
      </c>
      <c r="ED17" s="154">
        <v>0</v>
      </c>
      <c r="EE17" s="154">
        <v>0</v>
      </c>
      <c r="EF17" s="154">
        <v>0</v>
      </c>
      <c r="EG17" s="154">
        <v>0</v>
      </c>
      <c r="EH17" s="154">
        <v>0</v>
      </c>
      <c r="EI17" s="154">
        <v>0</v>
      </c>
      <c r="EJ17" s="154">
        <v>0</v>
      </c>
      <c r="EK17" s="154">
        <v>0</v>
      </c>
      <c r="EL17" s="157">
        <f t="shared" si="38"/>
        <v>0</v>
      </c>
      <c r="EM17" s="161"/>
      <c r="EN17" s="163">
        <v>0</v>
      </c>
      <c r="EO17" s="164">
        <v>0</v>
      </c>
      <c r="EP17" s="154">
        <v>0</v>
      </c>
      <c r="EQ17" s="154">
        <v>0</v>
      </c>
      <c r="ER17" s="154">
        <v>0</v>
      </c>
      <c r="ES17" s="154">
        <v>0</v>
      </c>
      <c r="ET17" s="154">
        <v>0</v>
      </c>
      <c r="EU17" s="154">
        <v>0</v>
      </c>
      <c r="EV17" s="154">
        <v>0</v>
      </c>
      <c r="EW17" s="154">
        <v>0</v>
      </c>
      <c r="EX17" s="154">
        <v>0</v>
      </c>
      <c r="EY17" s="154">
        <v>0</v>
      </c>
      <c r="EZ17" s="157">
        <f t="shared" si="39"/>
        <v>0</v>
      </c>
      <c r="FA17" s="161"/>
      <c r="FB17" s="163">
        <v>0</v>
      </c>
      <c r="FC17" s="164">
        <v>0</v>
      </c>
      <c r="FD17" s="154">
        <v>0</v>
      </c>
      <c r="FE17" s="154">
        <v>0</v>
      </c>
      <c r="FF17" s="154">
        <v>0</v>
      </c>
      <c r="FG17" s="154">
        <v>0</v>
      </c>
      <c r="FH17" s="154">
        <v>0</v>
      </c>
      <c r="FI17" s="154">
        <v>0</v>
      </c>
      <c r="FJ17" s="154">
        <v>0</v>
      </c>
      <c r="FK17" s="154">
        <v>0</v>
      </c>
      <c r="FL17" s="154">
        <v>0</v>
      </c>
      <c r="FM17" s="154">
        <v>0</v>
      </c>
      <c r="FN17" s="157">
        <f t="shared" si="40"/>
        <v>0</v>
      </c>
      <c r="FO17" s="161"/>
      <c r="FP17" s="163">
        <v>0</v>
      </c>
      <c r="FQ17" s="164">
        <v>0</v>
      </c>
      <c r="FR17" s="154">
        <v>0</v>
      </c>
      <c r="FS17" s="154">
        <v>0</v>
      </c>
      <c r="FT17" s="154">
        <v>0</v>
      </c>
      <c r="FU17" s="154">
        <v>0</v>
      </c>
      <c r="FV17" s="154">
        <v>0</v>
      </c>
      <c r="FW17" s="154">
        <v>0</v>
      </c>
      <c r="FX17" s="154">
        <v>0</v>
      </c>
      <c r="FY17" s="154">
        <v>0</v>
      </c>
      <c r="FZ17" s="154">
        <v>0</v>
      </c>
      <c r="GA17" s="154">
        <v>0</v>
      </c>
      <c r="GB17" s="157">
        <f t="shared" si="41"/>
        <v>0</v>
      </c>
      <c r="GC17" s="161"/>
      <c r="GD17" s="163">
        <v>0</v>
      </c>
      <c r="GE17" s="164">
        <v>0</v>
      </c>
      <c r="GF17" s="154">
        <v>0</v>
      </c>
      <c r="GG17" s="154">
        <v>0</v>
      </c>
      <c r="GH17" s="154">
        <v>0</v>
      </c>
      <c r="GI17" s="154">
        <v>0</v>
      </c>
      <c r="GJ17" s="154">
        <v>0</v>
      </c>
      <c r="GK17" s="154">
        <v>0</v>
      </c>
      <c r="GL17" s="154">
        <v>0</v>
      </c>
      <c r="GM17" s="154">
        <v>0</v>
      </c>
      <c r="GN17" s="154">
        <v>0</v>
      </c>
      <c r="GO17" s="154">
        <v>0</v>
      </c>
      <c r="GP17" s="157">
        <f t="shared" si="42"/>
        <v>0</v>
      </c>
      <c r="GQ17" s="161"/>
      <c r="GR17" s="163">
        <v>0</v>
      </c>
      <c r="GS17" s="164">
        <v>0</v>
      </c>
      <c r="GT17" s="154">
        <v>0</v>
      </c>
      <c r="GU17" s="154">
        <v>0</v>
      </c>
      <c r="GV17" s="154">
        <v>0</v>
      </c>
      <c r="GW17" s="154">
        <v>0</v>
      </c>
      <c r="GX17" s="154">
        <v>0</v>
      </c>
      <c r="GY17" s="154">
        <v>0</v>
      </c>
      <c r="GZ17" s="154">
        <v>0</v>
      </c>
      <c r="HA17" s="154">
        <v>0</v>
      </c>
      <c r="HB17" s="154">
        <v>0</v>
      </c>
      <c r="HC17" s="154">
        <v>0</v>
      </c>
      <c r="HD17" s="157">
        <f t="shared" si="43"/>
        <v>0</v>
      </c>
      <c r="HE17" s="161"/>
      <c r="HF17" s="163">
        <v>0</v>
      </c>
      <c r="HG17" s="164">
        <v>0</v>
      </c>
      <c r="HH17" s="154">
        <v>0</v>
      </c>
      <c r="HI17" s="154">
        <v>0</v>
      </c>
      <c r="HJ17" s="154">
        <v>0</v>
      </c>
      <c r="HK17" s="154">
        <v>0</v>
      </c>
      <c r="HL17" s="154">
        <v>0</v>
      </c>
      <c r="HM17" s="154">
        <v>0</v>
      </c>
      <c r="HN17" s="154">
        <v>0</v>
      </c>
      <c r="HO17" s="154">
        <v>0</v>
      </c>
      <c r="HP17" s="154">
        <v>0</v>
      </c>
      <c r="HQ17" s="154">
        <v>0</v>
      </c>
      <c r="HR17" s="157">
        <f t="shared" si="44"/>
        <v>0</v>
      </c>
      <c r="HS17" s="161"/>
      <c r="HT17" s="163">
        <v>0</v>
      </c>
      <c r="HU17" s="164">
        <v>0</v>
      </c>
      <c r="HV17" s="154">
        <v>0</v>
      </c>
      <c r="HW17" s="154">
        <v>0</v>
      </c>
      <c r="HX17" s="154">
        <v>0</v>
      </c>
      <c r="HY17" s="154">
        <v>0</v>
      </c>
      <c r="HZ17" s="154">
        <v>0</v>
      </c>
      <c r="IA17" s="154">
        <v>0</v>
      </c>
      <c r="IB17" s="154">
        <v>0</v>
      </c>
      <c r="IC17" s="154">
        <v>0</v>
      </c>
      <c r="ID17" s="154">
        <v>0</v>
      </c>
      <c r="IE17" s="154">
        <v>0</v>
      </c>
      <c r="IF17" s="157">
        <f t="shared" si="45"/>
        <v>0</v>
      </c>
      <c r="IG17" s="161"/>
      <c r="IH17" s="163">
        <v>0</v>
      </c>
      <c r="II17" s="164">
        <v>0</v>
      </c>
      <c r="IJ17" s="154">
        <v>0</v>
      </c>
      <c r="IK17" s="154">
        <v>0</v>
      </c>
      <c r="IL17" s="154">
        <v>0</v>
      </c>
      <c r="IM17" s="154">
        <v>0</v>
      </c>
      <c r="IN17" s="154">
        <v>0</v>
      </c>
      <c r="IO17" s="154">
        <v>0</v>
      </c>
      <c r="IP17" s="154">
        <v>0</v>
      </c>
      <c r="IQ17" s="154">
        <v>0</v>
      </c>
      <c r="IR17" s="154">
        <v>0</v>
      </c>
      <c r="IS17" s="154">
        <v>0</v>
      </c>
      <c r="IT17" s="157">
        <f t="shared" si="46"/>
        <v>0</v>
      </c>
      <c r="IU17" s="161"/>
      <c r="IV17" s="163">
        <v>0</v>
      </c>
      <c r="IW17" s="164">
        <v>0</v>
      </c>
      <c r="IX17" s="154">
        <v>0</v>
      </c>
      <c r="IY17" s="154">
        <v>0</v>
      </c>
      <c r="IZ17" s="154">
        <v>0</v>
      </c>
      <c r="JA17" s="154">
        <v>0</v>
      </c>
      <c r="JB17" s="154">
        <v>0</v>
      </c>
      <c r="JC17" s="154">
        <v>0</v>
      </c>
      <c r="JD17" s="154">
        <v>0</v>
      </c>
      <c r="JE17" s="154">
        <v>0</v>
      </c>
      <c r="JF17" s="154">
        <v>0</v>
      </c>
      <c r="JG17" s="154">
        <v>0</v>
      </c>
      <c r="JH17" s="157">
        <f t="shared" si="47"/>
        <v>0</v>
      </c>
      <c r="JI17" s="161"/>
      <c r="JJ17" s="163">
        <v>0</v>
      </c>
      <c r="JK17" s="164">
        <v>0</v>
      </c>
      <c r="JL17" s="154">
        <v>0</v>
      </c>
      <c r="JM17" s="154">
        <v>0</v>
      </c>
      <c r="JN17" s="154">
        <v>0</v>
      </c>
      <c r="JO17" s="154">
        <v>0</v>
      </c>
      <c r="JP17" s="154">
        <v>0</v>
      </c>
      <c r="JQ17" s="154">
        <v>0</v>
      </c>
      <c r="JR17" s="154">
        <v>0</v>
      </c>
      <c r="JS17" s="154">
        <v>0</v>
      </c>
      <c r="JT17" s="154">
        <v>0</v>
      </c>
      <c r="JU17" s="154">
        <v>0</v>
      </c>
      <c r="JV17" s="157">
        <f t="shared" si="48"/>
        <v>0</v>
      </c>
      <c r="JW17" s="161"/>
      <c r="JX17" s="163">
        <v>0</v>
      </c>
      <c r="JY17" s="164">
        <v>0</v>
      </c>
      <c r="JZ17" s="154">
        <v>0</v>
      </c>
      <c r="KA17" s="154">
        <v>0</v>
      </c>
      <c r="KB17" s="154">
        <v>0</v>
      </c>
      <c r="KC17" s="154">
        <v>0</v>
      </c>
      <c r="KD17" s="154">
        <v>0</v>
      </c>
      <c r="KE17" s="154">
        <v>0</v>
      </c>
      <c r="KF17" s="154">
        <v>0</v>
      </c>
      <c r="KG17" s="154">
        <v>0</v>
      </c>
      <c r="KH17" s="154">
        <v>0</v>
      </c>
      <c r="KI17" s="154">
        <v>0</v>
      </c>
      <c r="KJ17" s="157">
        <f t="shared" si="49"/>
        <v>0</v>
      </c>
      <c r="KK17" s="161"/>
      <c r="KL17" s="163">
        <v>0</v>
      </c>
      <c r="KM17" s="164">
        <v>0</v>
      </c>
      <c r="KN17" s="154">
        <v>0</v>
      </c>
      <c r="KO17" s="154">
        <v>0</v>
      </c>
      <c r="KP17" s="154">
        <v>0</v>
      </c>
      <c r="KQ17" s="154">
        <v>0</v>
      </c>
      <c r="KR17" s="154">
        <v>0</v>
      </c>
      <c r="KS17" s="154">
        <v>0</v>
      </c>
      <c r="KT17" s="154">
        <v>0</v>
      </c>
      <c r="KU17" s="154">
        <v>0</v>
      </c>
      <c r="KV17" s="154">
        <v>0</v>
      </c>
      <c r="KW17" s="154">
        <v>0</v>
      </c>
      <c r="KX17" s="157">
        <f t="shared" si="50"/>
        <v>0</v>
      </c>
      <c r="KY17" s="161"/>
      <c r="KZ17" s="163">
        <v>0</v>
      </c>
      <c r="LA17" s="164">
        <v>0</v>
      </c>
      <c r="LB17" s="154">
        <v>0</v>
      </c>
      <c r="LC17" s="154">
        <v>0</v>
      </c>
      <c r="LD17" s="154">
        <v>0</v>
      </c>
      <c r="LE17" s="154">
        <v>0</v>
      </c>
      <c r="LF17" s="154">
        <v>0</v>
      </c>
      <c r="LG17" s="154">
        <v>0</v>
      </c>
      <c r="LH17" s="154">
        <v>0</v>
      </c>
      <c r="LI17" s="154">
        <v>0</v>
      </c>
      <c r="LJ17" s="154">
        <v>0</v>
      </c>
      <c r="LK17" s="154">
        <v>0</v>
      </c>
      <c r="LL17" s="157">
        <f t="shared" si="51"/>
        <v>0</v>
      </c>
      <c r="LM17" s="161"/>
      <c r="LN17" s="163">
        <v>0</v>
      </c>
      <c r="LO17" s="164">
        <v>0</v>
      </c>
      <c r="LP17" s="154">
        <v>0</v>
      </c>
      <c r="LQ17" s="154">
        <v>0</v>
      </c>
      <c r="LR17" s="154">
        <v>0</v>
      </c>
      <c r="LS17" s="154">
        <v>0</v>
      </c>
      <c r="LT17" s="154">
        <v>0</v>
      </c>
      <c r="LU17" s="154">
        <v>0</v>
      </c>
      <c r="LV17" s="154">
        <v>0</v>
      </c>
      <c r="LW17" s="154">
        <v>0</v>
      </c>
      <c r="LX17" s="154">
        <v>0</v>
      </c>
      <c r="LY17" s="154">
        <v>0</v>
      </c>
      <c r="LZ17" s="157">
        <f t="shared" si="52"/>
        <v>0</v>
      </c>
      <c r="MA17" s="161"/>
      <c r="MB17" s="157">
        <f t="shared" si="53"/>
        <v>0</v>
      </c>
      <c r="MC17" s="157">
        <f t="shared" si="53"/>
        <v>0</v>
      </c>
      <c r="MD17" s="157">
        <f t="shared" si="53"/>
        <v>0</v>
      </c>
      <c r="ME17" s="157">
        <f t="shared" si="53"/>
        <v>0</v>
      </c>
      <c r="MF17" s="157">
        <f t="shared" si="53"/>
        <v>0</v>
      </c>
      <c r="MG17" s="157">
        <f t="shared" si="53"/>
        <v>0</v>
      </c>
      <c r="MH17" s="157">
        <f t="shared" si="53"/>
        <v>0</v>
      </c>
      <c r="MI17" s="157">
        <f t="shared" si="53"/>
        <v>0</v>
      </c>
      <c r="MJ17" s="157">
        <f t="shared" si="53"/>
        <v>0</v>
      </c>
      <c r="MK17" s="157">
        <f t="shared" si="53"/>
        <v>0</v>
      </c>
      <c r="ML17" s="157">
        <f t="shared" si="53"/>
        <v>0</v>
      </c>
      <c r="MM17" s="157">
        <f t="shared" si="53"/>
        <v>0</v>
      </c>
      <c r="MN17" s="157">
        <f t="shared" si="54"/>
        <v>0</v>
      </c>
    </row>
    <row r="18" spans="1:352" hidden="1" x14ac:dyDescent="0.25">
      <c r="B18" s="181" t="s">
        <v>200</v>
      </c>
      <c r="C18" s="98"/>
      <c r="D18" s="163">
        <v>0</v>
      </c>
      <c r="E18" s="164">
        <v>0</v>
      </c>
      <c r="F18" s="164">
        <v>0</v>
      </c>
      <c r="G18" s="164">
        <v>0</v>
      </c>
      <c r="H18" s="164">
        <v>0</v>
      </c>
      <c r="I18" s="164">
        <v>0</v>
      </c>
      <c r="J18" s="164">
        <v>0</v>
      </c>
      <c r="K18" s="164">
        <v>0</v>
      </c>
      <c r="L18" s="164">
        <v>0</v>
      </c>
      <c r="M18" s="164">
        <v>0</v>
      </c>
      <c r="N18" s="164">
        <v>0</v>
      </c>
      <c r="O18" s="164">
        <v>0</v>
      </c>
      <c r="P18" s="157">
        <f t="shared" si="30"/>
        <v>0</v>
      </c>
      <c r="Q18" s="161"/>
      <c r="R18" s="163">
        <v>0</v>
      </c>
      <c r="S18" s="164">
        <v>0</v>
      </c>
      <c r="T18" s="164">
        <v>0</v>
      </c>
      <c r="U18" s="164">
        <v>0</v>
      </c>
      <c r="V18" s="164">
        <v>0</v>
      </c>
      <c r="W18" s="164">
        <v>0</v>
      </c>
      <c r="X18" s="164">
        <v>0</v>
      </c>
      <c r="Y18" s="164">
        <v>0</v>
      </c>
      <c r="Z18" s="164">
        <v>0</v>
      </c>
      <c r="AA18" s="164">
        <v>0</v>
      </c>
      <c r="AB18" s="164">
        <v>0</v>
      </c>
      <c r="AC18" s="164">
        <v>0</v>
      </c>
      <c r="AD18" s="157">
        <f t="shared" si="31"/>
        <v>0</v>
      </c>
      <c r="AE18" s="161"/>
      <c r="AF18" s="163">
        <v>0</v>
      </c>
      <c r="AG18" s="164">
        <v>0</v>
      </c>
      <c r="AH18" s="164">
        <v>0</v>
      </c>
      <c r="AI18" s="164">
        <v>0</v>
      </c>
      <c r="AJ18" s="164">
        <v>0</v>
      </c>
      <c r="AK18" s="164">
        <v>0</v>
      </c>
      <c r="AL18" s="164">
        <v>0</v>
      </c>
      <c r="AM18" s="164">
        <v>0</v>
      </c>
      <c r="AN18" s="164">
        <v>0</v>
      </c>
      <c r="AO18" s="164">
        <v>0</v>
      </c>
      <c r="AP18" s="164">
        <v>0</v>
      </c>
      <c r="AQ18" s="164">
        <v>0</v>
      </c>
      <c r="AR18" s="157">
        <f t="shared" si="32"/>
        <v>0</v>
      </c>
      <c r="AT18" s="163">
        <v>0</v>
      </c>
      <c r="AU18" s="164">
        <v>0</v>
      </c>
      <c r="AV18" s="164">
        <v>0</v>
      </c>
      <c r="AW18" s="164">
        <v>0</v>
      </c>
      <c r="AX18" s="164">
        <v>0</v>
      </c>
      <c r="AY18" s="164">
        <v>0</v>
      </c>
      <c r="AZ18" s="164">
        <v>0</v>
      </c>
      <c r="BA18" s="164">
        <v>0</v>
      </c>
      <c r="BB18" s="154">
        <v>0</v>
      </c>
      <c r="BC18" s="154">
        <v>0</v>
      </c>
      <c r="BD18" s="154">
        <v>0</v>
      </c>
      <c r="BE18" s="154">
        <v>0</v>
      </c>
      <c r="BF18" s="157">
        <f t="shared" si="33"/>
        <v>0</v>
      </c>
      <c r="BG18" s="161"/>
      <c r="BH18" s="163">
        <v>0</v>
      </c>
      <c r="BI18" s="164">
        <v>0</v>
      </c>
      <c r="BJ18" s="154">
        <v>0</v>
      </c>
      <c r="BK18" s="154">
        <v>0</v>
      </c>
      <c r="BL18" s="154">
        <v>0</v>
      </c>
      <c r="BM18" s="154">
        <v>0</v>
      </c>
      <c r="BN18" s="154">
        <v>0</v>
      </c>
      <c r="BO18" s="154">
        <v>0</v>
      </c>
      <c r="BP18" s="154">
        <v>0</v>
      </c>
      <c r="BQ18" s="154">
        <v>0</v>
      </c>
      <c r="BR18" s="154">
        <v>0</v>
      </c>
      <c r="BS18" s="154">
        <v>0</v>
      </c>
      <c r="BT18" s="157">
        <f t="shared" si="34"/>
        <v>0</v>
      </c>
      <c r="BV18" s="163">
        <v>0</v>
      </c>
      <c r="BW18" s="164">
        <v>0</v>
      </c>
      <c r="BX18" s="154">
        <v>0</v>
      </c>
      <c r="BY18" s="154">
        <v>0</v>
      </c>
      <c r="BZ18" s="154">
        <v>0</v>
      </c>
      <c r="CA18" s="154">
        <v>0</v>
      </c>
      <c r="CB18" s="154">
        <v>0</v>
      </c>
      <c r="CC18" s="154">
        <v>0</v>
      </c>
      <c r="CD18" s="154">
        <v>0</v>
      </c>
      <c r="CE18" s="154">
        <v>0</v>
      </c>
      <c r="CF18" s="154">
        <v>0</v>
      </c>
      <c r="CG18" s="154">
        <v>0</v>
      </c>
      <c r="CH18" s="157">
        <f t="shared" si="35"/>
        <v>0</v>
      </c>
      <c r="CI18" s="161"/>
      <c r="CJ18" s="163">
        <v>0</v>
      </c>
      <c r="CK18" s="164">
        <v>0</v>
      </c>
      <c r="CL18" s="154">
        <v>0</v>
      </c>
      <c r="CM18" s="154">
        <v>0</v>
      </c>
      <c r="CN18" s="154">
        <v>0</v>
      </c>
      <c r="CO18" s="154">
        <v>0</v>
      </c>
      <c r="CP18" s="154">
        <v>0</v>
      </c>
      <c r="CQ18" s="154">
        <v>0</v>
      </c>
      <c r="CR18" s="154">
        <v>0</v>
      </c>
      <c r="CS18" s="154">
        <v>0</v>
      </c>
      <c r="CT18" s="154">
        <v>0</v>
      </c>
      <c r="CU18" s="154">
        <v>0</v>
      </c>
      <c r="CV18" s="157">
        <f t="shared" si="36"/>
        <v>0</v>
      </c>
      <c r="CW18" s="161"/>
      <c r="CX18" s="163">
        <v>0</v>
      </c>
      <c r="CY18" s="164">
        <v>0</v>
      </c>
      <c r="CZ18" s="154">
        <v>0</v>
      </c>
      <c r="DA18" s="154">
        <v>0</v>
      </c>
      <c r="DB18" s="154">
        <v>0</v>
      </c>
      <c r="DC18" s="154">
        <v>0</v>
      </c>
      <c r="DD18" s="154">
        <v>0</v>
      </c>
      <c r="DE18" s="154">
        <v>0</v>
      </c>
      <c r="DF18" s="154">
        <v>0</v>
      </c>
      <c r="DG18" s="154">
        <v>0</v>
      </c>
      <c r="DH18" s="154">
        <v>0</v>
      </c>
      <c r="DI18" s="154">
        <v>0</v>
      </c>
      <c r="DJ18" s="157">
        <f t="shared" si="37"/>
        <v>0</v>
      </c>
      <c r="DK18" s="161"/>
      <c r="DL18" s="163">
        <v>0</v>
      </c>
      <c r="DM18" s="164">
        <v>0</v>
      </c>
      <c r="DN18" s="154">
        <v>0</v>
      </c>
      <c r="DO18" s="154">
        <v>0</v>
      </c>
      <c r="DP18" s="154">
        <v>0</v>
      </c>
      <c r="DQ18" s="154">
        <v>0</v>
      </c>
      <c r="DR18" s="154">
        <v>0</v>
      </c>
      <c r="DS18" s="154">
        <v>0</v>
      </c>
      <c r="DT18" s="154">
        <v>0</v>
      </c>
      <c r="DU18" s="154">
        <v>0</v>
      </c>
      <c r="DV18" s="154">
        <v>0</v>
      </c>
      <c r="DW18" s="154">
        <v>0</v>
      </c>
      <c r="DX18" s="157">
        <f t="shared" si="55"/>
        <v>0</v>
      </c>
      <c r="DY18" s="161"/>
      <c r="DZ18" s="163">
        <v>0</v>
      </c>
      <c r="EA18" s="164">
        <v>0</v>
      </c>
      <c r="EB18" s="154">
        <v>0</v>
      </c>
      <c r="EC18" s="154">
        <v>0</v>
      </c>
      <c r="ED18" s="154">
        <v>0</v>
      </c>
      <c r="EE18" s="154">
        <v>0</v>
      </c>
      <c r="EF18" s="154">
        <v>0</v>
      </c>
      <c r="EG18" s="154">
        <v>0</v>
      </c>
      <c r="EH18" s="154">
        <v>0</v>
      </c>
      <c r="EI18" s="154">
        <v>0</v>
      </c>
      <c r="EJ18" s="154">
        <v>0</v>
      </c>
      <c r="EK18" s="154">
        <v>0</v>
      </c>
      <c r="EL18" s="157">
        <f t="shared" si="38"/>
        <v>0</v>
      </c>
      <c r="EM18" s="161"/>
      <c r="EN18" s="163">
        <v>0</v>
      </c>
      <c r="EO18" s="164">
        <v>0</v>
      </c>
      <c r="EP18" s="154">
        <v>0</v>
      </c>
      <c r="EQ18" s="154">
        <v>0</v>
      </c>
      <c r="ER18" s="154">
        <v>0</v>
      </c>
      <c r="ES18" s="154">
        <v>0</v>
      </c>
      <c r="ET18" s="154">
        <v>0</v>
      </c>
      <c r="EU18" s="154">
        <v>0</v>
      </c>
      <c r="EV18" s="154">
        <v>0</v>
      </c>
      <c r="EW18" s="154">
        <v>0</v>
      </c>
      <c r="EX18" s="154">
        <v>0</v>
      </c>
      <c r="EY18" s="154">
        <v>0</v>
      </c>
      <c r="EZ18" s="157">
        <f t="shared" si="39"/>
        <v>0</v>
      </c>
      <c r="FA18" s="161"/>
      <c r="FB18" s="163">
        <v>0</v>
      </c>
      <c r="FC18" s="164">
        <v>0</v>
      </c>
      <c r="FD18" s="154">
        <v>0</v>
      </c>
      <c r="FE18" s="154">
        <v>0</v>
      </c>
      <c r="FF18" s="154">
        <v>0</v>
      </c>
      <c r="FG18" s="154">
        <v>0</v>
      </c>
      <c r="FH18" s="154">
        <v>0</v>
      </c>
      <c r="FI18" s="154">
        <v>0</v>
      </c>
      <c r="FJ18" s="154">
        <v>0</v>
      </c>
      <c r="FK18" s="154">
        <v>0</v>
      </c>
      <c r="FL18" s="154">
        <v>0</v>
      </c>
      <c r="FM18" s="154">
        <v>0</v>
      </c>
      <c r="FN18" s="157">
        <f t="shared" si="40"/>
        <v>0</v>
      </c>
      <c r="FO18" s="161"/>
      <c r="FP18" s="163">
        <v>0</v>
      </c>
      <c r="FQ18" s="164">
        <v>0</v>
      </c>
      <c r="FR18" s="154">
        <v>0</v>
      </c>
      <c r="FS18" s="154">
        <v>0</v>
      </c>
      <c r="FT18" s="154">
        <v>0</v>
      </c>
      <c r="FU18" s="154">
        <v>0</v>
      </c>
      <c r="FV18" s="154">
        <v>0</v>
      </c>
      <c r="FW18" s="154">
        <v>0</v>
      </c>
      <c r="FX18" s="154">
        <v>0</v>
      </c>
      <c r="FY18" s="154">
        <v>0</v>
      </c>
      <c r="FZ18" s="154">
        <v>0</v>
      </c>
      <c r="GA18" s="154">
        <v>0</v>
      </c>
      <c r="GB18" s="157">
        <f t="shared" si="41"/>
        <v>0</v>
      </c>
      <c r="GC18" s="161"/>
      <c r="GD18" s="163">
        <v>0</v>
      </c>
      <c r="GE18" s="164">
        <v>0</v>
      </c>
      <c r="GF18" s="154">
        <v>0</v>
      </c>
      <c r="GG18" s="154">
        <v>0</v>
      </c>
      <c r="GH18" s="154">
        <v>0</v>
      </c>
      <c r="GI18" s="154">
        <v>0</v>
      </c>
      <c r="GJ18" s="154">
        <v>0</v>
      </c>
      <c r="GK18" s="154">
        <v>0</v>
      </c>
      <c r="GL18" s="154">
        <v>0</v>
      </c>
      <c r="GM18" s="154">
        <v>0</v>
      </c>
      <c r="GN18" s="154">
        <v>0</v>
      </c>
      <c r="GO18" s="154">
        <v>0</v>
      </c>
      <c r="GP18" s="157">
        <f t="shared" si="42"/>
        <v>0</v>
      </c>
      <c r="GQ18" s="161"/>
      <c r="GR18" s="163">
        <v>0</v>
      </c>
      <c r="GS18" s="164">
        <v>0</v>
      </c>
      <c r="GT18" s="154">
        <v>0</v>
      </c>
      <c r="GU18" s="154">
        <v>0</v>
      </c>
      <c r="GV18" s="154">
        <v>0</v>
      </c>
      <c r="GW18" s="154">
        <v>0</v>
      </c>
      <c r="GX18" s="154">
        <v>0</v>
      </c>
      <c r="GY18" s="154">
        <v>0</v>
      </c>
      <c r="GZ18" s="154">
        <v>0</v>
      </c>
      <c r="HA18" s="154">
        <v>0</v>
      </c>
      <c r="HB18" s="154">
        <v>0</v>
      </c>
      <c r="HC18" s="154">
        <v>0</v>
      </c>
      <c r="HD18" s="157">
        <f t="shared" si="43"/>
        <v>0</v>
      </c>
      <c r="HE18" s="161"/>
      <c r="HF18" s="163">
        <v>0</v>
      </c>
      <c r="HG18" s="164">
        <v>0</v>
      </c>
      <c r="HH18" s="154">
        <v>0</v>
      </c>
      <c r="HI18" s="154">
        <v>0</v>
      </c>
      <c r="HJ18" s="154">
        <v>0</v>
      </c>
      <c r="HK18" s="154">
        <v>0</v>
      </c>
      <c r="HL18" s="154">
        <v>0</v>
      </c>
      <c r="HM18" s="154">
        <v>0</v>
      </c>
      <c r="HN18" s="154">
        <v>0</v>
      </c>
      <c r="HO18" s="154">
        <v>0</v>
      </c>
      <c r="HP18" s="154">
        <v>0</v>
      </c>
      <c r="HQ18" s="154">
        <v>0</v>
      </c>
      <c r="HR18" s="157">
        <f>+SUBTOTAL(9,HF18:HQ18)</f>
        <v>0</v>
      </c>
      <c r="HS18" s="161"/>
      <c r="HT18" s="163">
        <v>0</v>
      </c>
      <c r="HU18" s="164">
        <v>0</v>
      </c>
      <c r="HV18" s="154">
        <v>0</v>
      </c>
      <c r="HW18" s="154">
        <v>0</v>
      </c>
      <c r="HX18" s="154">
        <v>0</v>
      </c>
      <c r="HY18" s="154">
        <v>0</v>
      </c>
      <c r="HZ18" s="154">
        <v>0</v>
      </c>
      <c r="IA18" s="154">
        <v>0</v>
      </c>
      <c r="IB18" s="154">
        <v>0</v>
      </c>
      <c r="IC18" s="154">
        <v>0</v>
      </c>
      <c r="ID18" s="154">
        <v>0</v>
      </c>
      <c r="IE18" s="154">
        <v>0</v>
      </c>
      <c r="IF18" s="157">
        <f t="shared" si="45"/>
        <v>0</v>
      </c>
      <c r="IG18" s="161"/>
      <c r="IH18" s="163">
        <v>0</v>
      </c>
      <c r="II18" s="164">
        <v>0</v>
      </c>
      <c r="IJ18" s="154">
        <v>0</v>
      </c>
      <c r="IK18" s="154">
        <v>0</v>
      </c>
      <c r="IL18" s="154">
        <v>0</v>
      </c>
      <c r="IM18" s="154">
        <v>0</v>
      </c>
      <c r="IN18" s="154">
        <v>0</v>
      </c>
      <c r="IO18" s="154">
        <v>0</v>
      </c>
      <c r="IP18" s="154">
        <v>0</v>
      </c>
      <c r="IQ18" s="154">
        <v>0</v>
      </c>
      <c r="IR18" s="154">
        <v>0</v>
      </c>
      <c r="IS18" s="154">
        <v>0</v>
      </c>
      <c r="IT18" s="157">
        <f t="shared" si="46"/>
        <v>0</v>
      </c>
      <c r="IU18" s="161"/>
      <c r="IV18" s="163">
        <v>0</v>
      </c>
      <c r="IW18" s="164">
        <v>0</v>
      </c>
      <c r="IX18" s="154">
        <v>0</v>
      </c>
      <c r="IY18" s="154">
        <v>0</v>
      </c>
      <c r="IZ18" s="154">
        <v>0</v>
      </c>
      <c r="JA18" s="154">
        <v>0</v>
      </c>
      <c r="JB18" s="154">
        <v>0</v>
      </c>
      <c r="JC18" s="154">
        <v>0</v>
      </c>
      <c r="JD18" s="154">
        <v>0</v>
      </c>
      <c r="JE18" s="154">
        <v>0</v>
      </c>
      <c r="JF18" s="154">
        <v>0</v>
      </c>
      <c r="JG18" s="154">
        <v>0</v>
      </c>
      <c r="JH18" s="157">
        <f t="shared" si="47"/>
        <v>0</v>
      </c>
      <c r="JI18" s="161"/>
      <c r="JJ18" s="163">
        <v>0</v>
      </c>
      <c r="JK18" s="164">
        <v>0</v>
      </c>
      <c r="JL18" s="154">
        <v>0</v>
      </c>
      <c r="JM18" s="154">
        <v>0</v>
      </c>
      <c r="JN18" s="154">
        <v>0</v>
      </c>
      <c r="JO18" s="154">
        <v>0</v>
      </c>
      <c r="JP18" s="154">
        <v>0</v>
      </c>
      <c r="JQ18" s="154">
        <v>0</v>
      </c>
      <c r="JR18" s="154">
        <v>0</v>
      </c>
      <c r="JS18" s="154">
        <v>0</v>
      </c>
      <c r="JT18" s="154">
        <v>0</v>
      </c>
      <c r="JU18" s="154">
        <v>0</v>
      </c>
      <c r="JV18" s="157">
        <f t="shared" si="48"/>
        <v>0</v>
      </c>
      <c r="JW18" s="161"/>
      <c r="JX18" s="163">
        <v>0</v>
      </c>
      <c r="JY18" s="164">
        <v>0</v>
      </c>
      <c r="JZ18" s="154">
        <v>0</v>
      </c>
      <c r="KA18" s="154">
        <v>0</v>
      </c>
      <c r="KB18" s="154">
        <v>0</v>
      </c>
      <c r="KC18" s="154">
        <v>0</v>
      </c>
      <c r="KD18" s="154">
        <v>0</v>
      </c>
      <c r="KE18" s="154">
        <v>0</v>
      </c>
      <c r="KF18" s="154">
        <v>0</v>
      </c>
      <c r="KG18" s="154">
        <v>0</v>
      </c>
      <c r="KH18" s="154">
        <v>0</v>
      </c>
      <c r="KI18" s="154">
        <v>0</v>
      </c>
      <c r="KJ18" s="157">
        <f t="shared" si="49"/>
        <v>0</v>
      </c>
      <c r="KK18" s="161"/>
      <c r="KL18" s="163">
        <v>0</v>
      </c>
      <c r="KM18" s="164">
        <v>0</v>
      </c>
      <c r="KN18" s="154">
        <v>0</v>
      </c>
      <c r="KO18" s="154">
        <v>0</v>
      </c>
      <c r="KP18" s="154">
        <v>0</v>
      </c>
      <c r="KQ18" s="154">
        <v>0</v>
      </c>
      <c r="KR18" s="154">
        <v>0</v>
      </c>
      <c r="KS18" s="154">
        <v>0</v>
      </c>
      <c r="KT18" s="154">
        <v>0</v>
      </c>
      <c r="KU18" s="154">
        <v>0</v>
      </c>
      <c r="KV18" s="154">
        <v>0</v>
      </c>
      <c r="KW18" s="154">
        <v>0</v>
      </c>
      <c r="KX18" s="157">
        <f t="shared" si="50"/>
        <v>0</v>
      </c>
      <c r="KY18" s="161"/>
      <c r="KZ18" s="163">
        <v>0</v>
      </c>
      <c r="LA18" s="164">
        <v>0</v>
      </c>
      <c r="LB18" s="154">
        <v>0</v>
      </c>
      <c r="LC18" s="154">
        <v>0</v>
      </c>
      <c r="LD18" s="154">
        <v>0</v>
      </c>
      <c r="LE18" s="154">
        <v>0</v>
      </c>
      <c r="LF18" s="154">
        <v>0</v>
      </c>
      <c r="LG18" s="154">
        <v>0</v>
      </c>
      <c r="LH18" s="154">
        <v>0</v>
      </c>
      <c r="LI18" s="154">
        <v>0</v>
      </c>
      <c r="LJ18" s="154">
        <v>0</v>
      </c>
      <c r="LK18" s="154">
        <v>0</v>
      </c>
      <c r="LL18" s="157">
        <f t="shared" si="51"/>
        <v>0</v>
      </c>
      <c r="LM18" s="161"/>
      <c r="LN18" s="163">
        <v>0</v>
      </c>
      <c r="LO18" s="164">
        <v>0</v>
      </c>
      <c r="LP18" s="154">
        <v>0</v>
      </c>
      <c r="LQ18" s="154">
        <v>0</v>
      </c>
      <c r="LR18" s="154">
        <v>0</v>
      </c>
      <c r="LS18" s="154">
        <v>0</v>
      </c>
      <c r="LT18" s="154">
        <v>0</v>
      </c>
      <c r="LU18" s="154">
        <v>0</v>
      </c>
      <c r="LV18" s="154">
        <v>0</v>
      </c>
      <c r="LW18" s="154">
        <v>0</v>
      </c>
      <c r="LX18" s="154">
        <v>0</v>
      </c>
      <c r="LY18" s="154">
        <v>0</v>
      </c>
      <c r="LZ18" s="157">
        <f t="shared" si="52"/>
        <v>0</v>
      </c>
      <c r="MA18" s="161"/>
      <c r="MB18" s="157">
        <f t="shared" si="53"/>
        <v>0</v>
      </c>
      <c r="MC18" s="157">
        <f t="shared" si="53"/>
        <v>0</v>
      </c>
      <c r="MD18" s="157">
        <f t="shared" si="53"/>
        <v>0</v>
      </c>
      <c r="ME18" s="157">
        <f t="shared" si="53"/>
        <v>0</v>
      </c>
      <c r="MF18" s="157">
        <f t="shared" si="53"/>
        <v>0</v>
      </c>
      <c r="MG18" s="157">
        <f t="shared" si="53"/>
        <v>0</v>
      </c>
      <c r="MH18" s="157">
        <f t="shared" si="53"/>
        <v>0</v>
      </c>
      <c r="MI18" s="157">
        <f t="shared" si="53"/>
        <v>0</v>
      </c>
      <c r="MJ18" s="157">
        <f t="shared" si="53"/>
        <v>0</v>
      </c>
      <c r="MK18" s="157">
        <f t="shared" si="53"/>
        <v>0</v>
      </c>
      <c r="ML18" s="157">
        <f t="shared" si="53"/>
        <v>0</v>
      </c>
      <c r="MM18" s="157">
        <f t="shared" si="53"/>
        <v>0</v>
      </c>
      <c r="MN18" s="157">
        <f t="shared" si="54"/>
        <v>0</v>
      </c>
    </row>
    <row r="19" spans="1:352" hidden="1" x14ac:dyDescent="0.25">
      <c r="B19" s="182" t="s">
        <v>201</v>
      </c>
      <c r="C19" s="98"/>
      <c r="D19" s="163">
        <v>0</v>
      </c>
      <c r="E19" s="164">
        <v>0</v>
      </c>
      <c r="F19" s="164">
        <v>0</v>
      </c>
      <c r="G19" s="164">
        <v>0</v>
      </c>
      <c r="H19" s="164">
        <v>0</v>
      </c>
      <c r="I19" s="164">
        <v>0</v>
      </c>
      <c r="J19" s="164">
        <v>0</v>
      </c>
      <c r="K19" s="164">
        <v>0</v>
      </c>
      <c r="L19" s="164">
        <v>0</v>
      </c>
      <c r="M19" s="164">
        <v>0</v>
      </c>
      <c r="N19" s="164">
        <v>0</v>
      </c>
      <c r="O19" s="164">
        <v>0</v>
      </c>
      <c r="P19" s="157">
        <f t="shared" si="30"/>
        <v>0</v>
      </c>
      <c r="Q19" s="161"/>
      <c r="R19" s="163">
        <v>0</v>
      </c>
      <c r="S19" s="164">
        <v>0</v>
      </c>
      <c r="T19" s="164">
        <v>0</v>
      </c>
      <c r="U19" s="164">
        <v>0</v>
      </c>
      <c r="V19" s="164">
        <v>0</v>
      </c>
      <c r="W19" s="164">
        <v>0</v>
      </c>
      <c r="X19" s="164">
        <v>0</v>
      </c>
      <c r="Y19" s="164">
        <v>0</v>
      </c>
      <c r="Z19" s="164">
        <v>0</v>
      </c>
      <c r="AA19" s="164">
        <v>0</v>
      </c>
      <c r="AB19" s="164">
        <v>0</v>
      </c>
      <c r="AC19" s="164">
        <v>0</v>
      </c>
      <c r="AD19" s="157">
        <f t="shared" si="31"/>
        <v>0</v>
      </c>
      <c r="AE19" s="161"/>
      <c r="AF19" s="163">
        <v>0</v>
      </c>
      <c r="AG19" s="164">
        <v>0</v>
      </c>
      <c r="AH19" s="164">
        <v>0</v>
      </c>
      <c r="AI19" s="164">
        <v>0</v>
      </c>
      <c r="AJ19" s="164">
        <v>0</v>
      </c>
      <c r="AK19" s="164">
        <v>0</v>
      </c>
      <c r="AL19" s="164">
        <v>0</v>
      </c>
      <c r="AM19" s="164">
        <v>0</v>
      </c>
      <c r="AN19" s="164">
        <v>0</v>
      </c>
      <c r="AO19" s="164">
        <v>0</v>
      </c>
      <c r="AP19" s="164">
        <v>0</v>
      </c>
      <c r="AQ19" s="164">
        <v>0</v>
      </c>
      <c r="AR19" s="157">
        <f t="shared" si="32"/>
        <v>0</v>
      </c>
      <c r="AT19" s="163">
        <v>0</v>
      </c>
      <c r="AU19" s="164">
        <v>0</v>
      </c>
      <c r="AV19" s="164">
        <v>0</v>
      </c>
      <c r="AW19" s="164">
        <v>0</v>
      </c>
      <c r="AX19" s="164">
        <v>0</v>
      </c>
      <c r="AY19" s="164">
        <v>0</v>
      </c>
      <c r="AZ19" s="164">
        <v>0</v>
      </c>
      <c r="BA19" s="164">
        <v>0</v>
      </c>
      <c r="BB19" s="154">
        <v>0</v>
      </c>
      <c r="BC19" s="154">
        <v>0</v>
      </c>
      <c r="BD19" s="154">
        <v>0</v>
      </c>
      <c r="BE19" s="154">
        <v>0</v>
      </c>
      <c r="BF19" s="157">
        <f t="shared" si="33"/>
        <v>0</v>
      </c>
      <c r="BG19" s="161"/>
      <c r="BH19" s="163">
        <v>0</v>
      </c>
      <c r="BI19" s="164">
        <v>0</v>
      </c>
      <c r="BJ19" s="154">
        <v>0</v>
      </c>
      <c r="BK19" s="154">
        <v>0</v>
      </c>
      <c r="BL19" s="154">
        <v>0</v>
      </c>
      <c r="BM19" s="154">
        <v>0</v>
      </c>
      <c r="BN19" s="154">
        <v>0</v>
      </c>
      <c r="BO19" s="154">
        <v>0</v>
      </c>
      <c r="BP19" s="154">
        <v>0</v>
      </c>
      <c r="BQ19" s="154">
        <v>0</v>
      </c>
      <c r="BR19" s="154">
        <v>0</v>
      </c>
      <c r="BS19" s="154">
        <v>0</v>
      </c>
      <c r="BT19" s="157">
        <f t="shared" si="34"/>
        <v>0</v>
      </c>
      <c r="BV19" s="163">
        <v>0</v>
      </c>
      <c r="BW19" s="164">
        <v>0</v>
      </c>
      <c r="BX19" s="154">
        <v>0</v>
      </c>
      <c r="BY19" s="154">
        <v>0</v>
      </c>
      <c r="BZ19" s="154">
        <v>0</v>
      </c>
      <c r="CA19" s="154">
        <v>0</v>
      </c>
      <c r="CB19" s="154">
        <v>0</v>
      </c>
      <c r="CC19" s="154">
        <v>0</v>
      </c>
      <c r="CD19" s="154">
        <v>0</v>
      </c>
      <c r="CE19" s="154">
        <v>0</v>
      </c>
      <c r="CF19" s="154">
        <v>0</v>
      </c>
      <c r="CG19" s="154">
        <v>0</v>
      </c>
      <c r="CH19" s="157">
        <f t="shared" si="35"/>
        <v>0</v>
      </c>
      <c r="CI19" s="161"/>
      <c r="CJ19" s="163">
        <v>0</v>
      </c>
      <c r="CK19" s="164">
        <v>0</v>
      </c>
      <c r="CL19" s="154">
        <v>0</v>
      </c>
      <c r="CM19" s="154">
        <v>0</v>
      </c>
      <c r="CN19" s="154">
        <v>0</v>
      </c>
      <c r="CO19" s="154">
        <v>0</v>
      </c>
      <c r="CP19" s="154">
        <v>0</v>
      </c>
      <c r="CQ19" s="154">
        <v>0</v>
      </c>
      <c r="CR19" s="154">
        <v>0</v>
      </c>
      <c r="CS19" s="154">
        <v>0</v>
      </c>
      <c r="CT19" s="154">
        <v>0</v>
      </c>
      <c r="CU19" s="154">
        <v>0</v>
      </c>
      <c r="CV19" s="157">
        <f>+SUBTOTAL(9,CJ19:CU19)</f>
        <v>0</v>
      </c>
      <c r="CW19" s="161"/>
      <c r="CX19" s="163">
        <v>0</v>
      </c>
      <c r="CY19" s="164">
        <v>0</v>
      </c>
      <c r="CZ19" s="154">
        <v>0</v>
      </c>
      <c r="DA19" s="154">
        <v>0</v>
      </c>
      <c r="DB19" s="154">
        <v>0</v>
      </c>
      <c r="DC19" s="154">
        <v>0</v>
      </c>
      <c r="DD19" s="154">
        <v>0</v>
      </c>
      <c r="DE19" s="154">
        <v>0</v>
      </c>
      <c r="DF19" s="154">
        <v>0</v>
      </c>
      <c r="DG19" s="154">
        <v>0</v>
      </c>
      <c r="DH19" s="154">
        <v>0</v>
      </c>
      <c r="DI19" s="154">
        <v>0</v>
      </c>
      <c r="DJ19" s="157">
        <f t="shared" si="37"/>
        <v>0</v>
      </c>
      <c r="DK19" s="161"/>
      <c r="DL19" s="163">
        <v>0</v>
      </c>
      <c r="DM19" s="164">
        <v>0</v>
      </c>
      <c r="DN19" s="154">
        <v>0</v>
      </c>
      <c r="DO19" s="154">
        <v>0</v>
      </c>
      <c r="DP19" s="154">
        <v>0</v>
      </c>
      <c r="DQ19" s="154">
        <v>0</v>
      </c>
      <c r="DR19" s="154">
        <v>0</v>
      </c>
      <c r="DS19" s="154">
        <v>0</v>
      </c>
      <c r="DT19" s="154">
        <v>0</v>
      </c>
      <c r="DU19" s="154">
        <v>0</v>
      </c>
      <c r="DV19" s="154">
        <v>0</v>
      </c>
      <c r="DW19" s="154">
        <v>0</v>
      </c>
      <c r="DX19" s="157">
        <f t="shared" si="55"/>
        <v>0</v>
      </c>
      <c r="DY19" s="161"/>
      <c r="DZ19" s="163">
        <v>0</v>
      </c>
      <c r="EA19" s="164">
        <v>0</v>
      </c>
      <c r="EB19" s="154">
        <v>0</v>
      </c>
      <c r="EC19" s="154">
        <v>0</v>
      </c>
      <c r="ED19" s="154">
        <v>0</v>
      </c>
      <c r="EE19" s="154">
        <v>0</v>
      </c>
      <c r="EF19" s="154">
        <v>0</v>
      </c>
      <c r="EG19" s="154">
        <v>0</v>
      </c>
      <c r="EH19" s="154">
        <v>0</v>
      </c>
      <c r="EI19" s="154">
        <v>0</v>
      </c>
      <c r="EJ19" s="154">
        <v>0</v>
      </c>
      <c r="EK19" s="154">
        <v>0</v>
      </c>
      <c r="EL19" s="157">
        <f>+SUBTOTAL(9,DZ19:EK19)</f>
        <v>0</v>
      </c>
      <c r="EM19" s="161"/>
      <c r="EN19" s="163">
        <v>0</v>
      </c>
      <c r="EO19" s="164">
        <v>0</v>
      </c>
      <c r="EP19" s="154">
        <v>0</v>
      </c>
      <c r="EQ19" s="154">
        <v>0</v>
      </c>
      <c r="ER19" s="154">
        <v>0</v>
      </c>
      <c r="ES19" s="154">
        <v>0</v>
      </c>
      <c r="ET19" s="154">
        <v>0</v>
      </c>
      <c r="EU19" s="154">
        <v>0</v>
      </c>
      <c r="EV19" s="154">
        <v>0</v>
      </c>
      <c r="EW19" s="154">
        <v>0</v>
      </c>
      <c r="EX19" s="154">
        <v>0</v>
      </c>
      <c r="EY19" s="154">
        <v>0</v>
      </c>
      <c r="EZ19" s="157">
        <f t="shared" si="39"/>
        <v>0</v>
      </c>
      <c r="FA19" s="161"/>
      <c r="FB19" s="163">
        <v>0</v>
      </c>
      <c r="FC19" s="164">
        <v>0</v>
      </c>
      <c r="FD19" s="154">
        <v>0</v>
      </c>
      <c r="FE19" s="154">
        <v>0</v>
      </c>
      <c r="FF19" s="154">
        <v>0</v>
      </c>
      <c r="FG19" s="154">
        <v>0</v>
      </c>
      <c r="FH19" s="154">
        <v>0</v>
      </c>
      <c r="FI19" s="154">
        <v>0</v>
      </c>
      <c r="FJ19" s="154">
        <v>0</v>
      </c>
      <c r="FK19" s="154">
        <v>0</v>
      </c>
      <c r="FL19" s="154">
        <v>0</v>
      </c>
      <c r="FM19" s="154">
        <v>0</v>
      </c>
      <c r="FN19" s="157">
        <f>+SUBTOTAL(9,FB19:FM19)</f>
        <v>0</v>
      </c>
      <c r="FO19" s="161"/>
      <c r="FP19" s="163">
        <v>0</v>
      </c>
      <c r="FQ19" s="164">
        <v>0</v>
      </c>
      <c r="FR19" s="154">
        <v>0</v>
      </c>
      <c r="FS19" s="154">
        <v>0</v>
      </c>
      <c r="FT19" s="154">
        <v>0</v>
      </c>
      <c r="FU19" s="154">
        <v>0</v>
      </c>
      <c r="FV19" s="154">
        <v>0</v>
      </c>
      <c r="FW19" s="154">
        <v>0</v>
      </c>
      <c r="FX19" s="154">
        <v>0</v>
      </c>
      <c r="FY19" s="154">
        <v>0</v>
      </c>
      <c r="FZ19" s="154">
        <v>0</v>
      </c>
      <c r="GA19" s="154">
        <v>0</v>
      </c>
      <c r="GB19" s="157">
        <f>+SUBTOTAL(9,FP19:GA19)</f>
        <v>0</v>
      </c>
      <c r="GC19" s="161"/>
      <c r="GD19" s="163">
        <v>0</v>
      </c>
      <c r="GE19" s="164">
        <v>0</v>
      </c>
      <c r="GF19" s="154">
        <v>0</v>
      </c>
      <c r="GG19" s="154">
        <v>0</v>
      </c>
      <c r="GH19" s="154">
        <v>0</v>
      </c>
      <c r="GI19" s="154">
        <v>0</v>
      </c>
      <c r="GJ19" s="154">
        <v>0</v>
      </c>
      <c r="GK19" s="154">
        <v>0</v>
      </c>
      <c r="GL19" s="154">
        <v>0</v>
      </c>
      <c r="GM19" s="154">
        <v>0</v>
      </c>
      <c r="GN19" s="154">
        <v>0</v>
      </c>
      <c r="GO19" s="154">
        <v>0</v>
      </c>
      <c r="GP19" s="157">
        <f t="shared" si="42"/>
        <v>0</v>
      </c>
      <c r="GQ19" s="161"/>
      <c r="GR19" s="163">
        <v>0</v>
      </c>
      <c r="GS19" s="164">
        <v>0</v>
      </c>
      <c r="GT19" s="154">
        <v>0</v>
      </c>
      <c r="GU19" s="154">
        <v>0</v>
      </c>
      <c r="GV19" s="154">
        <v>0</v>
      </c>
      <c r="GW19" s="154">
        <v>0</v>
      </c>
      <c r="GX19" s="154">
        <v>0</v>
      </c>
      <c r="GY19" s="154">
        <v>0</v>
      </c>
      <c r="GZ19" s="154">
        <v>0</v>
      </c>
      <c r="HA19" s="154">
        <v>0</v>
      </c>
      <c r="HB19" s="154">
        <v>0</v>
      </c>
      <c r="HC19" s="154">
        <v>0</v>
      </c>
      <c r="HD19" s="157">
        <f t="shared" si="43"/>
        <v>0</v>
      </c>
      <c r="HE19" s="161"/>
      <c r="HF19" s="163">
        <v>0</v>
      </c>
      <c r="HG19" s="164">
        <v>0</v>
      </c>
      <c r="HH19" s="154">
        <v>0</v>
      </c>
      <c r="HI19" s="154">
        <v>0</v>
      </c>
      <c r="HJ19" s="154">
        <v>0</v>
      </c>
      <c r="HK19" s="154">
        <v>0</v>
      </c>
      <c r="HL19" s="154">
        <v>0</v>
      </c>
      <c r="HM19" s="154">
        <v>0</v>
      </c>
      <c r="HN19" s="154">
        <v>0</v>
      </c>
      <c r="HO19" s="154">
        <v>0</v>
      </c>
      <c r="HP19" s="154">
        <v>0</v>
      </c>
      <c r="HQ19" s="154">
        <v>0</v>
      </c>
      <c r="HR19" s="157">
        <f t="shared" si="44"/>
        <v>0</v>
      </c>
      <c r="HS19" s="161"/>
      <c r="HT19" s="163">
        <v>0</v>
      </c>
      <c r="HU19" s="164">
        <v>0</v>
      </c>
      <c r="HV19" s="154">
        <v>0</v>
      </c>
      <c r="HW19" s="154">
        <v>0</v>
      </c>
      <c r="HX19" s="154">
        <v>0</v>
      </c>
      <c r="HY19" s="154">
        <v>0</v>
      </c>
      <c r="HZ19" s="154">
        <v>0</v>
      </c>
      <c r="IA19" s="154">
        <v>0</v>
      </c>
      <c r="IB19" s="154">
        <v>0</v>
      </c>
      <c r="IC19" s="154">
        <v>0</v>
      </c>
      <c r="ID19" s="154">
        <v>0</v>
      </c>
      <c r="IE19" s="154">
        <v>0</v>
      </c>
      <c r="IF19" s="157">
        <f t="shared" si="45"/>
        <v>0</v>
      </c>
      <c r="IG19" s="161"/>
      <c r="IH19" s="163">
        <v>0</v>
      </c>
      <c r="II19" s="164">
        <v>0</v>
      </c>
      <c r="IJ19" s="154">
        <v>0</v>
      </c>
      <c r="IK19" s="154">
        <v>0</v>
      </c>
      <c r="IL19" s="154">
        <v>0</v>
      </c>
      <c r="IM19" s="154">
        <v>0</v>
      </c>
      <c r="IN19" s="154">
        <v>0</v>
      </c>
      <c r="IO19" s="154">
        <v>0</v>
      </c>
      <c r="IP19" s="154">
        <v>0</v>
      </c>
      <c r="IQ19" s="154">
        <v>0</v>
      </c>
      <c r="IR19" s="154">
        <v>0</v>
      </c>
      <c r="IS19" s="154">
        <v>0</v>
      </c>
      <c r="IT19" s="157">
        <f t="shared" si="46"/>
        <v>0</v>
      </c>
      <c r="IU19" s="161"/>
      <c r="IV19" s="163">
        <v>0</v>
      </c>
      <c r="IW19" s="164">
        <v>0</v>
      </c>
      <c r="IX19" s="154">
        <v>0</v>
      </c>
      <c r="IY19" s="154">
        <v>0</v>
      </c>
      <c r="IZ19" s="154">
        <v>0</v>
      </c>
      <c r="JA19" s="154">
        <v>0</v>
      </c>
      <c r="JB19" s="154">
        <v>0</v>
      </c>
      <c r="JC19" s="154">
        <v>0</v>
      </c>
      <c r="JD19" s="154">
        <v>0</v>
      </c>
      <c r="JE19" s="154">
        <v>0</v>
      </c>
      <c r="JF19" s="154">
        <v>0</v>
      </c>
      <c r="JG19" s="154">
        <v>0</v>
      </c>
      <c r="JH19" s="157">
        <f t="shared" si="47"/>
        <v>0</v>
      </c>
      <c r="JI19" s="161"/>
      <c r="JJ19" s="163">
        <v>0</v>
      </c>
      <c r="JK19" s="164">
        <v>0</v>
      </c>
      <c r="JL19" s="154">
        <v>0</v>
      </c>
      <c r="JM19" s="154">
        <v>0</v>
      </c>
      <c r="JN19" s="154">
        <v>0</v>
      </c>
      <c r="JO19" s="154">
        <v>0</v>
      </c>
      <c r="JP19" s="154">
        <v>0</v>
      </c>
      <c r="JQ19" s="154">
        <v>0</v>
      </c>
      <c r="JR19" s="154">
        <v>0</v>
      </c>
      <c r="JS19" s="154">
        <v>0</v>
      </c>
      <c r="JT19" s="154">
        <v>0</v>
      </c>
      <c r="JU19" s="154">
        <v>0</v>
      </c>
      <c r="JV19" s="157">
        <f t="shared" si="48"/>
        <v>0</v>
      </c>
      <c r="JW19" s="161"/>
      <c r="JX19" s="163">
        <v>0</v>
      </c>
      <c r="JY19" s="164">
        <v>0</v>
      </c>
      <c r="JZ19" s="154">
        <v>0</v>
      </c>
      <c r="KA19" s="154">
        <v>0</v>
      </c>
      <c r="KB19" s="154">
        <v>0</v>
      </c>
      <c r="KC19" s="154">
        <v>0</v>
      </c>
      <c r="KD19" s="154">
        <v>0</v>
      </c>
      <c r="KE19" s="154">
        <v>0</v>
      </c>
      <c r="KF19" s="154">
        <v>0</v>
      </c>
      <c r="KG19" s="154">
        <v>0</v>
      </c>
      <c r="KH19" s="154">
        <v>0</v>
      </c>
      <c r="KI19" s="154">
        <v>0</v>
      </c>
      <c r="KJ19" s="157">
        <f t="shared" si="49"/>
        <v>0</v>
      </c>
      <c r="KK19" s="161"/>
      <c r="KL19" s="163">
        <v>0</v>
      </c>
      <c r="KM19" s="164">
        <v>0</v>
      </c>
      <c r="KN19" s="154">
        <v>0</v>
      </c>
      <c r="KO19" s="154">
        <v>0</v>
      </c>
      <c r="KP19" s="154">
        <v>0</v>
      </c>
      <c r="KQ19" s="154">
        <v>0</v>
      </c>
      <c r="KR19" s="154">
        <v>0</v>
      </c>
      <c r="KS19" s="154">
        <v>0</v>
      </c>
      <c r="KT19" s="154">
        <v>0</v>
      </c>
      <c r="KU19" s="154">
        <v>0</v>
      </c>
      <c r="KV19" s="154">
        <v>0</v>
      </c>
      <c r="KW19" s="154">
        <v>0</v>
      </c>
      <c r="KX19" s="157">
        <f t="shared" si="50"/>
        <v>0</v>
      </c>
      <c r="KY19" s="161"/>
      <c r="KZ19" s="163">
        <v>0</v>
      </c>
      <c r="LA19" s="164">
        <v>0</v>
      </c>
      <c r="LB19" s="154">
        <v>0</v>
      </c>
      <c r="LC19" s="154">
        <v>0</v>
      </c>
      <c r="LD19" s="154">
        <v>0</v>
      </c>
      <c r="LE19" s="154">
        <v>0</v>
      </c>
      <c r="LF19" s="154">
        <v>0</v>
      </c>
      <c r="LG19" s="154">
        <v>0</v>
      </c>
      <c r="LH19" s="154">
        <v>0</v>
      </c>
      <c r="LI19" s="154">
        <v>0</v>
      </c>
      <c r="LJ19" s="154">
        <v>0</v>
      </c>
      <c r="LK19" s="154">
        <v>0</v>
      </c>
      <c r="LL19" s="157">
        <f t="shared" si="51"/>
        <v>0</v>
      </c>
      <c r="LM19" s="161"/>
      <c r="LN19" s="163">
        <v>0</v>
      </c>
      <c r="LO19" s="164">
        <v>0</v>
      </c>
      <c r="LP19" s="154">
        <v>0</v>
      </c>
      <c r="LQ19" s="154">
        <v>0</v>
      </c>
      <c r="LR19" s="154">
        <v>0</v>
      </c>
      <c r="LS19" s="154">
        <v>0</v>
      </c>
      <c r="LT19" s="154">
        <v>0</v>
      </c>
      <c r="LU19" s="154">
        <v>0</v>
      </c>
      <c r="LV19" s="154">
        <v>0</v>
      </c>
      <c r="LW19" s="154">
        <v>0</v>
      </c>
      <c r="LX19" s="154">
        <v>0</v>
      </c>
      <c r="LY19" s="154">
        <v>0</v>
      </c>
      <c r="LZ19" s="157">
        <f t="shared" si="52"/>
        <v>0</v>
      </c>
      <c r="MA19" s="161"/>
      <c r="MB19" s="157">
        <f t="shared" si="53"/>
        <v>0</v>
      </c>
      <c r="MC19" s="157">
        <f t="shared" si="53"/>
        <v>0</v>
      </c>
      <c r="MD19" s="157">
        <f t="shared" si="53"/>
        <v>0</v>
      </c>
      <c r="ME19" s="157">
        <f t="shared" si="53"/>
        <v>0</v>
      </c>
      <c r="MF19" s="157">
        <f t="shared" si="53"/>
        <v>0</v>
      </c>
      <c r="MG19" s="157">
        <f t="shared" si="53"/>
        <v>0</v>
      </c>
      <c r="MH19" s="157">
        <f t="shared" si="53"/>
        <v>0</v>
      </c>
      <c r="MI19" s="157">
        <f t="shared" si="53"/>
        <v>0</v>
      </c>
      <c r="MJ19" s="157">
        <f t="shared" si="53"/>
        <v>0</v>
      </c>
      <c r="MK19" s="157">
        <f t="shared" si="53"/>
        <v>0</v>
      </c>
      <c r="ML19" s="157">
        <f t="shared" si="53"/>
        <v>0</v>
      </c>
      <c r="MM19" s="157">
        <f t="shared" si="53"/>
        <v>0</v>
      </c>
      <c r="MN19" s="157">
        <f t="shared" si="54"/>
        <v>0</v>
      </c>
    </row>
    <row r="20" spans="1:352" hidden="1" x14ac:dyDescent="0.25">
      <c r="B20" s="182" t="s">
        <v>202</v>
      </c>
      <c r="C20" s="98"/>
      <c r="D20" s="163">
        <v>0</v>
      </c>
      <c r="E20" s="164">
        <v>0</v>
      </c>
      <c r="F20" s="164">
        <v>0</v>
      </c>
      <c r="G20" s="164">
        <v>0</v>
      </c>
      <c r="H20" s="164">
        <v>0</v>
      </c>
      <c r="I20" s="164">
        <v>0</v>
      </c>
      <c r="J20" s="164">
        <v>0</v>
      </c>
      <c r="K20" s="164">
        <v>0</v>
      </c>
      <c r="L20" s="164">
        <v>0</v>
      </c>
      <c r="M20" s="164">
        <v>0</v>
      </c>
      <c r="N20" s="164">
        <v>0</v>
      </c>
      <c r="O20" s="164">
        <v>0</v>
      </c>
      <c r="P20" s="157">
        <f t="shared" si="30"/>
        <v>0</v>
      </c>
      <c r="Q20" s="161"/>
      <c r="R20" s="163">
        <v>0</v>
      </c>
      <c r="S20" s="164">
        <v>0</v>
      </c>
      <c r="T20" s="164">
        <v>0</v>
      </c>
      <c r="U20" s="164">
        <v>0</v>
      </c>
      <c r="V20" s="164">
        <v>0</v>
      </c>
      <c r="W20" s="164">
        <v>0</v>
      </c>
      <c r="X20" s="164">
        <v>0</v>
      </c>
      <c r="Y20" s="164">
        <v>0</v>
      </c>
      <c r="Z20" s="164">
        <v>0</v>
      </c>
      <c r="AA20" s="164">
        <v>0</v>
      </c>
      <c r="AB20" s="164">
        <v>0</v>
      </c>
      <c r="AC20" s="164">
        <v>0</v>
      </c>
      <c r="AD20" s="157">
        <f t="shared" si="31"/>
        <v>0</v>
      </c>
      <c r="AE20" s="161"/>
      <c r="AF20" s="163">
        <v>0</v>
      </c>
      <c r="AG20" s="164">
        <v>0</v>
      </c>
      <c r="AH20" s="164">
        <v>0</v>
      </c>
      <c r="AI20" s="164">
        <v>0</v>
      </c>
      <c r="AJ20" s="164">
        <v>0</v>
      </c>
      <c r="AK20" s="164">
        <v>0</v>
      </c>
      <c r="AL20" s="164">
        <v>0</v>
      </c>
      <c r="AM20" s="164">
        <v>0</v>
      </c>
      <c r="AN20" s="164">
        <v>0</v>
      </c>
      <c r="AO20" s="164">
        <v>0</v>
      </c>
      <c r="AP20" s="164">
        <v>0</v>
      </c>
      <c r="AQ20" s="164">
        <v>0</v>
      </c>
      <c r="AR20" s="157">
        <f t="shared" si="32"/>
        <v>0</v>
      </c>
      <c r="AT20" s="163">
        <v>0</v>
      </c>
      <c r="AU20" s="164">
        <v>0</v>
      </c>
      <c r="AV20" s="164">
        <v>0</v>
      </c>
      <c r="AW20" s="164">
        <v>0</v>
      </c>
      <c r="AX20" s="164">
        <v>0</v>
      </c>
      <c r="AY20" s="164">
        <v>0</v>
      </c>
      <c r="AZ20" s="164">
        <v>0</v>
      </c>
      <c r="BA20" s="164">
        <v>0</v>
      </c>
      <c r="BB20" s="154">
        <v>0</v>
      </c>
      <c r="BC20" s="154">
        <v>0</v>
      </c>
      <c r="BD20" s="154">
        <v>0</v>
      </c>
      <c r="BE20" s="154">
        <v>0</v>
      </c>
      <c r="BF20" s="157">
        <f t="shared" si="33"/>
        <v>0</v>
      </c>
      <c r="BG20" s="161"/>
      <c r="BH20" s="163">
        <v>0</v>
      </c>
      <c r="BI20" s="164">
        <v>0</v>
      </c>
      <c r="BJ20" s="154">
        <v>0</v>
      </c>
      <c r="BK20" s="154">
        <v>0</v>
      </c>
      <c r="BL20" s="154">
        <v>0</v>
      </c>
      <c r="BM20" s="154">
        <v>0</v>
      </c>
      <c r="BN20" s="154">
        <v>0</v>
      </c>
      <c r="BO20" s="154">
        <v>0</v>
      </c>
      <c r="BP20" s="154">
        <v>0</v>
      </c>
      <c r="BQ20" s="154">
        <v>0</v>
      </c>
      <c r="BR20" s="154">
        <v>0</v>
      </c>
      <c r="BS20" s="154">
        <v>0</v>
      </c>
      <c r="BT20" s="157">
        <f t="shared" si="34"/>
        <v>0</v>
      </c>
      <c r="BV20" s="163">
        <v>0</v>
      </c>
      <c r="BW20" s="164">
        <v>0</v>
      </c>
      <c r="BX20" s="154">
        <v>0</v>
      </c>
      <c r="BY20" s="154">
        <v>0</v>
      </c>
      <c r="BZ20" s="154">
        <v>0</v>
      </c>
      <c r="CA20" s="154">
        <v>0</v>
      </c>
      <c r="CB20" s="154">
        <v>0</v>
      </c>
      <c r="CC20" s="154">
        <v>0</v>
      </c>
      <c r="CD20" s="154">
        <v>0</v>
      </c>
      <c r="CE20" s="154">
        <v>0</v>
      </c>
      <c r="CF20" s="154">
        <v>0</v>
      </c>
      <c r="CG20" s="154">
        <v>0</v>
      </c>
      <c r="CH20" s="157">
        <f t="shared" si="35"/>
        <v>0</v>
      </c>
      <c r="CI20" s="161"/>
      <c r="CJ20" s="163">
        <v>0</v>
      </c>
      <c r="CK20" s="164">
        <v>0</v>
      </c>
      <c r="CL20" s="154">
        <v>0</v>
      </c>
      <c r="CM20" s="154">
        <v>0</v>
      </c>
      <c r="CN20" s="154">
        <v>0</v>
      </c>
      <c r="CO20" s="154">
        <v>0</v>
      </c>
      <c r="CP20" s="154">
        <v>0</v>
      </c>
      <c r="CQ20" s="154">
        <v>0</v>
      </c>
      <c r="CR20" s="154">
        <v>0</v>
      </c>
      <c r="CS20" s="154">
        <v>0</v>
      </c>
      <c r="CT20" s="154">
        <v>0</v>
      </c>
      <c r="CU20" s="154">
        <v>0</v>
      </c>
      <c r="CV20" s="157">
        <f t="shared" si="36"/>
        <v>0</v>
      </c>
      <c r="CW20" s="161"/>
      <c r="CX20" s="163">
        <v>0</v>
      </c>
      <c r="CY20" s="164">
        <v>0</v>
      </c>
      <c r="CZ20" s="154">
        <v>0</v>
      </c>
      <c r="DA20" s="154">
        <v>0</v>
      </c>
      <c r="DB20" s="154">
        <v>0</v>
      </c>
      <c r="DC20" s="154">
        <v>0</v>
      </c>
      <c r="DD20" s="154">
        <v>0</v>
      </c>
      <c r="DE20" s="154">
        <v>0</v>
      </c>
      <c r="DF20" s="154">
        <v>0</v>
      </c>
      <c r="DG20" s="154">
        <v>0</v>
      </c>
      <c r="DH20" s="154">
        <v>0</v>
      </c>
      <c r="DI20" s="154">
        <v>0</v>
      </c>
      <c r="DJ20" s="157">
        <f t="shared" si="37"/>
        <v>0</v>
      </c>
      <c r="DK20" s="161"/>
      <c r="DL20" s="163">
        <v>0</v>
      </c>
      <c r="DM20" s="164">
        <v>0</v>
      </c>
      <c r="DN20" s="154">
        <v>0</v>
      </c>
      <c r="DO20" s="154">
        <v>0</v>
      </c>
      <c r="DP20" s="154">
        <v>0</v>
      </c>
      <c r="DQ20" s="154">
        <v>0</v>
      </c>
      <c r="DR20" s="154">
        <v>0</v>
      </c>
      <c r="DS20" s="154">
        <v>0</v>
      </c>
      <c r="DT20" s="154">
        <v>0</v>
      </c>
      <c r="DU20" s="154">
        <v>0</v>
      </c>
      <c r="DV20" s="154">
        <v>0</v>
      </c>
      <c r="DW20" s="154">
        <v>0</v>
      </c>
      <c r="DX20" s="157">
        <f t="shared" si="55"/>
        <v>0</v>
      </c>
      <c r="DY20" s="161"/>
      <c r="DZ20" s="163">
        <v>0</v>
      </c>
      <c r="EA20" s="164">
        <v>0</v>
      </c>
      <c r="EB20" s="154">
        <v>0</v>
      </c>
      <c r="EC20" s="154">
        <v>0</v>
      </c>
      <c r="ED20" s="154">
        <v>0</v>
      </c>
      <c r="EE20" s="154">
        <v>0</v>
      </c>
      <c r="EF20" s="154">
        <v>0</v>
      </c>
      <c r="EG20" s="154">
        <v>0</v>
      </c>
      <c r="EH20" s="154">
        <v>0</v>
      </c>
      <c r="EI20" s="154">
        <v>0</v>
      </c>
      <c r="EJ20" s="154">
        <v>0</v>
      </c>
      <c r="EK20" s="154">
        <v>0</v>
      </c>
      <c r="EL20" s="157">
        <f t="shared" si="38"/>
        <v>0</v>
      </c>
      <c r="EM20" s="161"/>
      <c r="EN20" s="163">
        <v>0</v>
      </c>
      <c r="EO20" s="164">
        <v>0</v>
      </c>
      <c r="EP20" s="154">
        <v>0</v>
      </c>
      <c r="EQ20" s="154">
        <v>0</v>
      </c>
      <c r="ER20" s="154">
        <v>0</v>
      </c>
      <c r="ES20" s="154">
        <v>0</v>
      </c>
      <c r="ET20" s="154">
        <v>0</v>
      </c>
      <c r="EU20" s="154">
        <v>0</v>
      </c>
      <c r="EV20" s="154">
        <v>0</v>
      </c>
      <c r="EW20" s="154">
        <v>0</v>
      </c>
      <c r="EX20" s="154">
        <v>0</v>
      </c>
      <c r="EY20" s="154">
        <v>0</v>
      </c>
      <c r="EZ20" s="157">
        <f>+SUBTOTAL(9,EN20:EY20)</f>
        <v>0</v>
      </c>
      <c r="FA20" s="161"/>
      <c r="FB20" s="163">
        <v>0</v>
      </c>
      <c r="FC20" s="164">
        <v>0</v>
      </c>
      <c r="FD20" s="154">
        <v>0</v>
      </c>
      <c r="FE20" s="154">
        <v>0</v>
      </c>
      <c r="FF20" s="154">
        <v>0</v>
      </c>
      <c r="FG20" s="154">
        <v>0</v>
      </c>
      <c r="FH20" s="154">
        <v>0</v>
      </c>
      <c r="FI20" s="154">
        <v>0</v>
      </c>
      <c r="FJ20" s="154">
        <v>0</v>
      </c>
      <c r="FK20" s="154">
        <v>0</v>
      </c>
      <c r="FL20" s="154">
        <v>0</v>
      </c>
      <c r="FM20" s="154">
        <v>0</v>
      </c>
      <c r="FN20" s="157">
        <f t="shared" si="40"/>
        <v>0</v>
      </c>
      <c r="FO20" s="161"/>
      <c r="FP20" s="163">
        <v>0</v>
      </c>
      <c r="FQ20" s="164">
        <v>0</v>
      </c>
      <c r="FR20" s="154">
        <v>0</v>
      </c>
      <c r="FS20" s="154">
        <v>0</v>
      </c>
      <c r="FT20" s="154">
        <v>0</v>
      </c>
      <c r="FU20" s="154">
        <v>0</v>
      </c>
      <c r="FV20" s="154">
        <v>0</v>
      </c>
      <c r="FW20" s="154">
        <v>0</v>
      </c>
      <c r="FX20" s="154">
        <v>0</v>
      </c>
      <c r="FY20" s="154">
        <v>0</v>
      </c>
      <c r="FZ20" s="154">
        <v>0</v>
      </c>
      <c r="GA20" s="154">
        <v>0</v>
      </c>
      <c r="GB20" s="157">
        <f t="shared" si="41"/>
        <v>0</v>
      </c>
      <c r="GC20" s="161"/>
      <c r="GD20" s="163">
        <v>0</v>
      </c>
      <c r="GE20" s="164">
        <v>0</v>
      </c>
      <c r="GF20" s="154">
        <v>0</v>
      </c>
      <c r="GG20" s="154">
        <v>0</v>
      </c>
      <c r="GH20" s="154">
        <v>0</v>
      </c>
      <c r="GI20" s="154">
        <v>0</v>
      </c>
      <c r="GJ20" s="154">
        <v>0</v>
      </c>
      <c r="GK20" s="154">
        <v>0</v>
      </c>
      <c r="GL20" s="154">
        <v>0</v>
      </c>
      <c r="GM20" s="154">
        <v>0</v>
      </c>
      <c r="GN20" s="154">
        <v>0</v>
      </c>
      <c r="GO20" s="154">
        <v>0</v>
      </c>
      <c r="GP20" s="157">
        <f t="shared" si="42"/>
        <v>0</v>
      </c>
      <c r="GQ20" s="161"/>
      <c r="GR20" s="163">
        <v>0</v>
      </c>
      <c r="GS20" s="164">
        <v>0</v>
      </c>
      <c r="GT20" s="154">
        <v>0</v>
      </c>
      <c r="GU20" s="154">
        <v>0</v>
      </c>
      <c r="GV20" s="154">
        <v>0</v>
      </c>
      <c r="GW20" s="154">
        <v>0</v>
      </c>
      <c r="GX20" s="154">
        <v>0</v>
      </c>
      <c r="GY20" s="154">
        <v>0</v>
      </c>
      <c r="GZ20" s="154">
        <v>0</v>
      </c>
      <c r="HA20" s="154">
        <v>0</v>
      </c>
      <c r="HB20" s="154">
        <v>0</v>
      </c>
      <c r="HC20" s="154">
        <v>0</v>
      </c>
      <c r="HD20" s="157">
        <f t="shared" si="43"/>
        <v>0</v>
      </c>
      <c r="HE20" s="161"/>
      <c r="HF20" s="163">
        <v>0</v>
      </c>
      <c r="HG20" s="164">
        <v>0</v>
      </c>
      <c r="HH20" s="154">
        <v>0</v>
      </c>
      <c r="HI20" s="154">
        <v>0</v>
      </c>
      <c r="HJ20" s="154">
        <v>0</v>
      </c>
      <c r="HK20" s="154">
        <v>0</v>
      </c>
      <c r="HL20" s="154">
        <v>0</v>
      </c>
      <c r="HM20" s="154">
        <v>0</v>
      </c>
      <c r="HN20" s="154">
        <v>0</v>
      </c>
      <c r="HO20" s="154">
        <v>0</v>
      </c>
      <c r="HP20" s="154">
        <v>0</v>
      </c>
      <c r="HQ20" s="154">
        <v>0</v>
      </c>
      <c r="HR20" s="157">
        <f t="shared" si="44"/>
        <v>0</v>
      </c>
      <c r="HS20" s="161"/>
      <c r="HT20" s="163">
        <v>0</v>
      </c>
      <c r="HU20" s="164">
        <v>0</v>
      </c>
      <c r="HV20" s="154">
        <v>0</v>
      </c>
      <c r="HW20" s="154">
        <v>0</v>
      </c>
      <c r="HX20" s="154">
        <v>0</v>
      </c>
      <c r="HY20" s="154">
        <v>0</v>
      </c>
      <c r="HZ20" s="154">
        <v>0</v>
      </c>
      <c r="IA20" s="154">
        <v>0</v>
      </c>
      <c r="IB20" s="154">
        <v>0</v>
      </c>
      <c r="IC20" s="154">
        <v>0</v>
      </c>
      <c r="ID20" s="154">
        <v>0</v>
      </c>
      <c r="IE20" s="154">
        <v>0</v>
      </c>
      <c r="IF20" s="157">
        <f t="shared" si="45"/>
        <v>0</v>
      </c>
      <c r="IG20" s="161"/>
      <c r="IH20" s="163">
        <v>0</v>
      </c>
      <c r="II20" s="164">
        <v>0</v>
      </c>
      <c r="IJ20" s="154">
        <v>0</v>
      </c>
      <c r="IK20" s="154">
        <v>0</v>
      </c>
      <c r="IL20" s="154">
        <v>0</v>
      </c>
      <c r="IM20" s="154">
        <v>0</v>
      </c>
      <c r="IN20" s="154">
        <v>0</v>
      </c>
      <c r="IO20" s="154">
        <v>0</v>
      </c>
      <c r="IP20" s="154">
        <v>0</v>
      </c>
      <c r="IQ20" s="154">
        <v>0</v>
      </c>
      <c r="IR20" s="154">
        <v>0</v>
      </c>
      <c r="IS20" s="154">
        <v>0</v>
      </c>
      <c r="IT20" s="157">
        <f t="shared" si="46"/>
        <v>0</v>
      </c>
      <c r="IU20" s="161"/>
      <c r="IV20" s="163">
        <v>0</v>
      </c>
      <c r="IW20" s="164">
        <v>0</v>
      </c>
      <c r="IX20" s="154">
        <v>0</v>
      </c>
      <c r="IY20" s="154">
        <v>0</v>
      </c>
      <c r="IZ20" s="154">
        <v>0</v>
      </c>
      <c r="JA20" s="154">
        <v>0</v>
      </c>
      <c r="JB20" s="154">
        <v>0</v>
      </c>
      <c r="JC20" s="154">
        <v>0</v>
      </c>
      <c r="JD20" s="154">
        <v>0</v>
      </c>
      <c r="JE20" s="154">
        <v>0</v>
      </c>
      <c r="JF20" s="154">
        <v>0</v>
      </c>
      <c r="JG20" s="154">
        <v>0</v>
      </c>
      <c r="JH20" s="157">
        <f t="shared" si="47"/>
        <v>0</v>
      </c>
      <c r="JI20" s="161"/>
      <c r="JJ20" s="163">
        <v>0</v>
      </c>
      <c r="JK20" s="164">
        <v>0</v>
      </c>
      <c r="JL20" s="154">
        <v>0</v>
      </c>
      <c r="JM20" s="154">
        <v>0</v>
      </c>
      <c r="JN20" s="154">
        <v>0</v>
      </c>
      <c r="JO20" s="154">
        <v>0</v>
      </c>
      <c r="JP20" s="154">
        <v>0</v>
      </c>
      <c r="JQ20" s="154">
        <v>0</v>
      </c>
      <c r="JR20" s="154">
        <v>0</v>
      </c>
      <c r="JS20" s="154">
        <v>0</v>
      </c>
      <c r="JT20" s="154">
        <v>0</v>
      </c>
      <c r="JU20" s="154">
        <v>0</v>
      </c>
      <c r="JV20" s="157">
        <f t="shared" si="48"/>
        <v>0</v>
      </c>
      <c r="JW20" s="161"/>
      <c r="JX20" s="163">
        <v>0</v>
      </c>
      <c r="JY20" s="164">
        <v>0</v>
      </c>
      <c r="JZ20" s="154">
        <v>0</v>
      </c>
      <c r="KA20" s="154">
        <v>0</v>
      </c>
      <c r="KB20" s="154">
        <v>0</v>
      </c>
      <c r="KC20" s="154">
        <v>0</v>
      </c>
      <c r="KD20" s="154">
        <v>0</v>
      </c>
      <c r="KE20" s="154">
        <v>0</v>
      </c>
      <c r="KF20" s="154">
        <v>0</v>
      </c>
      <c r="KG20" s="154">
        <v>0</v>
      </c>
      <c r="KH20" s="154">
        <v>0</v>
      </c>
      <c r="KI20" s="154">
        <v>0</v>
      </c>
      <c r="KJ20" s="157">
        <f t="shared" si="49"/>
        <v>0</v>
      </c>
      <c r="KK20" s="161"/>
      <c r="KL20" s="163">
        <v>0</v>
      </c>
      <c r="KM20" s="164">
        <v>0</v>
      </c>
      <c r="KN20" s="154">
        <v>0</v>
      </c>
      <c r="KO20" s="154">
        <v>0</v>
      </c>
      <c r="KP20" s="154">
        <v>0</v>
      </c>
      <c r="KQ20" s="154">
        <v>0</v>
      </c>
      <c r="KR20" s="154">
        <v>0</v>
      </c>
      <c r="KS20" s="154">
        <v>0</v>
      </c>
      <c r="KT20" s="154">
        <v>0</v>
      </c>
      <c r="KU20" s="154">
        <v>0</v>
      </c>
      <c r="KV20" s="154">
        <v>0</v>
      </c>
      <c r="KW20" s="154">
        <v>0</v>
      </c>
      <c r="KX20" s="157">
        <f t="shared" si="50"/>
        <v>0</v>
      </c>
      <c r="KY20" s="161"/>
      <c r="KZ20" s="163">
        <v>0</v>
      </c>
      <c r="LA20" s="164">
        <v>0</v>
      </c>
      <c r="LB20" s="154">
        <v>0</v>
      </c>
      <c r="LC20" s="154">
        <v>0</v>
      </c>
      <c r="LD20" s="154">
        <v>0</v>
      </c>
      <c r="LE20" s="154">
        <v>0</v>
      </c>
      <c r="LF20" s="154">
        <v>0</v>
      </c>
      <c r="LG20" s="154">
        <v>0</v>
      </c>
      <c r="LH20" s="154">
        <v>0</v>
      </c>
      <c r="LI20" s="154">
        <v>0</v>
      </c>
      <c r="LJ20" s="154">
        <v>0</v>
      </c>
      <c r="LK20" s="154">
        <v>0</v>
      </c>
      <c r="LL20" s="157">
        <f t="shared" si="51"/>
        <v>0</v>
      </c>
      <c r="LM20" s="161"/>
      <c r="LN20" s="163">
        <v>0</v>
      </c>
      <c r="LO20" s="164">
        <v>0</v>
      </c>
      <c r="LP20" s="154">
        <v>0</v>
      </c>
      <c r="LQ20" s="154">
        <v>0</v>
      </c>
      <c r="LR20" s="154">
        <v>0</v>
      </c>
      <c r="LS20" s="154">
        <v>0</v>
      </c>
      <c r="LT20" s="154">
        <v>0</v>
      </c>
      <c r="LU20" s="154">
        <v>0</v>
      </c>
      <c r="LV20" s="154">
        <v>0</v>
      </c>
      <c r="LW20" s="154">
        <v>0</v>
      </c>
      <c r="LX20" s="154">
        <v>0</v>
      </c>
      <c r="LY20" s="154">
        <v>0</v>
      </c>
      <c r="LZ20" s="157">
        <f t="shared" si="52"/>
        <v>0</v>
      </c>
      <c r="MA20" s="161"/>
      <c r="MB20" s="157">
        <f t="shared" si="53"/>
        <v>0</v>
      </c>
      <c r="MC20" s="157">
        <f t="shared" si="53"/>
        <v>0</v>
      </c>
      <c r="MD20" s="157">
        <f t="shared" si="53"/>
        <v>0</v>
      </c>
      <c r="ME20" s="157">
        <f t="shared" si="53"/>
        <v>0</v>
      </c>
      <c r="MF20" s="157">
        <f t="shared" si="53"/>
        <v>0</v>
      </c>
      <c r="MG20" s="157">
        <f t="shared" si="53"/>
        <v>0</v>
      </c>
      <c r="MH20" s="157">
        <f t="shared" si="53"/>
        <v>0</v>
      </c>
      <c r="MI20" s="157">
        <f t="shared" si="53"/>
        <v>0</v>
      </c>
      <c r="MJ20" s="157">
        <f t="shared" si="53"/>
        <v>0</v>
      </c>
      <c r="MK20" s="157">
        <f t="shared" si="53"/>
        <v>0</v>
      </c>
      <c r="ML20" s="157">
        <f t="shared" si="53"/>
        <v>0</v>
      </c>
      <c r="MM20" s="157">
        <f t="shared" si="53"/>
        <v>0</v>
      </c>
      <c r="MN20" s="157">
        <f t="shared" si="54"/>
        <v>0</v>
      </c>
    </row>
    <row r="21" spans="1:352" hidden="1" x14ac:dyDescent="0.25">
      <c r="B21" s="64" t="s">
        <v>203</v>
      </c>
      <c r="D21" s="163">
        <v>0</v>
      </c>
      <c r="E21" s="177">
        <v>0</v>
      </c>
      <c r="F21" s="177">
        <v>0</v>
      </c>
      <c r="G21" s="177">
        <v>0</v>
      </c>
      <c r="H21" s="177">
        <v>0</v>
      </c>
      <c r="I21" s="177">
        <v>0</v>
      </c>
      <c r="J21" s="177">
        <v>0</v>
      </c>
      <c r="K21" s="177">
        <v>0</v>
      </c>
      <c r="L21" s="177">
        <v>0</v>
      </c>
      <c r="M21" s="177">
        <v>0</v>
      </c>
      <c r="N21" s="177">
        <v>0</v>
      </c>
      <c r="O21" s="177">
        <v>0</v>
      </c>
      <c r="P21" s="157">
        <f t="shared" si="30"/>
        <v>0</v>
      </c>
      <c r="Q21" s="161"/>
      <c r="R21" s="163">
        <v>0</v>
      </c>
      <c r="S21" s="177">
        <v>0</v>
      </c>
      <c r="T21" s="177">
        <v>0</v>
      </c>
      <c r="U21" s="177">
        <v>0</v>
      </c>
      <c r="V21" s="177">
        <v>0</v>
      </c>
      <c r="W21" s="177">
        <v>0</v>
      </c>
      <c r="X21" s="177">
        <v>0</v>
      </c>
      <c r="Y21" s="177">
        <v>0</v>
      </c>
      <c r="Z21" s="177">
        <v>0</v>
      </c>
      <c r="AA21" s="177">
        <v>0</v>
      </c>
      <c r="AB21" s="177">
        <v>0</v>
      </c>
      <c r="AC21" s="177">
        <v>0</v>
      </c>
      <c r="AD21" s="157">
        <f t="shared" si="31"/>
        <v>0</v>
      </c>
      <c r="AE21" s="161"/>
      <c r="AF21" s="163">
        <v>0</v>
      </c>
      <c r="AG21" s="177">
        <v>0</v>
      </c>
      <c r="AH21" s="177">
        <v>0</v>
      </c>
      <c r="AI21" s="177">
        <v>0</v>
      </c>
      <c r="AJ21" s="177">
        <v>0</v>
      </c>
      <c r="AK21" s="177">
        <v>0</v>
      </c>
      <c r="AL21" s="177">
        <v>0</v>
      </c>
      <c r="AM21" s="177">
        <v>0</v>
      </c>
      <c r="AN21" s="177">
        <v>0</v>
      </c>
      <c r="AO21" s="177">
        <v>0</v>
      </c>
      <c r="AP21" s="177">
        <v>0</v>
      </c>
      <c r="AQ21" s="177">
        <v>0</v>
      </c>
      <c r="AR21" s="157">
        <f t="shared" si="32"/>
        <v>0</v>
      </c>
      <c r="AT21" s="163">
        <v>0</v>
      </c>
      <c r="AU21" s="177">
        <v>0</v>
      </c>
      <c r="AV21" s="177">
        <v>0</v>
      </c>
      <c r="AW21" s="177">
        <v>0</v>
      </c>
      <c r="AX21" s="177">
        <v>0</v>
      </c>
      <c r="AY21" s="177">
        <v>0</v>
      </c>
      <c r="AZ21" s="177">
        <v>0</v>
      </c>
      <c r="BA21" s="177">
        <v>0</v>
      </c>
      <c r="BB21" s="154">
        <v>0</v>
      </c>
      <c r="BC21" s="154">
        <v>0</v>
      </c>
      <c r="BD21" s="154">
        <v>0</v>
      </c>
      <c r="BE21" s="154">
        <v>0</v>
      </c>
      <c r="BF21" s="157">
        <f t="shared" si="33"/>
        <v>0</v>
      </c>
      <c r="BG21" s="161"/>
      <c r="BH21" s="163">
        <v>0</v>
      </c>
      <c r="BI21" s="164">
        <v>0</v>
      </c>
      <c r="BJ21" s="154">
        <v>0</v>
      </c>
      <c r="BK21" s="154">
        <v>0</v>
      </c>
      <c r="BL21" s="154">
        <v>0</v>
      </c>
      <c r="BM21" s="154">
        <v>0</v>
      </c>
      <c r="BN21" s="154">
        <v>0</v>
      </c>
      <c r="BO21" s="154">
        <v>0</v>
      </c>
      <c r="BP21" s="154">
        <v>0</v>
      </c>
      <c r="BQ21" s="154">
        <v>0</v>
      </c>
      <c r="BR21" s="154">
        <v>0</v>
      </c>
      <c r="BS21" s="154">
        <v>0</v>
      </c>
      <c r="BT21" s="157">
        <f t="shared" si="34"/>
        <v>0</v>
      </c>
      <c r="BV21" s="163">
        <v>0</v>
      </c>
      <c r="BW21" s="164">
        <v>0</v>
      </c>
      <c r="BX21" s="154">
        <v>0</v>
      </c>
      <c r="BY21" s="154">
        <v>0</v>
      </c>
      <c r="BZ21" s="154">
        <v>0</v>
      </c>
      <c r="CA21" s="154">
        <v>0</v>
      </c>
      <c r="CB21" s="154">
        <v>0</v>
      </c>
      <c r="CC21" s="154">
        <v>0</v>
      </c>
      <c r="CD21" s="154">
        <v>0</v>
      </c>
      <c r="CE21" s="154">
        <v>0</v>
      </c>
      <c r="CF21" s="154">
        <v>0</v>
      </c>
      <c r="CG21" s="154">
        <v>0</v>
      </c>
      <c r="CH21" s="157">
        <f t="shared" si="35"/>
        <v>0</v>
      </c>
      <c r="CI21" s="161"/>
      <c r="CJ21" s="163">
        <v>0</v>
      </c>
      <c r="CK21" s="164">
        <v>0</v>
      </c>
      <c r="CL21" s="154">
        <v>0</v>
      </c>
      <c r="CM21" s="154">
        <v>0</v>
      </c>
      <c r="CN21" s="154">
        <v>0</v>
      </c>
      <c r="CO21" s="154">
        <v>0</v>
      </c>
      <c r="CP21" s="154">
        <v>0</v>
      </c>
      <c r="CQ21" s="154">
        <v>0</v>
      </c>
      <c r="CR21" s="154">
        <v>0</v>
      </c>
      <c r="CS21" s="154">
        <v>0</v>
      </c>
      <c r="CT21" s="154">
        <v>0</v>
      </c>
      <c r="CU21" s="154">
        <v>0</v>
      </c>
      <c r="CV21" s="157">
        <f t="shared" si="36"/>
        <v>0</v>
      </c>
      <c r="CW21" s="161"/>
      <c r="CX21" s="163">
        <v>0</v>
      </c>
      <c r="CY21" s="164">
        <v>0</v>
      </c>
      <c r="CZ21" s="154">
        <v>0</v>
      </c>
      <c r="DA21" s="154">
        <v>0</v>
      </c>
      <c r="DB21" s="154">
        <v>0</v>
      </c>
      <c r="DC21" s="154">
        <v>0</v>
      </c>
      <c r="DD21" s="154">
        <v>0</v>
      </c>
      <c r="DE21" s="154">
        <v>0</v>
      </c>
      <c r="DF21" s="154">
        <v>0</v>
      </c>
      <c r="DG21" s="154">
        <v>0</v>
      </c>
      <c r="DH21" s="154">
        <v>0</v>
      </c>
      <c r="DI21" s="154">
        <v>0</v>
      </c>
      <c r="DJ21" s="157">
        <f t="shared" si="37"/>
        <v>0</v>
      </c>
      <c r="DK21" s="161"/>
      <c r="DL21" s="163">
        <v>0</v>
      </c>
      <c r="DM21" s="164">
        <v>0</v>
      </c>
      <c r="DN21" s="154">
        <v>0</v>
      </c>
      <c r="DO21" s="154">
        <v>0</v>
      </c>
      <c r="DP21" s="154">
        <v>0</v>
      </c>
      <c r="DQ21" s="154">
        <v>0</v>
      </c>
      <c r="DR21" s="154">
        <v>0</v>
      </c>
      <c r="DS21" s="154">
        <v>0</v>
      </c>
      <c r="DT21" s="154">
        <v>0</v>
      </c>
      <c r="DU21" s="154">
        <v>0</v>
      </c>
      <c r="DV21" s="154">
        <v>0</v>
      </c>
      <c r="DW21" s="154">
        <v>0</v>
      </c>
      <c r="DX21" s="157">
        <f t="shared" si="55"/>
        <v>0</v>
      </c>
      <c r="DY21" s="161"/>
      <c r="DZ21" s="163">
        <v>0</v>
      </c>
      <c r="EA21" s="164">
        <v>0</v>
      </c>
      <c r="EB21" s="154">
        <v>0</v>
      </c>
      <c r="EC21" s="154">
        <v>0</v>
      </c>
      <c r="ED21" s="154">
        <v>0</v>
      </c>
      <c r="EE21" s="154">
        <v>0</v>
      </c>
      <c r="EF21" s="154">
        <v>0</v>
      </c>
      <c r="EG21" s="154">
        <v>0</v>
      </c>
      <c r="EH21" s="154">
        <v>0</v>
      </c>
      <c r="EI21" s="154">
        <v>0</v>
      </c>
      <c r="EJ21" s="154">
        <v>0</v>
      </c>
      <c r="EK21" s="154">
        <v>0</v>
      </c>
      <c r="EL21" s="157">
        <f t="shared" si="38"/>
        <v>0</v>
      </c>
      <c r="EM21" s="161"/>
      <c r="EN21" s="163">
        <v>0</v>
      </c>
      <c r="EO21" s="164">
        <v>0</v>
      </c>
      <c r="EP21" s="154">
        <v>0</v>
      </c>
      <c r="EQ21" s="154">
        <v>0</v>
      </c>
      <c r="ER21" s="154">
        <v>0</v>
      </c>
      <c r="ES21" s="154">
        <v>0</v>
      </c>
      <c r="ET21" s="154">
        <v>0</v>
      </c>
      <c r="EU21" s="154">
        <v>0</v>
      </c>
      <c r="EV21" s="154">
        <v>0</v>
      </c>
      <c r="EW21" s="154">
        <v>0</v>
      </c>
      <c r="EX21" s="154">
        <v>0</v>
      </c>
      <c r="EY21" s="154">
        <v>0</v>
      </c>
      <c r="EZ21" s="157">
        <f t="shared" si="39"/>
        <v>0</v>
      </c>
      <c r="FA21" s="161"/>
      <c r="FB21" s="163">
        <v>0</v>
      </c>
      <c r="FC21" s="164">
        <v>0</v>
      </c>
      <c r="FD21" s="154">
        <v>0</v>
      </c>
      <c r="FE21" s="154">
        <v>0</v>
      </c>
      <c r="FF21" s="154">
        <v>0</v>
      </c>
      <c r="FG21" s="154">
        <v>0</v>
      </c>
      <c r="FH21" s="154">
        <v>0</v>
      </c>
      <c r="FI21" s="154">
        <v>0</v>
      </c>
      <c r="FJ21" s="154">
        <v>0</v>
      </c>
      <c r="FK21" s="154">
        <v>0</v>
      </c>
      <c r="FL21" s="154">
        <v>0</v>
      </c>
      <c r="FM21" s="154">
        <v>0</v>
      </c>
      <c r="FN21" s="157">
        <f t="shared" si="40"/>
        <v>0</v>
      </c>
      <c r="FO21" s="161"/>
      <c r="FP21" s="163">
        <v>0</v>
      </c>
      <c r="FQ21" s="164">
        <v>0</v>
      </c>
      <c r="FR21" s="154">
        <v>0</v>
      </c>
      <c r="FS21" s="154">
        <v>0</v>
      </c>
      <c r="FT21" s="154">
        <v>0</v>
      </c>
      <c r="FU21" s="154">
        <v>0</v>
      </c>
      <c r="FV21" s="154">
        <v>0</v>
      </c>
      <c r="FW21" s="154">
        <v>0</v>
      </c>
      <c r="FX21" s="154">
        <v>0</v>
      </c>
      <c r="FY21" s="154">
        <v>0</v>
      </c>
      <c r="FZ21" s="154">
        <v>0</v>
      </c>
      <c r="GA21" s="154">
        <v>0</v>
      </c>
      <c r="GB21" s="157">
        <f t="shared" si="41"/>
        <v>0</v>
      </c>
      <c r="GC21" s="161"/>
      <c r="GD21" s="163">
        <v>0</v>
      </c>
      <c r="GE21" s="164">
        <v>0</v>
      </c>
      <c r="GF21" s="154">
        <v>0</v>
      </c>
      <c r="GG21" s="154">
        <v>0</v>
      </c>
      <c r="GH21" s="154">
        <v>0</v>
      </c>
      <c r="GI21" s="154">
        <v>0</v>
      </c>
      <c r="GJ21" s="154">
        <v>0</v>
      </c>
      <c r="GK21" s="154">
        <v>0</v>
      </c>
      <c r="GL21" s="154">
        <v>0</v>
      </c>
      <c r="GM21" s="154">
        <v>0</v>
      </c>
      <c r="GN21" s="154">
        <v>0</v>
      </c>
      <c r="GO21" s="154">
        <v>0</v>
      </c>
      <c r="GP21" s="157">
        <f t="shared" si="42"/>
        <v>0</v>
      </c>
      <c r="GQ21" s="161"/>
      <c r="GR21" s="163">
        <v>0</v>
      </c>
      <c r="GS21" s="164">
        <v>0</v>
      </c>
      <c r="GT21" s="154">
        <v>0</v>
      </c>
      <c r="GU21" s="154">
        <v>0</v>
      </c>
      <c r="GV21" s="154">
        <v>0</v>
      </c>
      <c r="GW21" s="154">
        <v>0</v>
      </c>
      <c r="GX21" s="154">
        <v>0</v>
      </c>
      <c r="GY21" s="154">
        <v>0</v>
      </c>
      <c r="GZ21" s="154">
        <v>0</v>
      </c>
      <c r="HA21" s="154">
        <v>0</v>
      </c>
      <c r="HB21" s="154">
        <v>0</v>
      </c>
      <c r="HC21" s="154">
        <v>0</v>
      </c>
      <c r="HD21" s="157">
        <f t="shared" si="43"/>
        <v>0</v>
      </c>
      <c r="HE21" s="161"/>
      <c r="HF21" s="163">
        <v>0</v>
      </c>
      <c r="HG21" s="164">
        <v>0</v>
      </c>
      <c r="HH21" s="154">
        <v>0</v>
      </c>
      <c r="HI21" s="154">
        <v>0</v>
      </c>
      <c r="HJ21" s="154">
        <v>0</v>
      </c>
      <c r="HK21" s="154">
        <v>0</v>
      </c>
      <c r="HL21" s="154">
        <v>0</v>
      </c>
      <c r="HM21" s="154">
        <v>0</v>
      </c>
      <c r="HN21" s="154">
        <v>0</v>
      </c>
      <c r="HO21" s="154">
        <v>0</v>
      </c>
      <c r="HP21" s="154">
        <v>0</v>
      </c>
      <c r="HQ21" s="154">
        <v>0</v>
      </c>
      <c r="HR21" s="157">
        <f t="shared" si="44"/>
        <v>0</v>
      </c>
      <c r="HS21" s="161"/>
      <c r="HT21" s="163">
        <v>0</v>
      </c>
      <c r="HU21" s="164">
        <v>0</v>
      </c>
      <c r="HV21" s="154">
        <v>0</v>
      </c>
      <c r="HW21" s="154">
        <v>0</v>
      </c>
      <c r="HX21" s="154">
        <v>0</v>
      </c>
      <c r="HY21" s="154">
        <v>0</v>
      </c>
      <c r="HZ21" s="154">
        <v>0</v>
      </c>
      <c r="IA21" s="154">
        <v>0</v>
      </c>
      <c r="IB21" s="154">
        <v>0</v>
      </c>
      <c r="IC21" s="154">
        <v>0</v>
      </c>
      <c r="ID21" s="154">
        <v>0</v>
      </c>
      <c r="IE21" s="154">
        <v>0</v>
      </c>
      <c r="IF21" s="157">
        <f t="shared" si="45"/>
        <v>0</v>
      </c>
      <c r="IG21" s="161"/>
      <c r="IH21" s="163">
        <v>0</v>
      </c>
      <c r="II21" s="164">
        <v>0</v>
      </c>
      <c r="IJ21" s="154">
        <v>0</v>
      </c>
      <c r="IK21" s="154">
        <v>0</v>
      </c>
      <c r="IL21" s="154">
        <v>0</v>
      </c>
      <c r="IM21" s="154">
        <v>0</v>
      </c>
      <c r="IN21" s="154">
        <v>0</v>
      </c>
      <c r="IO21" s="154">
        <v>0</v>
      </c>
      <c r="IP21" s="154">
        <v>0</v>
      </c>
      <c r="IQ21" s="154">
        <v>0</v>
      </c>
      <c r="IR21" s="154">
        <v>0</v>
      </c>
      <c r="IS21" s="154">
        <v>0</v>
      </c>
      <c r="IT21" s="157">
        <f t="shared" si="46"/>
        <v>0</v>
      </c>
      <c r="IU21" s="161"/>
      <c r="IV21" s="163">
        <v>0</v>
      </c>
      <c r="IW21" s="164">
        <v>0</v>
      </c>
      <c r="IX21" s="154">
        <v>0</v>
      </c>
      <c r="IY21" s="154">
        <v>0</v>
      </c>
      <c r="IZ21" s="154">
        <v>0</v>
      </c>
      <c r="JA21" s="154">
        <v>0</v>
      </c>
      <c r="JB21" s="154">
        <v>0</v>
      </c>
      <c r="JC21" s="154">
        <v>0</v>
      </c>
      <c r="JD21" s="154">
        <v>0</v>
      </c>
      <c r="JE21" s="154">
        <v>0</v>
      </c>
      <c r="JF21" s="154">
        <v>0</v>
      </c>
      <c r="JG21" s="154">
        <v>0</v>
      </c>
      <c r="JH21" s="157">
        <f t="shared" si="47"/>
        <v>0</v>
      </c>
      <c r="JI21" s="161"/>
      <c r="JJ21" s="163">
        <v>0</v>
      </c>
      <c r="JK21" s="164">
        <v>0</v>
      </c>
      <c r="JL21" s="154">
        <v>0</v>
      </c>
      <c r="JM21" s="154">
        <v>0</v>
      </c>
      <c r="JN21" s="154">
        <v>0</v>
      </c>
      <c r="JO21" s="154">
        <v>0</v>
      </c>
      <c r="JP21" s="154">
        <v>0</v>
      </c>
      <c r="JQ21" s="154">
        <v>0</v>
      </c>
      <c r="JR21" s="154">
        <v>0</v>
      </c>
      <c r="JS21" s="154">
        <v>0</v>
      </c>
      <c r="JT21" s="154">
        <v>0</v>
      </c>
      <c r="JU21" s="154">
        <v>0</v>
      </c>
      <c r="JV21" s="157">
        <f t="shared" si="48"/>
        <v>0</v>
      </c>
      <c r="JW21" s="161"/>
      <c r="JX21" s="163">
        <v>0</v>
      </c>
      <c r="JY21" s="164">
        <v>0</v>
      </c>
      <c r="JZ21" s="154">
        <v>0</v>
      </c>
      <c r="KA21" s="154">
        <v>0</v>
      </c>
      <c r="KB21" s="154">
        <v>0</v>
      </c>
      <c r="KC21" s="154">
        <v>0</v>
      </c>
      <c r="KD21" s="154">
        <v>0</v>
      </c>
      <c r="KE21" s="154">
        <v>0</v>
      </c>
      <c r="KF21" s="154">
        <v>0</v>
      </c>
      <c r="KG21" s="154">
        <v>0</v>
      </c>
      <c r="KH21" s="154">
        <v>0</v>
      </c>
      <c r="KI21" s="154">
        <v>0</v>
      </c>
      <c r="KJ21" s="157">
        <f t="shared" si="49"/>
        <v>0</v>
      </c>
      <c r="KK21" s="161"/>
      <c r="KL21" s="163">
        <v>0</v>
      </c>
      <c r="KM21" s="164">
        <v>0</v>
      </c>
      <c r="KN21" s="154">
        <v>0</v>
      </c>
      <c r="KO21" s="154">
        <v>0</v>
      </c>
      <c r="KP21" s="154">
        <v>0</v>
      </c>
      <c r="KQ21" s="154">
        <v>0</v>
      </c>
      <c r="KR21" s="154">
        <v>0</v>
      </c>
      <c r="KS21" s="154">
        <v>0</v>
      </c>
      <c r="KT21" s="154">
        <v>0</v>
      </c>
      <c r="KU21" s="154">
        <v>0</v>
      </c>
      <c r="KV21" s="154">
        <v>0</v>
      </c>
      <c r="KW21" s="154">
        <v>0</v>
      </c>
      <c r="KX21" s="157">
        <f t="shared" si="50"/>
        <v>0</v>
      </c>
      <c r="KY21" s="161"/>
      <c r="KZ21" s="163">
        <v>0</v>
      </c>
      <c r="LA21" s="164">
        <v>0</v>
      </c>
      <c r="LB21" s="154">
        <v>0</v>
      </c>
      <c r="LC21" s="154">
        <v>0</v>
      </c>
      <c r="LD21" s="154">
        <v>0</v>
      </c>
      <c r="LE21" s="154">
        <v>0</v>
      </c>
      <c r="LF21" s="154">
        <v>0</v>
      </c>
      <c r="LG21" s="154">
        <v>0</v>
      </c>
      <c r="LH21" s="154">
        <v>0</v>
      </c>
      <c r="LI21" s="154">
        <v>0</v>
      </c>
      <c r="LJ21" s="154">
        <v>0</v>
      </c>
      <c r="LK21" s="154">
        <v>0</v>
      </c>
      <c r="LL21" s="157">
        <f t="shared" si="51"/>
        <v>0</v>
      </c>
      <c r="LM21" s="161"/>
      <c r="LN21" s="163">
        <v>0</v>
      </c>
      <c r="LO21" s="164">
        <v>0</v>
      </c>
      <c r="LP21" s="154">
        <v>0</v>
      </c>
      <c r="LQ21" s="154">
        <v>0</v>
      </c>
      <c r="LR21" s="154">
        <v>0</v>
      </c>
      <c r="LS21" s="154">
        <v>0</v>
      </c>
      <c r="LT21" s="154">
        <v>0</v>
      </c>
      <c r="LU21" s="154">
        <v>0</v>
      </c>
      <c r="LV21" s="154">
        <v>0</v>
      </c>
      <c r="LW21" s="154">
        <v>0</v>
      </c>
      <c r="LX21" s="154">
        <v>0</v>
      </c>
      <c r="LY21" s="154">
        <v>0</v>
      </c>
      <c r="LZ21" s="157">
        <f t="shared" si="52"/>
        <v>0</v>
      </c>
      <c r="MA21" s="161"/>
      <c r="MB21" s="157">
        <f t="shared" si="53"/>
        <v>0</v>
      </c>
      <c r="MC21" s="157">
        <f t="shared" si="53"/>
        <v>0</v>
      </c>
      <c r="MD21" s="157">
        <f t="shared" si="53"/>
        <v>0</v>
      </c>
      <c r="ME21" s="157">
        <f t="shared" si="53"/>
        <v>0</v>
      </c>
      <c r="MF21" s="157">
        <f t="shared" si="53"/>
        <v>0</v>
      </c>
      <c r="MG21" s="157">
        <f t="shared" si="53"/>
        <v>0</v>
      </c>
      <c r="MH21" s="157">
        <f t="shared" si="53"/>
        <v>0</v>
      </c>
      <c r="MI21" s="157">
        <f t="shared" si="53"/>
        <v>0</v>
      </c>
      <c r="MJ21" s="157">
        <f t="shared" si="53"/>
        <v>0</v>
      </c>
      <c r="MK21" s="157">
        <f t="shared" si="53"/>
        <v>0</v>
      </c>
      <c r="ML21" s="157">
        <f t="shared" si="53"/>
        <v>0</v>
      </c>
      <c r="MM21" s="157">
        <f t="shared" si="53"/>
        <v>0</v>
      </c>
      <c r="MN21" s="157">
        <f t="shared" si="54"/>
        <v>0</v>
      </c>
    </row>
    <row r="22" spans="1:352" hidden="1" x14ac:dyDescent="0.25">
      <c r="B22" s="183"/>
      <c r="C22" s="98"/>
      <c r="D22" s="184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57">
        <f t="shared" si="30"/>
        <v>0</v>
      </c>
      <c r="Q22" s="161"/>
      <c r="R22" s="184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57">
        <f t="shared" si="31"/>
        <v>0</v>
      </c>
      <c r="AE22" s="161"/>
      <c r="AF22" s="184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57">
        <f t="shared" si="32"/>
        <v>0</v>
      </c>
      <c r="AT22" s="184"/>
      <c r="AU22" s="185"/>
      <c r="AV22" s="185"/>
      <c r="AW22" s="185"/>
      <c r="AX22" s="185"/>
      <c r="AY22" s="185"/>
      <c r="AZ22" s="185"/>
      <c r="BA22" s="185"/>
      <c r="BB22" s="185"/>
      <c r="BC22" s="185"/>
      <c r="BD22" s="185"/>
      <c r="BE22" s="185"/>
      <c r="BF22" s="157">
        <f t="shared" si="33"/>
        <v>0</v>
      </c>
      <c r="BG22" s="161"/>
      <c r="BH22" s="184"/>
      <c r="BI22" s="185"/>
      <c r="BJ22" s="185"/>
      <c r="BK22" s="185"/>
      <c r="BL22" s="185"/>
      <c r="BM22" s="185"/>
      <c r="BN22" s="185"/>
      <c r="BO22" s="185"/>
      <c r="BP22" s="185"/>
      <c r="BQ22" s="185"/>
      <c r="BR22" s="185"/>
      <c r="BS22" s="185"/>
      <c r="BT22" s="157">
        <f t="shared" si="34"/>
        <v>0</v>
      </c>
      <c r="BV22" s="184"/>
      <c r="BW22" s="185"/>
      <c r="BX22" s="185"/>
      <c r="BY22" s="185"/>
      <c r="BZ22" s="185"/>
      <c r="CA22" s="185"/>
      <c r="CB22" s="185"/>
      <c r="CC22" s="185"/>
      <c r="CD22" s="185"/>
      <c r="CE22" s="185"/>
      <c r="CF22" s="185"/>
      <c r="CG22" s="185"/>
      <c r="CH22" s="157">
        <f t="shared" si="35"/>
        <v>0</v>
      </c>
      <c r="CI22" s="161"/>
      <c r="CJ22" s="184"/>
      <c r="CK22" s="185"/>
      <c r="CL22" s="185"/>
      <c r="CM22" s="185"/>
      <c r="CN22" s="185"/>
      <c r="CO22" s="185"/>
      <c r="CP22" s="185"/>
      <c r="CQ22" s="185"/>
      <c r="CR22" s="185"/>
      <c r="CS22" s="185"/>
      <c r="CT22" s="185"/>
      <c r="CU22" s="185"/>
      <c r="CV22" s="157">
        <f t="shared" si="36"/>
        <v>0</v>
      </c>
      <c r="CW22" s="161"/>
      <c r="CX22" s="184"/>
      <c r="CY22" s="185"/>
      <c r="CZ22" s="185"/>
      <c r="DA22" s="185"/>
      <c r="DB22" s="185"/>
      <c r="DC22" s="185"/>
      <c r="DD22" s="185"/>
      <c r="DE22" s="185"/>
      <c r="DF22" s="185"/>
      <c r="DG22" s="185"/>
      <c r="DH22" s="185"/>
      <c r="DI22" s="185"/>
      <c r="DJ22" s="157">
        <f t="shared" si="37"/>
        <v>0</v>
      </c>
      <c r="DK22" s="161"/>
      <c r="DL22" s="184"/>
      <c r="DM22" s="185"/>
      <c r="DN22" s="185"/>
      <c r="DO22" s="185"/>
      <c r="DP22" s="185"/>
      <c r="DQ22" s="185"/>
      <c r="DR22" s="185"/>
      <c r="DS22" s="185"/>
      <c r="DT22" s="185"/>
      <c r="DU22" s="185"/>
      <c r="DV22" s="185"/>
      <c r="DW22" s="185"/>
      <c r="DX22" s="157">
        <f t="shared" si="55"/>
        <v>0</v>
      </c>
      <c r="DY22" s="161"/>
      <c r="DZ22" s="184"/>
      <c r="EA22" s="185"/>
      <c r="EB22" s="185"/>
      <c r="EC22" s="185"/>
      <c r="ED22" s="185"/>
      <c r="EE22" s="185"/>
      <c r="EF22" s="185"/>
      <c r="EG22" s="185"/>
      <c r="EH22" s="185"/>
      <c r="EI22" s="185"/>
      <c r="EJ22" s="185"/>
      <c r="EK22" s="185"/>
      <c r="EL22" s="157">
        <f t="shared" si="38"/>
        <v>0</v>
      </c>
      <c r="EM22" s="161"/>
      <c r="EN22" s="184"/>
      <c r="EO22" s="185"/>
      <c r="EP22" s="185"/>
      <c r="EQ22" s="185"/>
      <c r="ER22" s="185"/>
      <c r="ES22" s="185"/>
      <c r="ET22" s="185"/>
      <c r="EU22" s="185"/>
      <c r="EV22" s="185"/>
      <c r="EW22" s="185"/>
      <c r="EX22" s="185"/>
      <c r="EY22" s="185"/>
      <c r="EZ22" s="157">
        <f t="shared" si="39"/>
        <v>0</v>
      </c>
      <c r="FA22" s="161"/>
      <c r="FB22" s="184"/>
      <c r="FC22" s="185"/>
      <c r="FD22" s="185"/>
      <c r="FE22" s="185"/>
      <c r="FF22" s="185"/>
      <c r="FG22" s="185"/>
      <c r="FH22" s="185"/>
      <c r="FI22" s="185"/>
      <c r="FJ22" s="185"/>
      <c r="FK22" s="185"/>
      <c r="FL22" s="185"/>
      <c r="FM22" s="185"/>
      <c r="FN22" s="157">
        <f t="shared" si="40"/>
        <v>0</v>
      </c>
      <c r="FO22" s="161"/>
      <c r="FP22" s="184"/>
      <c r="FQ22" s="185"/>
      <c r="FR22" s="185"/>
      <c r="FS22" s="185"/>
      <c r="FT22" s="185"/>
      <c r="FU22" s="185"/>
      <c r="FV22" s="185"/>
      <c r="FW22" s="185"/>
      <c r="FX22" s="185"/>
      <c r="FY22" s="185"/>
      <c r="FZ22" s="185"/>
      <c r="GA22" s="185"/>
      <c r="GB22" s="157">
        <f t="shared" si="41"/>
        <v>0</v>
      </c>
      <c r="GC22" s="161"/>
      <c r="GD22" s="184"/>
      <c r="GE22" s="185"/>
      <c r="GF22" s="185"/>
      <c r="GG22" s="185"/>
      <c r="GH22" s="185"/>
      <c r="GI22" s="185"/>
      <c r="GJ22" s="185"/>
      <c r="GK22" s="185"/>
      <c r="GL22" s="185"/>
      <c r="GM22" s="185"/>
      <c r="GN22" s="185"/>
      <c r="GO22" s="185"/>
      <c r="GP22" s="157">
        <f t="shared" si="42"/>
        <v>0</v>
      </c>
      <c r="GQ22" s="161"/>
      <c r="GR22" s="184"/>
      <c r="GS22" s="185"/>
      <c r="GT22" s="185"/>
      <c r="GU22" s="185"/>
      <c r="GV22" s="185"/>
      <c r="GW22" s="185"/>
      <c r="GX22" s="185"/>
      <c r="GY22" s="185"/>
      <c r="GZ22" s="185"/>
      <c r="HA22" s="185"/>
      <c r="HB22" s="185"/>
      <c r="HC22" s="185"/>
      <c r="HD22" s="157">
        <f t="shared" si="43"/>
        <v>0</v>
      </c>
      <c r="HE22" s="161"/>
      <c r="HF22" s="184"/>
      <c r="HG22" s="185"/>
      <c r="HH22" s="185"/>
      <c r="HI22" s="185"/>
      <c r="HJ22" s="185"/>
      <c r="HK22" s="185"/>
      <c r="HL22" s="185"/>
      <c r="HM22" s="185"/>
      <c r="HN22" s="185"/>
      <c r="HO22" s="185"/>
      <c r="HP22" s="185"/>
      <c r="HQ22" s="185"/>
      <c r="HR22" s="157">
        <f t="shared" si="44"/>
        <v>0</v>
      </c>
      <c r="HS22" s="161"/>
      <c r="HT22" s="184"/>
      <c r="HU22" s="185"/>
      <c r="HV22" s="185"/>
      <c r="HW22" s="185"/>
      <c r="HX22" s="185"/>
      <c r="HY22" s="185"/>
      <c r="HZ22" s="185"/>
      <c r="IA22" s="185"/>
      <c r="IB22" s="185"/>
      <c r="IC22" s="185"/>
      <c r="ID22" s="185"/>
      <c r="IE22" s="185"/>
      <c r="IF22" s="157">
        <f t="shared" si="45"/>
        <v>0</v>
      </c>
      <c r="IG22" s="161"/>
      <c r="IH22" s="184"/>
      <c r="II22" s="185"/>
      <c r="IJ22" s="185"/>
      <c r="IK22" s="185"/>
      <c r="IL22" s="185"/>
      <c r="IM22" s="185"/>
      <c r="IN22" s="185"/>
      <c r="IO22" s="185"/>
      <c r="IP22" s="185"/>
      <c r="IQ22" s="185"/>
      <c r="IR22" s="185"/>
      <c r="IS22" s="185"/>
      <c r="IT22" s="157">
        <f t="shared" si="46"/>
        <v>0</v>
      </c>
      <c r="IU22" s="161"/>
      <c r="IV22" s="184"/>
      <c r="IW22" s="185"/>
      <c r="IX22" s="185"/>
      <c r="IY22" s="185"/>
      <c r="IZ22" s="185"/>
      <c r="JA22" s="185"/>
      <c r="JB22" s="185"/>
      <c r="JC22" s="185"/>
      <c r="JD22" s="185"/>
      <c r="JE22" s="185"/>
      <c r="JF22" s="185"/>
      <c r="JG22" s="185"/>
      <c r="JH22" s="157">
        <f t="shared" si="47"/>
        <v>0</v>
      </c>
      <c r="JI22" s="161"/>
      <c r="JJ22" s="184"/>
      <c r="JK22" s="185"/>
      <c r="JL22" s="185"/>
      <c r="JM22" s="185"/>
      <c r="JN22" s="185"/>
      <c r="JO22" s="185"/>
      <c r="JP22" s="185"/>
      <c r="JQ22" s="185"/>
      <c r="JR22" s="185"/>
      <c r="JS22" s="185"/>
      <c r="JT22" s="185"/>
      <c r="JU22" s="185"/>
      <c r="JV22" s="157">
        <f t="shared" si="48"/>
        <v>0</v>
      </c>
      <c r="JW22" s="161"/>
      <c r="JX22" s="184"/>
      <c r="JY22" s="185"/>
      <c r="JZ22" s="185"/>
      <c r="KA22" s="185"/>
      <c r="KB22" s="185"/>
      <c r="KC22" s="185"/>
      <c r="KD22" s="185"/>
      <c r="KE22" s="185"/>
      <c r="KF22" s="185"/>
      <c r="KG22" s="185"/>
      <c r="KH22" s="185"/>
      <c r="KI22" s="185"/>
      <c r="KJ22" s="157">
        <f t="shared" si="49"/>
        <v>0</v>
      </c>
      <c r="KK22" s="161"/>
      <c r="KL22" s="184"/>
      <c r="KM22" s="185"/>
      <c r="KN22" s="185"/>
      <c r="KO22" s="185"/>
      <c r="KP22" s="185"/>
      <c r="KQ22" s="185"/>
      <c r="KR22" s="185"/>
      <c r="KS22" s="185"/>
      <c r="KT22" s="185"/>
      <c r="KU22" s="185"/>
      <c r="KV22" s="185"/>
      <c r="KW22" s="185"/>
      <c r="KX22" s="157">
        <f t="shared" si="50"/>
        <v>0</v>
      </c>
      <c r="KY22" s="161"/>
      <c r="KZ22" s="184"/>
      <c r="LA22" s="185"/>
      <c r="LB22" s="185"/>
      <c r="LC22" s="185"/>
      <c r="LD22" s="185"/>
      <c r="LE22" s="185"/>
      <c r="LF22" s="185"/>
      <c r="LG22" s="185"/>
      <c r="LH22" s="185"/>
      <c r="LI22" s="185"/>
      <c r="LJ22" s="185"/>
      <c r="LK22" s="185"/>
      <c r="LL22" s="157">
        <f t="shared" si="51"/>
        <v>0</v>
      </c>
      <c r="LM22" s="161"/>
      <c r="LN22" s="184"/>
      <c r="LO22" s="185"/>
      <c r="LP22" s="185"/>
      <c r="LQ22" s="185"/>
      <c r="LR22" s="185"/>
      <c r="LS22" s="185"/>
      <c r="LT22" s="185"/>
      <c r="LU22" s="185"/>
      <c r="LV22" s="185"/>
      <c r="LW22" s="185"/>
      <c r="LX22" s="185"/>
      <c r="LY22" s="185"/>
      <c r="LZ22" s="157">
        <f t="shared" si="52"/>
        <v>0</v>
      </c>
      <c r="MA22" s="161"/>
      <c r="MB22" s="157"/>
      <c r="MC22" s="157"/>
      <c r="MD22" s="157"/>
      <c r="ME22" s="157"/>
      <c r="MF22" s="157"/>
      <c r="MG22" s="157"/>
      <c r="MH22" s="157"/>
      <c r="MI22" s="157"/>
      <c r="MJ22" s="157"/>
      <c r="MK22" s="157"/>
      <c r="ML22" s="157"/>
      <c r="MM22" s="157"/>
      <c r="MN22" s="157"/>
    </row>
    <row r="23" spans="1:352" s="191" customFormat="1" hidden="1" x14ac:dyDescent="0.3">
      <c r="A23" s="186"/>
      <c r="B23" s="187" t="s">
        <v>204</v>
      </c>
      <c r="C23" s="188"/>
      <c r="D23" s="189">
        <f>SUM(D15:D22)</f>
        <v>0</v>
      </c>
      <c r="E23" s="190">
        <f t="shared" ref="E23:O23" si="56">SUM(E15:E22)</f>
        <v>0</v>
      </c>
      <c r="F23" s="190">
        <f t="shared" si="56"/>
        <v>0</v>
      </c>
      <c r="G23" s="190">
        <f t="shared" si="56"/>
        <v>0</v>
      </c>
      <c r="H23" s="190">
        <f t="shared" si="56"/>
        <v>0</v>
      </c>
      <c r="I23" s="190">
        <f t="shared" si="56"/>
        <v>0</v>
      </c>
      <c r="J23" s="190">
        <f t="shared" si="56"/>
        <v>0</v>
      </c>
      <c r="K23" s="190">
        <f t="shared" si="56"/>
        <v>0</v>
      </c>
      <c r="L23" s="190">
        <f t="shared" si="56"/>
        <v>0</v>
      </c>
      <c r="M23" s="190">
        <f t="shared" si="56"/>
        <v>0</v>
      </c>
      <c r="N23" s="190">
        <f t="shared" si="56"/>
        <v>0</v>
      </c>
      <c r="O23" s="190">
        <f t="shared" si="56"/>
        <v>0</v>
      </c>
      <c r="P23" s="169">
        <f t="shared" si="30"/>
        <v>0</v>
      </c>
      <c r="Q23" s="161"/>
      <c r="R23" s="189">
        <f>SUM(R15:R22)</f>
        <v>0</v>
      </c>
      <c r="S23" s="190">
        <f t="shared" ref="S23:AC23" si="57">SUM(S15:S22)</f>
        <v>0</v>
      </c>
      <c r="T23" s="190">
        <f t="shared" si="57"/>
        <v>0</v>
      </c>
      <c r="U23" s="190">
        <f t="shared" si="57"/>
        <v>0</v>
      </c>
      <c r="V23" s="190">
        <f t="shared" si="57"/>
        <v>0</v>
      </c>
      <c r="W23" s="190">
        <f t="shared" si="57"/>
        <v>0</v>
      </c>
      <c r="X23" s="190">
        <f t="shared" si="57"/>
        <v>0</v>
      </c>
      <c r="Y23" s="190">
        <f t="shared" si="57"/>
        <v>0</v>
      </c>
      <c r="Z23" s="190">
        <f t="shared" si="57"/>
        <v>0</v>
      </c>
      <c r="AA23" s="190">
        <f t="shared" si="57"/>
        <v>0</v>
      </c>
      <c r="AB23" s="190">
        <f t="shared" si="57"/>
        <v>0</v>
      </c>
      <c r="AC23" s="190">
        <f t="shared" si="57"/>
        <v>0</v>
      </c>
      <c r="AD23" s="169">
        <f t="shared" si="31"/>
        <v>0</v>
      </c>
      <c r="AE23" s="161"/>
      <c r="AF23" s="189">
        <f>SUM(AF15:AF22)</f>
        <v>0</v>
      </c>
      <c r="AG23" s="190">
        <f t="shared" ref="AG23:AQ23" si="58">SUM(AG15:AG22)</f>
        <v>0</v>
      </c>
      <c r="AH23" s="190">
        <f t="shared" si="58"/>
        <v>0</v>
      </c>
      <c r="AI23" s="190">
        <f t="shared" si="58"/>
        <v>0</v>
      </c>
      <c r="AJ23" s="190">
        <f t="shared" si="58"/>
        <v>0</v>
      </c>
      <c r="AK23" s="190">
        <f t="shared" si="58"/>
        <v>0</v>
      </c>
      <c r="AL23" s="190">
        <f t="shared" si="58"/>
        <v>0</v>
      </c>
      <c r="AM23" s="190">
        <f t="shared" si="58"/>
        <v>0</v>
      </c>
      <c r="AN23" s="190">
        <f t="shared" si="58"/>
        <v>0</v>
      </c>
      <c r="AO23" s="190">
        <f t="shared" si="58"/>
        <v>0</v>
      </c>
      <c r="AP23" s="190">
        <f t="shared" si="58"/>
        <v>0</v>
      </c>
      <c r="AQ23" s="190">
        <f t="shared" si="58"/>
        <v>0</v>
      </c>
      <c r="AR23" s="169">
        <f t="shared" si="32"/>
        <v>0</v>
      </c>
      <c r="AS23" s="161"/>
      <c r="AT23" s="189">
        <f>SUM(AT15:AT22)</f>
        <v>0</v>
      </c>
      <c r="AU23" s="190">
        <f t="shared" ref="AU23:BE23" si="59">SUM(AU15:AU22)</f>
        <v>0</v>
      </c>
      <c r="AV23" s="190">
        <f t="shared" si="59"/>
        <v>0</v>
      </c>
      <c r="AW23" s="190">
        <f t="shared" si="59"/>
        <v>0</v>
      </c>
      <c r="AX23" s="190">
        <f t="shared" si="59"/>
        <v>0</v>
      </c>
      <c r="AY23" s="190">
        <f t="shared" si="59"/>
        <v>0</v>
      </c>
      <c r="AZ23" s="190">
        <f t="shared" si="59"/>
        <v>0</v>
      </c>
      <c r="BA23" s="190">
        <f t="shared" si="59"/>
        <v>0</v>
      </c>
      <c r="BB23" s="190">
        <f t="shared" si="59"/>
        <v>0</v>
      </c>
      <c r="BC23" s="190">
        <f t="shared" si="59"/>
        <v>0</v>
      </c>
      <c r="BD23" s="190">
        <f t="shared" si="59"/>
        <v>0</v>
      </c>
      <c r="BE23" s="190">
        <f t="shared" si="59"/>
        <v>0</v>
      </c>
      <c r="BF23" s="169">
        <f t="shared" si="33"/>
        <v>0</v>
      </c>
      <c r="BG23" s="161"/>
      <c r="BH23" s="189">
        <f>SUM(BH15:BH22)</f>
        <v>0</v>
      </c>
      <c r="BI23" s="190">
        <f t="shared" ref="BI23:BS23" si="60">SUM(BI15:BI22)</f>
        <v>0</v>
      </c>
      <c r="BJ23" s="190">
        <f t="shared" si="60"/>
        <v>0</v>
      </c>
      <c r="BK23" s="190">
        <f t="shared" si="60"/>
        <v>0</v>
      </c>
      <c r="BL23" s="190">
        <f t="shared" si="60"/>
        <v>0</v>
      </c>
      <c r="BM23" s="190">
        <f t="shared" si="60"/>
        <v>0</v>
      </c>
      <c r="BN23" s="190">
        <f t="shared" si="60"/>
        <v>0</v>
      </c>
      <c r="BO23" s="190">
        <f t="shared" si="60"/>
        <v>0</v>
      </c>
      <c r="BP23" s="190">
        <f t="shared" si="60"/>
        <v>0</v>
      </c>
      <c r="BQ23" s="190">
        <f t="shared" si="60"/>
        <v>0</v>
      </c>
      <c r="BR23" s="190">
        <f t="shared" si="60"/>
        <v>0</v>
      </c>
      <c r="BS23" s="190">
        <f t="shared" si="60"/>
        <v>0</v>
      </c>
      <c r="BT23" s="169">
        <f t="shared" si="34"/>
        <v>0</v>
      </c>
      <c r="BU23" s="161"/>
      <c r="BV23" s="189">
        <f>SUM(BV15:BV22)</f>
        <v>0</v>
      </c>
      <c r="BW23" s="190">
        <f t="shared" ref="BW23:CG23" si="61">SUM(BW15:BW22)</f>
        <v>0</v>
      </c>
      <c r="BX23" s="190">
        <f t="shared" si="61"/>
        <v>0</v>
      </c>
      <c r="BY23" s="190">
        <f t="shared" si="61"/>
        <v>0</v>
      </c>
      <c r="BZ23" s="190">
        <f t="shared" si="61"/>
        <v>0</v>
      </c>
      <c r="CA23" s="190">
        <f t="shared" si="61"/>
        <v>0</v>
      </c>
      <c r="CB23" s="190">
        <f t="shared" si="61"/>
        <v>0</v>
      </c>
      <c r="CC23" s="190">
        <f t="shared" si="61"/>
        <v>0</v>
      </c>
      <c r="CD23" s="190">
        <f t="shared" si="61"/>
        <v>0</v>
      </c>
      <c r="CE23" s="190">
        <f t="shared" si="61"/>
        <v>0</v>
      </c>
      <c r="CF23" s="190">
        <f t="shared" si="61"/>
        <v>0</v>
      </c>
      <c r="CG23" s="190">
        <f t="shared" si="61"/>
        <v>0</v>
      </c>
      <c r="CH23" s="169">
        <f t="shared" si="35"/>
        <v>0</v>
      </c>
      <c r="CI23" s="161"/>
      <c r="CJ23" s="189">
        <f>SUM(CJ15:CJ22)</f>
        <v>0</v>
      </c>
      <c r="CK23" s="190">
        <f t="shared" ref="CK23:CU23" si="62">SUM(CK15:CK22)</f>
        <v>0</v>
      </c>
      <c r="CL23" s="190">
        <f t="shared" si="62"/>
        <v>0</v>
      </c>
      <c r="CM23" s="190">
        <f t="shared" si="62"/>
        <v>0</v>
      </c>
      <c r="CN23" s="190">
        <f t="shared" si="62"/>
        <v>0</v>
      </c>
      <c r="CO23" s="190">
        <f t="shared" si="62"/>
        <v>0</v>
      </c>
      <c r="CP23" s="190">
        <f t="shared" si="62"/>
        <v>0</v>
      </c>
      <c r="CQ23" s="190">
        <f t="shared" si="62"/>
        <v>0</v>
      </c>
      <c r="CR23" s="190">
        <f t="shared" si="62"/>
        <v>0</v>
      </c>
      <c r="CS23" s="190">
        <f t="shared" si="62"/>
        <v>0</v>
      </c>
      <c r="CT23" s="190">
        <f t="shared" si="62"/>
        <v>0</v>
      </c>
      <c r="CU23" s="190">
        <f t="shared" si="62"/>
        <v>0</v>
      </c>
      <c r="CV23" s="169">
        <f t="shared" si="36"/>
        <v>0</v>
      </c>
      <c r="CW23" s="161"/>
      <c r="CX23" s="189">
        <f>SUM(CX15:CX22)</f>
        <v>0</v>
      </c>
      <c r="CY23" s="190">
        <f t="shared" ref="CY23:DI23" si="63">SUM(CY15:CY22)</f>
        <v>0</v>
      </c>
      <c r="CZ23" s="190">
        <f t="shared" si="63"/>
        <v>0</v>
      </c>
      <c r="DA23" s="190">
        <f t="shared" si="63"/>
        <v>0</v>
      </c>
      <c r="DB23" s="190">
        <f t="shared" si="63"/>
        <v>0</v>
      </c>
      <c r="DC23" s="190">
        <f t="shared" si="63"/>
        <v>0</v>
      </c>
      <c r="DD23" s="190">
        <f t="shared" si="63"/>
        <v>0</v>
      </c>
      <c r="DE23" s="190">
        <f t="shared" si="63"/>
        <v>0</v>
      </c>
      <c r="DF23" s="190">
        <f t="shared" si="63"/>
        <v>0</v>
      </c>
      <c r="DG23" s="190">
        <f t="shared" si="63"/>
        <v>0</v>
      </c>
      <c r="DH23" s="190">
        <f t="shared" si="63"/>
        <v>0</v>
      </c>
      <c r="DI23" s="190">
        <f t="shared" si="63"/>
        <v>0</v>
      </c>
      <c r="DJ23" s="169">
        <f t="shared" si="37"/>
        <v>0</v>
      </c>
      <c r="DK23" s="161"/>
      <c r="DL23" s="189">
        <f>SUM(DL15:DL22)</f>
        <v>0</v>
      </c>
      <c r="DM23" s="190">
        <f t="shared" ref="DM23:DW23" si="64">SUM(DM15:DM22)</f>
        <v>0</v>
      </c>
      <c r="DN23" s="190">
        <f t="shared" si="64"/>
        <v>0</v>
      </c>
      <c r="DO23" s="190">
        <f t="shared" si="64"/>
        <v>0</v>
      </c>
      <c r="DP23" s="190">
        <f t="shared" si="64"/>
        <v>0</v>
      </c>
      <c r="DQ23" s="190">
        <f t="shared" si="64"/>
        <v>0</v>
      </c>
      <c r="DR23" s="190">
        <f t="shared" si="64"/>
        <v>0</v>
      </c>
      <c r="DS23" s="190">
        <f t="shared" si="64"/>
        <v>0</v>
      </c>
      <c r="DT23" s="190">
        <f t="shared" si="64"/>
        <v>0</v>
      </c>
      <c r="DU23" s="190">
        <f t="shared" si="64"/>
        <v>0</v>
      </c>
      <c r="DV23" s="190">
        <f t="shared" si="64"/>
        <v>0</v>
      </c>
      <c r="DW23" s="190">
        <f t="shared" si="64"/>
        <v>0</v>
      </c>
      <c r="DX23" s="169">
        <f t="shared" si="55"/>
        <v>0</v>
      </c>
      <c r="DY23" s="161"/>
      <c r="DZ23" s="189">
        <f>SUM(DZ15:DZ22)</f>
        <v>0</v>
      </c>
      <c r="EA23" s="190">
        <f t="shared" ref="EA23:EK23" si="65">SUM(EA15:EA22)</f>
        <v>0</v>
      </c>
      <c r="EB23" s="190">
        <f t="shared" si="65"/>
        <v>0</v>
      </c>
      <c r="EC23" s="190">
        <f t="shared" si="65"/>
        <v>0</v>
      </c>
      <c r="ED23" s="190">
        <f t="shared" si="65"/>
        <v>0</v>
      </c>
      <c r="EE23" s="190">
        <f t="shared" si="65"/>
        <v>0</v>
      </c>
      <c r="EF23" s="190">
        <f t="shared" si="65"/>
        <v>0</v>
      </c>
      <c r="EG23" s="190">
        <f t="shared" si="65"/>
        <v>0</v>
      </c>
      <c r="EH23" s="190">
        <f t="shared" si="65"/>
        <v>0</v>
      </c>
      <c r="EI23" s="190">
        <f t="shared" si="65"/>
        <v>0</v>
      </c>
      <c r="EJ23" s="190">
        <f t="shared" si="65"/>
        <v>0</v>
      </c>
      <c r="EK23" s="190">
        <f t="shared" si="65"/>
        <v>0</v>
      </c>
      <c r="EL23" s="169">
        <f t="shared" si="38"/>
        <v>0</v>
      </c>
      <c r="EM23" s="161"/>
      <c r="EN23" s="189">
        <f>SUM(EN15:EN22)</f>
        <v>0</v>
      </c>
      <c r="EO23" s="190">
        <f t="shared" ref="EO23:EY23" si="66">SUM(EO15:EO22)</f>
        <v>0</v>
      </c>
      <c r="EP23" s="190">
        <f t="shared" si="66"/>
        <v>0</v>
      </c>
      <c r="EQ23" s="190">
        <f t="shared" si="66"/>
        <v>0</v>
      </c>
      <c r="ER23" s="190">
        <f t="shared" si="66"/>
        <v>0</v>
      </c>
      <c r="ES23" s="190">
        <f t="shared" si="66"/>
        <v>0</v>
      </c>
      <c r="ET23" s="190">
        <f t="shared" si="66"/>
        <v>0</v>
      </c>
      <c r="EU23" s="190">
        <f t="shared" si="66"/>
        <v>0</v>
      </c>
      <c r="EV23" s="190">
        <f t="shared" si="66"/>
        <v>0</v>
      </c>
      <c r="EW23" s="190">
        <f t="shared" si="66"/>
        <v>0</v>
      </c>
      <c r="EX23" s="190">
        <f t="shared" si="66"/>
        <v>0</v>
      </c>
      <c r="EY23" s="190">
        <f t="shared" si="66"/>
        <v>0</v>
      </c>
      <c r="EZ23" s="169">
        <f t="shared" si="39"/>
        <v>0</v>
      </c>
      <c r="FA23" s="161"/>
      <c r="FB23" s="189">
        <f>SUM(FB15:FB22)</f>
        <v>0</v>
      </c>
      <c r="FC23" s="190">
        <f t="shared" ref="FC23:FM23" si="67">SUM(FC15:FC22)</f>
        <v>0</v>
      </c>
      <c r="FD23" s="190">
        <f t="shared" si="67"/>
        <v>0</v>
      </c>
      <c r="FE23" s="190">
        <f t="shared" si="67"/>
        <v>0</v>
      </c>
      <c r="FF23" s="190">
        <f t="shared" si="67"/>
        <v>0</v>
      </c>
      <c r="FG23" s="190">
        <f t="shared" si="67"/>
        <v>0</v>
      </c>
      <c r="FH23" s="190">
        <f t="shared" si="67"/>
        <v>0</v>
      </c>
      <c r="FI23" s="190">
        <f t="shared" si="67"/>
        <v>0</v>
      </c>
      <c r="FJ23" s="190">
        <f t="shared" si="67"/>
        <v>0</v>
      </c>
      <c r="FK23" s="190">
        <f t="shared" si="67"/>
        <v>0</v>
      </c>
      <c r="FL23" s="190">
        <f t="shared" si="67"/>
        <v>0</v>
      </c>
      <c r="FM23" s="190">
        <f t="shared" si="67"/>
        <v>0</v>
      </c>
      <c r="FN23" s="169">
        <f t="shared" si="40"/>
        <v>0</v>
      </c>
      <c r="FO23" s="161"/>
      <c r="FP23" s="189">
        <f>SUM(FP15:FP22)</f>
        <v>0</v>
      </c>
      <c r="FQ23" s="190">
        <f t="shared" ref="FQ23:GA23" si="68">SUM(FQ15:FQ22)</f>
        <v>0</v>
      </c>
      <c r="FR23" s="190">
        <f t="shared" si="68"/>
        <v>0</v>
      </c>
      <c r="FS23" s="190">
        <f t="shared" si="68"/>
        <v>0</v>
      </c>
      <c r="FT23" s="190">
        <f t="shared" si="68"/>
        <v>0</v>
      </c>
      <c r="FU23" s="190">
        <f t="shared" si="68"/>
        <v>0</v>
      </c>
      <c r="FV23" s="190">
        <f t="shared" si="68"/>
        <v>0</v>
      </c>
      <c r="FW23" s="190">
        <f t="shared" si="68"/>
        <v>0</v>
      </c>
      <c r="FX23" s="190">
        <f t="shared" si="68"/>
        <v>0</v>
      </c>
      <c r="FY23" s="190">
        <f t="shared" si="68"/>
        <v>0</v>
      </c>
      <c r="FZ23" s="190">
        <f t="shared" si="68"/>
        <v>0</v>
      </c>
      <c r="GA23" s="190">
        <f t="shared" si="68"/>
        <v>0</v>
      </c>
      <c r="GB23" s="169">
        <f t="shared" si="41"/>
        <v>0</v>
      </c>
      <c r="GC23" s="161"/>
      <c r="GD23" s="189">
        <f>SUM(GD15:GD22)</f>
        <v>0</v>
      </c>
      <c r="GE23" s="190">
        <f t="shared" ref="GE23:GO23" si="69">SUM(GE15:GE22)</f>
        <v>0</v>
      </c>
      <c r="GF23" s="190">
        <f t="shared" si="69"/>
        <v>0</v>
      </c>
      <c r="GG23" s="190">
        <f t="shared" si="69"/>
        <v>0</v>
      </c>
      <c r="GH23" s="190">
        <f t="shared" si="69"/>
        <v>0</v>
      </c>
      <c r="GI23" s="190">
        <f t="shared" si="69"/>
        <v>0</v>
      </c>
      <c r="GJ23" s="190">
        <f t="shared" si="69"/>
        <v>0</v>
      </c>
      <c r="GK23" s="190">
        <f t="shared" si="69"/>
        <v>0</v>
      </c>
      <c r="GL23" s="190">
        <f t="shared" si="69"/>
        <v>0</v>
      </c>
      <c r="GM23" s="190">
        <f t="shared" si="69"/>
        <v>0</v>
      </c>
      <c r="GN23" s="190">
        <f t="shared" si="69"/>
        <v>0</v>
      </c>
      <c r="GO23" s="190">
        <f t="shared" si="69"/>
        <v>0</v>
      </c>
      <c r="GP23" s="169">
        <f t="shared" si="42"/>
        <v>0</v>
      </c>
      <c r="GQ23" s="161"/>
      <c r="GR23" s="189">
        <f>SUM(GR15:GR22)</f>
        <v>0</v>
      </c>
      <c r="GS23" s="190">
        <f t="shared" ref="GS23:HC23" si="70">SUM(GS15:GS22)</f>
        <v>0</v>
      </c>
      <c r="GT23" s="190">
        <f t="shared" si="70"/>
        <v>0</v>
      </c>
      <c r="GU23" s="190">
        <f t="shared" si="70"/>
        <v>0</v>
      </c>
      <c r="GV23" s="190">
        <f t="shared" si="70"/>
        <v>0</v>
      </c>
      <c r="GW23" s="190">
        <f t="shared" si="70"/>
        <v>0</v>
      </c>
      <c r="GX23" s="190">
        <f t="shared" si="70"/>
        <v>0</v>
      </c>
      <c r="GY23" s="190">
        <f t="shared" si="70"/>
        <v>0</v>
      </c>
      <c r="GZ23" s="190">
        <f t="shared" si="70"/>
        <v>0</v>
      </c>
      <c r="HA23" s="190">
        <f t="shared" si="70"/>
        <v>0</v>
      </c>
      <c r="HB23" s="190">
        <f t="shared" si="70"/>
        <v>0</v>
      </c>
      <c r="HC23" s="190">
        <f t="shared" si="70"/>
        <v>0</v>
      </c>
      <c r="HD23" s="169">
        <f t="shared" si="43"/>
        <v>0</v>
      </c>
      <c r="HE23" s="161"/>
      <c r="HF23" s="189">
        <f>SUM(HF15:HF22)</f>
        <v>0</v>
      </c>
      <c r="HG23" s="190">
        <f t="shared" ref="HG23:HQ23" si="71">SUM(HG15:HG22)</f>
        <v>0</v>
      </c>
      <c r="HH23" s="190">
        <f t="shared" si="71"/>
        <v>0</v>
      </c>
      <c r="HI23" s="190">
        <f t="shared" si="71"/>
        <v>0</v>
      </c>
      <c r="HJ23" s="190">
        <f t="shared" si="71"/>
        <v>0</v>
      </c>
      <c r="HK23" s="190">
        <f t="shared" si="71"/>
        <v>0</v>
      </c>
      <c r="HL23" s="190">
        <f t="shared" si="71"/>
        <v>0</v>
      </c>
      <c r="HM23" s="190">
        <f t="shared" si="71"/>
        <v>0</v>
      </c>
      <c r="HN23" s="190">
        <f t="shared" si="71"/>
        <v>0</v>
      </c>
      <c r="HO23" s="190">
        <f t="shared" si="71"/>
        <v>0</v>
      </c>
      <c r="HP23" s="190">
        <f t="shared" si="71"/>
        <v>0</v>
      </c>
      <c r="HQ23" s="190">
        <f t="shared" si="71"/>
        <v>0</v>
      </c>
      <c r="HR23" s="169">
        <f t="shared" si="44"/>
        <v>0</v>
      </c>
      <c r="HS23" s="161"/>
      <c r="HT23" s="189">
        <f>SUM(HT15:HT22)</f>
        <v>0</v>
      </c>
      <c r="HU23" s="190">
        <f t="shared" ref="HU23:IE23" si="72">SUM(HU15:HU22)</f>
        <v>0</v>
      </c>
      <c r="HV23" s="190">
        <f t="shared" si="72"/>
        <v>0</v>
      </c>
      <c r="HW23" s="190">
        <f t="shared" si="72"/>
        <v>0</v>
      </c>
      <c r="HX23" s="190">
        <f t="shared" si="72"/>
        <v>0</v>
      </c>
      <c r="HY23" s="190">
        <f t="shared" si="72"/>
        <v>0</v>
      </c>
      <c r="HZ23" s="190">
        <f t="shared" si="72"/>
        <v>0</v>
      </c>
      <c r="IA23" s="190">
        <f t="shared" si="72"/>
        <v>0</v>
      </c>
      <c r="IB23" s="190">
        <f t="shared" si="72"/>
        <v>0</v>
      </c>
      <c r="IC23" s="190">
        <f t="shared" si="72"/>
        <v>0</v>
      </c>
      <c r="ID23" s="190">
        <f t="shared" si="72"/>
        <v>0</v>
      </c>
      <c r="IE23" s="190">
        <f t="shared" si="72"/>
        <v>0</v>
      </c>
      <c r="IF23" s="169">
        <f t="shared" si="45"/>
        <v>0</v>
      </c>
      <c r="IG23" s="161"/>
      <c r="IH23" s="189">
        <f>SUM(IH15:IH22)</f>
        <v>0</v>
      </c>
      <c r="II23" s="190">
        <f t="shared" ref="II23:IS23" si="73">SUM(II15:II22)</f>
        <v>0</v>
      </c>
      <c r="IJ23" s="190">
        <f t="shared" si="73"/>
        <v>0</v>
      </c>
      <c r="IK23" s="190">
        <f t="shared" si="73"/>
        <v>0</v>
      </c>
      <c r="IL23" s="190">
        <f t="shared" si="73"/>
        <v>0</v>
      </c>
      <c r="IM23" s="190">
        <f t="shared" si="73"/>
        <v>0</v>
      </c>
      <c r="IN23" s="190">
        <f t="shared" si="73"/>
        <v>0</v>
      </c>
      <c r="IO23" s="190">
        <f t="shared" si="73"/>
        <v>0</v>
      </c>
      <c r="IP23" s="190">
        <f t="shared" si="73"/>
        <v>0</v>
      </c>
      <c r="IQ23" s="190">
        <f t="shared" si="73"/>
        <v>0</v>
      </c>
      <c r="IR23" s="190">
        <f t="shared" si="73"/>
        <v>0</v>
      </c>
      <c r="IS23" s="190">
        <f t="shared" si="73"/>
        <v>0</v>
      </c>
      <c r="IT23" s="169">
        <f t="shared" si="46"/>
        <v>0</v>
      </c>
      <c r="IU23" s="161"/>
      <c r="IV23" s="189">
        <f>SUM(IV15:IV22)</f>
        <v>0</v>
      </c>
      <c r="IW23" s="190">
        <f t="shared" ref="IW23:JG23" si="74">SUM(IW15:IW22)</f>
        <v>0</v>
      </c>
      <c r="IX23" s="190">
        <f t="shared" si="74"/>
        <v>0</v>
      </c>
      <c r="IY23" s="190">
        <f t="shared" si="74"/>
        <v>0</v>
      </c>
      <c r="IZ23" s="190">
        <f t="shared" si="74"/>
        <v>0</v>
      </c>
      <c r="JA23" s="190">
        <f t="shared" si="74"/>
        <v>0</v>
      </c>
      <c r="JB23" s="190">
        <f t="shared" si="74"/>
        <v>0</v>
      </c>
      <c r="JC23" s="190">
        <f t="shared" si="74"/>
        <v>0</v>
      </c>
      <c r="JD23" s="190">
        <f t="shared" si="74"/>
        <v>0</v>
      </c>
      <c r="JE23" s="190">
        <f t="shared" si="74"/>
        <v>0</v>
      </c>
      <c r="JF23" s="190">
        <f t="shared" si="74"/>
        <v>0</v>
      </c>
      <c r="JG23" s="190">
        <f t="shared" si="74"/>
        <v>0</v>
      </c>
      <c r="JH23" s="169">
        <f t="shared" si="47"/>
        <v>0</v>
      </c>
      <c r="JI23" s="161"/>
      <c r="JJ23" s="189">
        <f>SUM(JJ15:JJ22)</f>
        <v>0</v>
      </c>
      <c r="JK23" s="190">
        <f t="shared" ref="JK23:JU23" si="75">SUM(JK15:JK22)</f>
        <v>0</v>
      </c>
      <c r="JL23" s="190">
        <f t="shared" si="75"/>
        <v>0</v>
      </c>
      <c r="JM23" s="190">
        <f t="shared" si="75"/>
        <v>0</v>
      </c>
      <c r="JN23" s="190">
        <f t="shared" si="75"/>
        <v>0</v>
      </c>
      <c r="JO23" s="190">
        <f t="shared" si="75"/>
        <v>0</v>
      </c>
      <c r="JP23" s="190">
        <f t="shared" si="75"/>
        <v>0</v>
      </c>
      <c r="JQ23" s="190">
        <f t="shared" si="75"/>
        <v>0</v>
      </c>
      <c r="JR23" s="190">
        <f t="shared" si="75"/>
        <v>0</v>
      </c>
      <c r="JS23" s="190">
        <f t="shared" si="75"/>
        <v>0</v>
      </c>
      <c r="JT23" s="190">
        <f t="shared" si="75"/>
        <v>0</v>
      </c>
      <c r="JU23" s="190">
        <f t="shared" si="75"/>
        <v>0</v>
      </c>
      <c r="JV23" s="169">
        <f t="shared" si="48"/>
        <v>0</v>
      </c>
      <c r="JW23" s="161"/>
      <c r="JX23" s="189">
        <f>SUM(JX15:JX22)</f>
        <v>0</v>
      </c>
      <c r="JY23" s="190">
        <f t="shared" ref="JY23:KI23" si="76">SUM(JY15:JY22)</f>
        <v>0</v>
      </c>
      <c r="JZ23" s="190">
        <f t="shared" si="76"/>
        <v>0</v>
      </c>
      <c r="KA23" s="190">
        <f t="shared" si="76"/>
        <v>0</v>
      </c>
      <c r="KB23" s="190">
        <f t="shared" si="76"/>
        <v>0</v>
      </c>
      <c r="KC23" s="190">
        <f t="shared" si="76"/>
        <v>0</v>
      </c>
      <c r="KD23" s="190">
        <f t="shared" si="76"/>
        <v>0</v>
      </c>
      <c r="KE23" s="190">
        <f t="shared" si="76"/>
        <v>0</v>
      </c>
      <c r="KF23" s="190">
        <f t="shared" si="76"/>
        <v>0</v>
      </c>
      <c r="KG23" s="190">
        <f t="shared" si="76"/>
        <v>0</v>
      </c>
      <c r="KH23" s="190">
        <f t="shared" si="76"/>
        <v>0</v>
      </c>
      <c r="KI23" s="190">
        <f t="shared" si="76"/>
        <v>0</v>
      </c>
      <c r="KJ23" s="169">
        <f t="shared" si="49"/>
        <v>0</v>
      </c>
      <c r="KK23" s="161"/>
      <c r="KL23" s="189">
        <f>SUM(KL15:KL22)</f>
        <v>0</v>
      </c>
      <c r="KM23" s="190">
        <f t="shared" ref="KM23:KW23" si="77">SUM(KM15:KM22)</f>
        <v>0</v>
      </c>
      <c r="KN23" s="190">
        <f t="shared" si="77"/>
        <v>0</v>
      </c>
      <c r="KO23" s="190">
        <f t="shared" si="77"/>
        <v>0</v>
      </c>
      <c r="KP23" s="190">
        <f t="shared" si="77"/>
        <v>0</v>
      </c>
      <c r="KQ23" s="190">
        <f t="shared" si="77"/>
        <v>0</v>
      </c>
      <c r="KR23" s="190">
        <f t="shared" si="77"/>
        <v>0</v>
      </c>
      <c r="KS23" s="190">
        <f t="shared" si="77"/>
        <v>0</v>
      </c>
      <c r="KT23" s="190">
        <f t="shared" si="77"/>
        <v>0</v>
      </c>
      <c r="KU23" s="190">
        <f t="shared" si="77"/>
        <v>0</v>
      </c>
      <c r="KV23" s="190">
        <f t="shared" si="77"/>
        <v>0</v>
      </c>
      <c r="KW23" s="190">
        <f t="shared" si="77"/>
        <v>0</v>
      </c>
      <c r="KX23" s="169">
        <f t="shared" si="50"/>
        <v>0</v>
      </c>
      <c r="KY23" s="161"/>
      <c r="KZ23" s="189">
        <f>SUM(KZ15:KZ22)</f>
        <v>0</v>
      </c>
      <c r="LA23" s="190">
        <f t="shared" ref="LA23:LK23" si="78">SUM(LA15:LA22)</f>
        <v>0</v>
      </c>
      <c r="LB23" s="190">
        <f t="shared" si="78"/>
        <v>0</v>
      </c>
      <c r="LC23" s="190">
        <f t="shared" si="78"/>
        <v>0</v>
      </c>
      <c r="LD23" s="190">
        <f t="shared" si="78"/>
        <v>0</v>
      </c>
      <c r="LE23" s="190">
        <f t="shared" si="78"/>
        <v>0</v>
      </c>
      <c r="LF23" s="190">
        <f t="shared" si="78"/>
        <v>0</v>
      </c>
      <c r="LG23" s="190">
        <f t="shared" si="78"/>
        <v>0</v>
      </c>
      <c r="LH23" s="190">
        <f t="shared" si="78"/>
        <v>0</v>
      </c>
      <c r="LI23" s="190">
        <f t="shared" si="78"/>
        <v>0</v>
      </c>
      <c r="LJ23" s="190">
        <f t="shared" si="78"/>
        <v>0</v>
      </c>
      <c r="LK23" s="190">
        <f t="shared" si="78"/>
        <v>0</v>
      </c>
      <c r="LL23" s="169">
        <f t="shared" si="51"/>
        <v>0</v>
      </c>
      <c r="LM23" s="161"/>
      <c r="LN23" s="189">
        <f>SUM(LN15:LN22)</f>
        <v>0</v>
      </c>
      <c r="LO23" s="190">
        <f t="shared" ref="LO23:LY23" si="79">SUM(LO15:LO22)</f>
        <v>0</v>
      </c>
      <c r="LP23" s="190">
        <f t="shared" si="79"/>
        <v>0</v>
      </c>
      <c r="LQ23" s="190">
        <f t="shared" si="79"/>
        <v>0</v>
      </c>
      <c r="LR23" s="190">
        <f t="shared" si="79"/>
        <v>0</v>
      </c>
      <c r="LS23" s="190">
        <f t="shared" si="79"/>
        <v>0</v>
      </c>
      <c r="LT23" s="190">
        <f t="shared" si="79"/>
        <v>0</v>
      </c>
      <c r="LU23" s="190">
        <f t="shared" si="79"/>
        <v>0</v>
      </c>
      <c r="LV23" s="190">
        <f t="shared" si="79"/>
        <v>0</v>
      </c>
      <c r="LW23" s="190">
        <f t="shared" si="79"/>
        <v>0</v>
      </c>
      <c r="LX23" s="190">
        <f t="shared" si="79"/>
        <v>0</v>
      </c>
      <c r="LY23" s="190">
        <f t="shared" si="79"/>
        <v>0</v>
      </c>
      <c r="LZ23" s="169">
        <f t="shared" si="52"/>
        <v>0</v>
      </c>
      <c r="MA23" s="161"/>
      <c r="MB23" s="169">
        <f t="shared" ref="MB23:MN23" si="80">SUM(MB15:MB22)</f>
        <v>0</v>
      </c>
      <c r="MC23" s="169">
        <f t="shared" si="80"/>
        <v>0</v>
      </c>
      <c r="MD23" s="169">
        <f t="shared" si="80"/>
        <v>0</v>
      </c>
      <c r="ME23" s="169">
        <f t="shared" si="80"/>
        <v>0</v>
      </c>
      <c r="MF23" s="169">
        <f t="shared" si="80"/>
        <v>0</v>
      </c>
      <c r="MG23" s="169">
        <f t="shared" si="80"/>
        <v>0</v>
      </c>
      <c r="MH23" s="169">
        <f t="shared" si="80"/>
        <v>0</v>
      </c>
      <c r="MI23" s="169">
        <f t="shared" si="80"/>
        <v>0</v>
      </c>
      <c r="MJ23" s="169">
        <f t="shared" si="80"/>
        <v>0</v>
      </c>
      <c r="MK23" s="169">
        <f t="shared" si="80"/>
        <v>0</v>
      </c>
      <c r="ML23" s="169">
        <f t="shared" si="80"/>
        <v>0</v>
      </c>
      <c r="MM23" s="169">
        <f t="shared" si="80"/>
        <v>0</v>
      </c>
      <c r="MN23" s="169">
        <f t="shared" si="80"/>
        <v>0</v>
      </c>
    </row>
    <row r="24" spans="1:352" s="180" customFormat="1" ht="12.5" hidden="1" x14ac:dyDescent="0.25">
      <c r="A24" s="98"/>
      <c r="B24" s="183"/>
      <c r="C24" s="98"/>
      <c r="D24" s="192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93"/>
      <c r="Q24" s="194"/>
      <c r="R24" s="192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93"/>
      <c r="AE24" s="194"/>
      <c r="AF24" s="192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93"/>
      <c r="AS24" s="194"/>
      <c r="AT24" s="192"/>
      <c r="AU24" s="179"/>
      <c r="AV24" s="179"/>
      <c r="AW24" s="179"/>
      <c r="AX24" s="179"/>
      <c r="AY24" s="179"/>
      <c r="AZ24" s="179"/>
      <c r="BA24" s="179"/>
      <c r="BB24" s="179"/>
      <c r="BC24" s="179"/>
      <c r="BD24" s="179"/>
      <c r="BE24" s="179"/>
      <c r="BF24" s="193"/>
      <c r="BG24" s="194"/>
      <c r="BH24" s="192"/>
      <c r="BI24" s="179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93"/>
      <c r="BU24" s="194"/>
      <c r="BV24" s="192"/>
      <c r="BW24" s="179"/>
      <c r="BX24" s="179"/>
      <c r="BY24" s="179"/>
      <c r="BZ24" s="179"/>
      <c r="CA24" s="179"/>
      <c r="CB24" s="179"/>
      <c r="CC24" s="179"/>
      <c r="CD24" s="179"/>
      <c r="CE24" s="179"/>
      <c r="CF24" s="179"/>
      <c r="CG24" s="179"/>
      <c r="CH24" s="193"/>
      <c r="CI24" s="194"/>
      <c r="CJ24" s="192"/>
      <c r="CK24" s="179"/>
      <c r="CL24" s="179"/>
      <c r="CM24" s="179"/>
      <c r="CN24" s="179"/>
      <c r="CO24" s="179"/>
      <c r="CP24" s="179"/>
      <c r="CQ24" s="179"/>
      <c r="CR24" s="179"/>
      <c r="CS24" s="179"/>
      <c r="CT24" s="179"/>
      <c r="CU24" s="179"/>
      <c r="CV24" s="193"/>
      <c r="CW24" s="194"/>
      <c r="CX24" s="192"/>
      <c r="CY24" s="179"/>
      <c r="CZ24" s="179"/>
      <c r="DA24" s="179"/>
      <c r="DB24" s="179"/>
      <c r="DC24" s="179"/>
      <c r="DD24" s="179"/>
      <c r="DE24" s="179"/>
      <c r="DF24" s="179"/>
      <c r="DG24" s="179"/>
      <c r="DH24" s="179"/>
      <c r="DI24" s="179"/>
      <c r="DJ24" s="193"/>
      <c r="DK24" s="194"/>
      <c r="DL24" s="192"/>
      <c r="DM24" s="179"/>
      <c r="DN24" s="179"/>
      <c r="DO24" s="179"/>
      <c r="DP24" s="179"/>
      <c r="DQ24" s="179"/>
      <c r="DR24" s="179"/>
      <c r="DS24" s="179"/>
      <c r="DT24" s="179"/>
      <c r="DU24" s="179"/>
      <c r="DV24" s="179"/>
      <c r="DW24" s="179"/>
      <c r="DX24" s="193"/>
      <c r="DY24" s="194"/>
      <c r="DZ24" s="192"/>
      <c r="EA24" s="179"/>
      <c r="EB24" s="179"/>
      <c r="EC24" s="179"/>
      <c r="ED24" s="179"/>
      <c r="EE24" s="179"/>
      <c r="EF24" s="179"/>
      <c r="EG24" s="179"/>
      <c r="EH24" s="179"/>
      <c r="EI24" s="179"/>
      <c r="EJ24" s="179"/>
      <c r="EK24" s="179"/>
      <c r="EL24" s="193"/>
      <c r="EM24" s="194"/>
      <c r="EN24" s="192"/>
      <c r="EO24" s="179"/>
      <c r="EP24" s="179"/>
      <c r="EQ24" s="179"/>
      <c r="ER24" s="179"/>
      <c r="ES24" s="179"/>
      <c r="ET24" s="179"/>
      <c r="EU24" s="179"/>
      <c r="EV24" s="179"/>
      <c r="EW24" s="179"/>
      <c r="EX24" s="179"/>
      <c r="EY24" s="179"/>
      <c r="EZ24" s="193"/>
      <c r="FA24" s="194"/>
      <c r="FB24" s="192"/>
      <c r="FC24" s="179"/>
      <c r="FD24" s="179"/>
      <c r="FE24" s="179"/>
      <c r="FF24" s="179"/>
      <c r="FG24" s="179"/>
      <c r="FH24" s="179"/>
      <c r="FI24" s="179"/>
      <c r="FJ24" s="179"/>
      <c r="FK24" s="179"/>
      <c r="FL24" s="179"/>
      <c r="FM24" s="179"/>
      <c r="FN24" s="193"/>
      <c r="FO24" s="194"/>
      <c r="FP24" s="192"/>
      <c r="FQ24" s="179"/>
      <c r="FR24" s="179"/>
      <c r="FS24" s="179"/>
      <c r="FT24" s="179"/>
      <c r="FU24" s="179"/>
      <c r="FV24" s="179"/>
      <c r="FW24" s="179"/>
      <c r="FX24" s="179"/>
      <c r="FY24" s="179"/>
      <c r="FZ24" s="179"/>
      <c r="GA24" s="179"/>
      <c r="GB24" s="193"/>
      <c r="GC24" s="194"/>
      <c r="GD24" s="192"/>
      <c r="GE24" s="179"/>
      <c r="GF24" s="179"/>
      <c r="GG24" s="179"/>
      <c r="GH24" s="179"/>
      <c r="GI24" s="179"/>
      <c r="GJ24" s="179"/>
      <c r="GK24" s="179"/>
      <c r="GL24" s="179"/>
      <c r="GM24" s="179"/>
      <c r="GN24" s="179"/>
      <c r="GO24" s="179"/>
      <c r="GP24" s="193"/>
      <c r="GQ24" s="194"/>
      <c r="GR24" s="192"/>
      <c r="GS24" s="179"/>
      <c r="GT24" s="179"/>
      <c r="GU24" s="179"/>
      <c r="GV24" s="179"/>
      <c r="GW24" s="179"/>
      <c r="GX24" s="179"/>
      <c r="GY24" s="179"/>
      <c r="GZ24" s="179"/>
      <c r="HA24" s="179"/>
      <c r="HB24" s="179"/>
      <c r="HC24" s="179"/>
      <c r="HD24" s="193"/>
      <c r="HE24" s="194"/>
      <c r="HF24" s="192"/>
      <c r="HG24" s="179"/>
      <c r="HH24" s="179"/>
      <c r="HI24" s="179"/>
      <c r="HJ24" s="179"/>
      <c r="HK24" s="179"/>
      <c r="HL24" s="179"/>
      <c r="HM24" s="179"/>
      <c r="HN24" s="179"/>
      <c r="HO24" s="179"/>
      <c r="HP24" s="179"/>
      <c r="HQ24" s="179"/>
      <c r="HR24" s="193"/>
      <c r="HS24" s="194"/>
      <c r="HT24" s="192"/>
      <c r="HU24" s="179"/>
      <c r="HV24" s="179"/>
      <c r="HW24" s="179"/>
      <c r="HX24" s="179"/>
      <c r="HY24" s="179"/>
      <c r="HZ24" s="179"/>
      <c r="IA24" s="179"/>
      <c r="IB24" s="179"/>
      <c r="IC24" s="179"/>
      <c r="ID24" s="179"/>
      <c r="IE24" s="179"/>
      <c r="IF24" s="193"/>
      <c r="IG24" s="194"/>
      <c r="IH24" s="192"/>
      <c r="II24" s="179"/>
      <c r="IJ24" s="179"/>
      <c r="IK24" s="179"/>
      <c r="IL24" s="179"/>
      <c r="IM24" s="179"/>
      <c r="IN24" s="179"/>
      <c r="IO24" s="179"/>
      <c r="IP24" s="179"/>
      <c r="IQ24" s="179"/>
      <c r="IR24" s="179"/>
      <c r="IS24" s="179"/>
      <c r="IT24" s="193"/>
      <c r="IU24" s="194"/>
      <c r="IV24" s="192"/>
      <c r="IW24" s="179"/>
      <c r="IX24" s="179"/>
      <c r="IY24" s="179"/>
      <c r="IZ24" s="179"/>
      <c r="JA24" s="179"/>
      <c r="JB24" s="179"/>
      <c r="JC24" s="179"/>
      <c r="JD24" s="179"/>
      <c r="JE24" s="179"/>
      <c r="JF24" s="179"/>
      <c r="JG24" s="179"/>
      <c r="JH24" s="193"/>
      <c r="JI24" s="194"/>
      <c r="JJ24" s="192"/>
      <c r="JK24" s="179"/>
      <c r="JL24" s="179"/>
      <c r="JM24" s="179"/>
      <c r="JN24" s="179"/>
      <c r="JO24" s="179"/>
      <c r="JP24" s="179"/>
      <c r="JQ24" s="179"/>
      <c r="JR24" s="179"/>
      <c r="JS24" s="179"/>
      <c r="JT24" s="179"/>
      <c r="JU24" s="179"/>
      <c r="JV24" s="193"/>
      <c r="JW24" s="194"/>
      <c r="JX24" s="192"/>
      <c r="JY24" s="179"/>
      <c r="JZ24" s="179"/>
      <c r="KA24" s="179"/>
      <c r="KB24" s="179"/>
      <c r="KC24" s="179"/>
      <c r="KD24" s="179"/>
      <c r="KE24" s="179"/>
      <c r="KF24" s="179"/>
      <c r="KG24" s="179"/>
      <c r="KH24" s="179"/>
      <c r="KI24" s="179"/>
      <c r="KJ24" s="193"/>
      <c r="KK24" s="194"/>
      <c r="KL24" s="192"/>
      <c r="KM24" s="179"/>
      <c r="KN24" s="179"/>
      <c r="KO24" s="179"/>
      <c r="KP24" s="179"/>
      <c r="KQ24" s="179"/>
      <c r="KR24" s="179"/>
      <c r="KS24" s="179"/>
      <c r="KT24" s="179"/>
      <c r="KU24" s="179"/>
      <c r="KV24" s="179"/>
      <c r="KW24" s="179"/>
      <c r="KX24" s="193"/>
      <c r="KY24" s="194"/>
      <c r="KZ24" s="192"/>
      <c r="LA24" s="179"/>
      <c r="LB24" s="179"/>
      <c r="LC24" s="179"/>
      <c r="LD24" s="179"/>
      <c r="LE24" s="179"/>
      <c r="LF24" s="179"/>
      <c r="LG24" s="179"/>
      <c r="LH24" s="179"/>
      <c r="LI24" s="179"/>
      <c r="LJ24" s="179"/>
      <c r="LK24" s="179"/>
      <c r="LL24" s="193"/>
      <c r="LM24" s="194"/>
      <c r="LN24" s="192"/>
      <c r="LO24" s="179"/>
      <c r="LP24" s="179"/>
      <c r="LQ24" s="179"/>
      <c r="LR24" s="179"/>
      <c r="LS24" s="179"/>
      <c r="LT24" s="179"/>
      <c r="LU24" s="179"/>
      <c r="LV24" s="179"/>
      <c r="LW24" s="179"/>
      <c r="LX24" s="179"/>
      <c r="LY24" s="179"/>
      <c r="LZ24" s="193"/>
      <c r="MA24" s="194"/>
      <c r="MB24" s="193"/>
      <c r="MC24" s="193"/>
      <c r="MD24" s="193"/>
      <c r="ME24" s="193"/>
      <c r="MF24" s="193"/>
      <c r="MG24" s="193"/>
      <c r="MH24" s="193"/>
      <c r="MI24" s="193"/>
      <c r="MJ24" s="193"/>
      <c r="MK24" s="193"/>
      <c r="ML24" s="193"/>
      <c r="MM24" s="193"/>
      <c r="MN24" s="193"/>
    </row>
    <row r="25" spans="1:352" s="180" customFormat="1" hidden="1" x14ac:dyDescent="0.3">
      <c r="A25" s="98"/>
      <c r="B25" s="152" t="s">
        <v>205</v>
      </c>
      <c r="C25" s="98"/>
      <c r="D25" s="192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93"/>
      <c r="Q25" s="194"/>
      <c r="R25" s="192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93"/>
      <c r="AE25" s="194"/>
      <c r="AF25" s="192"/>
      <c r="AG25" s="179"/>
      <c r="AH25" s="179"/>
      <c r="AI25" s="179"/>
      <c r="AJ25" s="179"/>
      <c r="AK25" s="179"/>
      <c r="AL25" s="179"/>
      <c r="AM25" s="179"/>
      <c r="AN25" s="179"/>
      <c r="AO25" s="179"/>
      <c r="AP25" s="179"/>
      <c r="AQ25" s="179"/>
      <c r="AR25" s="193"/>
      <c r="AS25" s="194"/>
      <c r="AT25" s="192"/>
      <c r="AU25" s="179"/>
      <c r="AV25" s="179"/>
      <c r="AW25" s="179"/>
      <c r="AX25" s="179"/>
      <c r="AY25" s="179"/>
      <c r="AZ25" s="179"/>
      <c r="BA25" s="179"/>
      <c r="BB25" s="179"/>
      <c r="BC25" s="179"/>
      <c r="BD25" s="179"/>
      <c r="BE25" s="179"/>
      <c r="BF25" s="193"/>
      <c r="BG25" s="194"/>
      <c r="BH25" s="192"/>
      <c r="BI25" s="179"/>
      <c r="BJ25" s="179"/>
      <c r="BK25" s="179"/>
      <c r="BL25" s="179"/>
      <c r="BM25" s="179"/>
      <c r="BN25" s="179"/>
      <c r="BO25" s="179"/>
      <c r="BP25" s="179"/>
      <c r="BQ25" s="179"/>
      <c r="BR25" s="179"/>
      <c r="BS25" s="179"/>
      <c r="BT25" s="193"/>
      <c r="BU25" s="194"/>
      <c r="BV25" s="192"/>
      <c r="BW25" s="179"/>
      <c r="BX25" s="179"/>
      <c r="BY25" s="179"/>
      <c r="BZ25" s="179"/>
      <c r="CA25" s="179"/>
      <c r="CB25" s="179"/>
      <c r="CC25" s="179"/>
      <c r="CD25" s="179"/>
      <c r="CE25" s="179"/>
      <c r="CF25" s="179"/>
      <c r="CG25" s="179"/>
      <c r="CH25" s="193"/>
      <c r="CI25" s="194"/>
      <c r="CJ25" s="192"/>
      <c r="CK25" s="179"/>
      <c r="CL25" s="179"/>
      <c r="CM25" s="179"/>
      <c r="CN25" s="179"/>
      <c r="CO25" s="179"/>
      <c r="CP25" s="179"/>
      <c r="CQ25" s="179"/>
      <c r="CR25" s="179"/>
      <c r="CS25" s="179"/>
      <c r="CT25" s="179"/>
      <c r="CU25" s="179"/>
      <c r="CV25" s="193"/>
      <c r="CW25" s="194"/>
      <c r="CX25" s="192"/>
      <c r="CY25" s="179"/>
      <c r="CZ25" s="179"/>
      <c r="DA25" s="179"/>
      <c r="DB25" s="179"/>
      <c r="DC25" s="179"/>
      <c r="DD25" s="179"/>
      <c r="DE25" s="179"/>
      <c r="DF25" s="179"/>
      <c r="DG25" s="179"/>
      <c r="DH25" s="179"/>
      <c r="DI25" s="179"/>
      <c r="DJ25" s="193"/>
      <c r="DK25" s="194"/>
      <c r="DL25" s="192"/>
      <c r="DM25" s="179"/>
      <c r="DN25" s="179"/>
      <c r="DO25" s="179"/>
      <c r="DP25" s="179"/>
      <c r="DQ25" s="179"/>
      <c r="DR25" s="179"/>
      <c r="DS25" s="179"/>
      <c r="DT25" s="179"/>
      <c r="DU25" s="179"/>
      <c r="DV25" s="179"/>
      <c r="DW25" s="179"/>
      <c r="DX25" s="193"/>
      <c r="DY25" s="194"/>
      <c r="DZ25" s="192"/>
      <c r="EA25" s="179"/>
      <c r="EB25" s="179"/>
      <c r="EC25" s="179"/>
      <c r="ED25" s="179"/>
      <c r="EE25" s="179"/>
      <c r="EF25" s="179"/>
      <c r="EG25" s="179"/>
      <c r="EH25" s="179"/>
      <c r="EI25" s="179"/>
      <c r="EJ25" s="179"/>
      <c r="EK25" s="179"/>
      <c r="EL25" s="193"/>
      <c r="EM25" s="194"/>
      <c r="EN25" s="192"/>
      <c r="EO25" s="179"/>
      <c r="EP25" s="179"/>
      <c r="EQ25" s="179"/>
      <c r="ER25" s="179"/>
      <c r="ES25" s="179"/>
      <c r="ET25" s="179"/>
      <c r="EU25" s="179"/>
      <c r="EV25" s="179"/>
      <c r="EW25" s="179"/>
      <c r="EX25" s="179"/>
      <c r="EY25" s="179"/>
      <c r="EZ25" s="193"/>
      <c r="FA25" s="194"/>
      <c r="FB25" s="192"/>
      <c r="FC25" s="179"/>
      <c r="FD25" s="179"/>
      <c r="FE25" s="179"/>
      <c r="FF25" s="179"/>
      <c r="FG25" s="179"/>
      <c r="FH25" s="179"/>
      <c r="FI25" s="179"/>
      <c r="FJ25" s="179"/>
      <c r="FK25" s="179"/>
      <c r="FL25" s="179"/>
      <c r="FM25" s="179"/>
      <c r="FN25" s="193"/>
      <c r="FO25" s="194"/>
      <c r="FP25" s="192"/>
      <c r="FQ25" s="179"/>
      <c r="FR25" s="179"/>
      <c r="FS25" s="179"/>
      <c r="FT25" s="179"/>
      <c r="FU25" s="179"/>
      <c r="FV25" s="179"/>
      <c r="FW25" s="179"/>
      <c r="FX25" s="179"/>
      <c r="FY25" s="179"/>
      <c r="FZ25" s="179"/>
      <c r="GA25" s="179"/>
      <c r="GB25" s="193"/>
      <c r="GC25" s="194"/>
      <c r="GD25" s="163"/>
      <c r="GE25" s="164"/>
      <c r="GF25" s="154"/>
      <c r="GG25" s="154"/>
      <c r="GH25" s="154"/>
      <c r="GI25" s="154"/>
      <c r="GJ25" s="154"/>
      <c r="GK25" s="154"/>
      <c r="GL25" s="154"/>
      <c r="GM25" s="154"/>
      <c r="GN25" s="154"/>
      <c r="GO25" s="154"/>
      <c r="GP25" s="193"/>
      <c r="GQ25" s="194"/>
      <c r="GR25" s="163"/>
      <c r="GS25" s="164"/>
      <c r="GT25" s="154"/>
      <c r="GU25" s="154"/>
      <c r="GV25" s="154"/>
      <c r="GW25" s="154"/>
      <c r="GX25" s="154"/>
      <c r="GY25" s="154"/>
      <c r="GZ25" s="154"/>
      <c r="HA25" s="154"/>
      <c r="HB25" s="154"/>
      <c r="HC25" s="154"/>
      <c r="HD25" s="193"/>
      <c r="HE25" s="194"/>
      <c r="HF25" s="163"/>
      <c r="HG25" s="164"/>
      <c r="HH25" s="154"/>
      <c r="HI25" s="154"/>
      <c r="HJ25" s="154"/>
      <c r="HK25" s="154"/>
      <c r="HL25" s="154"/>
      <c r="HM25" s="154"/>
      <c r="HN25" s="154"/>
      <c r="HO25" s="154"/>
      <c r="HP25" s="154"/>
      <c r="HQ25" s="154"/>
      <c r="HR25" s="193"/>
      <c r="HS25" s="194"/>
      <c r="HT25" s="163"/>
      <c r="HU25" s="164"/>
      <c r="HV25" s="154"/>
      <c r="HW25" s="154"/>
      <c r="HX25" s="154"/>
      <c r="HY25" s="154"/>
      <c r="HZ25" s="154"/>
      <c r="IA25" s="154"/>
      <c r="IB25" s="154"/>
      <c r="IC25" s="154"/>
      <c r="ID25" s="154"/>
      <c r="IE25" s="154"/>
      <c r="IF25" s="193"/>
      <c r="IG25" s="194"/>
      <c r="IH25" s="163"/>
      <c r="II25" s="164"/>
      <c r="IJ25" s="154"/>
      <c r="IK25" s="154"/>
      <c r="IL25" s="154"/>
      <c r="IM25" s="154"/>
      <c r="IN25" s="154"/>
      <c r="IO25" s="154"/>
      <c r="IP25" s="154"/>
      <c r="IQ25" s="154"/>
      <c r="IR25" s="154"/>
      <c r="IS25" s="154"/>
      <c r="IT25" s="193"/>
      <c r="IU25" s="194"/>
      <c r="IV25" s="163"/>
      <c r="IW25" s="164"/>
      <c r="IX25" s="154"/>
      <c r="IY25" s="154"/>
      <c r="IZ25" s="154"/>
      <c r="JA25" s="154"/>
      <c r="JB25" s="154"/>
      <c r="JC25" s="154"/>
      <c r="JD25" s="154"/>
      <c r="JE25" s="154"/>
      <c r="JF25" s="154"/>
      <c r="JG25" s="154"/>
      <c r="JH25" s="193"/>
      <c r="JI25" s="194"/>
      <c r="JJ25" s="163"/>
      <c r="JK25" s="164"/>
      <c r="JL25" s="154"/>
      <c r="JM25" s="154"/>
      <c r="JN25" s="154"/>
      <c r="JO25" s="154"/>
      <c r="JP25" s="154"/>
      <c r="JQ25" s="154"/>
      <c r="JR25" s="154"/>
      <c r="JS25" s="154"/>
      <c r="JT25" s="154"/>
      <c r="JU25" s="154"/>
      <c r="JV25" s="193"/>
      <c r="JW25" s="194"/>
      <c r="JX25" s="163"/>
      <c r="JY25" s="164"/>
      <c r="JZ25" s="154"/>
      <c r="KA25" s="154"/>
      <c r="KB25" s="154"/>
      <c r="KC25" s="154"/>
      <c r="KD25" s="154"/>
      <c r="KE25" s="154"/>
      <c r="KF25" s="154"/>
      <c r="KG25" s="154"/>
      <c r="KH25" s="154"/>
      <c r="KI25" s="154"/>
      <c r="KJ25" s="193"/>
      <c r="KK25" s="194"/>
      <c r="KL25" s="163"/>
      <c r="KM25" s="164"/>
      <c r="KN25" s="154"/>
      <c r="KO25" s="154"/>
      <c r="KP25" s="154"/>
      <c r="KQ25" s="154"/>
      <c r="KR25" s="154"/>
      <c r="KS25" s="154"/>
      <c r="KT25" s="154"/>
      <c r="KU25" s="154"/>
      <c r="KV25" s="154"/>
      <c r="KW25" s="154"/>
      <c r="KX25" s="193"/>
      <c r="KY25" s="194"/>
      <c r="KZ25" s="163"/>
      <c r="LA25" s="164"/>
      <c r="LB25" s="154"/>
      <c r="LC25" s="154"/>
      <c r="LD25" s="154"/>
      <c r="LE25" s="154"/>
      <c r="LF25" s="154"/>
      <c r="LG25" s="154"/>
      <c r="LH25" s="154"/>
      <c r="LI25" s="154"/>
      <c r="LJ25" s="154"/>
      <c r="LK25" s="154"/>
      <c r="LL25" s="193"/>
      <c r="LM25" s="194"/>
      <c r="LN25" s="163"/>
      <c r="LO25" s="164"/>
      <c r="LP25" s="154"/>
      <c r="LQ25" s="154"/>
      <c r="LR25" s="154"/>
      <c r="LS25" s="154"/>
      <c r="LT25" s="154"/>
      <c r="LU25" s="154"/>
      <c r="LV25" s="154"/>
      <c r="LW25" s="154"/>
      <c r="LX25" s="154"/>
      <c r="LY25" s="154"/>
      <c r="LZ25" s="193"/>
      <c r="MA25" s="194"/>
      <c r="MB25" s="193"/>
      <c r="MC25" s="193"/>
      <c r="MD25" s="193"/>
      <c r="ME25" s="193"/>
      <c r="MF25" s="193"/>
      <c r="MG25" s="193"/>
      <c r="MH25" s="193"/>
      <c r="MI25" s="193"/>
      <c r="MJ25" s="193"/>
      <c r="MK25" s="193"/>
      <c r="ML25" s="193"/>
      <c r="MM25" s="193"/>
      <c r="MN25" s="193"/>
    </row>
    <row r="26" spans="1:352" s="180" customFormat="1" hidden="1" x14ac:dyDescent="0.25">
      <c r="A26" s="98"/>
      <c r="B26" s="64" t="s">
        <v>206</v>
      </c>
      <c r="C26" s="98"/>
      <c r="D26" s="163">
        <v>0</v>
      </c>
      <c r="E26" s="179">
        <v>0</v>
      </c>
      <c r="F26" s="179">
        <v>0</v>
      </c>
      <c r="G26" s="179">
        <v>0</v>
      </c>
      <c r="H26" s="179">
        <v>0</v>
      </c>
      <c r="I26" s="179">
        <v>0</v>
      </c>
      <c r="J26" s="179">
        <v>0</v>
      </c>
      <c r="K26" s="179">
        <v>0</v>
      </c>
      <c r="L26" s="179">
        <v>0</v>
      </c>
      <c r="M26" s="179">
        <v>0</v>
      </c>
      <c r="N26" s="179">
        <v>0</v>
      </c>
      <c r="O26" s="179">
        <v>0</v>
      </c>
      <c r="P26" s="157">
        <f>+SUBTOTAL(9,D26:O26)</f>
        <v>0</v>
      </c>
      <c r="Q26" s="161"/>
      <c r="R26" s="163">
        <v>0</v>
      </c>
      <c r="S26" s="179">
        <v>0</v>
      </c>
      <c r="T26" s="179">
        <v>0</v>
      </c>
      <c r="U26" s="179">
        <v>0</v>
      </c>
      <c r="V26" s="179">
        <v>0</v>
      </c>
      <c r="W26" s="179">
        <v>0</v>
      </c>
      <c r="X26" s="179">
        <v>0</v>
      </c>
      <c r="Y26" s="179">
        <v>0</v>
      </c>
      <c r="Z26" s="179">
        <v>0</v>
      </c>
      <c r="AA26" s="179">
        <v>0</v>
      </c>
      <c r="AB26" s="179">
        <v>0</v>
      </c>
      <c r="AC26" s="179">
        <v>0</v>
      </c>
      <c r="AD26" s="157">
        <f>+SUBTOTAL(9,R26:AC26)</f>
        <v>0</v>
      </c>
      <c r="AE26" s="161"/>
      <c r="AF26" s="163">
        <v>0</v>
      </c>
      <c r="AG26" s="179">
        <v>0</v>
      </c>
      <c r="AH26" s="179">
        <v>0</v>
      </c>
      <c r="AI26" s="179">
        <v>0</v>
      </c>
      <c r="AJ26" s="179">
        <v>0</v>
      </c>
      <c r="AK26" s="179">
        <v>0</v>
      </c>
      <c r="AL26" s="179">
        <v>0</v>
      </c>
      <c r="AM26" s="179">
        <v>0</v>
      </c>
      <c r="AN26" s="179">
        <v>0</v>
      </c>
      <c r="AO26" s="179">
        <v>0</v>
      </c>
      <c r="AP26" s="179">
        <v>0</v>
      </c>
      <c r="AQ26" s="179">
        <v>0</v>
      </c>
      <c r="AR26" s="157">
        <f>+SUBTOTAL(9,AF26:AQ26)</f>
        <v>0</v>
      </c>
      <c r="AS26" s="161"/>
      <c r="AT26" s="163">
        <v>0</v>
      </c>
      <c r="AU26" s="179">
        <v>0</v>
      </c>
      <c r="AV26" s="179">
        <v>0</v>
      </c>
      <c r="AW26" s="179">
        <v>0</v>
      </c>
      <c r="AX26" s="179">
        <v>0</v>
      </c>
      <c r="AY26" s="179">
        <v>0</v>
      </c>
      <c r="AZ26" s="179">
        <v>0</v>
      </c>
      <c r="BA26" s="179">
        <v>0</v>
      </c>
      <c r="BB26" s="154">
        <v>0</v>
      </c>
      <c r="BC26" s="154">
        <v>0</v>
      </c>
      <c r="BD26" s="154">
        <v>0</v>
      </c>
      <c r="BE26" s="154">
        <v>0</v>
      </c>
      <c r="BF26" s="157">
        <f>+SUBTOTAL(9,AT26:BE26)</f>
        <v>0</v>
      </c>
      <c r="BG26" s="161"/>
      <c r="BH26" s="163">
        <v>0</v>
      </c>
      <c r="BI26" s="164">
        <v>0</v>
      </c>
      <c r="BJ26" s="154">
        <v>0</v>
      </c>
      <c r="BK26" s="154">
        <v>0</v>
      </c>
      <c r="BL26" s="154">
        <v>0</v>
      </c>
      <c r="BM26" s="154">
        <v>0</v>
      </c>
      <c r="BN26" s="154">
        <v>0</v>
      </c>
      <c r="BO26" s="154">
        <v>0</v>
      </c>
      <c r="BP26" s="154">
        <v>0</v>
      </c>
      <c r="BQ26" s="154">
        <v>0</v>
      </c>
      <c r="BR26" s="154">
        <v>0</v>
      </c>
      <c r="BS26" s="154">
        <v>0</v>
      </c>
      <c r="BT26" s="157">
        <f>+SUBTOTAL(9,BH26:BS26)</f>
        <v>0</v>
      </c>
      <c r="BU26" s="161"/>
      <c r="BV26" s="163">
        <v>0</v>
      </c>
      <c r="BW26" s="164">
        <v>0</v>
      </c>
      <c r="BX26" s="154">
        <v>0</v>
      </c>
      <c r="BY26" s="154">
        <v>0</v>
      </c>
      <c r="BZ26" s="154">
        <v>0</v>
      </c>
      <c r="CA26" s="154">
        <v>0</v>
      </c>
      <c r="CB26" s="154">
        <v>0</v>
      </c>
      <c r="CC26" s="154">
        <v>0</v>
      </c>
      <c r="CD26" s="154">
        <v>0</v>
      </c>
      <c r="CE26" s="154">
        <v>0</v>
      </c>
      <c r="CF26" s="154">
        <v>0</v>
      </c>
      <c r="CG26" s="154">
        <v>0</v>
      </c>
      <c r="CH26" s="157">
        <f>+SUBTOTAL(9,BV26:CG26)</f>
        <v>0</v>
      </c>
      <c r="CI26" s="161"/>
      <c r="CJ26" s="163">
        <v>0</v>
      </c>
      <c r="CK26" s="164">
        <v>0</v>
      </c>
      <c r="CL26" s="154">
        <v>0</v>
      </c>
      <c r="CM26" s="154">
        <v>0</v>
      </c>
      <c r="CN26" s="154">
        <v>0</v>
      </c>
      <c r="CO26" s="154">
        <v>0</v>
      </c>
      <c r="CP26" s="154">
        <v>0</v>
      </c>
      <c r="CQ26" s="154">
        <v>0</v>
      </c>
      <c r="CR26" s="154">
        <v>0</v>
      </c>
      <c r="CS26" s="154">
        <v>0</v>
      </c>
      <c r="CT26" s="154">
        <v>0</v>
      </c>
      <c r="CU26" s="154">
        <v>0</v>
      </c>
      <c r="CV26" s="157">
        <f>+SUBTOTAL(9,CJ26:CU26)</f>
        <v>0</v>
      </c>
      <c r="CW26" s="161"/>
      <c r="CX26" s="163">
        <v>0</v>
      </c>
      <c r="CY26" s="164">
        <v>0</v>
      </c>
      <c r="CZ26" s="154">
        <v>0</v>
      </c>
      <c r="DA26" s="154">
        <v>0</v>
      </c>
      <c r="DB26" s="154">
        <v>0</v>
      </c>
      <c r="DC26" s="154">
        <v>0</v>
      </c>
      <c r="DD26" s="154">
        <v>0</v>
      </c>
      <c r="DE26" s="154">
        <v>0</v>
      </c>
      <c r="DF26" s="154">
        <v>0</v>
      </c>
      <c r="DG26" s="154">
        <v>0</v>
      </c>
      <c r="DH26" s="154">
        <v>0</v>
      </c>
      <c r="DI26" s="154">
        <v>0</v>
      </c>
      <c r="DJ26" s="157">
        <f>+SUBTOTAL(9,CX26:DI26)</f>
        <v>0</v>
      </c>
      <c r="DK26" s="161"/>
      <c r="DL26" s="163">
        <v>0</v>
      </c>
      <c r="DM26" s="164">
        <v>0</v>
      </c>
      <c r="DN26" s="154">
        <v>0</v>
      </c>
      <c r="DO26" s="154">
        <v>0</v>
      </c>
      <c r="DP26" s="154">
        <v>0</v>
      </c>
      <c r="DQ26" s="154">
        <v>0</v>
      </c>
      <c r="DR26" s="154">
        <v>0</v>
      </c>
      <c r="DS26" s="154">
        <v>0</v>
      </c>
      <c r="DT26" s="154">
        <v>0</v>
      </c>
      <c r="DU26" s="154">
        <v>0</v>
      </c>
      <c r="DV26" s="154">
        <v>0</v>
      </c>
      <c r="DW26" s="154">
        <v>0</v>
      </c>
      <c r="DX26" s="157">
        <f>+SUBTOTAL(9,DL26:DW26)</f>
        <v>0</v>
      </c>
      <c r="DY26" s="161"/>
      <c r="DZ26" s="163">
        <v>0</v>
      </c>
      <c r="EA26" s="164">
        <v>0</v>
      </c>
      <c r="EB26" s="154">
        <v>0</v>
      </c>
      <c r="EC26" s="154">
        <v>0</v>
      </c>
      <c r="ED26" s="154">
        <v>0</v>
      </c>
      <c r="EE26" s="154">
        <v>0</v>
      </c>
      <c r="EF26" s="154">
        <v>0</v>
      </c>
      <c r="EG26" s="154">
        <v>0</v>
      </c>
      <c r="EH26" s="154">
        <v>0</v>
      </c>
      <c r="EI26" s="154">
        <v>0</v>
      </c>
      <c r="EJ26" s="154">
        <v>0</v>
      </c>
      <c r="EK26" s="154">
        <v>0</v>
      </c>
      <c r="EL26" s="157">
        <f>+SUBTOTAL(9,DZ26:EK26)</f>
        <v>0</v>
      </c>
      <c r="EM26" s="161"/>
      <c r="EN26" s="163">
        <v>0</v>
      </c>
      <c r="EO26" s="164">
        <v>0</v>
      </c>
      <c r="EP26" s="154">
        <v>0</v>
      </c>
      <c r="EQ26" s="154">
        <v>0</v>
      </c>
      <c r="ER26" s="154">
        <v>0</v>
      </c>
      <c r="ES26" s="154">
        <v>0</v>
      </c>
      <c r="ET26" s="154">
        <v>0</v>
      </c>
      <c r="EU26" s="154">
        <v>0</v>
      </c>
      <c r="EV26" s="154">
        <v>0</v>
      </c>
      <c r="EW26" s="154">
        <v>0</v>
      </c>
      <c r="EX26" s="154">
        <v>0</v>
      </c>
      <c r="EY26" s="154">
        <v>0</v>
      </c>
      <c r="EZ26" s="157">
        <f>+SUBTOTAL(9,EN26:EY26)</f>
        <v>0</v>
      </c>
      <c r="FA26" s="161"/>
      <c r="FB26" s="163">
        <v>0</v>
      </c>
      <c r="FC26" s="164">
        <v>0</v>
      </c>
      <c r="FD26" s="154">
        <v>0</v>
      </c>
      <c r="FE26" s="154">
        <v>0</v>
      </c>
      <c r="FF26" s="154">
        <v>0</v>
      </c>
      <c r="FG26" s="154">
        <v>0</v>
      </c>
      <c r="FH26" s="154">
        <v>0</v>
      </c>
      <c r="FI26" s="154">
        <v>0</v>
      </c>
      <c r="FJ26" s="154">
        <v>0</v>
      </c>
      <c r="FK26" s="154">
        <v>0</v>
      </c>
      <c r="FL26" s="154">
        <v>0</v>
      </c>
      <c r="FM26" s="154">
        <v>0</v>
      </c>
      <c r="FN26" s="157">
        <f>+SUBTOTAL(9,FB26:FM26)</f>
        <v>0</v>
      </c>
      <c r="FO26" s="161"/>
      <c r="FP26" s="163">
        <v>0</v>
      </c>
      <c r="FQ26" s="164">
        <v>0</v>
      </c>
      <c r="FR26" s="154">
        <v>0</v>
      </c>
      <c r="FS26" s="154">
        <v>0</v>
      </c>
      <c r="FT26" s="154">
        <v>0</v>
      </c>
      <c r="FU26" s="154">
        <v>0</v>
      </c>
      <c r="FV26" s="154">
        <v>0</v>
      </c>
      <c r="FW26" s="154">
        <v>0</v>
      </c>
      <c r="FX26" s="154">
        <v>0</v>
      </c>
      <c r="FY26" s="154">
        <v>0</v>
      </c>
      <c r="FZ26" s="154">
        <v>0</v>
      </c>
      <c r="GA26" s="154">
        <v>0</v>
      </c>
      <c r="GB26" s="157">
        <f>+SUBTOTAL(9,FP26:GA26)</f>
        <v>0</v>
      </c>
      <c r="GC26" s="161"/>
      <c r="GD26" s="163">
        <v>0</v>
      </c>
      <c r="GE26" s="164">
        <v>0</v>
      </c>
      <c r="GF26" s="154">
        <v>0</v>
      </c>
      <c r="GG26" s="154">
        <v>0</v>
      </c>
      <c r="GH26" s="154">
        <v>0</v>
      </c>
      <c r="GI26" s="154">
        <v>0</v>
      </c>
      <c r="GJ26" s="154">
        <v>0</v>
      </c>
      <c r="GK26" s="154">
        <v>0</v>
      </c>
      <c r="GL26" s="154">
        <v>0</v>
      </c>
      <c r="GM26" s="154">
        <v>0</v>
      </c>
      <c r="GN26" s="154">
        <v>0</v>
      </c>
      <c r="GO26" s="154">
        <v>0</v>
      </c>
      <c r="GP26" s="157">
        <f>+SUBTOTAL(9,GD26:GO26)</f>
        <v>0</v>
      </c>
      <c r="GQ26" s="161"/>
      <c r="GR26" s="163">
        <v>0</v>
      </c>
      <c r="GS26" s="164">
        <v>0</v>
      </c>
      <c r="GT26" s="154">
        <v>0</v>
      </c>
      <c r="GU26" s="154">
        <v>0</v>
      </c>
      <c r="GV26" s="154">
        <v>0</v>
      </c>
      <c r="GW26" s="154">
        <v>0</v>
      </c>
      <c r="GX26" s="154">
        <v>0</v>
      </c>
      <c r="GY26" s="154">
        <v>0</v>
      </c>
      <c r="GZ26" s="154">
        <v>0</v>
      </c>
      <c r="HA26" s="154">
        <v>0</v>
      </c>
      <c r="HB26" s="154">
        <v>0</v>
      </c>
      <c r="HC26" s="154">
        <v>0</v>
      </c>
      <c r="HD26" s="157">
        <f>+SUBTOTAL(9,GR26:HC26)</f>
        <v>0</v>
      </c>
      <c r="HE26" s="161"/>
      <c r="HF26" s="163">
        <v>0</v>
      </c>
      <c r="HG26" s="164">
        <v>0</v>
      </c>
      <c r="HH26" s="154">
        <v>0</v>
      </c>
      <c r="HI26" s="154">
        <v>0</v>
      </c>
      <c r="HJ26" s="154">
        <v>0</v>
      </c>
      <c r="HK26" s="154">
        <v>0</v>
      </c>
      <c r="HL26" s="154">
        <v>0</v>
      </c>
      <c r="HM26" s="154">
        <v>0</v>
      </c>
      <c r="HN26" s="154">
        <v>0</v>
      </c>
      <c r="HO26" s="154">
        <v>0</v>
      </c>
      <c r="HP26" s="154">
        <v>0</v>
      </c>
      <c r="HQ26" s="154">
        <v>0</v>
      </c>
      <c r="HR26" s="157">
        <f>+SUBTOTAL(9,HF26:HQ26)</f>
        <v>0</v>
      </c>
      <c r="HS26" s="161"/>
      <c r="HT26" s="163">
        <v>0</v>
      </c>
      <c r="HU26" s="164">
        <v>0</v>
      </c>
      <c r="HV26" s="154">
        <v>0</v>
      </c>
      <c r="HW26" s="154">
        <v>0</v>
      </c>
      <c r="HX26" s="154">
        <v>0</v>
      </c>
      <c r="HY26" s="154">
        <v>0</v>
      </c>
      <c r="HZ26" s="154">
        <v>0</v>
      </c>
      <c r="IA26" s="154">
        <v>0</v>
      </c>
      <c r="IB26" s="154">
        <v>0</v>
      </c>
      <c r="IC26" s="154">
        <v>0</v>
      </c>
      <c r="ID26" s="154">
        <v>0</v>
      </c>
      <c r="IE26" s="154">
        <v>0</v>
      </c>
      <c r="IF26" s="157">
        <f>+SUBTOTAL(9,HT26:IE26)</f>
        <v>0</v>
      </c>
      <c r="IG26" s="161"/>
      <c r="IH26" s="163">
        <v>0</v>
      </c>
      <c r="II26" s="164">
        <v>0</v>
      </c>
      <c r="IJ26" s="154">
        <v>0</v>
      </c>
      <c r="IK26" s="154">
        <v>0</v>
      </c>
      <c r="IL26" s="154">
        <v>0</v>
      </c>
      <c r="IM26" s="154">
        <v>0</v>
      </c>
      <c r="IN26" s="154">
        <v>0</v>
      </c>
      <c r="IO26" s="154">
        <v>0</v>
      </c>
      <c r="IP26" s="154">
        <v>0</v>
      </c>
      <c r="IQ26" s="154">
        <v>0</v>
      </c>
      <c r="IR26" s="154">
        <v>0</v>
      </c>
      <c r="IS26" s="154">
        <v>0</v>
      </c>
      <c r="IT26" s="157">
        <f>+SUBTOTAL(9,IH26:IS26)</f>
        <v>0</v>
      </c>
      <c r="IU26" s="161"/>
      <c r="IV26" s="163">
        <v>0</v>
      </c>
      <c r="IW26" s="164">
        <v>0</v>
      </c>
      <c r="IX26" s="154">
        <v>0</v>
      </c>
      <c r="IY26" s="154">
        <v>0</v>
      </c>
      <c r="IZ26" s="154">
        <v>0</v>
      </c>
      <c r="JA26" s="154">
        <v>0</v>
      </c>
      <c r="JB26" s="154">
        <v>0</v>
      </c>
      <c r="JC26" s="154">
        <v>0</v>
      </c>
      <c r="JD26" s="154">
        <v>0</v>
      </c>
      <c r="JE26" s="154">
        <v>0</v>
      </c>
      <c r="JF26" s="154">
        <v>0</v>
      </c>
      <c r="JG26" s="154">
        <v>0</v>
      </c>
      <c r="JH26" s="157">
        <f>+SUBTOTAL(9,IV26:JG26)</f>
        <v>0</v>
      </c>
      <c r="JI26" s="161"/>
      <c r="JJ26" s="163">
        <v>0</v>
      </c>
      <c r="JK26" s="164">
        <v>0</v>
      </c>
      <c r="JL26" s="154">
        <v>0</v>
      </c>
      <c r="JM26" s="154">
        <v>0</v>
      </c>
      <c r="JN26" s="154">
        <v>0</v>
      </c>
      <c r="JO26" s="154">
        <v>0</v>
      </c>
      <c r="JP26" s="154">
        <v>0</v>
      </c>
      <c r="JQ26" s="154">
        <v>0</v>
      </c>
      <c r="JR26" s="154">
        <v>0</v>
      </c>
      <c r="JS26" s="154">
        <v>0</v>
      </c>
      <c r="JT26" s="154">
        <v>0</v>
      </c>
      <c r="JU26" s="154">
        <v>0</v>
      </c>
      <c r="JV26" s="157">
        <f>+SUBTOTAL(9,JJ26:JU26)</f>
        <v>0</v>
      </c>
      <c r="JW26" s="161"/>
      <c r="JX26" s="163">
        <v>0</v>
      </c>
      <c r="JY26" s="164">
        <v>0</v>
      </c>
      <c r="JZ26" s="154">
        <v>0</v>
      </c>
      <c r="KA26" s="154">
        <v>0</v>
      </c>
      <c r="KB26" s="154">
        <v>0</v>
      </c>
      <c r="KC26" s="154">
        <v>0</v>
      </c>
      <c r="KD26" s="154">
        <v>0</v>
      </c>
      <c r="KE26" s="154">
        <v>0</v>
      </c>
      <c r="KF26" s="154">
        <v>0</v>
      </c>
      <c r="KG26" s="154">
        <v>0</v>
      </c>
      <c r="KH26" s="154">
        <v>0</v>
      </c>
      <c r="KI26" s="154">
        <v>0</v>
      </c>
      <c r="KJ26" s="157">
        <f>+SUBTOTAL(9,JX26:KI26)</f>
        <v>0</v>
      </c>
      <c r="KK26" s="161"/>
      <c r="KL26" s="163">
        <v>0</v>
      </c>
      <c r="KM26" s="164">
        <v>0</v>
      </c>
      <c r="KN26" s="154">
        <v>0</v>
      </c>
      <c r="KO26" s="154">
        <v>0</v>
      </c>
      <c r="KP26" s="154">
        <v>0</v>
      </c>
      <c r="KQ26" s="154">
        <v>0</v>
      </c>
      <c r="KR26" s="154">
        <v>0</v>
      </c>
      <c r="KS26" s="154">
        <v>0</v>
      </c>
      <c r="KT26" s="154">
        <v>0</v>
      </c>
      <c r="KU26" s="154">
        <v>0</v>
      </c>
      <c r="KV26" s="154">
        <v>0</v>
      </c>
      <c r="KW26" s="154">
        <v>0</v>
      </c>
      <c r="KX26" s="157">
        <f>+SUBTOTAL(9,KL26:KW26)</f>
        <v>0</v>
      </c>
      <c r="KY26" s="161"/>
      <c r="KZ26" s="163">
        <v>0</v>
      </c>
      <c r="LA26" s="164">
        <v>0</v>
      </c>
      <c r="LB26" s="154">
        <v>0</v>
      </c>
      <c r="LC26" s="154">
        <v>0</v>
      </c>
      <c r="LD26" s="154">
        <v>0</v>
      </c>
      <c r="LE26" s="154">
        <v>0</v>
      </c>
      <c r="LF26" s="154">
        <v>0</v>
      </c>
      <c r="LG26" s="154">
        <v>0</v>
      </c>
      <c r="LH26" s="154">
        <v>0</v>
      </c>
      <c r="LI26" s="154">
        <v>0</v>
      </c>
      <c r="LJ26" s="154">
        <v>0</v>
      </c>
      <c r="LK26" s="154">
        <v>0</v>
      </c>
      <c r="LL26" s="157">
        <f>+SUBTOTAL(9,KZ26:LK26)</f>
        <v>0</v>
      </c>
      <c r="LM26" s="161"/>
      <c r="LN26" s="163">
        <v>0</v>
      </c>
      <c r="LO26" s="164">
        <v>0</v>
      </c>
      <c r="LP26" s="154">
        <v>0</v>
      </c>
      <c r="LQ26" s="154">
        <v>0</v>
      </c>
      <c r="LR26" s="154">
        <v>0</v>
      </c>
      <c r="LS26" s="154">
        <v>0</v>
      </c>
      <c r="LT26" s="154">
        <v>0</v>
      </c>
      <c r="LU26" s="154">
        <v>0</v>
      </c>
      <c r="LV26" s="154">
        <v>0</v>
      </c>
      <c r="LW26" s="154">
        <v>0</v>
      </c>
      <c r="LX26" s="154">
        <v>0</v>
      </c>
      <c r="LY26" s="154">
        <v>0</v>
      </c>
      <c r="LZ26" s="157">
        <f>+SUBTOTAL(9,LN26:LY26)</f>
        <v>0</v>
      </c>
      <c r="MA26" s="161"/>
      <c r="MB26" s="157">
        <f t="shared" ref="MB26:MM27" si="81">SUMIF($D$6:$LY$6,MB$3,$D26:$LY26)</f>
        <v>0</v>
      </c>
      <c r="MC26" s="157">
        <f t="shared" si="81"/>
        <v>0</v>
      </c>
      <c r="MD26" s="157">
        <f t="shared" si="81"/>
        <v>0</v>
      </c>
      <c r="ME26" s="157">
        <f t="shared" si="81"/>
        <v>0</v>
      </c>
      <c r="MF26" s="157">
        <f t="shared" si="81"/>
        <v>0</v>
      </c>
      <c r="MG26" s="157">
        <f t="shared" si="81"/>
        <v>0</v>
      </c>
      <c r="MH26" s="157">
        <f t="shared" si="81"/>
        <v>0</v>
      </c>
      <c r="MI26" s="157">
        <f t="shared" si="81"/>
        <v>0</v>
      </c>
      <c r="MJ26" s="157">
        <f t="shared" si="81"/>
        <v>0</v>
      </c>
      <c r="MK26" s="157">
        <f t="shared" si="81"/>
        <v>0</v>
      </c>
      <c r="ML26" s="157">
        <f t="shared" si="81"/>
        <v>0</v>
      </c>
      <c r="MM26" s="157">
        <f t="shared" si="81"/>
        <v>0</v>
      </c>
      <c r="MN26" s="157">
        <f t="shared" ref="MN26:MN27" si="82">SUM(MB26:MM26)</f>
        <v>0</v>
      </c>
    </row>
    <row r="27" spans="1:352" s="180" customFormat="1" hidden="1" x14ac:dyDescent="0.25">
      <c r="A27" s="98"/>
      <c r="B27" s="64" t="s">
        <v>207</v>
      </c>
      <c r="C27" s="98"/>
      <c r="D27" s="163">
        <v>0</v>
      </c>
      <c r="E27" s="179">
        <v>0</v>
      </c>
      <c r="F27" s="179">
        <v>0</v>
      </c>
      <c r="G27" s="179">
        <v>0</v>
      </c>
      <c r="H27" s="179">
        <v>0</v>
      </c>
      <c r="I27" s="179">
        <v>0</v>
      </c>
      <c r="J27" s="179">
        <v>0</v>
      </c>
      <c r="K27" s="179">
        <v>0</v>
      </c>
      <c r="L27" s="179">
        <v>0</v>
      </c>
      <c r="M27" s="179">
        <v>0</v>
      </c>
      <c r="N27" s="179">
        <v>0</v>
      </c>
      <c r="O27" s="179">
        <v>0</v>
      </c>
      <c r="P27" s="157">
        <f>+SUBTOTAL(9,D27:O27)</f>
        <v>0</v>
      </c>
      <c r="Q27" s="161"/>
      <c r="R27" s="163">
        <v>0</v>
      </c>
      <c r="S27" s="179">
        <v>0</v>
      </c>
      <c r="T27" s="179">
        <v>0</v>
      </c>
      <c r="U27" s="179">
        <v>0</v>
      </c>
      <c r="V27" s="179">
        <v>0</v>
      </c>
      <c r="W27" s="179">
        <v>0</v>
      </c>
      <c r="X27" s="179">
        <v>0</v>
      </c>
      <c r="Y27" s="179">
        <v>0</v>
      </c>
      <c r="Z27" s="179">
        <v>0</v>
      </c>
      <c r="AA27" s="179">
        <v>0</v>
      </c>
      <c r="AB27" s="179">
        <v>0</v>
      </c>
      <c r="AC27" s="179">
        <v>0</v>
      </c>
      <c r="AD27" s="157">
        <f>+SUBTOTAL(9,R27:AC27)</f>
        <v>0</v>
      </c>
      <c r="AE27" s="161"/>
      <c r="AF27" s="163">
        <v>0</v>
      </c>
      <c r="AG27" s="179">
        <v>0</v>
      </c>
      <c r="AH27" s="179">
        <v>0</v>
      </c>
      <c r="AI27" s="179">
        <v>0</v>
      </c>
      <c r="AJ27" s="179">
        <v>0</v>
      </c>
      <c r="AK27" s="179">
        <v>0</v>
      </c>
      <c r="AL27" s="179">
        <v>0</v>
      </c>
      <c r="AM27" s="179">
        <v>0</v>
      </c>
      <c r="AN27" s="179">
        <v>0</v>
      </c>
      <c r="AO27" s="179">
        <v>0</v>
      </c>
      <c r="AP27" s="179">
        <v>0</v>
      </c>
      <c r="AQ27" s="179">
        <v>0</v>
      </c>
      <c r="AR27" s="157">
        <f>+SUBTOTAL(9,AF27:AQ27)</f>
        <v>0</v>
      </c>
      <c r="AS27" s="161"/>
      <c r="AT27" s="163">
        <v>0</v>
      </c>
      <c r="AU27" s="179">
        <v>0</v>
      </c>
      <c r="AV27" s="179">
        <v>0</v>
      </c>
      <c r="AW27" s="179">
        <v>0</v>
      </c>
      <c r="AX27" s="179">
        <v>0</v>
      </c>
      <c r="AY27" s="179">
        <v>0</v>
      </c>
      <c r="AZ27" s="179">
        <v>0</v>
      </c>
      <c r="BA27" s="179">
        <v>0</v>
      </c>
      <c r="BB27" s="154">
        <v>0</v>
      </c>
      <c r="BC27" s="154">
        <v>0</v>
      </c>
      <c r="BD27" s="154">
        <v>0</v>
      </c>
      <c r="BE27" s="154">
        <v>0</v>
      </c>
      <c r="BF27" s="157">
        <f>+SUBTOTAL(9,AT27:BE27)</f>
        <v>0</v>
      </c>
      <c r="BG27" s="161"/>
      <c r="BH27" s="163">
        <v>0</v>
      </c>
      <c r="BI27" s="164">
        <v>0</v>
      </c>
      <c r="BJ27" s="154">
        <v>0</v>
      </c>
      <c r="BK27" s="154">
        <v>0</v>
      </c>
      <c r="BL27" s="154">
        <v>0</v>
      </c>
      <c r="BM27" s="154">
        <v>0</v>
      </c>
      <c r="BN27" s="154">
        <v>0</v>
      </c>
      <c r="BO27" s="154">
        <v>0</v>
      </c>
      <c r="BP27" s="154">
        <v>0</v>
      </c>
      <c r="BQ27" s="154">
        <v>0</v>
      </c>
      <c r="BR27" s="154">
        <v>0</v>
      </c>
      <c r="BS27" s="154">
        <v>0</v>
      </c>
      <c r="BT27" s="157">
        <f>+SUBTOTAL(9,BH27:BS27)</f>
        <v>0</v>
      </c>
      <c r="BU27" s="161"/>
      <c r="BV27" s="163">
        <v>0</v>
      </c>
      <c r="BW27" s="164">
        <v>0</v>
      </c>
      <c r="BX27" s="154">
        <v>0</v>
      </c>
      <c r="BY27" s="154">
        <v>0</v>
      </c>
      <c r="BZ27" s="154">
        <v>0</v>
      </c>
      <c r="CA27" s="154">
        <v>0</v>
      </c>
      <c r="CB27" s="154">
        <v>0</v>
      </c>
      <c r="CC27" s="154">
        <v>0</v>
      </c>
      <c r="CD27" s="154">
        <v>0</v>
      </c>
      <c r="CE27" s="154">
        <v>0</v>
      </c>
      <c r="CF27" s="154">
        <v>0</v>
      </c>
      <c r="CG27" s="154">
        <v>0</v>
      </c>
      <c r="CH27" s="157">
        <f>+SUBTOTAL(9,BV27:CG27)</f>
        <v>0</v>
      </c>
      <c r="CI27" s="161"/>
      <c r="CJ27" s="163">
        <v>0</v>
      </c>
      <c r="CK27" s="164">
        <v>0</v>
      </c>
      <c r="CL27" s="154">
        <v>0</v>
      </c>
      <c r="CM27" s="154">
        <v>0</v>
      </c>
      <c r="CN27" s="154">
        <v>0</v>
      </c>
      <c r="CO27" s="154">
        <v>0</v>
      </c>
      <c r="CP27" s="154">
        <v>0</v>
      </c>
      <c r="CQ27" s="154">
        <v>0</v>
      </c>
      <c r="CR27" s="154">
        <v>0</v>
      </c>
      <c r="CS27" s="154">
        <v>0</v>
      </c>
      <c r="CT27" s="154">
        <v>0</v>
      </c>
      <c r="CU27" s="154">
        <v>0</v>
      </c>
      <c r="CV27" s="157">
        <f>+SUBTOTAL(9,CJ27:CU27)</f>
        <v>0</v>
      </c>
      <c r="CW27" s="161"/>
      <c r="CX27" s="163">
        <v>0</v>
      </c>
      <c r="CY27" s="164">
        <v>0</v>
      </c>
      <c r="CZ27" s="154">
        <v>0</v>
      </c>
      <c r="DA27" s="154">
        <v>0</v>
      </c>
      <c r="DB27" s="154">
        <v>0</v>
      </c>
      <c r="DC27" s="154">
        <v>0</v>
      </c>
      <c r="DD27" s="154">
        <v>0</v>
      </c>
      <c r="DE27" s="154">
        <v>0</v>
      </c>
      <c r="DF27" s="154">
        <v>0</v>
      </c>
      <c r="DG27" s="154">
        <v>0</v>
      </c>
      <c r="DH27" s="154">
        <v>0</v>
      </c>
      <c r="DI27" s="154">
        <v>0</v>
      </c>
      <c r="DJ27" s="157">
        <f>+SUBTOTAL(9,CX27:DI27)</f>
        <v>0</v>
      </c>
      <c r="DK27" s="161"/>
      <c r="DL27" s="163">
        <v>0</v>
      </c>
      <c r="DM27" s="164">
        <v>0</v>
      </c>
      <c r="DN27" s="154">
        <v>0</v>
      </c>
      <c r="DO27" s="154">
        <v>0</v>
      </c>
      <c r="DP27" s="154">
        <v>0</v>
      </c>
      <c r="DQ27" s="154">
        <v>0</v>
      </c>
      <c r="DR27" s="154">
        <v>0</v>
      </c>
      <c r="DS27" s="154">
        <v>0</v>
      </c>
      <c r="DT27" s="154">
        <v>0</v>
      </c>
      <c r="DU27" s="154">
        <v>0</v>
      </c>
      <c r="DV27" s="154">
        <v>0</v>
      </c>
      <c r="DW27" s="154">
        <v>0</v>
      </c>
      <c r="DX27" s="157">
        <f>+SUBTOTAL(9,DL27:DW27)</f>
        <v>0</v>
      </c>
      <c r="DY27" s="161"/>
      <c r="DZ27" s="163">
        <v>0</v>
      </c>
      <c r="EA27" s="164">
        <v>0</v>
      </c>
      <c r="EB27" s="154">
        <v>0</v>
      </c>
      <c r="EC27" s="154">
        <v>0</v>
      </c>
      <c r="ED27" s="154">
        <v>0</v>
      </c>
      <c r="EE27" s="154">
        <v>0</v>
      </c>
      <c r="EF27" s="154">
        <v>0</v>
      </c>
      <c r="EG27" s="154">
        <v>0</v>
      </c>
      <c r="EH27" s="154">
        <v>0</v>
      </c>
      <c r="EI27" s="154">
        <v>0</v>
      </c>
      <c r="EJ27" s="154">
        <v>0</v>
      </c>
      <c r="EK27" s="154">
        <v>0</v>
      </c>
      <c r="EL27" s="157">
        <f>+SUBTOTAL(9,DZ27:EK27)</f>
        <v>0</v>
      </c>
      <c r="EM27" s="161"/>
      <c r="EN27" s="163">
        <v>0</v>
      </c>
      <c r="EO27" s="164">
        <v>0</v>
      </c>
      <c r="EP27" s="154">
        <v>0</v>
      </c>
      <c r="EQ27" s="154">
        <v>0</v>
      </c>
      <c r="ER27" s="154">
        <v>0</v>
      </c>
      <c r="ES27" s="154">
        <v>0</v>
      </c>
      <c r="ET27" s="154">
        <v>0</v>
      </c>
      <c r="EU27" s="154">
        <v>0</v>
      </c>
      <c r="EV27" s="154">
        <v>0</v>
      </c>
      <c r="EW27" s="154">
        <v>0</v>
      </c>
      <c r="EX27" s="154">
        <v>0</v>
      </c>
      <c r="EY27" s="154">
        <v>0</v>
      </c>
      <c r="EZ27" s="157">
        <f>+SUBTOTAL(9,EN27:EY27)</f>
        <v>0</v>
      </c>
      <c r="FA27" s="161"/>
      <c r="FB27" s="163">
        <v>0</v>
      </c>
      <c r="FC27" s="164">
        <v>0</v>
      </c>
      <c r="FD27" s="154">
        <v>0</v>
      </c>
      <c r="FE27" s="154">
        <v>0</v>
      </c>
      <c r="FF27" s="154">
        <v>0</v>
      </c>
      <c r="FG27" s="154">
        <v>0</v>
      </c>
      <c r="FH27" s="154">
        <v>0</v>
      </c>
      <c r="FI27" s="154">
        <v>0</v>
      </c>
      <c r="FJ27" s="154">
        <v>0</v>
      </c>
      <c r="FK27" s="154">
        <v>0</v>
      </c>
      <c r="FL27" s="154">
        <v>0</v>
      </c>
      <c r="FM27" s="154">
        <v>0</v>
      </c>
      <c r="FN27" s="157">
        <f>+SUBTOTAL(9,FB27:FM27)</f>
        <v>0</v>
      </c>
      <c r="FO27" s="161"/>
      <c r="FP27" s="163">
        <v>0</v>
      </c>
      <c r="FQ27" s="164">
        <v>0</v>
      </c>
      <c r="FR27" s="154">
        <v>0</v>
      </c>
      <c r="FS27" s="154">
        <v>0</v>
      </c>
      <c r="FT27" s="154">
        <v>0</v>
      </c>
      <c r="FU27" s="154">
        <v>0</v>
      </c>
      <c r="FV27" s="154">
        <v>0</v>
      </c>
      <c r="FW27" s="154">
        <v>0</v>
      </c>
      <c r="FX27" s="154">
        <v>0</v>
      </c>
      <c r="FY27" s="154">
        <v>0</v>
      </c>
      <c r="FZ27" s="154">
        <v>0</v>
      </c>
      <c r="GA27" s="154">
        <v>0</v>
      </c>
      <c r="GB27" s="157">
        <f>+SUBTOTAL(9,FP27:GA27)</f>
        <v>0</v>
      </c>
      <c r="GC27" s="161"/>
      <c r="GD27" s="163">
        <v>0</v>
      </c>
      <c r="GE27" s="164">
        <v>0</v>
      </c>
      <c r="GF27" s="154">
        <v>0</v>
      </c>
      <c r="GG27" s="154">
        <v>0</v>
      </c>
      <c r="GH27" s="154">
        <v>0</v>
      </c>
      <c r="GI27" s="154">
        <v>0</v>
      </c>
      <c r="GJ27" s="154">
        <v>0</v>
      </c>
      <c r="GK27" s="154">
        <v>0</v>
      </c>
      <c r="GL27" s="154">
        <v>0</v>
      </c>
      <c r="GM27" s="154">
        <v>0</v>
      </c>
      <c r="GN27" s="154">
        <v>0</v>
      </c>
      <c r="GO27" s="154">
        <v>0</v>
      </c>
      <c r="GP27" s="157">
        <f>+SUBTOTAL(9,GD27:GO27)</f>
        <v>0</v>
      </c>
      <c r="GQ27" s="161"/>
      <c r="GR27" s="163">
        <v>0</v>
      </c>
      <c r="GS27" s="164">
        <v>0</v>
      </c>
      <c r="GT27" s="154">
        <v>0</v>
      </c>
      <c r="GU27" s="154">
        <v>0</v>
      </c>
      <c r="GV27" s="154">
        <v>0</v>
      </c>
      <c r="GW27" s="154">
        <v>0</v>
      </c>
      <c r="GX27" s="154">
        <v>0</v>
      </c>
      <c r="GY27" s="154">
        <v>0</v>
      </c>
      <c r="GZ27" s="154">
        <v>0</v>
      </c>
      <c r="HA27" s="154">
        <v>0</v>
      </c>
      <c r="HB27" s="154">
        <v>0</v>
      </c>
      <c r="HC27" s="154">
        <v>0</v>
      </c>
      <c r="HD27" s="157">
        <f>+SUBTOTAL(9,GR27:HC27)</f>
        <v>0</v>
      </c>
      <c r="HE27" s="161"/>
      <c r="HF27" s="163">
        <v>0</v>
      </c>
      <c r="HG27" s="164">
        <v>0</v>
      </c>
      <c r="HH27" s="154">
        <v>0</v>
      </c>
      <c r="HI27" s="154">
        <v>0</v>
      </c>
      <c r="HJ27" s="154">
        <v>0</v>
      </c>
      <c r="HK27" s="154">
        <v>0</v>
      </c>
      <c r="HL27" s="154">
        <v>0</v>
      </c>
      <c r="HM27" s="154">
        <v>0</v>
      </c>
      <c r="HN27" s="154">
        <v>0</v>
      </c>
      <c r="HO27" s="154">
        <v>0</v>
      </c>
      <c r="HP27" s="154">
        <v>0</v>
      </c>
      <c r="HQ27" s="154">
        <v>0</v>
      </c>
      <c r="HR27" s="157">
        <f>+SUBTOTAL(9,HF27:HQ27)</f>
        <v>0</v>
      </c>
      <c r="HS27" s="161"/>
      <c r="HT27" s="163">
        <v>0</v>
      </c>
      <c r="HU27" s="164">
        <v>0</v>
      </c>
      <c r="HV27" s="154">
        <v>0</v>
      </c>
      <c r="HW27" s="154">
        <v>0</v>
      </c>
      <c r="HX27" s="154">
        <v>0</v>
      </c>
      <c r="HY27" s="154">
        <v>0</v>
      </c>
      <c r="HZ27" s="154">
        <v>0</v>
      </c>
      <c r="IA27" s="154">
        <v>0</v>
      </c>
      <c r="IB27" s="154">
        <v>0</v>
      </c>
      <c r="IC27" s="154">
        <v>0</v>
      </c>
      <c r="ID27" s="154">
        <v>0</v>
      </c>
      <c r="IE27" s="154">
        <v>0</v>
      </c>
      <c r="IF27" s="157">
        <f>+SUBTOTAL(9,HT27:IE27)</f>
        <v>0</v>
      </c>
      <c r="IG27" s="161"/>
      <c r="IH27" s="163">
        <v>0</v>
      </c>
      <c r="II27" s="164">
        <v>0</v>
      </c>
      <c r="IJ27" s="154">
        <v>0</v>
      </c>
      <c r="IK27" s="154">
        <v>0</v>
      </c>
      <c r="IL27" s="154">
        <v>0</v>
      </c>
      <c r="IM27" s="154">
        <v>0</v>
      </c>
      <c r="IN27" s="154">
        <v>0</v>
      </c>
      <c r="IO27" s="154">
        <v>0</v>
      </c>
      <c r="IP27" s="154">
        <v>0</v>
      </c>
      <c r="IQ27" s="154">
        <v>0</v>
      </c>
      <c r="IR27" s="154">
        <v>0</v>
      </c>
      <c r="IS27" s="154">
        <v>0</v>
      </c>
      <c r="IT27" s="157">
        <f>+SUBTOTAL(9,IH27:IS27)</f>
        <v>0</v>
      </c>
      <c r="IU27" s="161"/>
      <c r="IV27" s="163">
        <v>0</v>
      </c>
      <c r="IW27" s="164">
        <v>0</v>
      </c>
      <c r="IX27" s="154">
        <v>0</v>
      </c>
      <c r="IY27" s="154">
        <v>0</v>
      </c>
      <c r="IZ27" s="154">
        <v>0</v>
      </c>
      <c r="JA27" s="154">
        <v>0</v>
      </c>
      <c r="JB27" s="154">
        <v>0</v>
      </c>
      <c r="JC27" s="154">
        <v>0</v>
      </c>
      <c r="JD27" s="154">
        <v>0</v>
      </c>
      <c r="JE27" s="154">
        <v>0</v>
      </c>
      <c r="JF27" s="154">
        <v>0</v>
      </c>
      <c r="JG27" s="154">
        <v>0</v>
      </c>
      <c r="JH27" s="157">
        <f>+SUBTOTAL(9,IV27:JG27)</f>
        <v>0</v>
      </c>
      <c r="JI27" s="161"/>
      <c r="JJ27" s="163">
        <v>0</v>
      </c>
      <c r="JK27" s="164">
        <v>0</v>
      </c>
      <c r="JL27" s="154">
        <v>0</v>
      </c>
      <c r="JM27" s="154">
        <v>0</v>
      </c>
      <c r="JN27" s="154">
        <v>0</v>
      </c>
      <c r="JO27" s="154">
        <v>0</v>
      </c>
      <c r="JP27" s="154">
        <v>0</v>
      </c>
      <c r="JQ27" s="154">
        <v>0</v>
      </c>
      <c r="JR27" s="154">
        <v>0</v>
      </c>
      <c r="JS27" s="154">
        <v>0</v>
      </c>
      <c r="JT27" s="154">
        <v>0</v>
      </c>
      <c r="JU27" s="154">
        <v>0</v>
      </c>
      <c r="JV27" s="157">
        <f>+SUBTOTAL(9,JJ27:JU27)</f>
        <v>0</v>
      </c>
      <c r="JW27" s="161"/>
      <c r="JX27" s="163">
        <v>0</v>
      </c>
      <c r="JY27" s="164">
        <v>0</v>
      </c>
      <c r="JZ27" s="154">
        <v>0</v>
      </c>
      <c r="KA27" s="154">
        <v>0</v>
      </c>
      <c r="KB27" s="154">
        <v>0</v>
      </c>
      <c r="KC27" s="154">
        <v>0</v>
      </c>
      <c r="KD27" s="154">
        <v>0</v>
      </c>
      <c r="KE27" s="154">
        <v>0</v>
      </c>
      <c r="KF27" s="154">
        <v>0</v>
      </c>
      <c r="KG27" s="154">
        <v>0</v>
      </c>
      <c r="KH27" s="154">
        <v>0</v>
      </c>
      <c r="KI27" s="154">
        <v>0</v>
      </c>
      <c r="KJ27" s="157">
        <f>+SUBTOTAL(9,JX27:KI27)</f>
        <v>0</v>
      </c>
      <c r="KK27" s="161"/>
      <c r="KL27" s="163">
        <v>0</v>
      </c>
      <c r="KM27" s="164">
        <v>0</v>
      </c>
      <c r="KN27" s="154">
        <v>0</v>
      </c>
      <c r="KO27" s="154">
        <v>0</v>
      </c>
      <c r="KP27" s="154">
        <v>0</v>
      </c>
      <c r="KQ27" s="154">
        <v>0</v>
      </c>
      <c r="KR27" s="154">
        <v>0</v>
      </c>
      <c r="KS27" s="154">
        <v>0</v>
      </c>
      <c r="KT27" s="154">
        <v>0</v>
      </c>
      <c r="KU27" s="154">
        <v>0</v>
      </c>
      <c r="KV27" s="154">
        <v>0</v>
      </c>
      <c r="KW27" s="154">
        <v>0</v>
      </c>
      <c r="KX27" s="157">
        <f>+SUBTOTAL(9,KL27:KW27)</f>
        <v>0</v>
      </c>
      <c r="KY27" s="161"/>
      <c r="KZ27" s="163">
        <v>0</v>
      </c>
      <c r="LA27" s="164">
        <v>0</v>
      </c>
      <c r="LB27" s="154">
        <v>0</v>
      </c>
      <c r="LC27" s="154">
        <v>0</v>
      </c>
      <c r="LD27" s="154">
        <v>0</v>
      </c>
      <c r="LE27" s="154">
        <v>0</v>
      </c>
      <c r="LF27" s="154">
        <v>0</v>
      </c>
      <c r="LG27" s="154">
        <v>0</v>
      </c>
      <c r="LH27" s="154">
        <v>0</v>
      </c>
      <c r="LI27" s="154">
        <v>0</v>
      </c>
      <c r="LJ27" s="154">
        <v>0</v>
      </c>
      <c r="LK27" s="154">
        <v>0</v>
      </c>
      <c r="LL27" s="157">
        <f>+SUBTOTAL(9,KZ27:LK27)</f>
        <v>0</v>
      </c>
      <c r="LM27" s="161"/>
      <c r="LN27" s="163">
        <v>0</v>
      </c>
      <c r="LO27" s="164">
        <v>0</v>
      </c>
      <c r="LP27" s="154">
        <v>0</v>
      </c>
      <c r="LQ27" s="154">
        <v>0</v>
      </c>
      <c r="LR27" s="154">
        <v>0</v>
      </c>
      <c r="LS27" s="154">
        <v>0</v>
      </c>
      <c r="LT27" s="154">
        <v>0</v>
      </c>
      <c r="LU27" s="154">
        <v>0</v>
      </c>
      <c r="LV27" s="154">
        <v>0</v>
      </c>
      <c r="LW27" s="154">
        <v>0</v>
      </c>
      <c r="LX27" s="154">
        <v>0</v>
      </c>
      <c r="LY27" s="154">
        <v>0</v>
      </c>
      <c r="LZ27" s="157">
        <f>+SUBTOTAL(9,LN27:LY27)</f>
        <v>0</v>
      </c>
      <c r="MA27" s="161"/>
      <c r="MB27" s="157">
        <f t="shared" si="81"/>
        <v>0</v>
      </c>
      <c r="MC27" s="157">
        <f t="shared" si="81"/>
        <v>0</v>
      </c>
      <c r="MD27" s="157">
        <f t="shared" si="81"/>
        <v>0</v>
      </c>
      <c r="ME27" s="157">
        <f t="shared" si="81"/>
        <v>0</v>
      </c>
      <c r="MF27" s="157">
        <f t="shared" si="81"/>
        <v>0</v>
      </c>
      <c r="MG27" s="157">
        <f t="shared" si="81"/>
        <v>0</v>
      </c>
      <c r="MH27" s="157">
        <f t="shared" si="81"/>
        <v>0</v>
      </c>
      <c r="MI27" s="157">
        <f t="shared" si="81"/>
        <v>0</v>
      </c>
      <c r="MJ27" s="157">
        <f t="shared" si="81"/>
        <v>0</v>
      </c>
      <c r="MK27" s="157">
        <f t="shared" si="81"/>
        <v>0</v>
      </c>
      <c r="ML27" s="157">
        <f t="shared" si="81"/>
        <v>0</v>
      </c>
      <c r="MM27" s="157">
        <f t="shared" si="81"/>
        <v>0</v>
      </c>
      <c r="MN27" s="157">
        <f t="shared" si="82"/>
        <v>0</v>
      </c>
    </row>
    <row r="28" spans="1:352" s="180" customFormat="1" hidden="1" x14ac:dyDescent="0.25">
      <c r="A28" s="98"/>
      <c r="B28" s="183"/>
      <c r="C28" s="98"/>
      <c r="D28" s="192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57"/>
      <c r="Q28" s="161"/>
      <c r="R28" s="192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57"/>
      <c r="AE28" s="161"/>
      <c r="AF28" s="192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57"/>
      <c r="AS28" s="161"/>
      <c r="AT28" s="192"/>
      <c r="AU28" s="179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57"/>
      <c r="BG28" s="161"/>
      <c r="BH28" s="192"/>
      <c r="BI28" s="179"/>
      <c r="BJ28" s="179"/>
      <c r="BK28" s="179"/>
      <c r="BL28" s="179"/>
      <c r="BM28" s="179"/>
      <c r="BN28" s="179"/>
      <c r="BO28" s="179"/>
      <c r="BP28" s="179"/>
      <c r="BQ28" s="179"/>
      <c r="BR28" s="179"/>
      <c r="BS28" s="179"/>
      <c r="BT28" s="157"/>
      <c r="BU28" s="161"/>
      <c r="BV28" s="192"/>
      <c r="BW28" s="179"/>
      <c r="BX28" s="179"/>
      <c r="BY28" s="179"/>
      <c r="BZ28" s="179"/>
      <c r="CA28" s="179"/>
      <c r="CB28" s="179"/>
      <c r="CC28" s="179"/>
      <c r="CD28" s="179"/>
      <c r="CE28" s="179"/>
      <c r="CF28" s="179"/>
      <c r="CG28" s="179"/>
      <c r="CH28" s="157"/>
      <c r="CI28" s="161"/>
      <c r="CJ28" s="192"/>
      <c r="CK28" s="179"/>
      <c r="CL28" s="179"/>
      <c r="CM28" s="179"/>
      <c r="CN28" s="179"/>
      <c r="CO28" s="179"/>
      <c r="CP28" s="179"/>
      <c r="CQ28" s="179"/>
      <c r="CR28" s="179"/>
      <c r="CS28" s="179"/>
      <c r="CT28" s="179"/>
      <c r="CU28" s="179"/>
      <c r="CV28" s="157"/>
      <c r="CW28" s="161"/>
      <c r="CX28" s="192"/>
      <c r="CY28" s="179"/>
      <c r="CZ28" s="179"/>
      <c r="DA28" s="179"/>
      <c r="DB28" s="179"/>
      <c r="DC28" s="179"/>
      <c r="DD28" s="179"/>
      <c r="DE28" s="179"/>
      <c r="DF28" s="179"/>
      <c r="DG28" s="179"/>
      <c r="DH28" s="179"/>
      <c r="DI28" s="179"/>
      <c r="DJ28" s="157"/>
      <c r="DK28" s="161"/>
      <c r="DL28" s="192"/>
      <c r="DM28" s="179"/>
      <c r="DN28" s="179"/>
      <c r="DO28" s="179"/>
      <c r="DP28" s="179"/>
      <c r="DQ28" s="179"/>
      <c r="DR28" s="179"/>
      <c r="DS28" s="179"/>
      <c r="DT28" s="179"/>
      <c r="DU28" s="179"/>
      <c r="DV28" s="179"/>
      <c r="DW28" s="179"/>
      <c r="DX28" s="157"/>
      <c r="DY28" s="161"/>
      <c r="DZ28" s="192"/>
      <c r="EA28" s="179"/>
      <c r="EB28" s="179"/>
      <c r="EC28" s="179"/>
      <c r="ED28" s="179"/>
      <c r="EE28" s="179"/>
      <c r="EF28" s="179"/>
      <c r="EG28" s="179"/>
      <c r="EH28" s="179"/>
      <c r="EI28" s="179"/>
      <c r="EJ28" s="179"/>
      <c r="EK28" s="179"/>
      <c r="EL28" s="157"/>
      <c r="EM28" s="161"/>
      <c r="EN28" s="192"/>
      <c r="EO28" s="179"/>
      <c r="EP28" s="179"/>
      <c r="EQ28" s="179"/>
      <c r="ER28" s="179"/>
      <c r="ES28" s="179"/>
      <c r="ET28" s="179"/>
      <c r="EU28" s="179"/>
      <c r="EV28" s="179"/>
      <c r="EW28" s="179"/>
      <c r="EX28" s="179"/>
      <c r="EY28" s="179"/>
      <c r="EZ28" s="157"/>
      <c r="FA28" s="161"/>
      <c r="FB28" s="192"/>
      <c r="FC28" s="179"/>
      <c r="FD28" s="179"/>
      <c r="FE28" s="179"/>
      <c r="FF28" s="179"/>
      <c r="FG28" s="179"/>
      <c r="FH28" s="179"/>
      <c r="FI28" s="179"/>
      <c r="FJ28" s="179"/>
      <c r="FK28" s="179"/>
      <c r="FL28" s="179"/>
      <c r="FM28" s="179"/>
      <c r="FN28" s="157"/>
      <c r="FO28" s="161"/>
      <c r="FP28" s="192"/>
      <c r="FQ28" s="179"/>
      <c r="FR28" s="179"/>
      <c r="FS28" s="179"/>
      <c r="FT28" s="179"/>
      <c r="FU28" s="179"/>
      <c r="FV28" s="179"/>
      <c r="FW28" s="179"/>
      <c r="FX28" s="179"/>
      <c r="FY28" s="179"/>
      <c r="FZ28" s="179"/>
      <c r="GA28" s="179"/>
      <c r="GB28" s="157"/>
      <c r="GC28" s="161"/>
      <c r="GD28" s="192"/>
      <c r="GE28" s="179"/>
      <c r="GF28" s="179"/>
      <c r="GG28" s="179"/>
      <c r="GH28" s="179"/>
      <c r="GI28" s="179"/>
      <c r="GJ28" s="179"/>
      <c r="GK28" s="179"/>
      <c r="GL28" s="179"/>
      <c r="GM28" s="179"/>
      <c r="GN28" s="179"/>
      <c r="GO28" s="179"/>
      <c r="GP28" s="157"/>
      <c r="GQ28" s="161"/>
      <c r="GR28" s="192"/>
      <c r="GS28" s="179"/>
      <c r="GT28" s="179"/>
      <c r="GU28" s="179"/>
      <c r="GV28" s="179"/>
      <c r="GW28" s="179"/>
      <c r="GX28" s="179"/>
      <c r="GY28" s="179"/>
      <c r="GZ28" s="179"/>
      <c r="HA28" s="179"/>
      <c r="HB28" s="179"/>
      <c r="HC28" s="179"/>
      <c r="HD28" s="157"/>
      <c r="HE28" s="161"/>
      <c r="HF28" s="192"/>
      <c r="HG28" s="179"/>
      <c r="HH28" s="179"/>
      <c r="HI28" s="179"/>
      <c r="HJ28" s="179"/>
      <c r="HK28" s="179"/>
      <c r="HL28" s="179"/>
      <c r="HM28" s="179"/>
      <c r="HN28" s="179"/>
      <c r="HO28" s="179"/>
      <c r="HP28" s="179"/>
      <c r="HQ28" s="179"/>
      <c r="HR28" s="157"/>
      <c r="HS28" s="161"/>
      <c r="HT28" s="192"/>
      <c r="HU28" s="179"/>
      <c r="HV28" s="179"/>
      <c r="HW28" s="179"/>
      <c r="HX28" s="179"/>
      <c r="HY28" s="179"/>
      <c r="HZ28" s="179"/>
      <c r="IA28" s="179"/>
      <c r="IB28" s="179"/>
      <c r="IC28" s="179"/>
      <c r="ID28" s="179"/>
      <c r="IE28" s="179"/>
      <c r="IF28" s="157"/>
      <c r="IG28" s="161"/>
      <c r="IH28" s="192"/>
      <c r="II28" s="179"/>
      <c r="IJ28" s="179"/>
      <c r="IK28" s="179"/>
      <c r="IL28" s="179"/>
      <c r="IM28" s="179"/>
      <c r="IN28" s="179"/>
      <c r="IO28" s="179"/>
      <c r="IP28" s="179"/>
      <c r="IQ28" s="179"/>
      <c r="IR28" s="179"/>
      <c r="IS28" s="179"/>
      <c r="IT28" s="157"/>
      <c r="IU28" s="161"/>
      <c r="IV28" s="192"/>
      <c r="IW28" s="179"/>
      <c r="IX28" s="179"/>
      <c r="IY28" s="179"/>
      <c r="IZ28" s="179"/>
      <c r="JA28" s="179"/>
      <c r="JB28" s="179"/>
      <c r="JC28" s="179"/>
      <c r="JD28" s="179"/>
      <c r="JE28" s="179"/>
      <c r="JF28" s="179"/>
      <c r="JG28" s="179"/>
      <c r="JH28" s="157"/>
      <c r="JI28" s="161"/>
      <c r="JJ28" s="192"/>
      <c r="JK28" s="179"/>
      <c r="JL28" s="179"/>
      <c r="JM28" s="179"/>
      <c r="JN28" s="179"/>
      <c r="JO28" s="179"/>
      <c r="JP28" s="179"/>
      <c r="JQ28" s="179"/>
      <c r="JR28" s="179"/>
      <c r="JS28" s="179"/>
      <c r="JT28" s="179"/>
      <c r="JU28" s="179"/>
      <c r="JV28" s="157"/>
      <c r="JW28" s="161"/>
      <c r="JX28" s="192"/>
      <c r="JY28" s="179"/>
      <c r="JZ28" s="179"/>
      <c r="KA28" s="179"/>
      <c r="KB28" s="179"/>
      <c r="KC28" s="179"/>
      <c r="KD28" s="179"/>
      <c r="KE28" s="179"/>
      <c r="KF28" s="179"/>
      <c r="KG28" s="179"/>
      <c r="KH28" s="179"/>
      <c r="KI28" s="179"/>
      <c r="KJ28" s="157"/>
      <c r="KK28" s="161"/>
      <c r="KL28" s="192"/>
      <c r="KM28" s="179"/>
      <c r="KN28" s="179"/>
      <c r="KO28" s="179"/>
      <c r="KP28" s="179"/>
      <c r="KQ28" s="179"/>
      <c r="KR28" s="179"/>
      <c r="KS28" s="179"/>
      <c r="KT28" s="179"/>
      <c r="KU28" s="179"/>
      <c r="KV28" s="179"/>
      <c r="KW28" s="179"/>
      <c r="KX28" s="157"/>
      <c r="KY28" s="161"/>
      <c r="KZ28" s="192"/>
      <c r="LA28" s="179"/>
      <c r="LB28" s="179"/>
      <c r="LC28" s="179"/>
      <c r="LD28" s="179"/>
      <c r="LE28" s="179"/>
      <c r="LF28" s="179"/>
      <c r="LG28" s="179"/>
      <c r="LH28" s="179"/>
      <c r="LI28" s="179"/>
      <c r="LJ28" s="179"/>
      <c r="LK28" s="179"/>
      <c r="LL28" s="157"/>
      <c r="LM28" s="161"/>
      <c r="LN28" s="192"/>
      <c r="LO28" s="179"/>
      <c r="LP28" s="179"/>
      <c r="LQ28" s="179"/>
      <c r="LR28" s="179"/>
      <c r="LS28" s="179"/>
      <c r="LT28" s="179"/>
      <c r="LU28" s="179"/>
      <c r="LV28" s="179"/>
      <c r="LW28" s="179"/>
      <c r="LX28" s="179"/>
      <c r="LY28" s="179"/>
      <c r="LZ28" s="157"/>
      <c r="MA28" s="161"/>
      <c r="MB28" s="157"/>
      <c r="MC28" s="157"/>
      <c r="MD28" s="157"/>
      <c r="ME28" s="157"/>
      <c r="MF28" s="157"/>
      <c r="MG28" s="157"/>
      <c r="MH28" s="157"/>
      <c r="MI28" s="157"/>
      <c r="MJ28" s="157"/>
      <c r="MK28" s="157"/>
      <c r="ML28" s="157"/>
      <c r="MM28" s="157"/>
      <c r="MN28" s="157"/>
    </row>
    <row r="29" spans="1:352" s="191" customFormat="1" hidden="1" x14ac:dyDescent="0.3">
      <c r="A29" s="186"/>
      <c r="B29" s="187" t="s">
        <v>208</v>
      </c>
      <c r="C29" s="186"/>
      <c r="D29" s="189">
        <f>SUM(D26:D28)</f>
        <v>0</v>
      </c>
      <c r="E29" s="190">
        <f t="shared" ref="E29:O29" si="83">SUM(E26:E28)</f>
        <v>0</v>
      </c>
      <c r="F29" s="190">
        <f t="shared" si="83"/>
        <v>0</v>
      </c>
      <c r="G29" s="190">
        <f t="shared" si="83"/>
        <v>0</v>
      </c>
      <c r="H29" s="190">
        <f t="shared" si="83"/>
        <v>0</v>
      </c>
      <c r="I29" s="190">
        <f t="shared" si="83"/>
        <v>0</v>
      </c>
      <c r="J29" s="190">
        <f t="shared" si="83"/>
        <v>0</v>
      </c>
      <c r="K29" s="190">
        <f t="shared" si="83"/>
        <v>0</v>
      </c>
      <c r="L29" s="190">
        <f t="shared" si="83"/>
        <v>0</v>
      </c>
      <c r="M29" s="190">
        <f t="shared" si="83"/>
        <v>0</v>
      </c>
      <c r="N29" s="190">
        <f t="shared" si="83"/>
        <v>0</v>
      </c>
      <c r="O29" s="190">
        <f t="shared" si="83"/>
        <v>0</v>
      </c>
      <c r="P29" s="169">
        <f>+SUBTOTAL(9,D29:O29)</f>
        <v>0</v>
      </c>
      <c r="Q29" s="161"/>
      <c r="R29" s="189">
        <f>SUM(R26:R28)</f>
        <v>0</v>
      </c>
      <c r="S29" s="190">
        <f t="shared" ref="S29:AC29" si="84">SUM(S26:S28)</f>
        <v>0</v>
      </c>
      <c r="T29" s="190">
        <f t="shared" si="84"/>
        <v>0</v>
      </c>
      <c r="U29" s="190">
        <f t="shared" si="84"/>
        <v>0</v>
      </c>
      <c r="V29" s="190">
        <f t="shared" si="84"/>
        <v>0</v>
      </c>
      <c r="W29" s="190">
        <f t="shared" si="84"/>
        <v>0</v>
      </c>
      <c r="X29" s="190">
        <f t="shared" si="84"/>
        <v>0</v>
      </c>
      <c r="Y29" s="190">
        <f t="shared" si="84"/>
        <v>0</v>
      </c>
      <c r="Z29" s="190">
        <f t="shared" si="84"/>
        <v>0</v>
      </c>
      <c r="AA29" s="190">
        <f t="shared" si="84"/>
        <v>0</v>
      </c>
      <c r="AB29" s="190">
        <f t="shared" si="84"/>
        <v>0</v>
      </c>
      <c r="AC29" s="190">
        <f t="shared" si="84"/>
        <v>0</v>
      </c>
      <c r="AD29" s="169">
        <f>+SUBTOTAL(9,R29:AC29)</f>
        <v>0</v>
      </c>
      <c r="AE29" s="161"/>
      <c r="AF29" s="189">
        <f>SUM(AF26:AF28)</f>
        <v>0</v>
      </c>
      <c r="AG29" s="190">
        <f t="shared" ref="AG29:AQ29" si="85">SUM(AG26:AG28)</f>
        <v>0</v>
      </c>
      <c r="AH29" s="190">
        <f t="shared" si="85"/>
        <v>0</v>
      </c>
      <c r="AI29" s="190">
        <f t="shared" si="85"/>
        <v>0</v>
      </c>
      <c r="AJ29" s="190">
        <f t="shared" si="85"/>
        <v>0</v>
      </c>
      <c r="AK29" s="190">
        <f t="shared" si="85"/>
        <v>0</v>
      </c>
      <c r="AL29" s="190">
        <f t="shared" si="85"/>
        <v>0</v>
      </c>
      <c r="AM29" s="190">
        <f t="shared" si="85"/>
        <v>0</v>
      </c>
      <c r="AN29" s="190">
        <f t="shared" si="85"/>
        <v>0</v>
      </c>
      <c r="AO29" s="190">
        <f t="shared" si="85"/>
        <v>0</v>
      </c>
      <c r="AP29" s="190">
        <f t="shared" si="85"/>
        <v>0</v>
      </c>
      <c r="AQ29" s="190">
        <f t="shared" si="85"/>
        <v>0</v>
      </c>
      <c r="AR29" s="169">
        <f>+SUBTOTAL(9,AF29:AQ29)</f>
        <v>0</v>
      </c>
      <c r="AS29" s="161"/>
      <c r="AT29" s="189">
        <f>SUM(AT26:AT28)</f>
        <v>0</v>
      </c>
      <c r="AU29" s="190">
        <f t="shared" ref="AU29:BE29" si="86">SUM(AU26:AU28)</f>
        <v>0</v>
      </c>
      <c r="AV29" s="190">
        <f t="shared" si="86"/>
        <v>0</v>
      </c>
      <c r="AW29" s="190">
        <f t="shared" si="86"/>
        <v>0</v>
      </c>
      <c r="AX29" s="190">
        <f t="shared" si="86"/>
        <v>0</v>
      </c>
      <c r="AY29" s="190">
        <f t="shared" si="86"/>
        <v>0</v>
      </c>
      <c r="AZ29" s="190">
        <f t="shared" si="86"/>
        <v>0</v>
      </c>
      <c r="BA29" s="190">
        <f t="shared" si="86"/>
        <v>0</v>
      </c>
      <c r="BB29" s="190">
        <f t="shared" si="86"/>
        <v>0</v>
      </c>
      <c r="BC29" s="190">
        <f t="shared" si="86"/>
        <v>0</v>
      </c>
      <c r="BD29" s="190">
        <f t="shared" si="86"/>
        <v>0</v>
      </c>
      <c r="BE29" s="190">
        <f t="shared" si="86"/>
        <v>0</v>
      </c>
      <c r="BF29" s="169">
        <f>+SUBTOTAL(9,AT29:BE29)</f>
        <v>0</v>
      </c>
      <c r="BG29" s="161"/>
      <c r="BH29" s="189">
        <f>SUM(BH26:BH28)</f>
        <v>0</v>
      </c>
      <c r="BI29" s="190">
        <f t="shared" ref="BI29:BS29" si="87">SUM(BI26:BI28)</f>
        <v>0</v>
      </c>
      <c r="BJ29" s="190">
        <f t="shared" si="87"/>
        <v>0</v>
      </c>
      <c r="BK29" s="190">
        <f t="shared" si="87"/>
        <v>0</v>
      </c>
      <c r="BL29" s="190">
        <f t="shared" si="87"/>
        <v>0</v>
      </c>
      <c r="BM29" s="190">
        <f t="shared" si="87"/>
        <v>0</v>
      </c>
      <c r="BN29" s="190">
        <f t="shared" si="87"/>
        <v>0</v>
      </c>
      <c r="BO29" s="190">
        <f t="shared" si="87"/>
        <v>0</v>
      </c>
      <c r="BP29" s="190">
        <f t="shared" si="87"/>
        <v>0</v>
      </c>
      <c r="BQ29" s="190">
        <f t="shared" si="87"/>
        <v>0</v>
      </c>
      <c r="BR29" s="190">
        <f t="shared" si="87"/>
        <v>0</v>
      </c>
      <c r="BS29" s="190">
        <f t="shared" si="87"/>
        <v>0</v>
      </c>
      <c r="BT29" s="169">
        <f>+SUBTOTAL(9,BH29:BS29)</f>
        <v>0</v>
      </c>
      <c r="BU29" s="161"/>
      <c r="BV29" s="189">
        <f>SUM(BV26:BV28)</f>
        <v>0</v>
      </c>
      <c r="BW29" s="190">
        <f t="shared" ref="BW29:CG29" si="88">SUM(BW26:BW28)</f>
        <v>0</v>
      </c>
      <c r="BX29" s="190">
        <f t="shared" si="88"/>
        <v>0</v>
      </c>
      <c r="BY29" s="190">
        <f t="shared" si="88"/>
        <v>0</v>
      </c>
      <c r="BZ29" s="190">
        <f t="shared" si="88"/>
        <v>0</v>
      </c>
      <c r="CA29" s="190">
        <f t="shared" si="88"/>
        <v>0</v>
      </c>
      <c r="CB29" s="190">
        <f t="shared" si="88"/>
        <v>0</v>
      </c>
      <c r="CC29" s="190">
        <f t="shared" si="88"/>
        <v>0</v>
      </c>
      <c r="CD29" s="190">
        <f t="shared" si="88"/>
        <v>0</v>
      </c>
      <c r="CE29" s="190">
        <f t="shared" si="88"/>
        <v>0</v>
      </c>
      <c r="CF29" s="190">
        <f t="shared" si="88"/>
        <v>0</v>
      </c>
      <c r="CG29" s="190">
        <f t="shared" si="88"/>
        <v>0</v>
      </c>
      <c r="CH29" s="169">
        <f>+SUBTOTAL(9,BV29:CG29)</f>
        <v>0</v>
      </c>
      <c r="CI29" s="161"/>
      <c r="CJ29" s="189">
        <f>SUM(CJ26:CJ28)</f>
        <v>0</v>
      </c>
      <c r="CK29" s="190">
        <f t="shared" ref="CK29:CU29" si="89">SUM(CK26:CK28)</f>
        <v>0</v>
      </c>
      <c r="CL29" s="190">
        <f t="shared" si="89"/>
        <v>0</v>
      </c>
      <c r="CM29" s="190">
        <f t="shared" si="89"/>
        <v>0</v>
      </c>
      <c r="CN29" s="190">
        <f t="shared" si="89"/>
        <v>0</v>
      </c>
      <c r="CO29" s="190">
        <f t="shared" si="89"/>
        <v>0</v>
      </c>
      <c r="CP29" s="190">
        <f t="shared" si="89"/>
        <v>0</v>
      </c>
      <c r="CQ29" s="190">
        <f t="shared" si="89"/>
        <v>0</v>
      </c>
      <c r="CR29" s="190">
        <f t="shared" si="89"/>
        <v>0</v>
      </c>
      <c r="CS29" s="190">
        <f t="shared" si="89"/>
        <v>0</v>
      </c>
      <c r="CT29" s="190">
        <f t="shared" si="89"/>
        <v>0</v>
      </c>
      <c r="CU29" s="190">
        <f t="shared" si="89"/>
        <v>0</v>
      </c>
      <c r="CV29" s="169">
        <f>+SUBTOTAL(9,CJ29:CU29)</f>
        <v>0</v>
      </c>
      <c r="CW29" s="161"/>
      <c r="CX29" s="189">
        <f>SUM(CX26:CX28)</f>
        <v>0</v>
      </c>
      <c r="CY29" s="190">
        <f t="shared" ref="CY29:DI29" si="90">SUM(CY26:CY28)</f>
        <v>0</v>
      </c>
      <c r="CZ29" s="190">
        <f t="shared" si="90"/>
        <v>0</v>
      </c>
      <c r="DA29" s="190">
        <f t="shared" si="90"/>
        <v>0</v>
      </c>
      <c r="DB29" s="190">
        <f t="shared" si="90"/>
        <v>0</v>
      </c>
      <c r="DC29" s="190">
        <f t="shared" si="90"/>
        <v>0</v>
      </c>
      <c r="DD29" s="190">
        <f t="shared" si="90"/>
        <v>0</v>
      </c>
      <c r="DE29" s="190">
        <f t="shared" si="90"/>
        <v>0</v>
      </c>
      <c r="DF29" s="190">
        <f t="shared" si="90"/>
        <v>0</v>
      </c>
      <c r="DG29" s="190">
        <f t="shared" si="90"/>
        <v>0</v>
      </c>
      <c r="DH29" s="190">
        <f t="shared" si="90"/>
        <v>0</v>
      </c>
      <c r="DI29" s="190">
        <f t="shared" si="90"/>
        <v>0</v>
      </c>
      <c r="DJ29" s="169">
        <f>+SUBTOTAL(9,CX29:DI29)</f>
        <v>0</v>
      </c>
      <c r="DK29" s="161"/>
      <c r="DL29" s="189">
        <f>SUM(DL26:DL28)</f>
        <v>0</v>
      </c>
      <c r="DM29" s="190">
        <f t="shared" ref="DM29:DW29" si="91">SUM(DM26:DM28)</f>
        <v>0</v>
      </c>
      <c r="DN29" s="190">
        <f t="shared" si="91"/>
        <v>0</v>
      </c>
      <c r="DO29" s="190">
        <f t="shared" si="91"/>
        <v>0</v>
      </c>
      <c r="DP29" s="190">
        <f t="shared" si="91"/>
        <v>0</v>
      </c>
      <c r="DQ29" s="190">
        <f t="shared" si="91"/>
        <v>0</v>
      </c>
      <c r="DR29" s="190">
        <f t="shared" si="91"/>
        <v>0</v>
      </c>
      <c r="DS29" s="190">
        <f t="shared" si="91"/>
        <v>0</v>
      </c>
      <c r="DT29" s="190">
        <f t="shared" si="91"/>
        <v>0</v>
      </c>
      <c r="DU29" s="190">
        <f t="shared" si="91"/>
        <v>0</v>
      </c>
      <c r="DV29" s="190">
        <f t="shared" si="91"/>
        <v>0</v>
      </c>
      <c r="DW29" s="190">
        <f t="shared" si="91"/>
        <v>0</v>
      </c>
      <c r="DX29" s="169">
        <f>+SUBTOTAL(9,DL29:DW29)</f>
        <v>0</v>
      </c>
      <c r="DY29" s="161"/>
      <c r="DZ29" s="189">
        <f>SUM(DZ26:DZ28)</f>
        <v>0</v>
      </c>
      <c r="EA29" s="190">
        <f t="shared" ref="EA29:EK29" si="92">SUM(EA26:EA28)</f>
        <v>0</v>
      </c>
      <c r="EB29" s="190">
        <f t="shared" si="92"/>
        <v>0</v>
      </c>
      <c r="EC29" s="190">
        <f t="shared" si="92"/>
        <v>0</v>
      </c>
      <c r="ED29" s="190">
        <f t="shared" si="92"/>
        <v>0</v>
      </c>
      <c r="EE29" s="190">
        <f t="shared" si="92"/>
        <v>0</v>
      </c>
      <c r="EF29" s="190">
        <f t="shared" si="92"/>
        <v>0</v>
      </c>
      <c r="EG29" s="190">
        <f t="shared" si="92"/>
        <v>0</v>
      </c>
      <c r="EH29" s="190">
        <f t="shared" si="92"/>
        <v>0</v>
      </c>
      <c r="EI29" s="190">
        <f t="shared" si="92"/>
        <v>0</v>
      </c>
      <c r="EJ29" s="190">
        <f t="shared" si="92"/>
        <v>0</v>
      </c>
      <c r="EK29" s="190">
        <f t="shared" si="92"/>
        <v>0</v>
      </c>
      <c r="EL29" s="169">
        <f>+SUBTOTAL(9,DZ29:EK29)</f>
        <v>0</v>
      </c>
      <c r="EM29" s="161"/>
      <c r="EN29" s="189">
        <f>SUM(EN26:EN28)</f>
        <v>0</v>
      </c>
      <c r="EO29" s="190">
        <f t="shared" ref="EO29:EY29" si="93">SUM(EO26:EO28)</f>
        <v>0</v>
      </c>
      <c r="EP29" s="190">
        <f t="shared" si="93"/>
        <v>0</v>
      </c>
      <c r="EQ29" s="190">
        <f t="shared" si="93"/>
        <v>0</v>
      </c>
      <c r="ER29" s="190">
        <f t="shared" si="93"/>
        <v>0</v>
      </c>
      <c r="ES29" s="190">
        <f t="shared" si="93"/>
        <v>0</v>
      </c>
      <c r="ET29" s="190">
        <f t="shared" si="93"/>
        <v>0</v>
      </c>
      <c r="EU29" s="190">
        <f t="shared" si="93"/>
        <v>0</v>
      </c>
      <c r="EV29" s="190">
        <f t="shared" si="93"/>
        <v>0</v>
      </c>
      <c r="EW29" s="190">
        <f t="shared" si="93"/>
        <v>0</v>
      </c>
      <c r="EX29" s="190">
        <f t="shared" si="93"/>
        <v>0</v>
      </c>
      <c r="EY29" s="190">
        <f t="shared" si="93"/>
        <v>0</v>
      </c>
      <c r="EZ29" s="169">
        <f>+SUBTOTAL(9,EN29:EY29)</f>
        <v>0</v>
      </c>
      <c r="FA29" s="161"/>
      <c r="FB29" s="189">
        <f>SUM(FB26:FB28)</f>
        <v>0</v>
      </c>
      <c r="FC29" s="190">
        <f t="shared" ref="FC29:FM29" si="94">SUM(FC26:FC28)</f>
        <v>0</v>
      </c>
      <c r="FD29" s="190">
        <f t="shared" si="94"/>
        <v>0</v>
      </c>
      <c r="FE29" s="190">
        <f t="shared" si="94"/>
        <v>0</v>
      </c>
      <c r="FF29" s="190">
        <f t="shared" si="94"/>
        <v>0</v>
      </c>
      <c r="FG29" s="190">
        <f t="shared" si="94"/>
        <v>0</v>
      </c>
      <c r="FH29" s="190">
        <f t="shared" si="94"/>
        <v>0</v>
      </c>
      <c r="FI29" s="190">
        <f t="shared" si="94"/>
        <v>0</v>
      </c>
      <c r="FJ29" s="190">
        <f t="shared" si="94"/>
        <v>0</v>
      </c>
      <c r="FK29" s="190">
        <f t="shared" si="94"/>
        <v>0</v>
      </c>
      <c r="FL29" s="190">
        <f t="shared" si="94"/>
        <v>0</v>
      </c>
      <c r="FM29" s="190">
        <f t="shared" si="94"/>
        <v>0</v>
      </c>
      <c r="FN29" s="169">
        <f>+SUBTOTAL(9,FB29:FM29)</f>
        <v>0</v>
      </c>
      <c r="FO29" s="161"/>
      <c r="FP29" s="189">
        <f>SUM(FP26:FP28)</f>
        <v>0</v>
      </c>
      <c r="FQ29" s="190">
        <f t="shared" ref="FQ29:GA29" si="95">SUM(FQ26:FQ28)</f>
        <v>0</v>
      </c>
      <c r="FR29" s="190">
        <f t="shared" si="95"/>
        <v>0</v>
      </c>
      <c r="FS29" s="190">
        <f t="shared" si="95"/>
        <v>0</v>
      </c>
      <c r="FT29" s="190">
        <f t="shared" si="95"/>
        <v>0</v>
      </c>
      <c r="FU29" s="190">
        <f t="shared" si="95"/>
        <v>0</v>
      </c>
      <c r="FV29" s="190">
        <f t="shared" si="95"/>
        <v>0</v>
      </c>
      <c r="FW29" s="190">
        <f t="shared" si="95"/>
        <v>0</v>
      </c>
      <c r="FX29" s="190">
        <f t="shared" si="95"/>
        <v>0</v>
      </c>
      <c r="FY29" s="190">
        <f t="shared" si="95"/>
        <v>0</v>
      </c>
      <c r="FZ29" s="190">
        <f t="shared" si="95"/>
        <v>0</v>
      </c>
      <c r="GA29" s="190">
        <f t="shared" si="95"/>
        <v>0</v>
      </c>
      <c r="GB29" s="169">
        <f>+SUBTOTAL(9,FP29:GA29)</f>
        <v>0</v>
      </c>
      <c r="GC29" s="161"/>
      <c r="GD29" s="189">
        <f>SUM(GD26:GD28)</f>
        <v>0</v>
      </c>
      <c r="GE29" s="190">
        <f t="shared" ref="GE29:GO29" si="96">SUM(GE26:GE28)</f>
        <v>0</v>
      </c>
      <c r="GF29" s="190">
        <f t="shared" si="96"/>
        <v>0</v>
      </c>
      <c r="GG29" s="190">
        <f t="shared" si="96"/>
        <v>0</v>
      </c>
      <c r="GH29" s="190">
        <f t="shared" si="96"/>
        <v>0</v>
      </c>
      <c r="GI29" s="190">
        <f t="shared" si="96"/>
        <v>0</v>
      </c>
      <c r="GJ29" s="190">
        <f t="shared" si="96"/>
        <v>0</v>
      </c>
      <c r="GK29" s="190">
        <f t="shared" si="96"/>
        <v>0</v>
      </c>
      <c r="GL29" s="190">
        <f t="shared" si="96"/>
        <v>0</v>
      </c>
      <c r="GM29" s="190">
        <f t="shared" si="96"/>
        <v>0</v>
      </c>
      <c r="GN29" s="190">
        <f t="shared" si="96"/>
        <v>0</v>
      </c>
      <c r="GO29" s="190">
        <f t="shared" si="96"/>
        <v>0</v>
      </c>
      <c r="GP29" s="169">
        <f>+SUBTOTAL(9,GD29:GO29)</f>
        <v>0</v>
      </c>
      <c r="GQ29" s="161"/>
      <c r="GR29" s="189">
        <f>SUM(GR26:GR28)</f>
        <v>0</v>
      </c>
      <c r="GS29" s="190">
        <f t="shared" ref="GS29:HC29" si="97">SUM(GS26:GS28)</f>
        <v>0</v>
      </c>
      <c r="GT29" s="190">
        <f t="shared" si="97"/>
        <v>0</v>
      </c>
      <c r="GU29" s="190">
        <f t="shared" si="97"/>
        <v>0</v>
      </c>
      <c r="GV29" s="190">
        <f t="shared" si="97"/>
        <v>0</v>
      </c>
      <c r="GW29" s="190">
        <f t="shared" si="97"/>
        <v>0</v>
      </c>
      <c r="GX29" s="190">
        <f t="shared" si="97"/>
        <v>0</v>
      </c>
      <c r="GY29" s="190">
        <f t="shared" si="97"/>
        <v>0</v>
      </c>
      <c r="GZ29" s="190">
        <f t="shared" si="97"/>
        <v>0</v>
      </c>
      <c r="HA29" s="190">
        <f t="shared" si="97"/>
        <v>0</v>
      </c>
      <c r="HB29" s="190">
        <f t="shared" si="97"/>
        <v>0</v>
      </c>
      <c r="HC29" s="190">
        <f t="shared" si="97"/>
        <v>0</v>
      </c>
      <c r="HD29" s="169">
        <f>+SUBTOTAL(9,GR29:HC29)</f>
        <v>0</v>
      </c>
      <c r="HE29" s="161"/>
      <c r="HF29" s="189">
        <f>SUM(HF26:HF28)</f>
        <v>0</v>
      </c>
      <c r="HG29" s="190">
        <f t="shared" ref="HG29:HQ29" si="98">SUM(HG26:HG28)</f>
        <v>0</v>
      </c>
      <c r="HH29" s="190">
        <f t="shared" si="98"/>
        <v>0</v>
      </c>
      <c r="HI29" s="190">
        <f t="shared" si="98"/>
        <v>0</v>
      </c>
      <c r="HJ29" s="190">
        <f t="shared" si="98"/>
        <v>0</v>
      </c>
      <c r="HK29" s="190">
        <f t="shared" si="98"/>
        <v>0</v>
      </c>
      <c r="HL29" s="190">
        <f t="shared" si="98"/>
        <v>0</v>
      </c>
      <c r="HM29" s="190">
        <f t="shared" si="98"/>
        <v>0</v>
      </c>
      <c r="HN29" s="190">
        <f t="shared" si="98"/>
        <v>0</v>
      </c>
      <c r="HO29" s="190">
        <f t="shared" si="98"/>
        <v>0</v>
      </c>
      <c r="HP29" s="190">
        <f t="shared" si="98"/>
        <v>0</v>
      </c>
      <c r="HQ29" s="190">
        <f t="shared" si="98"/>
        <v>0</v>
      </c>
      <c r="HR29" s="169">
        <f>+SUBTOTAL(9,HF29:HQ29)</f>
        <v>0</v>
      </c>
      <c r="HS29" s="161"/>
      <c r="HT29" s="189">
        <f>SUM(HT26:HT28)</f>
        <v>0</v>
      </c>
      <c r="HU29" s="190">
        <f t="shared" ref="HU29:IE29" si="99">SUM(HU26:HU28)</f>
        <v>0</v>
      </c>
      <c r="HV29" s="190">
        <f t="shared" si="99"/>
        <v>0</v>
      </c>
      <c r="HW29" s="190">
        <f t="shared" si="99"/>
        <v>0</v>
      </c>
      <c r="HX29" s="190">
        <f t="shared" si="99"/>
        <v>0</v>
      </c>
      <c r="HY29" s="190">
        <f t="shared" si="99"/>
        <v>0</v>
      </c>
      <c r="HZ29" s="190">
        <f t="shared" si="99"/>
        <v>0</v>
      </c>
      <c r="IA29" s="190">
        <f t="shared" si="99"/>
        <v>0</v>
      </c>
      <c r="IB29" s="190">
        <f t="shared" si="99"/>
        <v>0</v>
      </c>
      <c r="IC29" s="190">
        <f t="shared" si="99"/>
        <v>0</v>
      </c>
      <c r="ID29" s="190">
        <f t="shared" si="99"/>
        <v>0</v>
      </c>
      <c r="IE29" s="190">
        <f t="shared" si="99"/>
        <v>0</v>
      </c>
      <c r="IF29" s="169">
        <f>+SUBTOTAL(9,HT29:IE29)</f>
        <v>0</v>
      </c>
      <c r="IG29" s="161"/>
      <c r="IH29" s="189">
        <f>SUM(IH26:IH28)</f>
        <v>0</v>
      </c>
      <c r="II29" s="190">
        <f t="shared" ref="II29:IS29" si="100">SUM(II26:II28)</f>
        <v>0</v>
      </c>
      <c r="IJ29" s="190">
        <f t="shared" si="100"/>
        <v>0</v>
      </c>
      <c r="IK29" s="190">
        <f t="shared" si="100"/>
        <v>0</v>
      </c>
      <c r="IL29" s="190">
        <f t="shared" si="100"/>
        <v>0</v>
      </c>
      <c r="IM29" s="190">
        <f t="shared" si="100"/>
        <v>0</v>
      </c>
      <c r="IN29" s="190">
        <f t="shared" si="100"/>
        <v>0</v>
      </c>
      <c r="IO29" s="190">
        <f t="shared" si="100"/>
        <v>0</v>
      </c>
      <c r="IP29" s="190">
        <f t="shared" si="100"/>
        <v>0</v>
      </c>
      <c r="IQ29" s="190">
        <f t="shared" si="100"/>
        <v>0</v>
      </c>
      <c r="IR29" s="190">
        <f t="shared" si="100"/>
        <v>0</v>
      </c>
      <c r="IS29" s="190">
        <f t="shared" si="100"/>
        <v>0</v>
      </c>
      <c r="IT29" s="169">
        <f>+SUBTOTAL(9,IH29:IS29)</f>
        <v>0</v>
      </c>
      <c r="IU29" s="161"/>
      <c r="IV29" s="189">
        <f>SUM(IV26:IV28)</f>
        <v>0</v>
      </c>
      <c r="IW29" s="190">
        <f t="shared" ref="IW29:JG29" si="101">SUM(IW26:IW28)</f>
        <v>0</v>
      </c>
      <c r="IX29" s="190">
        <f t="shared" si="101"/>
        <v>0</v>
      </c>
      <c r="IY29" s="190">
        <f t="shared" si="101"/>
        <v>0</v>
      </c>
      <c r="IZ29" s="190">
        <f t="shared" si="101"/>
        <v>0</v>
      </c>
      <c r="JA29" s="190">
        <f t="shared" si="101"/>
        <v>0</v>
      </c>
      <c r="JB29" s="190">
        <f t="shared" si="101"/>
        <v>0</v>
      </c>
      <c r="JC29" s="190">
        <f t="shared" si="101"/>
        <v>0</v>
      </c>
      <c r="JD29" s="190">
        <f t="shared" si="101"/>
        <v>0</v>
      </c>
      <c r="JE29" s="190">
        <f t="shared" si="101"/>
        <v>0</v>
      </c>
      <c r="JF29" s="190">
        <f t="shared" si="101"/>
        <v>0</v>
      </c>
      <c r="JG29" s="190">
        <f t="shared" si="101"/>
        <v>0</v>
      </c>
      <c r="JH29" s="169">
        <f>+SUBTOTAL(9,IV29:JG29)</f>
        <v>0</v>
      </c>
      <c r="JI29" s="161"/>
      <c r="JJ29" s="189">
        <f>SUM(JJ26:JJ28)</f>
        <v>0</v>
      </c>
      <c r="JK29" s="190">
        <f t="shared" ref="JK29:JU29" si="102">SUM(JK26:JK28)</f>
        <v>0</v>
      </c>
      <c r="JL29" s="190">
        <f t="shared" si="102"/>
        <v>0</v>
      </c>
      <c r="JM29" s="190">
        <f t="shared" si="102"/>
        <v>0</v>
      </c>
      <c r="JN29" s="190">
        <f t="shared" si="102"/>
        <v>0</v>
      </c>
      <c r="JO29" s="190">
        <f t="shared" si="102"/>
        <v>0</v>
      </c>
      <c r="JP29" s="190">
        <f t="shared" si="102"/>
        <v>0</v>
      </c>
      <c r="JQ29" s="190">
        <f t="shared" si="102"/>
        <v>0</v>
      </c>
      <c r="JR29" s="190">
        <f t="shared" si="102"/>
        <v>0</v>
      </c>
      <c r="JS29" s="190">
        <f t="shared" si="102"/>
        <v>0</v>
      </c>
      <c r="JT29" s="190">
        <f t="shared" si="102"/>
        <v>0</v>
      </c>
      <c r="JU29" s="190">
        <f t="shared" si="102"/>
        <v>0</v>
      </c>
      <c r="JV29" s="169">
        <f>+SUBTOTAL(9,JJ29:JU29)</f>
        <v>0</v>
      </c>
      <c r="JW29" s="161"/>
      <c r="JX29" s="189">
        <f>SUM(JX26:JX28)</f>
        <v>0</v>
      </c>
      <c r="JY29" s="190">
        <f t="shared" ref="JY29:KI29" si="103">SUM(JY26:JY28)</f>
        <v>0</v>
      </c>
      <c r="JZ29" s="190">
        <f t="shared" si="103"/>
        <v>0</v>
      </c>
      <c r="KA29" s="190">
        <f t="shared" si="103"/>
        <v>0</v>
      </c>
      <c r="KB29" s="190">
        <f t="shared" si="103"/>
        <v>0</v>
      </c>
      <c r="KC29" s="190">
        <f t="shared" si="103"/>
        <v>0</v>
      </c>
      <c r="KD29" s="190">
        <f t="shared" si="103"/>
        <v>0</v>
      </c>
      <c r="KE29" s="190">
        <f t="shared" si="103"/>
        <v>0</v>
      </c>
      <c r="KF29" s="190">
        <f t="shared" si="103"/>
        <v>0</v>
      </c>
      <c r="KG29" s="190">
        <f t="shared" si="103"/>
        <v>0</v>
      </c>
      <c r="KH29" s="190">
        <f t="shared" si="103"/>
        <v>0</v>
      </c>
      <c r="KI29" s="190">
        <f t="shared" si="103"/>
        <v>0</v>
      </c>
      <c r="KJ29" s="169">
        <f>+SUBTOTAL(9,JX29:KI29)</f>
        <v>0</v>
      </c>
      <c r="KK29" s="161"/>
      <c r="KL29" s="189">
        <f>SUM(KL26:KL28)</f>
        <v>0</v>
      </c>
      <c r="KM29" s="190">
        <f t="shared" ref="KM29:KW29" si="104">SUM(KM26:KM28)</f>
        <v>0</v>
      </c>
      <c r="KN29" s="190">
        <f t="shared" si="104"/>
        <v>0</v>
      </c>
      <c r="KO29" s="190">
        <f t="shared" si="104"/>
        <v>0</v>
      </c>
      <c r="KP29" s="190">
        <f t="shared" si="104"/>
        <v>0</v>
      </c>
      <c r="KQ29" s="190">
        <f t="shared" si="104"/>
        <v>0</v>
      </c>
      <c r="KR29" s="190">
        <f t="shared" si="104"/>
        <v>0</v>
      </c>
      <c r="KS29" s="190">
        <f t="shared" si="104"/>
        <v>0</v>
      </c>
      <c r="KT29" s="190">
        <f t="shared" si="104"/>
        <v>0</v>
      </c>
      <c r="KU29" s="190">
        <f t="shared" si="104"/>
        <v>0</v>
      </c>
      <c r="KV29" s="190">
        <f t="shared" si="104"/>
        <v>0</v>
      </c>
      <c r="KW29" s="190">
        <f t="shared" si="104"/>
        <v>0</v>
      </c>
      <c r="KX29" s="169">
        <f>+SUBTOTAL(9,KL29:KW29)</f>
        <v>0</v>
      </c>
      <c r="KY29" s="161"/>
      <c r="KZ29" s="189">
        <f>SUM(KZ26:KZ28)</f>
        <v>0</v>
      </c>
      <c r="LA29" s="190">
        <f t="shared" ref="LA29:LK29" si="105">SUM(LA26:LA28)</f>
        <v>0</v>
      </c>
      <c r="LB29" s="190">
        <f t="shared" si="105"/>
        <v>0</v>
      </c>
      <c r="LC29" s="190">
        <f t="shared" si="105"/>
        <v>0</v>
      </c>
      <c r="LD29" s="190">
        <f t="shared" si="105"/>
        <v>0</v>
      </c>
      <c r="LE29" s="190">
        <f t="shared" si="105"/>
        <v>0</v>
      </c>
      <c r="LF29" s="190">
        <f t="shared" si="105"/>
        <v>0</v>
      </c>
      <c r="LG29" s="190">
        <f t="shared" si="105"/>
        <v>0</v>
      </c>
      <c r="LH29" s="190">
        <f t="shared" si="105"/>
        <v>0</v>
      </c>
      <c r="LI29" s="190">
        <f t="shared" si="105"/>
        <v>0</v>
      </c>
      <c r="LJ29" s="190">
        <f t="shared" si="105"/>
        <v>0</v>
      </c>
      <c r="LK29" s="190">
        <f t="shared" si="105"/>
        <v>0</v>
      </c>
      <c r="LL29" s="169">
        <f>+SUBTOTAL(9,KZ29:LK29)</f>
        <v>0</v>
      </c>
      <c r="LM29" s="161"/>
      <c r="LN29" s="189">
        <f>SUM(LN26:LN28)</f>
        <v>0</v>
      </c>
      <c r="LO29" s="190">
        <f t="shared" ref="LO29:LY29" si="106">SUM(LO26:LO28)</f>
        <v>0</v>
      </c>
      <c r="LP29" s="190">
        <f t="shared" si="106"/>
        <v>0</v>
      </c>
      <c r="LQ29" s="190">
        <f t="shared" si="106"/>
        <v>0</v>
      </c>
      <c r="LR29" s="190">
        <f t="shared" si="106"/>
        <v>0</v>
      </c>
      <c r="LS29" s="190">
        <f t="shared" si="106"/>
        <v>0</v>
      </c>
      <c r="LT29" s="190">
        <f t="shared" si="106"/>
        <v>0</v>
      </c>
      <c r="LU29" s="190">
        <f t="shared" si="106"/>
        <v>0</v>
      </c>
      <c r="LV29" s="190">
        <f t="shared" si="106"/>
        <v>0</v>
      </c>
      <c r="LW29" s="190">
        <f t="shared" si="106"/>
        <v>0</v>
      </c>
      <c r="LX29" s="190">
        <f t="shared" si="106"/>
        <v>0</v>
      </c>
      <c r="LY29" s="190">
        <f t="shared" si="106"/>
        <v>0</v>
      </c>
      <c r="LZ29" s="169">
        <f>+SUBTOTAL(9,LN29:LY29)</f>
        <v>0</v>
      </c>
      <c r="MA29" s="161"/>
      <c r="MB29" s="169">
        <f t="shared" ref="MB29:MC29" si="107">SUM(MB26:MB28)</f>
        <v>0</v>
      </c>
      <c r="MC29" s="169">
        <f t="shared" si="107"/>
        <v>0</v>
      </c>
      <c r="MD29" s="169">
        <f t="shared" ref="MD29:MN29" si="108">SUM(MD26:MD28)</f>
        <v>0</v>
      </c>
      <c r="ME29" s="169">
        <f t="shared" si="108"/>
        <v>0</v>
      </c>
      <c r="MF29" s="169">
        <f t="shared" si="108"/>
        <v>0</v>
      </c>
      <c r="MG29" s="169">
        <f t="shared" si="108"/>
        <v>0</v>
      </c>
      <c r="MH29" s="169">
        <f t="shared" si="108"/>
        <v>0</v>
      </c>
      <c r="MI29" s="169">
        <f t="shared" si="108"/>
        <v>0</v>
      </c>
      <c r="MJ29" s="169">
        <f t="shared" si="108"/>
        <v>0</v>
      </c>
      <c r="MK29" s="169">
        <f t="shared" si="108"/>
        <v>0</v>
      </c>
      <c r="ML29" s="169">
        <f t="shared" si="108"/>
        <v>0</v>
      </c>
      <c r="MM29" s="169">
        <f t="shared" si="108"/>
        <v>0</v>
      </c>
      <c r="MN29" s="169">
        <f t="shared" si="108"/>
        <v>0</v>
      </c>
    </row>
    <row r="30" spans="1:352" s="180" customFormat="1" ht="12.5" x14ac:dyDescent="0.25">
      <c r="A30" s="98"/>
      <c r="B30" s="183"/>
      <c r="C30" s="98"/>
      <c r="D30" s="192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93"/>
      <c r="Q30" s="194"/>
      <c r="R30" s="192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93"/>
      <c r="AE30" s="194"/>
      <c r="AF30" s="192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79"/>
      <c r="AR30" s="193"/>
      <c r="AS30" s="194"/>
      <c r="AT30" s="192"/>
      <c r="AU30" s="179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93"/>
      <c r="BG30" s="194"/>
      <c r="BH30" s="192"/>
      <c r="BI30" s="179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93"/>
      <c r="BU30" s="194"/>
      <c r="BV30" s="192"/>
      <c r="BW30" s="179"/>
      <c r="BX30" s="179"/>
      <c r="BY30" s="179"/>
      <c r="BZ30" s="179"/>
      <c r="CA30" s="179"/>
      <c r="CB30" s="179"/>
      <c r="CC30" s="179"/>
      <c r="CD30" s="179"/>
      <c r="CE30" s="179"/>
      <c r="CF30" s="179"/>
      <c r="CG30" s="179"/>
      <c r="CH30" s="193"/>
      <c r="CI30" s="194"/>
      <c r="CJ30" s="192"/>
      <c r="CK30" s="179"/>
      <c r="CL30" s="179"/>
      <c r="CM30" s="179"/>
      <c r="CN30" s="179"/>
      <c r="CO30" s="179"/>
      <c r="CP30" s="179"/>
      <c r="CQ30" s="179"/>
      <c r="CR30" s="179"/>
      <c r="CS30" s="179"/>
      <c r="CT30" s="179"/>
      <c r="CU30" s="179"/>
      <c r="CV30" s="193"/>
      <c r="CW30" s="194"/>
      <c r="CX30" s="192"/>
      <c r="CY30" s="179"/>
      <c r="CZ30" s="179"/>
      <c r="DA30" s="179"/>
      <c r="DB30" s="179"/>
      <c r="DC30" s="179"/>
      <c r="DD30" s="179"/>
      <c r="DE30" s="179"/>
      <c r="DF30" s="179"/>
      <c r="DG30" s="179"/>
      <c r="DH30" s="179"/>
      <c r="DI30" s="179"/>
      <c r="DJ30" s="193"/>
      <c r="DK30" s="194"/>
      <c r="DL30" s="192"/>
      <c r="DM30" s="179"/>
      <c r="DN30" s="179"/>
      <c r="DO30" s="179"/>
      <c r="DP30" s="179"/>
      <c r="DQ30" s="179"/>
      <c r="DR30" s="179"/>
      <c r="DS30" s="179"/>
      <c r="DT30" s="179"/>
      <c r="DU30" s="179"/>
      <c r="DV30" s="179"/>
      <c r="DW30" s="179"/>
      <c r="DX30" s="193"/>
      <c r="DY30" s="194"/>
      <c r="DZ30" s="192"/>
      <c r="EA30" s="179"/>
      <c r="EB30" s="179"/>
      <c r="EC30" s="179"/>
      <c r="ED30" s="179"/>
      <c r="EE30" s="179"/>
      <c r="EF30" s="179"/>
      <c r="EG30" s="179"/>
      <c r="EH30" s="179"/>
      <c r="EI30" s="179"/>
      <c r="EJ30" s="179"/>
      <c r="EK30" s="179"/>
      <c r="EL30" s="193"/>
      <c r="EM30" s="194"/>
      <c r="EN30" s="192"/>
      <c r="EO30" s="179"/>
      <c r="EP30" s="179"/>
      <c r="EQ30" s="179"/>
      <c r="ER30" s="179"/>
      <c r="ES30" s="179"/>
      <c r="ET30" s="179"/>
      <c r="EU30" s="179"/>
      <c r="EV30" s="179"/>
      <c r="EW30" s="179"/>
      <c r="EX30" s="179"/>
      <c r="EY30" s="179"/>
      <c r="EZ30" s="193"/>
      <c r="FA30" s="194"/>
      <c r="FB30" s="192"/>
      <c r="FC30" s="179"/>
      <c r="FD30" s="179"/>
      <c r="FE30" s="179"/>
      <c r="FF30" s="179"/>
      <c r="FG30" s="179"/>
      <c r="FH30" s="179"/>
      <c r="FI30" s="179"/>
      <c r="FJ30" s="179"/>
      <c r="FK30" s="179"/>
      <c r="FL30" s="179"/>
      <c r="FM30" s="179"/>
      <c r="FN30" s="193"/>
      <c r="FO30" s="194"/>
      <c r="FP30" s="192"/>
      <c r="FQ30" s="179"/>
      <c r="FR30" s="179"/>
      <c r="FS30" s="179"/>
      <c r="FT30" s="179"/>
      <c r="FU30" s="179"/>
      <c r="FV30" s="179"/>
      <c r="FW30" s="179"/>
      <c r="FX30" s="179"/>
      <c r="FY30" s="179"/>
      <c r="FZ30" s="179"/>
      <c r="GA30" s="179"/>
      <c r="GB30" s="193"/>
      <c r="GC30" s="194"/>
      <c r="GD30" s="192"/>
      <c r="GE30" s="179"/>
      <c r="GF30" s="179"/>
      <c r="GG30" s="179"/>
      <c r="GH30" s="179"/>
      <c r="GI30" s="179"/>
      <c r="GJ30" s="179"/>
      <c r="GK30" s="179"/>
      <c r="GL30" s="179"/>
      <c r="GM30" s="179"/>
      <c r="GN30" s="179"/>
      <c r="GO30" s="179"/>
      <c r="GP30" s="193"/>
      <c r="GQ30" s="194"/>
      <c r="GR30" s="192"/>
      <c r="GS30" s="179"/>
      <c r="GT30" s="179"/>
      <c r="GU30" s="179"/>
      <c r="GV30" s="179"/>
      <c r="GW30" s="179"/>
      <c r="GX30" s="179"/>
      <c r="GY30" s="179"/>
      <c r="GZ30" s="179"/>
      <c r="HA30" s="179"/>
      <c r="HB30" s="179"/>
      <c r="HC30" s="179"/>
      <c r="HD30" s="193"/>
      <c r="HE30" s="194"/>
      <c r="HF30" s="192"/>
      <c r="HG30" s="179"/>
      <c r="HH30" s="179"/>
      <c r="HI30" s="179"/>
      <c r="HJ30" s="179"/>
      <c r="HK30" s="179"/>
      <c r="HL30" s="179"/>
      <c r="HM30" s="179"/>
      <c r="HN30" s="179"/>
      <c r="HO30" s="179"/>
      <c r="HP30" s="179"/>
      <c r="HQ30" s="179"/>
      <c r="HR30" s="193"/>
      <c r="HS30" s="194"/>
      <c r="HT30" s="192"/>
      <c r="HU30" s="179"/>
      <c r="HV30" s="179"/>
      <c r="HW30" s="179"/>
      <c r="HX30" s="179"/>
      <c r="HY30" s="179"/>
      <c r="HZ30" s="179"/>
      <c r="IA30" s="179"/>
      <c r="IB30" s="179"/>
      <c r="IC30" s="179"/>
      <c r="ID30" s="179"/>
      <c r="IE30" s="179"/>
      <c r="IF30" s="193"/>
      <c r="IG30" s="194"/>
      <c r="IH30" s="192"/>
      <c r="II30" s="179"/>
      <c r="IJ30" s="179"/>
      <c r="IK30" s="179"/>
      <c r="IL30" s="179"/>
      <c r="IM30" s="179"/>
      <c r="IN30" s="179"/>
      <c r="IO30" s="179"/>
      <c r="IP30" s="179"/>
      <c r="IQ30" s="179"/>
      <c r="IR30" s="179"/>
      <c r="IS30" s="179"/>
      <c r="IT30" s="193"/>
      <c r="IU30" s="194"/>
      <c r="IV30" s="192"/>
      <c r="IW30" s="179"/>
      <c r="IX30" s="179"/>
      <c r="IY30" s="179"/>
      <c r="IZ30" s="179"/>
      <c r="JA30" s="179"/>
      <c r="JB30" s="179"/>
      <c r="JC30" s="179"/>
      <c r="JD30" s="179"/>
      <c r="JE30" s="179"/>
      <c r="JF30" s="179"/>
      <c r="JG30" s="179"/>
      <c r="JH30" s="193"/>
      <c r="JI30" s="194"/>
      <c r="JJ30" s="192"/>
      <c r="JK30" s="179"/>
      <c r="JL30" s="179"/>
      <c r="JM30" s="179"/>
      <c r="JN30" s="179"/>
      <c r="JO30" s="179"/>
      <c r="JP30" s="179"/>
      <c r="JQ30" s="179"/>
      <c r="JR30" s="179"/>
      <c r="JS30" s="179"/>
      <c r="JT30" s="179"/>
      <c r="JU30" s="179"/>
      <c r="JV30" s="193"/>
      <c r="JW30" s="194"/>
      <c r="JX30" s="192"/>
      <c r="JY30" s="179"/>
      <c r="JZ30" s="179"/>
      <c r="KA30" s="179"/>
      <c r="KB30" s="179"/>
      <c r="KC30" s="179"/>
      <c r="KD30" s="179"/>
      <c r="KE30" s="179"/>
      <c r="KF30" s="179"/>
      <c r="KG30" s="179"/>
      <c r="KH30" s="179"/>
      <c r="KI30" s="179"/>
      <c r="KJ30" s="193"/>
      <c r="KK30" s="194"/>
      <c r="KL30" s="192"/>
      <c r="KM30" s="179"/>
      <c r="KN30" s="179"/>
      <c r="KO30" s="179"/>
      <c r="KP30" s="179"/>
      <c r="KQ30" s="179"/>
      <c r="KR30" s="179"/>
      <c r="KS30" s="179"/>
      <c r="KT30" s="179"/>
      <c r="KU30" s="179"/>
      <c r="KV30" s="179"/>
      <c r="KW30" s="179"/>
      <c r="KX30" s="193"/>
      <c r="KY30" s="194"/>
      <c r="KZ30" s="192"/>
      <c r="LA30" s="179"/>
      <c r="LB30" s="179"/>
      <c r="LC30" s="179"/>
      <c r="LD30" s="179"/>
      <c r="LE30" s="179"/>
      <c r="LF30" s="179"/>
      <c r="LG30" s="179"/>
      <c r="LH30" s="179"/>
      <c r="LI30" s="179"/>
      <c r="LJ30" s="179"/>
      <c r="LK30" s="179"/>
      <c r="LL30" s="193"/>
      <c r="LM30" s="194"/>
      <c r="LN30" s="192"/>
      <c r="LO30" s="179"/>
      <c r="LP30" s="179"/>
      <c r="LQ30" s="179"/>
      <c r="LR30" s="179"/>
      <c r="LS30" s="179"/>
      <c r="LT30" s="179"/>
      <c r="LU30" s="179"/>
      <c r="LV30" s="179"/>
      <c r="LW30" s="179"/>
      <c r="LX30" s="179"/>
      <c r="LY30" s="179"/>
      <c r="LZ30" s="193"/>
      <c r="MA30" s="194"/>
      <c r="MB30" s="193"/>
      <c r="MC30" s="193"/>
      <c r="MD30" s="193"/>
      <c r="ME30" s="193"/>
      <c r="MF30" s="193"/>
      <c r="MG30" s="193"/>
      <c r="MH30" s="193"/>
      <c r="MI30" s="193"/>
      <c r="MJ30" s="193"/>
      <c r="MK30" s="193"/>
      <c r="ML30" s="193"/>
      <c r="MM30" s="193"/>
      <c r="MN30" s="193"/>
    </row>
    <row r="31" spans="1:352" s="180" customFormat="1" ht="13" x14ac:dyDescent="0.3">
      <c r="A31" s="98"/>
      <c r="B31" s="195" t="s">
        <v>209</v>
      </c>
      <c r="C31" s="98"/>
      <c r="D31" s="192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93"/>
      <c r="Q31" s="194"/>
      <c r="R31" s="192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93"/>
      <c r="AE31" s="194"/>
      <c r="AF31" s="192"/>
      <c r="AG31" s="179"/>
      <c r="AH31" s="179"/>
      <c r="AI31" s="179"/>
      <c r="AJ31" s="179"/>
      <c r="AK31" s="179"/>
      <c r="AL31" s="179"/>
      <c r="AM31" s="179"/>
      <c r="AN31" s="179"/>
      <c r="AO31" s="179"/>
      <c r="AP31" s="179"/>
      <c r="AQ31" s="179"/>
      <c r="AR31" s="193"/>
      <c r="AS31" s="194"/>
      <c r="AT31" s="192"/>
      <c r="AU31" s="179"/>
      <c r="AV31" s="179"/>
      <c r="AW31" s="179"/>
      <c r="AX31" s="179"/>
      <c r="AY31" s="179"/>
      <c r="AZ31" s="179"/>
      <c r="BA31" s="179"/>
      <c r="BB31" s="179"/>
      <c r="BC31" s="179"/>
      <c r="BD31" s="179"/>
      <c r="BE31" s="179"/>
      <c r="BF31" s="193"/>
      <c r="BG31" s="194"/>
      <c r="BH31" s="192"/>
      <c r="BI31" s="179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93"/>
      <c r="BU31" s="194"/>
      <c r="BV31" s="192"/>
      <c r="BW31" s="179"/>
      <c r="BX31" s="179"/>
      <c r="BY31" s="179"/>
      <c r="BZ31" s="179"/>
      <c r="CA31" s="179"/>
      <c r="CB31" s="179"/>
      <c r="CC31" s="179"/>
      <c r="CD31" s="179"/>
      <c r="CE31" s="179"/>
      <c r="CF31" s="179"/>
      <c r="CG31" s="179"/>
      <c r="CH31" s="193"/>
      <c r="CI31" s="194"/>
      <c r="CJ31" s="192"/>
      <c r="CK31" s="179"/>
      <c r="CL31" s="179"/>
      <c r="CM31" s="179"/>
      <c r="CN31" s="179"/>
      <c r="CO31" s="179"/>
      <c r="CP31" s="179"/>
      <c r="CQ31" s="179"/>
      <c r="CR31" s="179"/>
      <c r="CS31" s="179"/>
      <c r="CT31" s="179"/>
      <c r="CU31" s="179"/>
      <c r="CV31" s="193"/>
      <c r="CW31" s="194"/>
      <c r="CX31" s="192"/>
      <c r="CY31" s="179"/>
      <c r="CZ31" s="179"/>
      <c r="DA31" s="179"/>
      <c r="DB31" s="179"/>
      <c r="DC31" s="179"/>
      <c r="DD31" s="179"/>
      <c r="DE31" s="179"/>
      <c r="DF31" s="179"/>
      <c r="DG31" s="179"/>
      <c r="DH31" s="179"/>
      <c r="DI31" s="179"/>
      <c r="DJ31" s="193"/>
      <c r="DK31" s="194"/>
      <c r="DL31" s="192"/>
      <c r="DM31" s="179"/>
      <c r="DN31" s="179"/>
      <c r="DO31" s="179"/>
      <c r="DP31" s="179"/>
      <c r="DQ31" s="179"/>
      <c r="DR31" s="179"/>
      <c r="DS31" s="179"/>
      <c r="DT31" s="179"/>
      <c r="DU31" s="179"/>
      <c r="DV31" s="179"/>
      <c r="DW31" s="179"/>
      <c r="DX31" s="193"/>
      <c r="DY31" s="194"/>
      <c r="DZ31" s="192"/>
      <c r="EA31" s="179"/>
      <c r="EB31" s="179"/>
      <c r="EC31" s="179"/>
      <c r="ED31" s="179"/>
      <c r="EE31" s="179"/>
      <c r="EF31" s="179"/>
      <c r="EG31" s="179"/>
      <c r="EH31" s="179"/>
      <c r="EI31" s="179"/>
      <c r="EJ31" s="179"/>
      <c r="EK31" s="179"/>
      <c r="EL31" s="193"/>
      <c r="EM31" s="194"/>
      <c r="EN31" s="192"/>
      <c r="EO31" s="179"/>
      <c r="EP31" s="179"/>
      <c r="EQ31" s="179"/>
      <c r="ER31" s="179"/>
      <c r="ES31" s="179"/>
      <c r="ET31" s="179"/>
      <c r="EU31" s="179"/>
      <c r="EV31" s="179"/>
      <c r="EW31" s="179"/>
      <c r="EX31" s="179"/>
      <c r="EY31" s="179"/>
      <c r="EZ31" s="193"/>
      <c r="FA31" s="194"/>
      <c r="FB31" s="192"/>
      <c r="FC31" s="179"/>
      <c r="FD31" s="179"/>
      <c r="FE31" s="179"/>
      <c r="FF31" s="179"/>
      <c r="FG31" s="179"/>
      <c r="FH31" s="179"/>
      <c r="FI31" s="179"/>
      <c r="FJ31" s="179"/>
      <c r="FK31" s="179"/>
      <c r="FL31" s="179"/>
      <c r="FM31" s="179"/>
      <c r="FN31" s="193"/>
      <c r="FO31" s="194"/>
      <c r="FP31" s="192"/>
      <c r="FQ31" s="179"/>
      <c r="FR31" s="179"/>
      <c r="FS31" s="179"/>
      <c r="FT31" s="179"/>
      <c r="FU31" s="179"/>
      <c r="FV31" s="179"/>
      <c r="FW31" s="179"/>
      <c r="FX31" s="179"/>
      <c r="FY31" s="179"/>
      <c r="FZ31" s="179"/>
      <c r="GA31" s="179"/>
      <c r="GB31" s="193"/>
      <c r="GC31" s="194"/>
      <c r="GD31" s="192"/>
      <c r="GE31" s="179"/>
      <c r="GF31" s="179"/>
      <c r="GG31" s="179"/>
      <c r="GH31" s="179"/>
      <c r="GI31" s="179"/>
      <c r="GJ31" s="179"/>
      <c r="GK31" s="179"/>
      <c r="GL31" s="179"/>
      <c r="GM31" s="179"/>
      <c r="GN31" s="179"/>
      <c r="GO31" s="179"/>
      <c r="GP31" s="193"/>
      <c r="GQ31" s="194"/>
      <c r="GR31" s="192"/>
      <c r="GS31" s="179"/>
      <c r="GT31" s="179"/>
      <c r="GU31" s="179"/>
      <c r="GV31" s="179"/>
      <c r="GW31" s="179"/>
      <c r="GX31" s="179"/>
      <c r="GY31" s="179"/>
      <c r="GZ31" s="179"/>
      <c r="HA31" s="179"/>
      <c r="HB31" s="179"/>
      <c r="HC31" s="179"/>
      <c r="HD31" s="193"/>
      <c r="HE31" s="194"/>
      <c r="HF31" s="192"/>
      <c r="HG31" s="179"/>
      <c r="HH31" s="179"/>
      <c r="HI31" s="179"/>
      <c r="HJ31" s="179"/>
      <c r="HK31" s="179"/>
      <c r="HL31" s="179"/>
      <c r="HM31" s="179"/>
      <c r="HN31" s="179"/>
      <c r="HO31" s="179"/>
      <c r="HP31" s="179"/>
      <c r="HQ31" s="179"/>
      <c r="HR31" s="193"/>
      <c r="HS31" s="194"/>
      <c r="HT31" s="192"/>
      <c r="HU31" s="179"/>
      <c r="HV31" s="179"/>
      <c r="HW31" s="179"/>
      <c r="HX31" s="179"/>
      <c r="HY31" s="179"/>
      <c r="HZ31" s="179"/>
      <c r="IA31" s="179"/>
      <c r="IB31" s="179"/>
      <c r="IC31" s="179"/>
      <c r="ID31" s="179"/>
      <c r="IE31" s="179"/>
      <c r="IF31" s="193"/>
      <c r="IG31" s="194"/>
      <c r="IH31" s="192"/>
      <c r="II31" s="179"/>
      <c r="IJ31" s="179"/>
      <c r="IK31" s="179"/>
      <c r="IL31" s="179"/>
      <c r="IM31" s="179"/>
      <c r="IN31" s="179"/>
      <c r="IO31" s="179"/>
      <c r="IP31" s="179"/>
      <c r="IQ31" s="179"/>
      <c r="IR31" s="179"/>
      <c r="IS31" s="179"/>
      <c r="IT31" s="193"/>
      <c r="IU31" s="194"/>
      <c r="IV31" s="192"/>
      <c r="IW31" s="179"/>
      <c r="IX31" s="179"/>
      <c r="IY31" s="179"/>
      <c r="IZ31" s="179"/>
      <c r="JA31" s="179"/>
      <c r="JB31" s="179"/>
      <c r="JC31" s="179"/>
      <c r="JD31" s="179"/>
      <c r="JE31" s="179"/>
      <c r="JF31" s="179"/>
      <c r="JG31" s="179"/>
      <c r="JH31" s="193"/>
      <c r="JI31" s="194"/>
      <c r="JJ31" s="192"/>
      <c r="JK31" s="179"/>
      <c r="JL31" s="179"/>
      <c r="JM31" s="179"/>
      <c r="JN31" s="179"/>
      <c r="JO31" s="179"/>
      <c r="JP31" s="179"/>
      <c r="JQ31" s="179"/>
      <c r="JR31" s="179"/>
      <c r="JS31" s="179"/>
      <c r="JT31" s="179"/>
      <c r="JU31" s="179"/>
      <c r="JV31" s="193"/>
      <c r="JW31" s="194"/>
      <c r="JX31" s="192"/>
      <c r="JY31" s="179"/>
      <c r="JZ31" s="179"/>
      <c r="KA31" s="179"/>
      <c r="KB31" s="179"/>
      <c r="KC31" s="179"/>
      <c r="KD31" s="179"/>
      <c r="KE31" s="179"/>
      <c r="KF31" s="179"/>
      <c r="KG31" s="179"/>
      <c r="KH31" s="179"/>
      <c r="KI31" s="179"/>
      <c r="KJ31" s="193"/>
      <c r="KK31" s="194"/>
      <c r="KL31" s="192"/>
      <c r="KM31" s="179"/>
      <c r="KN31" s="179"/>
      <c r="KO31" s="179"/>
      <c r="KP31" s="179"/>
      <c r="KQ31" s="179"/>
      <c r="KR31" s="179"/>
      <c r="KS31" s="179"/>
      <c r="KT31" s="179"/>
      <c r="KU31" s="179"/>
      <c r="KV31" s="179"/>
      <c r="KW31" s="179"/>
      <c r="KX31" s="193"/>
      <c r="KY31" s="194"/>
      <c r="KZ31" s="192"/>
      <c r="LA31" s="179"/>
      <c r="LB31" s="179"/>
      <c r="LC31" s="179"/>
      <c r="LD31" s="179"/>
      <c r="LE31" s="179"/>
      <c r="LF31" s="179"/>
      <c r="LG31" s="179"/>
      <c r="LH31" s="179"/>
      <c r="LI31" s="179"/>
      <c r="LJ31" s="179"/>
      <c r="LK31" s="179"/>
      <c r="LL31" s="193"/>
      <c r="LM31" s="194"/>
      <c r="LN31" s="192"/>
      <c r="LO31" s="179"/>
      <c r="LP31" s="179"/>
      <c r="LQ31" s="179"/>
      <c r="LR31" s="179"/>
      <c r="LS31" s="179"/>
      <c r="LT31" s="179"/>
      <c r="LU31" s="179"/>
      <c r="LV31" s="179"/>
      <c r="LW31" s="179"/>
      <c r="LX31" s="179"/>
      <c r="LY31" s="179"/>
      <c r="LZ31" s="193"/>
      <c r="MA31" s="194"/>
      <c r="MB31" s="193"/>
      <c r="MC31" s="193"/>
      <c r="MD31" s="193"/>
      <c r="ME31" s="193"/>
      <c r="MF31" s="193"/>
      <c r="MG31" s="193"/>
      <c r="MH31" s="193"/>
      <c r="MI31" s="193"/>
      <c r="MJ31" s="193"/>
      <c r="MK31" s="193"/>
      <c r="ML31" s="193"/>
      <c r="MM31" s="193"/>
      <c r="MN31" s="193"/>
    </row>
    <row r="32" spans="1:352" ht="13" x14ac:dyDescent="0.3">
      <c r="B32" s="171" t="s">
        <v>49</v>
      </c>
      <c r="C32" s="196"/>
      <c r="D32" s="197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75"/>
      <c r="Q32" s="176"/>
      <c r="R32" s="197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75"/>
      <c r="AE32" s="176"/>
      <c r="AF32" s="197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75"/>
      <c r="AS32" s="176"/>
      <c r="AT32" s="197"/>
      <c r="AU32" s="198"/>
      <c r="AV32" s="198"/>
      <c r="AW32" s="198"/>
      <c r="AX32" s="198"/>
      <c r="AY32" s="198"/>
      <c r="AZ32" s="198"/>
      <c r="BA32" s="198"/>
      <c r="BB32" s="198"/>
      <c r="BC32" s="198"/>
      <c r="BD32" s="198"/>
      <c r="BE32" s="198"/>
      <c r="BF32" s="175"/>
      <c r="BH32" s="197"/>
      <c r="BI32" s="198"/>
      <c r="BJ32" s="198"/>
      <c r="BK32" s="198"/>
      <c r="BL32" s="198"/>
      <c r="BM32" s="198"/>
      <c r="BN32" s="198"/>
      <c r="BO32" s="198"/>
      <c r="BP32" s="198"/>
      <c r="BQ32" s="198"/>
      <c r="BR32" s="198"/>
      <c r="BS32" s="198"/>
      <c r="BT32" s="175"/>
      <c r="BU32" s="176"/>
      <c r="BV32" s="197"/>
      <c r="BW32" s="198"/>
      <c r="BX32" s="198"/>
      <c r="BY32" s="198"/>
      <c r="BZ32" s="198"/>
      <c r="CA32" s="198"/>
      <c r="CB32" s="198"/>
      <c r="CC32" s="198"/>
      <c r="CD32" s="198"/>
      <c r="CE32" s="198"/>
      <c r="CF32" s="198"/>
      <c r="CG32" s="198"/>
      <c r="CH32" s="175"/>
      <c r="CI32" s="176"/>
      <c r="CJ32" s="197"/>
      <c r="CK32" s="198"/>
      <c r="CL32" s="198"/>
      <c r="CM32" s="198"/>
      <c r="CN32" s="198"/>
      <c r="CO32" s="198"/>
      <c r="CP32" s="198"/>
      <c r="CQ32" s="198"/>
      <c r="CR32" s="198"/>
      <c r="CS32" s="198"/>
      <c r="CT32" s="198"/>
      <c r="CU32" s="198"/>
      <c r="CV32" s="175"/>
      <c r="CW32" s="176"/>
      <c r="CX32" s="197"/>
      <c r="CY32" s="198"/>
      <c r="CZ32" s="198"/>
      <c r="DA32" s="198"/>
      <c r="DB32" s="198"/>
      <c r="DC32" s="198"/>
      <c r="DD32" s="198"/>
      <c r="DE32" s="198"/>
      <c r="DF32" s="198"/>
      <c r="DG32" s="198"/>
      <c r="DH32" s="198"/>
      <c r="DI32" s="198"/>
      <c r="DJ32" s="175"/>
      <c r="DK32" s="176"/>
      <c r="DL32" s="197"/>
      <c r="DM32" s="198"/>
      <c r="DN32" s="198"/>
      <c r="DO32" s="198"/>
      <c r="DP32" s="198"/>
      <c r="DQ32" s="198"/>
      <c r="DR32" s="198"/>
      <c r="DS32" s="198"/>
      <c r="DT32" s="198"/>
      <c r="DU32" s="198"/>
      <c r="DV32" s="198"/>
      <c r="DW32" s="198"/>
      <c r="DX32" s="175"/>
      <c r="DY32" s="176"/>
      <c r="DZ32" s="197"/>
      <c r="EA32" s="198"/>
      <c r="EB32" s="198"/>
      <c r="EC32" s="198"/>
      <c r="ED32" s="198"/>
      <c r="EE32" s="198"/>
      <c r="EF32" s="198"/>
      <c r="EG32" s="198"/>
      <c r="EH32" s="198"/>
      <c r="EI32" s="198"/>
      <c r="EJ32" s="198"/>
      <c r="EK32" s="198"/>
      <c r="EL32" s="175"/>
      <c r="EM32" s="176"/>
      <c r="EN32" s="197"/>
      <c r="EO32" s="198"/>
      <c r="EP32" s="198"/>
      <c r="EQ32" s="198"/>
      <c r="ER32" s="198"/>
      <c r="ES32" s="198"/>
      <c r="ET32" s="198"/>
      <c r="EU32" s="198"/>
      <c r="EV32" s="198"/>
      <c r="EW32" s="198"/>
      <c r="EX32" s="198"/>
      <c r="EY32" s="198"/>
      <c r="EZ32" s="175"/>
      <c r="FA32" s="176"/>
      <c r="FB32" s="197"/>
      <c r="FC32" s="198"/>
      <c r="FD32" s="198"/>
      <c r="FE32" s="198"/>
      <c r="FF32" s="198"/>
      <c r="FG32" s="198"/>
      <c r="FH32" s="198"/>
      <c r="FI32" s="198"/>
      <c r="FJ32" s="198"/>
      <c r="FK32" s="198"/>
      <c r="FL32" s="198"/>
      <c r="FM32" s="198"/>
      <c r="FN32" s="175"/>
      <c r="FO32" s="176"/>
      <c r="FP32" s="197"/>
      <c r="FQ32" s="198"/>
      <c r="FR32" s="198"/>
      <c r="FS32" s="198"/>
      <c r="FT32" s="198"/>
      <c r="FU32" s="198"/>
      <c r="FV32" s="198"/>
      <c r="FW32" s="198"/>
      <c r="FX32" s="198"/>
      <c r="FY32" s="198"/>
      <c r="FZ32" s="198"/>
      <c r="GA32" s="198"/>
      <c r="GB32" s="175"/>
      <c r="GC32" s="176"/>
      <c r="GD32" s="197"/>
      <c r="GE32" s="198"/>
      <c r="GF32" s="198"/>
      <c r="GG32" s="198"/>
      <c r="GH32" s="198"/>
      <c r="GI32" s="198"/>
      <c r="GJ32" s="198"/>
      <c r="GK32" s="198"/>
      <c r="GL32" s="198"/>
      <c r="GM32" s="198"/>
      <c r="GN32" s="198"/>
      <c r="GO32" s="198"/>
      <c r="GP32" s="175"/>
      <c r="GQ32" s="176"/>
      <c r="GR32" s="197"/>
      <c r="GS32" s="198"/>
      <c r="GT32" s="198"/>
      <c r="GU32" s="198"/>
      <c r="GV32" s="198"/>
      <c r="GW32" s="198"/>
      <c r="GX32" s="198"/>
      <c r="GY32" s="198"/>
      <c r="GZ32" s="198"/>
      <c r="HA32" s="198"/>
      <c r="HB32" s="198"/>
      <c r="HC32" s="198"/>
      <c r="HD32" s="175"/>
      <c r="HE32" s="176"/>
      <c r="HF32" s="197"/>
      <c r="HG32" s="198"/>
      <c r="HH32" s="198"/>
      <c r="HI32" s="198"/>
      <c r="HJ32" s="198"/>
      <c r="HK32" s="198"/>
      <c r="HL32" s="198"/>
      <c r="HM32" s="198"/>
      <c r="HN32" s="198"/>
      <c r="HO32" s="198"/>
      <c r="HP32" s="198"/>
      <c r="HQ32" s="198"/>
      <c r="HR32" s="175"/>
      <c r="HS32" s="176"/>
      <c r="HT32" s="197"/>
      <c r="HU32" s="198"/>
      <c r="HV32" s="198"/>
      <c r="HW32" s="198"/>
      <c r="HX32" s="198"/>
      <c r="HY32" s="198"/>
      <c r="HZ32" s="198"/>
      <c r="IA32" s="198"/>
      <c r="IB32" s="198"/>
      <c r="IC32" s="198"/>
      <c r="ID32" s="198"/>
      <c r="IE32" s="198"/>
      <c r="IF32" s="175"/>
      <c r="IG32" s="176"/>
      <c r="IH32" s="197"/>
      <c r="II32" s="198"/>
      <c r="IJ32" s="198"/>
      <c r="IK32" s="198"/>
      <c r="IL32" s="198"/>
      <c r="IM32" s="198"/>
      <c r="IN32" s="198"/>
      <c r="IO32" s="198"/>
      <c r="IP32" s="198"/>
      <c r="IQ32" s="198"/>
      <c r="IR32" s="198"/>
      <c r="IS32" s="198"/>
      <c r="IT32" s="175"/>
      <c r="IU32" s="176"/>
      <c r="IV32" s="197"/>
      <c r="IW32" s="198"/>
      <c r="IX32" s="198"/>
      <c r="IY32" s="198"/>
      <c r="IZ32" s="198"/>
      <c r="JA32" s="198"/>
      <c r="JB32" s="198"/>
      <c r="JC32" s="198"/>
      <c r="JD32" s="198"/>
      <c r="JE32" s="198"/>
      <c r="JF32" s="198"/>
      <c r="JG32" s="198"/>
      <c r="JH32" s="175"/>
      <c r="JI32" s="176"/>
      <c r="JJ32" s="197"/>
      <c r="JK32" s="198"/>
      <c r="JL32" s="198"/>
      <c r="JM32" s="198"/>
      <c r="JN32" s="198"/>
      <c r="JO32" s="198"/>
      <c r="JP32" s="198"/>
      <c r="JQ32" s="198"/>
      <c r="JR32" s="198"/>
      <c r="JS32" s="198"/>
      <c r="JT32" s="198"/>
      <c r="JU32" s="198"/>
      <c r="JV32" s="175"/>
      <c r="JW32" s="176"/>
      <c r="JX32" s="197"/>
      <c r="JY32" s="198"/>
      <c r="JZ32" s="198"/>
      <c r="KA32" s="198"/>
      <c r="KB32" s="198"/>
      <c r="KC32" s="198"/>
      <c r="KD32" s="198"/>
      <c r="KE32" s="198"/>
      <c r="KF32" s="198"/>
      <c r="KG32" s="198"/>
      <c r="KH32" s="198"/>
      <c r="KI32" s="198"/>
      <c r="KJ32" s="175"/>
      <c r="KK32" s="176"/>
      <c r="KL32" s="197"/>
      <c r="KM32" s="198"/>
      <c r="KN32" s="198"/>
      <c r="KO32" s="198"/>
      <c r="KP32" s="198"/>
      <c r="KQ32" s="198"/>
      <c r="KR32" s="198"/>
      <c r="KS32" s="198"/>
      <c r="KT32" s="198"/>
      <c r="KU32" s="198"/>
      <c r="KV32" s="198"/>
      <c r="KW32" s="198"/>
      <c r="KX32" s="175"/>
      <c r="KY32" s="176"/>
      <c r="KZ32" s="197"/>
      <c r="LA32" s="198"/>
      <c r="LB32" s="198"/>
      <c r="LC32" s="198"/>
      <c r="LD32" s="198"/>
      <c r="LE32" s="198"/>
      <c r="LF32" s="198"/>
      <c r="LG32" s="198"/>
      <c r="LH32" s="198"/>
      <c r="LI32" s="198"/>
      <c r="LJ32" s="198"/>
      <c r="LK32" s="198"/>
      <c r="LL32" s="175"/>
      <c r="LM32" s="176"/>
      <c r="LN32" s="197"/>
      <c r="LO32" s="198"/>
      <c r="LP32" s="198"/>
      <c r="LQ32" s="198"/>
      <c r="LR32" s="198"/>
      <c r="LS32" s="198"/>
      <c r="LT32" s="198"/>
      <c r="LU32" s="198"/>
      <c r="LV32" s="198"/>
      <c r="LW32" s="198"/>
      <c r="LX32" s="198"/>
      <c r="LY32" s="198"/>
      <c r="LZ32" s="175"/>
      <c r="MA32" s="176"/>
      <c r="MB32" s="175"/>
      <c r="MC32" s="175"/>
      <c r="MD32" s="175"/>
      <c r="ME32" s="175"/>
      <c r="MF32" s="175"/>
      <c r="MG32" s="175"/>
      <c r="MH32" s="175"/>
      <c r="MI32" s="175"/>
      <c r="MJ32" s="175"/>
      <c r="MK32" s="175"/>
      <c r="ML32" s="175"/>
      <c r="MM32" s="175"/>
      <c r="MN32" s="175"/>
    </row>
    <row r="33" spans="1:352" s="201" customFormat="1" x14ac:dyDescent="0.25">
      <c r="A33" s="98"/>
      <c r="B33" s="64" t="s">
        <v>50</v>
      </c>
      <c r="C33" s="98"/>
      <c r="D33" s="163">
        <v>2631519</v>
      </c>
      <c r="E33" s="199">
        <v>2631519</v>
      </c>
      <c r="F33" s="199">
        <v>2631519</v>
      </c>
      <c r="G33" s="199">
        <v>2631519</v>
      </c>
      <c r="H33" s="199">
        <v>2631519</v>
      </c>
      <c r="I33" s="199">
        <v>2631519</v>
      </c>
      <c r="J33" s="199">
        <v>2631519</v>
      </c>
      <c r="K33" s="199">
        <v>2631519</v>
      </c>
      <c r="L33" s="199">
        <v>2631519</v>
      </c>
      <c r="M33" s="199">
        <v>2631519</v>
      </c>
      <c r="N33" s="199">
        <v>2631519</v>
      </c>
      <c r="O33" s="199">
        <v>2631519</v>
      </c>
      <c r="P33" s="200">
        <f t="shared" ref="P33:P43" si="109">+SUBTOTAL(9,D33:O33)</f>
        <v>31578228</v>
      </c>
      <c r="Q33" s="161"/>
      <c r="R33" s="163">
        <v>212989</v>
      </c>
      <c r="S33" s="199">
        <v>212989</v>
      </c>
      <c r="T33" s="199">
        <v>212989</v>
      </c>
      <c r="U33" s="199">
        <v>212989</v>
      </c>
      <c r="V33" s="179">
        <v>212989</v>
      </c>
      <c r="W33" s="179">
        <v>212989</v>
      </c>
      <c r="X33" s="179">
        <v>212989</v>
      </c>
      <c r="Y33" s="199">
        <v>212989</v>
      </c>
      <c r="Z33" s="199">
        <v>212989</v>
      </c>
      <c r="AA33" s="199">
        <v>212989</v>
      </c>
      <c r="AB33" s="199">
        <v>212989</v>
      </c>
      <c r="AC33" s="199">
        <v>212989</v>
      </c>
      <c r="AD33" s="200">
        <f t="shared" ref="AD33:AD43" si="110">+SUBTOTAL(9,R33:AC33)</f>
        <v>2555868</v>
      </c>
      <c r="AE33" s="161"/>
      <c r="AF33" s="163">
        <v>214527</v>
      </c>
      <c r="AG33" s="199">
        <v>214527</v>
      </c>
      <c r="AH33" s="199">
        <v>214527</v>
      </c>
      <c r="AI33" s="199">
        <v>214527</v>
      </c>
      <c r="AJ33" s="179">
        <v>214527</v>
      </c>
      <c r="AK33" s="179">
        <v>214527</v>
      </c>
      <c r="AL33" s="179">
        <v>214527</v>
      </c>
      <c r="AM33" s="199">
        <v>214527</v>
      </c>
      <c r="AN33" s="199">
        <v>214527</v>
      </c>
      <c r="AO33" s="199">
        <v>214527</v>
      </c>
      <c r="AP33" s="199">
        <v>214527</v>
      </c>
      <c r="AQ33" s="199">
        <v>214527</v>
      </c>
      <c r="AR33" s="200">
        <f t="shared" ref="AR33:AR43" si="111">+SUBTOTAL(9,AF33:AQ33)</f>
        <v>2574324</v>
      </c>
      <c r="AS33" s="161"/>
      <c r="AT33" s="163">
        <v>670941</v>
      </c>
      <c r="AU33" s="199">
        <v>670941</v>
      </c>
      <c r="AV33" s="199">
        <v>670941</v>
      </c>
      <c r="AW33" s="199">
        <v>670941</v>
      </c>
      <c r="AX33" s="179">
        <v>670941</v>
      </c>
      <c r="AY33" s="179">
        <v>670941</v>
      </c>
      <c r="AZ33" s="179">
        <v>670941</v>
      </c>
      <c r="BA33" s="199">
        <v>670941</v>
      </c>
      <c r="BB33" s="154">
        <v>670941</v>
      </c>
      <c r="BC33" s="154">
        <v>670941</v>
      </c>
      <c r="BD33" s="154">
        <v>670941</v>
      </c>
      <c r="BE33" s="154">
        <v>670941</v>
      </c>
      <c r="BF33" s="200">
        <f t="shared" ref="BF33:BF43" si="112">+SUBTOTAL(9,AT33:BE33)</f>
        <v>8051292</v>
      </c>
      <c r="BG33" s="176"/>
      <c r="BH33" s="163">
        <v>3850090</v>
      </c>
      <c r="BI33" s="164">
        <v>3850090</v>
      </c>
      <c r="BJ33" s="154">
        <v>3850090</v>
      </c>
      <c r="BK33" s="154">
        <v>3850090</v>
      </c>
      <c r="BL33" s="154">
        <v>3850090</v>
      </c>
      <c r="BM33" s="154">
        <v>3850090</v>
      </c>
      <c r="BN33" s="154">
        <v>3850090</v>
      </c>
      <c r="BO33" s="154">
        <v>3850090</v>
      </c>
      <c r="BP33" s="154">
        <v>3850090</v>
      </c>
      <c r="BQ33" s="154">
        <v>3850090</v>
      </c>
      <c r="BR33" s="154">
        <v>3850090</v>
      </c>
      <c r="BS33" s="154">
        <v>3850090</v>
      </c>
      <c r="BT33" s="200">
        <f t="shared" ref="BT33:BT43" si="113">+SUBTOTAL(9,BH33:BS33)</f>
        <v>46201080</v>
      </c>
      <c r="BU33" s="161"/>
      <c r="BV33" s="163">
        <v>600345</v>
      </c>
      <c r="BW33" s="164">
        <v>600345</v>
      </c>
      <c r="BX33" s="154">
        <v>600345</v>
      </c>
      <c r="BY33" s="154">
        <v>600345</v>
      </c>
      <c r="BZ33" s="154">
        <v>600345</v>
      </c>
      <c r="CA33" s="154">
        <v>600345</v>
      </c>
      <c r="CB33" s="154">
        <v>600345</v>
      </c>
      <c r="CC33" s="154">
        <v>600345</v>
      </c>
      <c r="CD33" s="154">
        <v>600345</v>
      </c>
      <c r="CE33" s="154">
        <v>600345</v>
      </c>
      <c r="CF33" s="154">
        <v>600345</v>
      </c>
      <c r="CG33" s="154">
        <v>600345</v>
      </c>
      <c r="CH33" s="200">
        <f t="shared" ref="CH33:CH43" si="114">+SUBTOTAL(9,BV33:CG33)</f>
        <v>7204140</v>
      </c>
      <c r="CI33" s="161"/>
      <c r="CJ33" s="163">
        <v>1554444</v>
      </c>
      <c r="CK33" s="164">
        <v>1554444</v>
      </c>
      <c r="CL33" s="154">
        <v>1554444</v>
      </c>
      <c r="CM33" s="154">
        <v>1554444</v>
      </c>
      <c r="CN33" s="154">
        <v>1554444</v>
      </c>
      <c r="CO33" s="154">
        <v>1554444</v>
      </c>
      <c r="CP33" s="154">
        <v>1554444</v>
      </c>
      <c r="CQ33" s="154">
        <v>1554444</v>
      </c>
      <c r="CR33" s="154">
        <v>1554444</v>
      </c>
      <c r="CS33" s="154">
        <v>1554444</v>
      </c>
      <c r="CT33" s="154">
        <v>1554444</v>
      </c>
      <c r="CU33" s="154">
        <v>1554444</v>
      </c>
      <c r="CV33" s="200">
        <f t="shared" ref="CV33:CV43" si="115">+SUBTOTAL(9,CJ33:CU33)</f>
        <v>18653328</v>
      </c>
      <c r="CW33" s="161"/>
      <c r="CX33" s="163">
        <v>3445127</v>
      </c>
      <c r="CY33" s="164">
        <v>3445127</v>
      </c>
      <c r="CZ33" s="154">
        <v>3445127</v>
      </c>
      <c r="DA33" s="154">
        <v>3445127</v>
      </c>
      <c r="DB33" s="154">
        <v>3445127</v>
      </c>
      <c r="DC33" s="154">
        <v>3445127</v>
      </c>
      <c r="DD33" s="154">
        <v>3445127</v>
      </c>
      <c r="DE33" s="154">
        <v>3445127</v>
      </c>
      <c r="DF33" s="154">
        <v>3445127</v>
      </c>
      <c r="DG33" s="154">
        <v>3445127</v>
      </c>
      <c r="DH33" s="154">
        <v>3445127</v>
      </c>
      <c r="DI33" s="154">
        <v>3445127</v>
      </c>
      <c r="DJ33" s="200">
        <f t="shared" ref="DJ33:DJ43" si="116">+SUBTOTAL(9,CX33:DI33)</f>
        <v>41341524</v>
      </c>
      <c r="DK33" s="161"/>
      <c r="DL33" s="163">
        <v>2007756</v>
      </c>
      <c r="DM33" s="164">
        <v>2007756</v>
      </c>
      <c r="DN33" s="154">
        <v>2007756</v>
      </c>
      <c r="DO33" s="154">
        <v>2007756</v>
      </c>
      <c r="DP33" s="154">
        <v>2007756</v>
      </c>
      <c r="DQ33" s="154">
        <v>2007756</v>
      </c>
      <c r="DR33" s="154">
        <v>2007756</v>
      </c>
      <c r="DS33" s="154">
        <v>2007756</v>
      </c>
      <c r="DT33" s="154">
        <v>2007756</v>
      </c>
      <c r="DU33" s="154">
        <v>2007756</v>
      </c>
      <c r="DV33" s="154">
        <v>2007756</v>
      </c>
      <c r="DW33" s="154">
        <v>2007756</v>
      </c>
      <c r="DX33" s="200">
        <f t="shared" ref="DX33:DX43" si="117">+SUBTOTAL(9,DL33:DW33)</f>
        <v>24093072</v>
      </c>
      <c r="DY33" s="161"/>
      <c r="DZ33" s="163">
        <v>325406</v>
      </c>
      <c r="EA33" s="164">
        <v>325406</v>
      </c>
      <c r="EB33" s="154">
        <v>325406</v>
      </c>
      <c r="EC33" s="154">
        <v>325406</v>
      </c>
      <c r="ED33" s="154">
        <v>325406</v>
      </c>
      <c r="EE33" s="154">
        <v>325406</v>
      </c>
      <c r="EF33" s="154">
        <v>325406</v>
      </c>
      <c r="EG33" s="154">
        <v>325406</v>
      </c>
      <c r="EH33" s="154">
        <v>325406</v>
      </c>
      <c r="EI33" s="154">
        <v>325406</v>
      </c>
      <c r="EJ33" s="154">
        <v>325406</v>
      </c>
      <c r="EK33" s="154">
        <v>325406</v>
      </c>
      <c r="EL33" s="200">
        <f t="shared" ref="EL33:EL43" si="118">+SUBTOTAL(9,DZ33:EK33)</f>
        <v>3904872</v>
      </c>
      <c r="EM33" s="161"/>
      <c r="EN33" s="163">
        <v>462618</v>
      </c>
      <c r="EO33" s="164">
        <v>462618</v>
      </c>
      <c r="EP33" s="154">
        <v>462618</v>
      </c>
      <c r="EQ33" s="154">
        <v>462618</v>
      </c>
      <c r="ER33" s="154">
        <v>462618</v>
      </c>
      <c r="ES33" s="154">
        <v>462618</v>
      </c>
      <c r="ET33" s="154">
        <v>462618</v>
      </c>
      <c r="EU33" s="154">
        <v>462618</v>
      </c>
      <c r="EV33" s="154">
        <v>462618</v>
      </c>
      <c r="EW33" s="154">
        <v>462618</v>
      </c>
      <c r="EX33" s="154">
        <v>462618</v>
      </c>
      <c r="EY33" s="154">
        <v>462618</v>
      </c>
      <c r="EZ33" s="200">
        <f t="shared" ref="EZ33:EZ43" si="119">+SUBTOTAL(9,EN33:EY33)</f>
        <v>5551416</v>
      </c>
      <c r="FA33" s="161"/>
      <c r="FB33" s="163">
        <v>79363</v>
      </c>
      <c r="FC33" s="164">
        <v>79363</v>
      </c>
      <c r="FD33" s="154">
        <v>79363</v>
      </c>
      <c r="FE33" s="154">
        <v>79363</v>
      </c>
      <c r="FF33" s="154">
        <v>79363</v>
      </c>
      <c r="FG33" s="154">
        <v>79363</v>
      </c>
      <c r="FH33" s="154">
        <v>79363</v>
      </c>
      <c r="FI33" s="154">
        <v>79363</v>
      </c>
      <c r="FJ33" s="154">
        <v>79363</v>
      </c>
      <c r="FK33" s="154">
        <v>79363</v>
      </c>
      <c r="FL33" s="154">
        <v>79363</v>
      </c>
      <c r="FM33" s="154">
        <v>79363</v>
      </c>
      <c r="FN33" s="200">
        <f t="shared" ref="FN33:FN43" si="120">+SUBTOTAL(9,FB33:FM33)</f>
        <v>952356</v>
      </c>
      <c r="FO33" s="161"/>
      <c r="FP33" s="163">
        <v>1358053</v>
      </c>
      <c r="FQ33" s="164">
        <v>1358053</v>
      </c>
      <c r="FR33" s="154">
        <v>1358053</v>
      </c>
      <c r="FS33" s="154">
        <v>1358053</v>
      </c>
      <c r="FT33" s="154">
        <v>1358053</v>
      </c>
      <c r="FU33" s="154">
        <v>1358053</v>
      </c>
      <c r="FV33" s="154">
        <v>1358053</v>
      </c>
      <c r="FW33" s="154">
        <v>1358053</v>
      </c>
      <c r="FX33" s="154">
        <v>1358053</v>
      </c>
      <c r="FY33" s="154">
        <v>1358053</v>
      </c>
      <c r="FZ33" s="154">
        <v>1358053</v>
      </c>
      <c r="GA33" s="154">
        <v>1358053</v>
      </c>
      <c r="GB33" s="200">
        <f t="shared" ref="GB33:GB43" si="121">+SUBTOTAL(9,FP33:GA33)</f>
        <v>16296636</v>
      </c>
      <c r="GC33" s="161"/>
      <c r="GD33" s="163">
        <v>723125</v>
      </c>
      <c r="GE33" s="164">
        <v>723125</v>
      </c>
      <c r="GF33" s="154">
        <v>723125</v>
      </c>
      <c r="GG33" s="154">
        <v>723125</v>
      </c>
      <c r="GH33" s="154">
        <v>723125</v>
      </c>
      <c r="GI33" s="154">
        <v>723125</v>
      </c>
      <c r="GJ33" s="154">
        <v>723125</v>
      </c>
      <c r="GK33" s="154">
        <v>723125</v>
      </c>
      <c r="GL33" s="154">
        <v>723125</v>
      </c>
      <c r="GM33" s="154">
        <v>723125</v>
      </c>
      <c r="GN33" s="154">
        <v>723125</v>
      </c>
      <c r="GO33" s="154">
        <v>723125</v>
      </c>
      <c r="GP33" s="200">
        <f t="shared" ref="GP33:GP43" si="122">+SUBTOTAL(9,GD33:GO33)</f>
        <v>8677500</v>
      </c>
      <c r="GQ33" s="161"/>
      <c r="GR33" s="163">
        <v>-1096797.9273333335</v>
      </c>
      <c r="GS33" s="164">
        <v>-1096797.9273333335</v>
      </c>
      <c r="GT33" s="154">
        <v>-1096797.9273333335</v>
      </c>
      <c r="GU33" s="154">
        <v>-1096797.9273333335</v>
      </c>
      <c r="GV33" s="154">
        <v>-1096797.9273333335</v>
      </c>
      <c r="GW33" s="154">
        <v>-1096797.9273333335</v>
      </c>
      <c r="GX33" s="154">
        <v>-1096797.9273333335</v>
      </c>
      <c r="GY33" s="154">
        <v>-1096797.9273333335</v>
      </c>
      <c r="GZ33" s="154">
        <v>-1096797.9273333335</v>
      </c>
      <c r="HA33" s="154">
        <v>-1096797.9273333335</v>
      </c>
      <c r="HB33" s="154">
        <v>-1096797.9273333335</v>
      </c>
      <c r="HC33" s="154">
        <v>-1096797.9273333335</v>
      </c>
      <c r="HD33" s="200">
        <f>+SUBTOTAL(9,GR33:HC33)*0</f>
        <v>0</v>
      </c>
      <c r="HE33" s="161"/>
      <c r="HF33" s="163">
        <v>592480</v>
      </c>
      <c r="HG33" s="164">
        <v>592480</v>
      </c>
      <c r="HH33" s="154">
        <v>592480</v>
      </c>
      <c r="HI33" s="154">
        <v>592480</v>
      </c>
      <c r="HJ33" s="154">
        <v>592480</v>
      </c>
      <c r="HK33" s="154">
        <v>592480</v>
      </c>
      <c r="HL33" s="154">
        <v>592480</v>
      </c>
      <c r="HM33" s="154">
        <v>592480</v>
      </c>
      <c r="HN33" s="154">
        <v>592480</v>
      </c>
      <c r="HO33" s="154">
        <v>592480</v>
      </c>
      <c r="HP33" s="154">
        <v>592480</v>
      </c>
      <c r="HQ33" s="154">
        <v>592480</v>
      </c>
      <c r="HR33" s="200">
        <f t="shared" ref="HR33:HR43" si="123">+SUBTOTAL(9,HF33:HQ33)</f>
        <v>7109760</v>
      </c>
      <c r="HS33" s="161"/>
      <c r="HT33" s="163">
        <v>154552</v>
      </c>
      <c r="HU33" s="164">
        <v>154552</v>
      </c>
      <c r="HV33" s="154">
        <v>154552</v>
      </c>
      <c r="HW33" s="154">
        <v>154552</v>
      </c>
      <c r="HX33" s="154">
        <v>154552</v>
      </c>
      <c r="HY33" s="154">
        <v>154552</v>
      </c>
      <c r="HZ33" s="154">
        <v>154552</v>
      </c>
      <c r="IA33" s="154">
        <v>154552</v>
      </c>
      <c r="IB33" s="154">
        <v>154552</v>
      </c>
      <c r="IC33" s="154">
        <v>154552</v>
      </c>
      <c r="ID33" s="154">
        <v>154552</v>
      </c>
      <c r="IE33" s="154">
        <v>154552</v>
      </c>
      <c r="IF33" s="200">
        <f t="shared" ref="IF33:IF43" si="124">+SUBTOTAL(9,HT33:IE33)</f>
        <v>1854624</v>
      </c>
      <c r="IG33" s="161"/>
      <c r="IH33" s="163">
        <v>517372</v>
      </c>
      <c r="II33" s="164">
        <v>517372</v>
      </c>
      <c r="IJ33" s="154">
        <v>517372</v>
      </c>
      <c r="IK33" s="154">
        <v>517372</v>
      </c>
      <c r="IL33" s="154">
        <v>517372</v>
      </c>
      <c r="IM33" s="154">
        <v>517372</v>
      </c>
      <c r="IN33" s="154">
        <v>517372</v>
      </c>
      <c r="IO33" s="154">
        <v>517372</v>
      </c>
      <c r="IP33" s="154">
        <v>517372</v>
      </c>
      <c r="IQ33" s="154">
        <v>517372</v>
      </c>
      <c r="IR33" s="154">
        <v>517372</v>
      </c>
      <c r="IS33" s="154">
        <v>517372</v>
      </c>
      <c r="IT33" s="200">
        <f t="shared" ref="IT33:IT43" si="125">+SUBTOTAL(9,IH33:IS33)</f>
        <v>6208464</v>
      </c>
      <c r="IU33" s="161"/>
      <c r="IV33" s="163">
        <v>1497536</v>
      </c>
      <c r="IW33" s="164">
        <v>1497536</v>
      </c>
      <c r="IX33" s="154">
        <v>1497536</v>
      </c>
      <c r="IY33" s="154">
        <v>1497536</v>
      </c>
      <c r="IZ33" s="154">
        <v>1497536</v>
      </c>
      <c r="JA33" s="154">
        <v>1497536</v>
      </c>
      <c r="JB33" s="154">
        <v>1497536</v>
      </c>
      <c r="JC33" s="154">
        <v>1497536</v>
      </c>
      <c r="JD33" s="154">
        <v>1497536</v>
      </c>
      <c r="JE33" s="154">
        <v>1497536</v>
      </c>
      <c r="JF33" s="154">
        <v>1497536</v>
      </c>
      <c r="JG33" s="154">
        <v>1497536</v>
      </c>
      <c r="JH33" s="200">
        <f t="shared" ref="JH33:JH43" si="126">+SUBTOTAL(9,IV33:JG33)</f>
        <v>17970432</v>
      </c>
      <c r="JI33" s="161"/>
      <c r="JJ33" s="163">
        <v>2021408</v>
      </c>
      <c r="JK33" s="164">
        <v>2021408</v>
      </c>
      <c r="JL33" s="154">
        <v>2021408</v>
      </c>
      <c r="JM33" s="154">
        <v>2021408</v>
      </c>
      <c r="JN33" s="154">
        <v>2021408</v>
      </c>
      <c r="JO33" s="154">
        <v>2021408</v>
      </c>
      <c r="JP33" s="154">
        <v>2021408</v>
      </c>
      <c r="JQ33" s="154">
        <v>2021408</v>
      </c>
      <c r="JR33" s="154">
        <v>2021408</v>
      </c>
      <c r="JS33" s="154">
        <v>2021408</v>
      </c>
      <c r="JT33" s="154">
        <v>2021408</v>
      </c>
      <c r="JU33" s="154">
        <v>2021408</v>
      </c>
      <c r="JV33" s="200">
        <f t="shared" ref="JV33:JV43" si="127">+SUBTOTAL(9,JJ33:JU33)</f>
        <v>24256896</v>
      </c>
      <c r="JW33" s="161"/>
      <c r="JX33" s="163">
        <v>1091919</v>
      </c>
      <c r="JY33" s="164">
        <v>1091919</v>
      </c>
      <c r="JZ33" s="154">
        <v>1091919</v>
      </c>
      <c r="KA33" s="154">
        <v>1091919</v>
      </c>
      <c r="KB33" s="154">
        <v>1091919</v>
      </c>
      <c r="KC33" s="154">
        <v>1091919</v>
      </c>
      <c r="KD33" s="154">
        <v>1091919</v>
      </c>
      <c r="KE33" s="154">
        <v>1091919</v>
      </c>
      <c r="KF33" s="154">
        <v>1091919</v>
      </c>
      <c r="KG33" s="154">
        <v>1091919</v>
      </c>
      <c r="KH33" s="154">
        <v>1091919</v>
      </c>
      <c r="KI33" s="154">
        <v>1091919</v>
      </c>
      <c r="KJ33" s="200">
        <f t="shared" ref="KJ33:KJ43" si="128">+SUBTOTAL(9,JX33:KI33)</f>
        <v>13103028</v>
      </c>
      <c r="KK33" s="161"/>
      <c r="KL33" s="163">
        <v>150250</v>
      </c>
      <c r="KM33" s="164">
        <v>150250</v>
      </c>
      <c r="KN33" s="154">
        <v>150250</v>
      </c>
      <c r="KO33" s="154">
        <v>150250</v>
      </c>
      <c r="KP33" s="154">
        <v>150250</v>
      </c>
      <c r="KQ33" s="154">
        <v>150250</v>
      </c>
      <c r="KR33" s="154">
        <v>150250</v>
      </c>
      <c r="KS33" s="154">
        <v>150250</v>
      </c>
      <c r="KT33" s="154">
        <v>150250</v>
      </c>
      <c r="KU33" s="154">
        <v>150250</v>
      </c>
      <c r="KV33" s="154">
        <v>150250</v>
      </c>
      <c r="KW33" s="154">
        <v>150250</v>
      </c>
      <c r="KX33" s="200">
        <f t="shared" ref="KX33:KX43" si="129">+SUBTOTAL(9,KL33:KW33)</f>
        <v>1803000</v>
      </c>
      <c r="KY33" s="161"/>
      <c r="KZ33" s="163">
        <v>156301</v>
      </c>
      <c r="LA33" s="164">
        <v>156301</v>
      </c>
      <c r="LB33" s="154">
        <v>156301</v>
      </c>
      <c r="LC33" s="154">
        <v>156301</v>
      </c>
      <c r="LD33" s="154">
        <v>156301</v>
      </c>
      <c r="LE33" s="154">
        <v>156301</v>
      </c>
      <c r="LF33" s="154">
        <v>156301</v>
      </c>
      <c r="LG33" s="154">
        <v>156301</v>
      </c>
      <c r="LH33" s="154">
        <v>156301</v>
      </c>
      <c r="LI33" s="154">
        <v>156301</v>
      </c>
      <c r="LJ33" s="154">
        <v>156301</v>
      </c>
      <c r="LK33" s="154">
        <v>156301</v>
      </c>
      <c r="LL33" s="200">
        <f t="shared" ref="LL33:LL43" si="130">+SUBTOTAL(9,KZ33:LK33)</f>
        <v>1875612</v>
      </c>
      <c r="LM33" s="161"/>
      <c r="LN33" s="163">
        <v>0</v>
      </c>
      <c r="LO33" s="164">
        <v>0</v>
      </c>
      <c r="LP33" s="154">
        <v>0</v>
      </c>
      <c r="LQ33" s="154">
        <v>0</v>
      </c>
      <c r="LR33" s="154">
        <v>0</v>
      </c>
      <c r="LS33" s="154">
        <v>0</v>
      </c>
      <c r="LT33" s="154">
        <v>0</v>
      </c>
      <c r="LU33" s="154">
        <v>0</v>
      </c>
      <c r="LV33" s="154">
        <v>0</v>
      </c>
      <c r="LW33" s="154">
        <v>0</v>
      </c>
      <c r="LX33" s="154">
        <v>0</v>
      </c>
      <c r="LY33" s="154">
        <v>0</v>
      </c>
      <c r="LZ33" s="200">
        <f t="shared" ref="LZ33:LZ43" si="131">+SUBTOTAL(9,LN33:LY33)</f>
        <v>0</v>
      </c>
      <c r="MA33" s="161"/>
      <c r="MB33" s="200">
        <f t="shared" ref="MB33:MM43" si="132">SUMIF($D$6:$LY$6,MB$3,$D33:$LY33)</f>
        <v>23221323.072666667</v>
      </c>
      <c r="MC33" s="200">
        <f t="shared" si="132"/>
        <v>23221323.072666667</v>
      </c>
      <c r="MD33" s="200">
        <f t="shared" si="132"/>
        <v>23221323.072666667</v>
      </c>
      <c r="ME33" s="200">
        <f t="shared" si="132"/>
        <v>23221323.072666667</v>
      </c>
      <c r="MF33" s="200">
        <f t="shared" si="132"/>
        <v>23221323.072666667</v>
      </c>
      <c r="MG33" s="200">
        <f t="shared" si="132"/>
        <v>23221323.072666667</v>
      </c>
      <c r="MH33" s="200">
        <f t="shared" si="132"/>
        <v>23221323.072666667</v>
      </c>
      <c r="MI33" s="200">
        <f t="shared" si="132"/>
        <v>23221323.072666667</v>
      </c>
      <c r="MJ33" s="200">
        <f t="shared" si="132"/>
        <v>23221323.072666667</v>
      </c>
      <c r="MK33" s="200">
        <f t="shared" si="132"/>
        <v>23221323.072666667</v>
      </c>
      <c r="ML33" s="200">
        <f t="shared" si="132"/>
        <v>23221323.072666667</v>
      </c>
      <c r="MM33" s="200">
        <f t="shared" si="132"/>
        <v>23221323.072666667</v>
      </c>
      <c r="MN33" s="200">
        <f t="shared" ref="MN33:MN43" si="133">SUM(MB33:MM33)</f>
        <v>278655876.87200004</v>
      </c>
    </row>
    <row r="34" spans="1:352" s="201" customFormat="1" x14ac:dyDescent="0.25">
      <c r="A34" s="98"/>
      <c r="B34" s="64" t="s">
        <v>52</v>
      </c>
      <c r="C34" s="172"/>
      <c r="D34" s="163">
        <v>199226</v>
      </c>
      <c r="E34" s="164">
        <v>199226</v>
      </c>
      <c r="F34" s="164">
        <v>199226</v>
      </c>
      <c r="G34" s="164">
        <v>199226</v>
      </c>
      <c r="H34" s="164">
        <v>199226</v>
      </c>
      <c r="I34" s="164">
        <v>199226</v>
      </c>
      <c r="J34" s="164">
        <v>199226</v>
      </c>
      <c r="K34" s="164">
        <v>199226</v>
      </c>
      <c r="L34" s="164">
        <v>199226</v>
      </c>
      <c r="M34" s="164">
        <v>199226</v>
      </c>
      <c r="N34" s="164">
        <v>199226</v>
      </c>
      <c r="O34" s="164">
        <v>199226</v>
      </c>
      <c r="P34" s="200">
        <f t="shared" si="109"/>
        <v>2390712</v>
      </c>
      <c r="Q34" s="161"/>
      <c r="R34" s="163">
        <v>16127</v>
      </c>
      <c r="S34" s="164">
        <v>16127</v>
      </c>
      <c r="T34" s="164">
        <v>16127</v>
      </c>
      <c r="U34" s="164">
        <v>16127</v>
      </c>
      <c r="V34" s="179">
        <v>16127</v>
      </c>
      <c r="W34" s="179">
        <v>16127</v>
      </c>
      <c r="X34" s="179">
        <v>16127</v>
      </c>
      <c r="Y34" s="164">
        <v>16127</v>
      </c>
      <c r="Z34" s="164">
        <v>16127</v>
      </c>
      <c r="AA34" s="164">
        <v>16127</v>
      </c>
      <c r="AB34" s="164">
        <v>16127</v>
      </c>
      <c r="AC34" s="164">
        <v>16127</v>
      </c>
      <c r="AD34" s="200">
        <f t="shared" si="110"/>
        <v>193524</v>
      </c>
      <c r="AE34" s="161"/>
      <c r="AF34" s="163">
        <v>16242</v>
      </c>
      <c r="AG34" s="164">
        <v>16242</v>
      </c>
      <c r="AH34" s="164">
        <v>16242</v>
      </c>
      <c r="AI34" s="164">
        <v>16242</v>
      </c>
      <c r="AJ34" s="179">
        <v>16242</v>
      </c>
      <c r="AK34" s="179">
        <v>16242</v>
      </c>
      <c r="AL34" s="179">
        <v>16242</v>
      </c>
      <c r="AM34" s="164">
        <v>16242</v>
      </c>
      <c r="AN34" s="164">
        <v>16242</v>
      </c>
      <c r="AO34" s="164">
        <v>16242</v>
      </c>
      <c r="AP34" s="164">
        <v>16242</v>
      </c>
      <c r="AQ34" s="164">
        <v>16242</v>
      </c>
      <c r="AR34" s="200">
        <f t="shared" si="111"/>
        <v>194904</v>
      </c>
      <c r="AS34" s="161"/>
      <c r="AT34" s="163">
        <v>50794</v>
      </c>
      <c r="AU34" s="164">
        <v>50794</v>
      </c>
      <c r="AV34" s="164">
        <v>50794</v>
      </c>
      <c r="AW34" s="164">
        <v>50794</v>
      </c>
      <c r="AX34" s="179">
        <v>50794</v>
      </c>
      <c r="AY34" s="179">
        <v>50794</v>
      </c>
      <c r="AZ34" s="179">
        <v>50794</v>
      </c>
      <c r="BA34" s="164">
        <v>50794</v>
      </c>
      <c r="BB34" s="154">
        <v>50794</v>
      </c>
      <c r="BC34" s="154">
        <v>50794</v>
      </c>
      <c r="BD34" s="154">
        <v>50794</v>
      </c>
      <c r="BE34" s="154">
        <v>50794</v>
      </c>
      <c r="BF34" s="200">
        <f t="shared" si="112"/>
        <v>609528</v>
      </c>
      <c r="BG34" s="176"/>
      <c r="BH34" s="163">
        <v>291480</v>
      </c>
      <c r="BI34" s="164">
        <v>291480</v>
      </c>
      <c r="BJ34" s="154">
        <v>291480</v>
      </c>
      <c r="BK34" s="154">
        <v>291480</v>
      </c>
      <c r="BL34" s="154">
        <v>291480</v>
      </c>
      <c r="BM34" s="154">
        <v>291480</v>
      </c>
      <c r="BN34" s="154">
        <v>291480</v>
      </c>
      <c r="BO34" s="154">
        <v>291480</v>
      </c>
      <c r="BP34" s="154">
        <v>291480</v>
      </c>
      <c r="BQ34" s="154">
        <v>291480</v>
      </c>
      <c r="BR34" s="154">
        <v>291480</v>
      </c>
      <c r="BS34" s="154">
        <v>291480</v>
      </c>
      <c r="BT34" s="200">
        <f t="shared" si="113"/>
        <v>3497760</v>
      </c>
      <c r="BU34" s="161"/>
      <c r="BV34" s="163">
        <v>45451</v>
      </c>
      <c r="BW34" s="164">
        <v>45451</v>
      </c>
      <c r="BX34" s="154">
        <v>45451</v>
      </c>
      <c r="BY34" s="154">
        <v>45451</v>
      </c>
      <c r="BZ34" s="154">
        <v>45451</v>
      </c>
      <c r="CA34" s="154">
        <v>45451</v>
      </c>
      <c r="CB34" s="154">
        <v>45451</v>
      </c>
      <c r="CC34" s="154">
        <v>45451</v>
      </c>
      <c r="CD34" s="154">
        <v>45451</v>
      </c>
      <c r="CE34" s="154">
        <v>45451</v>
      </c>
      <c r="CF34" s="154">
        <v>45451</v>
      </c>
      <c r="CG34" s="154">
        <v>45451</v>
      </c>
      <c r="CH34" s="200">
        <f t="shared" si="114"/>
        <v>545412</v>
      </c>
      <c r="CI34" s="161"/>
      <c r="CJ34" s="163">
        <v>117683</v>
      </c>
      <c r="CK34" s="164">
        <v>117683</v>
      </c>
      <c r="CL34" s="154">
        <v>117683</v>
      </c>
      <c r="CM34" s="154">
        <v>117683</v>
      </c>
      <c r="CN34" s="154">
        <v>117683</v>
      </c>
      <c r="CO34" s="154">
        <v>117683</v>
      </c>
      <c r="CP34" s="154">
        <v>117683</v>
      </c>
      <c r="CQ34" s="154">
        <v>117683</v>
      </c>
      <c r="CR34" s="154">
        <v>117683</v>
      </c>
      <c r="CS34" s="154">
        <v>117683</v>
      </c>
      <c r="CT34" s="154">
        <v>117683</v>
      </c>
      <c r="CU34" s="154">
        <v>117683</v>
      </c>
      <c r="CV34" s="200">
        <f t="shared" si="115"/>
        <v>1412196</v>
      </c>
      <c r="CW34" s="161"/>
      <c r="CX34" s="163">
        <v>260820</v>
      </c>
      <c r="CY34" s="164">
        <v>260820</v>
      </c>
      <c r="CZ34" s="154">
        <v>260820</v>
      </c>
      <c r="DA34" s="154">
        <v>260820</v>
      </c>
      <c r="DB34" s="154">
        <v>260820</v>
      </c>
      <c r="DC34" s="154">
        <v>260820</v>
      </c>
      <c r="DD34" s="154">
        <v>260820</v>
      </c>
      <c r="DE34" s="154">
        <v>260820</v>
      </c>
      <c r="DF34" s="154">
        <v>260820</v>
      </c>
      <c r="DG34" s="154">
        <v>260820</v>
      </c>
      <c r="DH34" s="154">
        <v>260820</v>
      </c>
      <c r="DI34" s="154">
        <v>260820</v>
      </c>
      <c r="DJ34" s="200">
        <f t="shared" si="116"/>
        <v>3129840</v>
      </c>
      <c r="DK34" s="161"/>
      <c r="DL34" s="163">
        <v>152002</v>
      </c>
      <c r="DM34" s="164">
        <v>152002</v>
      </c>
      <c r="DN34" s="154">
        <v>152002</v>
      </c>
      <c r="DO34" s="154">
        <v>152002</v>
      </c>
      <c r="DP34" s="154">
        <v>152002</v>
      </c>
      <c r="DQ34" s="154">
        <v>152002</v>
      </c>
      <c r="DR34" s="154">
        <v>152002</v>
      </c>
      <c r="DS34" s="154">
        <v>152002</v>
      </c>
      <c r="DT34" s="154">
        <v>152002</v>
      </c>
      <c r="DU34" s="154">
        <v>152002</v>
      </c>
      <c r="DV34" s="154">
        <v>152002</v>
      </c>
      <c r="DW34" s="154">
        <v>152002</v>
      </c>
      <c r="DX34" s="200">
        <f t="shared" si="117"/>
        <v>1824024</v>
      </c>
      <c r="DY34" s="161"/>
      <c r="DZ34" s="163">
        <v>24637</v>
      </c>
      <c r="EA34" s="164">
        <v>24637</v>
      </c>
      <c r="EB34" s="154">
        <v>24637</v>
      </c>
      <c r="EC34" s="154">
        <v>24637</v>
      </c>
      <c r="ED34" s="154">
        <v>24637</v>
      </c>
      <c r="EE34" s="154">
        <v>24637</v>
      </c>
      <c r="EF34" s="154">
        <v>24637</v>
      </c>
      <c r="EG34" s="154">
        <v>24637</v>
      </c>
      <c r="EH34" s="154">
        <v>24637</v>
      </c>
      <c r="EI34" s="154">
        <v>24637</v>
      </c>
      <c r="EJ34" s="154">
        <v>24637</v>
      </c>
      <c r="EK34" s="154">
        <v>24637</v>
      </c>
      <c r="EL34" s="200">
        <f t="shared" si="118"/>
        <v>295644</v>
      </c>
      <c r="EM34" s="161"/>
      <c r="EN34" s="163">
        <v>35023</v>
      </c>
      <c r="EO34" s="164">
        <v>35023</v>
      </c>
      <c r="EP34" s="154">
        <v>35023</v>
      </c>
      <c r="EQ34" s="154">
        <v>35023</v>
      </c>
      <c r="ER34" s="154">
        <v>35023</v>
      </c>
      <c r="ES34" s="154">
        <v>35023</v>
      </c>
      <c r="ET34" s="154">
        <v>35023</v>
      </c>
      <c r="EU34" s="154">
        <v>35023</v>
      </c>
      <c r="EV34" s="154">
        <v>35023</v>
      </c>
      <c r="EW34" s="154">
        <v>35023</v>
      </c>
      <c r="EX34" s="154">
        <v>35023</v>
      </c>
      <c r="EY34" s="154">
        <v>35023</v>
      </c>
      <c r="EZ34" s="200">
        <f t="shared" si="119"/>
        <v>420276</v>
      </c>
      <c r="FA34" s="161"/>
      <c r="FB34" s="163">
        <v>6007</v>
      </c>
      <c r="FC34" s="164">
        <v>6007</v>
      </c>
      <c r="FD34" s="154">
        <v>6007</v>
      </c>
      <c r="FE34" s="154">
        <v>6007</v>
      </c>
      <c r="FF34" s="154">
        <v>6007</v>
      </c>
      <c r="FG34" s="154">
        <v>6007</v>
      </c>
      <c r="FH34" s="154">
        <v>6007</v>
      </c>
      <c r="FI34" s="154">
        <v>6007</v>
      </c>
      <c r="FJ34" s="154">
        <v>6007</v>
      </c>
      <c r="FK34" s="154">
        <v>6007</v>
      </c>
      <c r="FL34" s="154">
        <v>6007</v>
      </c>
      <c r="FM34" s="154">
        <v>6007</v>
      </c>
      <c r="FN34" s="200">
        <f t="shared" si="120"/>
        <v>72084</v>
      </c>
      <c r="FO34" s="161"/>
      <c r="FP34" s="163">
        <v>102815</v>
      </c>
      <c r="FQ34" s="164">
        <v>102815</v>
      </c>
      <c r="FR34" s="154">
        <v>102815</v>
      </c>
      <c r="FS34" s="154">
        <v>102815</v>
      </c>
      <c r="FT34" s="154">
        <v>102815</v>
      </c>
      <c r="FU34" s="154">
        <v>102815</v>
      </c>
      <c r="FV34" s="154">
        <v>102815</v>
      </c>
      <c r="FW34" s="154">
        <v>102815</v>
      </c>
      <c r="FX34" s="154">
        <v>102815</v>
      </c>
      <c r="FY34" s="154">
        <v>102815</v>
      </c>
      <c r="FZ34" s="154">
        <v>102815</v>
      </c>
      <c r="GA34" s="154">
        <v>102815</v>
      </c>
      <c r="GB34" s="200">
        <f t="shared" si="121"/>
        <v>1233780</v>
      </c>
      <c r="GC34" s="161"/>
      <c r="GD34" s="163">
        <v>54746</v>
      </c>
      <c r="GE34" s="164">
        <v>54746</v>
      </c>
      <c r="GF34" s="154">
        <v>54746</v>
      </c>
      <c r="GG34" s="154">
        <v>54746</v>
      </c>
      <c r="GH34" s="154">
        <v>54746</v>
      </c>
      <c r="GI34" s="154">
        <v>54746</v>
      </c>
      <c r="GJ34" s="154">
        <v>54746</v>
      </c>
      <c r="GK34" s="154">
        <v>54746</v>
      </c>
      <c r="GL34" s="154">
        <v>54746</v>
      </c>
      <c r="GM34" s="154">
        <v>54746</v>
      </c>
      <c r="GN34" s="154">
        <v>54746</v>
      </c>
      <c r="GO34" s="154">
        <v>54746</v>
      </c>
      <c r="GP34" s="200">
        <f t="shared" si="122"/>
        <v>656952</v>
      </c>
      <c r="GQ34" s="161"/>
      <c r="GR34" s="163">
        <v>-54020.752836073065</v>
      </c>
      <c r="GS34" s="164">
        <v>-54020.752836073065</v>
      </c>
      <c r="GT34" s="154">
        <v>-54020.752836073065</v>
      </c>
      <c r="GU34" s="154">
        <v>-54020.752836073065</v>
      </c>
      <c r="GV34" s="154">
        <v>-54020.752836073065</v>
      </c>
      <c r="GW34" s="154">
        <v>-54020.752836073065</v>
      </c>
      <c r="GX34" s="154">
        <v>-54020.752836073065</v>
      </c>
      <c r="GY34" s="154">
        <v>-54020.752836073065</v>
      </c>
      <c r="GZ34" s="154">
        <v>-54020.752836073065</v>
      </c>
      <c r="HA34" s="154">
        <v>-54020.752836073065</v>
      </c>
      <c r="HB34" s="154">
        <v>-54020.752836073065</v>
      </c>
      <c r="HC34" s="154">
        <v>-54020.752836073065</v>
      </c>
      <c r="HD34" s="200">
        <f t="shared" ref="HD34:HD43" si="134">+SUBTOTAL(9,GR34:HC34)*0</f>
        <v>0</v>
      </c>
      <c r="HE34" s="161"/>
      <c r="HF34" s="163">
        <v>44857</v>
      </c>
      <c r="HG34" s="164">
        <v>44857</v>
      </c>
      <c r="HH34" s="154">
        <v>44857</v>
      </c>
      <c r="HI34" s="154">
        <v>44857</v>
      </c>
      <c r="HJ34" s="154">
        <v>44857</v>
      </c>
      <c r="HK34" s="154">
        <v>44857</v>
      </c>
      <c r="HL34" s="154">
        <v>44857</v>
      </c>
      <c r="HM34" s="154">
        <v>44857</v>
      </c>
      <c r="HN34" s="154">
        <v>44857</v>
      </c>
      <c r="HO34" s="154">
        <v>44857</v>
      </c>
      <c r="HP34" s="154">
        <v>44857</v>
      </c>
      <c r="HQ34" s="154">
        <v>44857</v>
      </c>
      <c r="HR34" s="200">
        <f t="shared" si="123"/>
        <v>538284</v>
      </c>
      <c r="HS34" s="161"/>
      <c r="HT34" s="163">
        <v>11700</v>
      </c>
      <c r="HU34" s="164">
        <v>11700</v>
      </c>
      <c r="HV34" s="154">
        <v>11700</v>
      </c>
      <c r="HW34" s="154">
        <v>11700</v>
      </c>
      <c r="HX34" s="154">
        <v>11700</v>
      </c>
      <c r="HY34" s="154">
        <v>11700</v>
      </c>
      <c r="HZ34" s="154">
        <v>11700</v>
      </c>
      <c r="IA34" s="154">
        <v>11700</v>
      </c>
      <c r="IB34" s="154">
        <v>11700</v>
      </c>
      <c r="IC34" s="154">
        <v>11700</v>
      </c>
      <c r="ID34" s="154">
        <v>11700</v>
      </c>
      <c r="IE34" s="154">
        <v>11700</v>
      </c>
      <c r="IF34" s="200">
        <f t="shared" si="124"/>
        <v>140400</v>
      </c>
      <c r="IG34" s="161"/>
      <c r="IH34" s="163">
        <v>39168</v>
      </c>
      <c r="II34" s="164">
        <v>39168</v>
      </c>
      <c r="IJ34" s="154">
        <v>39168</v>
      </c>
      <c r="IK34" s="154">
        <v>39168</v>
      </c>
      <c r="IL34" s="154">
        <v>39168</v>
      </c>
      <c r="IM34" s="154">
        <v>39168</v>
      </c>
      <c r="IN34" s="154">
        <v>39168</v>
      </c>
      <c r="IO34" s="154">
        <v>39168</v>
      </c>
      <c r="IP34" s="154">
        <v>39168</v>
      </c>
      <c r="IQ34" s="154">
        <v>39168</v>
      </c>
      <c r="IR34" s="154">
        <v>39168</v>
      </c>
      <c r="IS34" s="154">
        <v>39168</v>
      </c>
      <c r="IT34" s="200">
        <f t="shared" si="125"/>
        <v>470016</v>
      </c>
      <c r="IU34" s="161"/>
      <c r="IV34" s="163">
        <v>113373</v>
      </c>
      <c r="IW34" s="164">
        <v>113373</v>
      </c>
      <c r="IX34" s="154">
        <v>113373</v>
      </c>
      <c r="IY34" s="154">
        <v>113373</v>
      </c>
      <c r="IZ34" s="154">
        <v>113373</v>
      </c>
      <c r="JA34" s="154">
        <v>113373</v>
      </c>
      <c r="JB34" s="154">
        <v>113373</v>
      </c>
      <c r="JC34" s="154">
        <v>113373</v>
      </c>
      <c r="JD34" s="154">
        <v>113373</v>
      </c>
      <c r="JE34" s="154">
        <v>113373</v>
      </c>
      <c r="JF34" s="154">
        <v>113373</v>
      </c>
      <c r="JG34" s="154">
        <v>113373</v>
      </c>
      <c r="JH34" s="200">
        <f t="shared" si="126"/>
        <v>1360476</v>
      </c>
      <c r="JI34" s="161"/>
      <c r="JJ34" s="163">
        <v>153035</v>
      </c>
      <c r="JK34" s="164">
        <v>153035</v>
      </c>
      <c r="JL34" s="154">
        <v>153035</v>
      </c>
      <c r="JM34" s="154">
        <v>153035</v>
      </c>
      <c r="JN34" s="154">
        <v>153035</v>
      </c>
      <c r="JO34" s="154">
        <v>153035</v>
      </c>
      <c r="JP34" s="154">
        <v>153035</v>
      </c>
      <c r="JQ34" s="154">
        <v>153035</v>
      </c>
      <c r="JR34" s="154">
        <v>153035</v>
      </c>
      <c r="JS34" s="154">
        <v>153035</v>
      </c>
      <c r="JT34" s="154">
        <v>153035</v>
      </c>
      <c r="JU34" s="154">
        <v>153035</v>
      </c>
      <c r="JV34" s="200">
        <f t="shared" si="127"/>
        <v>1836420</v>
      </c>
      <c r="JW34" s="161"/>
      <c r="JX34" s="163">
        <v>82667</v>
      </c>
      <c r="JY34" s="164">
        <v>82667</v>
      </c>
      <c r="JZ34" s="154">
        <v>82667</v>
      </c>
      <c r="KA34" s="154">
        <v>82667</v>
      </c>
      <c r="KB34" s="154">
        <v>82667</v>
      </c>
      <c r="KC34" s="154">
        <v>82667</v>
      </c>
      <c r="KD34" s="154">
        <v>82667</v>
      </c>
      <c r="KE34" s="154">
        <v>82667</v>
      </c>
      <c r="KF34" s="154">
        <v>82667</v>
      </c>
      <c r="KG34" s="154">
        <v>82667</v>
      </c>
      <c r="KH34" s="154">
        <v>82667</v>
      </c>
      <c r="KI34" s="154">
        <v>82667</v>
      </c>
      <c r="KJ34" s="200">
        <f t="shared" si="128"/>
        <v>992004</v>
      </c>
      <c r="KK34" s="161"/>
      <c r="KL34" s="163">
        <v>11375</v>
      </c>
      <c r="KM34" s="164">
        <v>11375</v>
      </c>
      <c r="KN34" s="154">
        <v>11375</v>
      </c>
      <c r="KO34" s="154">
        <v>11375</v>
      </c>
      <c r="KP34" s="154">
        <v>11375</v>
      </c>
      <c r="KQ34" s="154">
        <v>11375</v>
      </c>
      <c r="KR34" s="154">
        <v>11375</v>
      </c>
      <c r="KS34" s="154">
        <v>11375</v>
      </c>
      <c r="KT34" s="154">
        <v>11375</v>
      </c>
      <c r="KU34" s="154">
        <v>11375</v>
      </c>
      <c r="KV34" s="154">
        <v>11375</v>
      </c>
      <c r="KW34" s="154">
        <v>11375</v>
      </c>
      <c r="KX34" s="200">
        <f t="shared" si="129"/>
        <v>136500</v>
      </c>
      <c r="KY34" s="161"/>
      <c r="KZ34" s="163">
        <v>11833</v>
      </c>
      <c r="LA34" s="164">
        <v>11833</v>
      </c>
      <c r="LB34" s="154">
        <v>11833</v>
      </c>
      <c r="LC34" s="154">
        <v>11833</v>
      </c>
      <c r="LD34" s="154">
        <v>11833</v>
      </c>
      <c r="LE34" s="154">
        <v>11833</v>
      </c>
      <c r="LF34" s="154">
        <v>11833</v>
      </c>
      <c r="LG34" s="154">
        <v>11833</v>
      </c>
      <c r="LH34" s="154">
        <v>11833</v>
      </c>
      <c r="LI34" s="154">
        <v>11833</v>
      </c>
      <c r="LJ34" s="154">
        <v>11833</v>
      </c>
      <c r="LK34" s="154">
        <v>11833</v>
      </c>
      <c r="LL34" s="200">
        <f t="shared" si="130"/>
        <v>141996</v>
      </c>
      <c r="LM34" s="161"/>
      <c r="LN34" s="163">
        <v>0</v>
      </c>
      <c r="LO34" s="164">
        <v>0</v>
      </c>
      <c r="LP34" s="154">
        <v>0</v>
      </c>
      <c r="LQ34" s="154">
        <v>0</v>
      </c>
      <c r="LR34" s="154">
        <v>0</v>
      </c>
      <c r="LS34" s="154">
        <v>0</v>
      </c>
      <c r="LT34" s="154">
        <v>0</v>
      </c>
      <c r="LU34" s="154">
        <v>0</v>
      </c>
      <c r="LV34" s="154">
        <v>0</v>
      </c>
      <c r="LW34" s="154">
        <v>0</v>
      </c>
      <c r="LX34" s="154">
        <v>0</v>
      </c>
      <c r="LY34" s="154">
        <v>0</v>
      </c>
      <c r="LZ34" s="200">
        <f t="shared" si="131"/>
        <v>0</v>
      </c>
      <c r="MA34" s="161"/>
      <c r="MB34" s="200">
        <f t="shared" si="132"/>
        <v>1787040.2471639269</v>
      </c>
      <c r="MC34" s="200">
        <f t="shared" si="132"/>
        <v>1787040.2471639269</v>
      </c>
      <c r="MD34" s="200">
        <f t="shared" si="132"/>
        <v>1787040.2471639269</v>
      </c>
      <c r="ME34" s="200">
        <f t="shared" si="132"/>
        <v>1787040.2471639269</v>
      </c>
      <c r="MF34" s="200">
        <f t="shared" si="132"/>
        <v>1787040.2471639269</v>
      </c>
      <c r="MG34" s="200">
        <f t="shared" si="132"/>
        <v>1787040.2471639269</v>
      </c>
      <c r="MH34" s="200">
        <f t="shared" si="132"/>
        <v>1787040.2471639269</v>
      </c>
      <c r="MI34" s="200">
        <f t="shared" si="132"/>
        <v>1787040.2471639269</v>
      </c>
      <c r="MJ34" s="200">
        <f t="shared" si="132"/>
        <v>1787040.2471639269</v>
      </c>
      <c r="MK34" s="200">
        <f t="shared" si="132"/>
        <v>1787040.2471639269</v>
      </c>
      <c r="ML34" s="200">
        <f t="shared" si="132"/>
        <v>1787040.2471639269</v>
      </c>
      <c r="MM34" s="200">
        <f t="shared" si="132"/>
        <v>1787040.2471639269</v>
      </c>
      <c r="MN34" s="200">
        <f t="shared" si="133"/>
        <v>21444482.965967119</v>
      </c>
    </row>
    <row r="35" spans="1:352" s="180" customFormat="1" x14ac:dyDescent="0.25">
      <c r="A35" s="98"/>
      <c r="B35" s="64" t="s">
        <v>53</v>
      </c>
      <c r="C35" s="98"/>
      <c r="D35" s="163">
        <v>0</v>
      </c>
      <c r="E35" s="164">
        <v>0</v>
      </c>
      <c r="F35" s="164">
        <v>0</v>
      </c>
      <c r="G35" s="164">
        <v>0</v>
      </c>
      <c r="H35" s="164">
        <v>0</v>
      </c>
      <c r="I35" s="164">
        <v>0</v>
      </c>
      <c r="J35" s="164">
        <v>0</v>
      </c>
      <c r="K35" s="164">
        <v>0</v>
      </c>
      <c r="L35" s="164">
        <v>0</v>
      </c>
      <c r="M35" s="164">
        <v>0</v>
      </c>
      <c r="N35" s="164">
        <v>0</v>
      </c>
      <c r="O35" s="164">
        <v>0</v>
      </c>
      <c r="P35" s="157">
        <f t="shared" si="109"/>
        <v>0</v>
      </c>
      <c r="Q35" s="161"/>
      <c r="R35" s="163">
        <v>0</v>
      </c>
      <c r="S35" s="164">
        <v>0</v>
      </c>
      <c r="T35" s="164">
        <v>0</v>
      </c>
      <c r="U35" s="164">
        <v>0</v>
      </c>
      <c r="V35" s="179">
        <v>0</v>
      </c>
      <c r="W35" s="179">
        <v>0</v>
      </c>
      <c r="X35" s="179">
        <v>0</v>
      </c>
      <c r="Y35" s="164">
        <v>0</v>
      </c>
      <c r="Z35" s="164">
        <v>0</v>
      </c>
      <c r="AA35" s="164">
        <v>0</v>
      </c>
      <c r="AB35" s="164">
        <v>0</v>
      </c>
      <c r="AC35" s="164">
        <v>0</v>
      </c>
      <c r="AD35" s="157">
        <f t="shared" si="110"/>
        <v>0</v>
      </c>
      <c r="AE35" s="161"/>
      <c r="AF35" s="163">
        <v>0</v>
      </c>
      <c r="AG35" s="164">
        <v>0</v>
      </c>
      <c r="AH35" s="164">
        <v>0</v>
      </c>
      <c r="AI35" s="164">
        <v>0</v>
      </c>
      <c r="AJ35" s="179">
        <v>0</v>
      </c>
      <c r="AK35" s="179">
        <v>0</v>
      </c>
      <c r="AL35" s="179">
        <v>0</v>
      </c>
      <c r="AM35" s="164">
        <v>0</v>
      </c>
      <c r="AN35" s="164">
        <v>0</v>
      </c>
      <c r="AO35" s="164">
        <v>0</v>
      </c>
      <c r="AP35" s="164">
        <v>0</v>
      </c>
      <c r="AQ35" s="164">
        <v>0</v>
      </c>
      <c r="AR35" s="157">
        <f t="shared" si="111"/>
        <v>0</v>
      </c>
      <c r="AS35" s="161"/>
      <c r="AT35" s="163">
        <v>0</v>
      </c>
      <c r="AU35" s="164">
        <v>0</v>
      </c>
      <c r="AV35" s="164">
        <v>0</v>
      </c>
      <c r="AW35" s="164">
        <v>0</v>
      </c>
      <c r="AX35" s="179">
        <v>0</v>
      </c>
      <c r="AY35" s="179">
        <v>0</v>
      </c>
      <c r="AZ35" s="179">
        <v>0</v>
      </c>
      <c r="BA35" s="164">
        <v>0</v>
      </c>
      <c r="BB35" s="154">
        <v>0</v>
      </c>
      <c r="BC35" s="154">
        <v>0</v>
      </c>
      <c r="BD35" s="154">
        <v>0</v>
      </c>
      <c r="BE35" s="154">
        <v>0</v>
      </c>
      <c r="BF35" s="157">
        <f t="shared" si="112"/>
        <v>0</v>
      </c>
      <c r="BG35" s="176"/>
      <c r="BH35" s="163">
        <v>0</v>
      </c>
      <c r="BI35" s="164">
        <v>0</v>
      </c>
      <c r="BJ35" s="154">
        <v>0</v>
      </c>
      <c r="BK35" s="154">
        <v>0</v>
      </c>
      <c r="BL35" s="154">
        <v>0</v>
      </c>
      <c r="BM35" s="154">
        <v>0</v>
      </c>
      <c r="BN35" s="154">
        <v>0</v>
      </c>
      <c r="BO35" s="154">
        <v>0</v>
      </c>
      <c r="BP35" s="154">
        <v>0</v>
      </c>
      <c r="BQ35" s="154">
        <v>0</v>
      </c>
      <c r="BR35" s="154">
        <v>0</v>
      </c>
      <c r="BS35" s="154">
        <v>0</v>
      </c>
      <c r="BT35" s="157">
        <f t="shared" si="113"/>
        <v>0</v>
      </c>
      <c r="BU35" s="161"/>
      <c r="BV35" s="163">
        <v>0</v>
      </c>
      <c r="BW35" s="164">
        <v>0</v>
      </c>
      <c r="BX35" s="154">
        <v>0</v>
      </c>
      <c r="BY35" s="154">
        <v>0</v>
      </c>
      <c r="BZ35" s="154">
        <v>0</v>
      </c>
      <c r="CA35" s="154">
        <v>0</v>
      </c>
      <c r="CB35" s="154">
        <v>0</v>
      </c>
      <c r="CC35" s="154">
        <v>0</v>
      </c>
      <c r="CD35" s="154">
        <v>0</v>
      </c>
      <c r="CE35" s="154">
        <v>0</v>
      </c>
      <c r="CF35" s="154">
        <v>0</v>
      </c>
      <c r="CG35" s="154">
        <v>0</v>
      </c>
      <c r="CH35" s="157">
        <f t="shared" si="114"/>
        <v>0</v>
      </c>
      <c r="CI35" s="161"/>
      <c r="CJ35" s="163">
        <v>0</v>
      </c>
      <c r="CK35" s="164">
        <v>0</v>
      </c>
      <c r="CL35" s="154">
        <v>0</v>
      </c>
      <c r="CM35" s="154">
        <v>0</v>
      </c>
      <c r="CN35" s="154">
        <v>0</v>
      </c>
      <c r="CO35" s="154">
        <v>0</v>
      </c>
      <c r="CP35" s="154">
        <v>0</v>
      </c>
      <c r="CQ35" s="154">
        <v>0</v>
      </c>
      <c r="CR35" s="154">
        <v>0</v>
      </c>
      <c r="CS35" s="154">
        <v>0</v>
      </c>
      <c r="CT35" s="154">
        <v>0</v>
      </c>
      <c r="CU35" s="154">
        <v>0</v>
      </c>
      <c r="CV35" s="157">
        <f t="shared" si="115"/>
        <v>0</v>
      </c>
      <c r="CW35" s="161"/>
      <c r="CX35" s="163">
        <v>190000</v>
      </c>
      <c r="CY35" s="164">
        <v>190000</v>
      </c>
      <c r="CZ35" s="154">
        <v>190000</v>
      </c>
      <c r="DA35" s="154">
        <v>190000</v>
      </c>
      <c r="DB35" s="154">
        <v>190000</v>
      </c>
      <c r="DC35" s="154">
        <v>190000</v>
      </c>
      <c r="DD35" s="154">
        <v>190000</v>
      </c>
      <c r="DE35" s="154">
        <v>190000</v>
      </c>
      <c r="DF35" s="154">
        <v>190000</v>
      </c>
      <c r="DG35" s="154">
        <v>190000</v>
      </c>
      <c r="DH35" s="154">
        <v>190000</v>
      </c>
      <c r="DI35" s="154">
        <v>190000</v>
      </c>
      <c r="DJ35" s="157">
        <f t="shared" si="116"/>
        <v>2280000</v>
      </c>
      <c r="DK35" s="161"/>
      <c r="DL35" s="163">
        <v>0</v>
      </c>
      <c r="DM35" s="164">
        <v>0</v>
      </c>
      <c r="DN35" s="154">
        <v>0</v>
      </c>
      <c r="DO35" s="154">
        <v>0</v>
      </c>
      <c r="DP35" s="154">
        <v>0</v>
      </c>
      <c r="DQ35" s="154">
        <v>0</v>
      </c>
      <c r="DR35" s="154">
        <v>0</v>
      </c>
      <c r="DS35" s="154">
        <v>0</v>
      </c>
      <c r="DT35" s="154">
        <v>0</v>
      </c>
      <c r="DU35" s="154">
        <v>0</v>
      </c>
      <c r="DV35" s="154">
        <v>0</v>
      </c>
      <c r="DW35" s="154">
        <v>0</v>
      </c>
      <c r="DX35" s="157">
        <f t="shared" si="117"/>
        <v>0</v>
      </c>
      <c r="DY35" s="161"/>
      <c r="DZ35" s="163">
        <v>0</v>
      </c>
      <c r="EA35" s="164">
        <v>0</v>
      </c>
      <c r="EB35" s="154">
        <v>0</v>
      </c>
      <c r="EC35" s="154">
        <v>0</v>
      </c>
      <c r="ED35" s="154">
        <v>0</v>
      </c>
      <c r="EE35" s="154">
        <v>0</v>
      </c>
      <c r="EF35" s="154">
        <v>0</v>
      </c>
      <c r="EG35" s="154">
        <v>0</v>
      </c>
      <c r="EH35" s="154">
        <v>0</v>
      </c>
      <c r="EI35" s="154">
        <v>0</v>
      </c>
      <c r="EJ35" s="154">
        <v>0</v>
      </c>
      <c r="EK35" s="154">
        <v>0</v>
      </c>
      <c r="EL35" s="157">
        <f t="shared" si="118"/>
        <v>0</v>
      </c>
      <c r="EM35" s="161"/>
      <c r="EN35" s="163">
        <v>0</v>
      </c>
      <c r="EO35" s="164">
        <v>0</v>
      </c>
      <c r="EP35" s="154">
        <v>0</v>
      </c>
      <c r="EQ35" s="154">
        <v>0</v>
      </c>
      <c r="ER35" s="154">
        <v>0</v>
      </c>
      <c r="ES35" s="154">
        <v>0</v>
      </c>
      <c r="ET35" s="154">
        <v>0</v>
      </c>
      <c r="EU35" s="154">
        <v>0</v>
      </c>
      <c r="EV35" s="154">
        <v>0</v>
      </c>
      <c r="EW35" s="154">
        <v>0</v>
      </c>
      <c r="EX35" s="154">
        <v>0</v>
      </c>
      <c r="EY35" s="154">
        <v>0</v>
      </c>
      <c r="EZ35" s="157">
        <f t="shared" si="119"/>
        <v>0</v>
      </c>
      <c r="FA35" s="161"/>
      <c r="FB35" s="163">
        <v>0</v>
      </c>
      <c r="FC35" s="164">
        <v>0</v>
      </c>
      <c r="FD35" s="154">
        <v>0</v>
      </c>
      <c r="FE35" s="154">
        <v>0</v>
      </c>
      <c r="FF35" s="154">
        <v>0</v>
      </c>
      <c r="FG35" s="154">
        <v>0</v>
      </c>
      <c r="FH35" s="154">
        <v>0</v>
      </c>
      <c r="FI35" s="154">
        <v>0</v>
      </c>
      <c r="FJ35" s="154">
        <v>0</v>
      </c>
      <c r="FK35" s="154">
        <v>0</v>
      </c>
      <c r="FL35" s="154">
        <v>0</v>
      </c>
      <c r="FM35" s="154">
        <v>0</v>
      </c>
      <c r="FN35" s="157">
        <f t="shared" si="120"/>
        <v>0</v>
      </c>
      <c r="FO35" s="161"/>
      <c r="FP35" s="163">
        <v>0</v>
      </c>
      <c r="FQ35" s="164">
        <v>0</v>
      </c>
      <c r="FR35" s="154">
        <v>0</v>
      </c>
      <c r="FS35" s="154">
        <v>0</v>
      </c>
      <c r="FT35" s="154">
        <v>0</v>
      </c>
      <c r="FU35" s="154">
        <v>0</v>
      </c>
      <c r="FV35" s="154">
        <v>0</v>
      </c>
      <c r="FW35" s="154">
        <v>0</v>
      </c>
      <c r="FX35" s="154">
        <v>0</v>
      </c>
      <c r="FY35" s="154">
        <v>0</v>
      </c>
      <c r="FZ35" s="154">
        <v>0</v>
      </c>
      <c r="GA35" s="154">
        <v>0</v>
      </c>
      <c r="GB35" s="157">
        <f t="shared" si="121"/>
        <v>0</v>
      </c>
      <c r="GC35" s="161"/>
      <c r="GD35" s="163">
        <v>0</v>
      </c>
      <c r="GE35" s="164">
        <v>0</v>
      </c>
      <c r="GF35" s="154">
        <v>0</v>
      </c>
      <c r="GG35" s="154">
        <v>0</v>
      </c>
      <c r="GH35" s="154">
        <v>0</v>
      </c>
      <c r="GI35" s="154">
        <v>0</v>
      </c>
      <c r="GJ35" s="154">
        <v>0</v>
      </c>
      <c r="GK35" s="154">
        <v>0</v>
      </c>
      <c r="GL35" s="154">
        <v>0</v>
      </c>
      <c r="GM35" s="154">
        <v>0</v>
      </c>
      <c r="GN35" s="154">
        <v>0</v>
      </c>
      <c r="GO35" s="154">
        <v>0</v>
      </c>
      <c r="GP35" s="157">
        <f t="shared" si="122"/>
        <v>0</v>
      </c>
      <c r="GQ35" s="161"/>
      <c r="GR35" s="163">
        <v>0</v>
      </c>
      <c r="GS35" s="164">
        <v>0</v>
      </c>
      <c r="GT35" s="154">
        <v>0</v>
      </c>
      <c r="GU35" s="154">
        <v>0</v>
      </c>
      <c r="GV35" s="154">
        <v>0</v>
      </c>
      <c r="GW35" s="154">
        <v>0</v>
      </c>
      <c r="GX35" s="154">
        <v>0</v>
      </c>
      <c r="GY35" s="154">
        <v>0</v>
      </c>
      <c r="GZ35" s="154">
        <v>0</v>
      </c>
      <c r="HA35" s="154">
        <v>0</v>
      </c>
      <c r="HB35" s="154">
        <v>0</v>
      </c>
      <c r="HC35" s="154">
        <v>0</v>
      </c>
      <c r="HD35" s="157">
        <f t="shared" si="134"/>
        <v>0</v>
      </c>
      <c r="HE35" s="161"/>
      <c r="HF35" s="163">
        <v>0</v>
      </c>
      <c r="HG35" s="164">
        <v>0</v>
      </c>
      <c r="HH35" s="154">
        <v>0</v>
      </c>
      <c r="HI35" s="154">
        <v>0</v>
      </c>
      <c r="HJ35" s="154">
        <v>0</v>
      </c>
      <c r="HK35" s="154">
        <v>0</v>
      </c>
      <c r="HL35" s="154">
        <v>0</v>
      </c>
      <c r="HM35" s="154">
        <v>0</v>
      </c>
      <c r="HN35" s="154">
        <v>0</v>
      </c>
      <c r="HO35" s="154">
        <v>0</v>
      </c>
      <c r="HP35" s="154">
        <v>0</v>
      </c>
      <c r="HQ35" s="154">
        <v>0</v>
      </c>
      <c r="HR35" s="157">
        <f t="shared" si="123"/>
        <v>0</v>
      </c>
      <c r="HS35" s="161"/>
      <c r="HT35" s="163">
        <v>0</v>
      </c>
      <c r="HU35" s="164">
        <v>0</v>
      </c>
      <c r="HV35" s="154">
        <v>0</v>
      </c>
      <c r="HW35" s="154">
        <v>0</v>
      </c>
      <c r="HX35" s="154">
        <v>0</v>
      </c>
      <c r="HY35" s="154">
        <v>0</v>
      </c>
      <c r="HZ35" s="154">
        <v>0</v>
      </c>
      <c r="IA35" s="154">
        <v>0</v>
      </c>
      <c r="IB35" s="154">
        <v>0</v>
      </c>
      <c r="IC35" s="154">
        <v>0</v>
      </c>
      <c r="ID35" s="154">
        <v>0</v>
      </c>
      <c r="IE35" s="154">
        <v>0</v>
      </c>
      <c r="IF35" s="157">
        <f t="shared" si="124"/>
        <v>0</v>
      </c>
      <c r="IG35" s="161"/>
      <c r="IH35" s="163">
        <v>0</v>
      </c>
      <c r="II35" s="164">
        <v>0</v>
      </c>
      <c r="IJ35" s="154">
        <v>0</v>
      </c>
      <c r="IK35" s="154">
        <v>0</v>
      </c>
      <c r="IL35" s="154">
        <v>0</v>
      </c>
      <c r="IM35" s="154">
        <v>0</v>
      </c>
      <c r="IN35" s="154">
        <v>0</v>
      </c>
      <c r="IO35" s="154">
        <v>0</v>
      </c>
      <c r="IP35" s="154">
        <v>0</v>
      </c>
      <c r="IQ35" s="154">
        <v>0</v>
      </c>
      <c r="IR35" s="154">
        <v>0</v>
      </c>
      <c r="IS35" s="154">
        <v>0</v>
      </c>
      <c r="IT35" s="157">
        <f t="shared" si="125"/>
        <v>0</v>
      </c>
      <c r="IU35" s="161"/>
      <c r="IV35" s="163">
        <v>0</v>
      </c>
      <c r="IW35" s="164">
        <v>0</v>
      </c>
      <c r="IX35" s="154">
        <v>0</v>
      </c>
      <c r="IY35" s="154">
        <v>0</v>
      </c>
      <c r="IZ35" s="154">
        <v>0</v>
      </c>
      <c r="JA35" s="154">
        <v>0</v>
      </c>
      <c r="JB35" s="154">
        <v>0</v>
      </c>
      <c r="JC35" s="154">
        <v>0</v>
      </c>
      <c r="JD35" s="154">
        <v>0</v>
      </c>
      <c r="JE35" s="154">
        <v>0</v>
      </c>
      <c r="JF35" s="154">
        <v>0</v>
      </c>
      <c r="JG35" s="154">
        <v>0</v>
      </c>
      <c r="JH35" s="157">
        <f t="shared" si="126"/>
        <v>0</v>
      </c>
      <c r="JI35" s="161"/>
      <c r="JJ35" s="163">
        <v>0</v>
      </c>
      <c r="JK35" s="164">
        <v>0</v>
      </c>
      <c r="JL35" s="154">
        <v>0</v>
      </c>
      <c r="JM35" s="154">
        <v>0</v>
      </c>
      <c r="JN35" s="154">
        <v>0</v>
      </c>
      <c r="JO35" s="154">
        <v>0</v>
      </c>
      <c r="JP35" s="154">
        <v>0</v>
      </c>
      <c r="JQ35" s="154">
        <v>0</v>
      </c>
      <c r="JR35" s="154">
        <v>0</v>
      </c>
      <c r="JS35" s="154">
        <v>0</v>
      </c>
      <c r="JT35" s="154">
        <v>0</v>
      </c>
      <c r="JU35" s="154">
        <v>0</v>
      </c>
      <c r="JV35" s="157">
        <f t="shared" si="127"/>
        <v>0</v>
      </c>
      <c r="JW35" s="161"/>
      <c r="JX35" s="163">
        <v>0</v>
      </c>
      <c r="JY35" s="164">
        <v>0</v>
      </c>
      <c r="JZ35" s="154">
        <v>0</v>
      </c>
      <c r="KA35" s="154">
        <v>0</v>
      </c>
      <c r="KB35" s="154">
        <v>0</v>
      </c>
      <c r="KC35" s="154">
        <v>0</v>
      </c>
      <c r="KD35" s="154">
        <v>0</v>
      </c>
      <c r="KE35" s="154">
        <v>0</v>
      </c>
      <c r="KF35" s="154">
        <v>0</v>
      </c>
      <c r="KG35" s="154">
        <v>0</v>
      </c>
      <c r="KH35" s="154">
        <v>0</v>
      </c>
      <c r="KI35" s="154">
        <v>0</v>
      </c>
      <c r="KJ35" s="157">
        <f t="shared" si="128"/>
        <v>0</v>
      </c>
      <c r="KK35" s="161"/>
      <c r="KL35" s="163">
        <v>0</v>
      </c>
      <c r="KM35" s="164">
        <v>0</v>
      </c>
      <c r="KN35" s="154">
        <v>0</v>
      </c>
      <c r="KO35" s="154">
        <v>0</v>
      </c>
      <c r="KP35" s="154">
        <v>0</v>
      </c>
      <c r="KQ35" s="154">
        <v>0</v>
      </c>
      <c r="KR35" s="154">
        <v>0</v>
      </c>
      <c r="KS35" s="154">
        <v>0</v>
      </c>
      <c r="KT35" s="154">
        <v>0</v>
      </c>
      <c r="KU35" s="154">
        <v>0</v>
      </c>
      <c r="KV35" s="154">
        <v>0</v>
      </c>
      <c r="KW35" s="154">
        <v>0</v>
      </c>
      <c r="KX35" s="157">
        <f t="shared" si="129"/>
        <v>0</v>
      </c>
      <c r="KY35" s="161"/>
      <c r="KZ35" s="163">
        <v>0</v>
      </c>
      <c r="LA35" s="164">
        <v>0</v>
      </c>
      <c r="LB35" s="154">
        <v>0</v>
      </c>
      <c r="LC35" s="154">
        <v>0</v>
      </c>
      <c r="LD35" s="154">
        <v>0</v>
      </c>
      <c r="LE35" s="154">
        <v>0</v>
      </c>
      <c r="LF35" s="154">
        <v>0</v>
      </c>
      <c r="LG35" s="154">
        <v>0</v>
      </c>
      <c r="LH35" s="154">
        <v>0</v>
      </c>
      <c r="LI35" s="154">
        <v>0</v>
      </c>
      <c r="LJ35" s="154">
        <v>0</v>
      </c>
      <c r="LK35" s="154">
        <v>0</v>
      </c>
      <c r="LL35" s="157">
        <f t="shared" si="130"/>
        <v>0</v>
      </c>
      <c r="LM35" s="161"/>
      <c r="LN35" s="163">
        <v>0</v>
      </c>
      <c r="LO35" s="164">
        <v>0</v>
      </c>
      <c r="LP35" s="154">
        <v>0</v>
      </c>
      <c r="LQ35" s="154">
        <v>0</v>
      </c>
      <c r="LR35" s="154">
        <v>0</v>
      </c>
      <c r="LS35" s="154">
        <v>0</v>
      </c>
      <c r="LT35" s="154">
        <v>0</v>
      </c>
      <c r="LU35" s="154">
        <v>0</v>
      </c>
      <c r="LV35" s="154">
        <v>0</v>
      </c>
      <c r="LW35" s="154">
        <v>0</v>
      </c>
      <c r="LX35" s="154">
        <v>0</v>
      </c>
      <c r="LY35" s="154">
        <v>0</v>
      </c>
      <c r="LZ35" s="157">
        <f t="shared" si="131"/>
        <v>0</v>
      </c>
      <c r="MA35" s="161"/>
      <c r="MB35" s="157">
        <f t="shared" si="132"/>
        <v>190000</v>
      </c>
      <c r="MC35" s="157">
        <f t="shared" si="132"/>
        <v>190000</v>
      </c>
      <c r="MD35" s="157">
        <f t="shared" si="132"/>
        <v>190000</v>
      </c>
      <c r="ME35" s="157">
        <f t="shared" si="132"/>
        <v>190000</v>
      </c>
      <c r="MF35" s="157">
        <f t="shared" si="132"/>
        <v>190000</v>
      </c>
      <c r="MG35" s="157">
        <f t="shared" si="132"/>
        <v>190000</v>
      </c>
      <c r="MH35" s="157">
        <f t="shared" si="132"/>
        <v>190000</v>
      </c>
      <c r="MI35" s="157">
        <f t="shared" si="132"/>
        <v>190000</v>
      </c>
      <c r="MJ35" s="157">
        <f t="shared" si="132"/>
        <v>190000</v>
      </c>
      <c r="MK35" s="157">
        <f t="shared" si="132"/>
        <v>190000</v>
      </c>
      <c r="ML35" s="157">
        <f t="shared" si="132"/>
        <v>190000</v>
      </c>
      <c r="MM35" s="157">
        <f t="shared" si="132"/>
        <v>190000</v>
      </c>
      <c r="MN35" s="157">
        <f t="shared" si="133"/>
        <v>2280000</v>
      </c>
    </row>
    <row r="36" spans="1:352" s="201" customFormat="1" x14ac:dyDescent="0.25">
      <c r="A36" s="98"/>
      <c r="B36" s="64" t="s">
        <v>54</v>
      </c>
      <c r="C36" s="98"/>
      <c r="D36" s="163">
        <v>197364</v>
      </c>
      <c r="E36" s="164">
        <v>197364</v>
      </c>
      <c r="F36" s="164">
        <v>197364</v>
      </c>
      <c r="G36" s="164">
        <v>197364</v>
      </c>
      <c r="H36" s="164">
        <v>197364</v>
      </c>
      <c r="I36" s="164">
        <v>197364</v>
      </c>
      <c r="J36" s="164">
        <v>197364</v>
      </c>
      <c r="K36" s="164">
        <v>197364</v>
      </c>
      <c r="L36" s="164">
        <v>197364</v>
      </c>
      <c r="M36" s="164">
        <v>197364</v>
      </c>
      <c r="N36" s="164">
        <v>197364</v>
      </c>
      <c r="O36" s="164">
        <v>197364</v>
      </c>
      <c r="P36" s="200">
        <f t="shared" si="109"/>
        <v>2368368</v>
      </c>
      <c r="Q36" s="161"/>
      <c r="R36" s="163">
        <v>15974</v>
      </c>
      <c r="S36" s="164">
        <v>15974</v>
      </c>
      <c r="T36" s="164">
        <v>15974</v>
      </c>
      <c r="U36" s="164">
        <v>15974</v>
      </c>
      <c r="V36" s="179">
        <v>15974</v>
      </c>
      <c r="W36" s="179">
        <v>15974</v>
      </c>
      <c r="X36" s="179">
        <v>15974</v>
      </c>
      <c r="Y36" s="164">
        <v>15974</v>
      </c>
      <c r="Z36" s="164">
        <v>15974</v>
      </c>
      <c r="AA36" s="164">
        <v>15974</v>
      </c>
      <c r="AB36" s="164">
        <v>15974</v>
      </c>
      <c r="AC36" s="164">
        <v>15974</v>
      </c>
      <c r="AD36" s="200">
        <f t="shared" si="110"/>
        <v>191688</v>
      </c>
      <c r="AE36" s="161"/>
      <c r="AF36" s="163">
        <v>16090</v>
      </c>
      <c r="AG36" s="164">
        <v>16090</v>
      </c>
      <c r="AH36" s="164">
        <v>16090</v>
      </c>
      <c r="AI36" s="164">
        <v>16090</v>
      </c>
      <c r="AJ36" s="179">
        <v>16090</v>
      </c>
      <c r="AK36" s="179">
        <v>16090</v>
      </c>
      <c r="AL36" s="179">
        <v>16090</v>
      </c>
      <c r="AM36" s="164">
        <v>16090</v>
      </c>
      <c r="AN36" s="164">
        <v>16090</v>
      </c>
      <c r="AO36" s="164">
        <v>16090</v>
      </c>
      <c r="AP36" s="164">
        <v>16090</v>
      </c>
      <c r="AQ36" s="164">
        <v>16090</v>
      </c>
      <c r="AR36" s="200">
        <f t="shared" si="111"/>
        <v>193080</v>
      </c>
      <c r="AS36" s="161"/>
      <c r="AT36" s="163">
        <v>50321</v>
      </c>
      <c r="AU36" s="164">
        <v>50321</v>
      </c>
      <c r="AV36" s="164">
        <v>50321</v>
      </c>
      <c r="AW36" s="164">
        <v>50321</v>
      </c>
      <c r="AX36" s="179">
        <v>50321</v>
      </c>
      <c r="AY36" s="179">
        <v>50321</v>
      </c>
      <c r="AZ36" s="179">
        <v>50321</v>
      </c>
      <c r="BA36" s="164">
        <v>50321</v>
      </c>
      <c r="BB36" s="154">
        <v>50321</v>
      </c>
      <c r="BC36" s="154">
        <v>50321</v>
      </c>
      <c r="BD36" s="154">
        <v>50321</v>
      </c>
      <c r="BE36" s="154">
        <v>50321</v>
      </c>
      <c r="BF36" s="200">
        <f t="shared" si="112"/>
        <v>603852</v>
      </c>
      <c r="BG36" s="176"/>
      <c r="BH36" s="163">
        <v>288757</v>
      </c>
      <c r="BI36" s="164">
        <v>288757</v>
      </c>
      <c r="BJ36" s="154">
        <v>288757</v>
      </c>
      <c r="BK36" s="154">
        <v>288757</v>
      </c>
      <c r="BL36" s="154">
        <v>288757</v>
      </c>
      <c r="BM36" s="154">
        <v>288757</v>
      </c>
      <c r="BN36" s="154">
        <v>288757</v>
      </c>
      <c r="BO36" s="154">
        <v>288757</v>
      </c>
      <c r="BP36" s="154">
        <v>288757</v>
      </c>
      <c r="BQ36" s="154">
        <v>288757</v>
      </c>
      <c r="BR36" s="154">
        <v>288757</v>
      </c>
      <c r="BS36" s="154">
        <v>288757</v>
      </c>
      <c r="BT36" s="200">
        <f t="shared" si="113"/>
        <v>3465084</v>
      </c>
      <c r="BU36" s="161"/>
      <c r="BV36" s="163">
        <v>45026</v>
      </c>
      <c r="BW36" s="164">
        <v>45026</v>
      </c>
      <c r="BX36" s="154">
        <v>45026</v>
      </c>
      <c r="BY36" s="154">
        <v>45026</v>
      </c>
      <c r="BZ36" s="154">
        <v>45026</v>
      </c>
      <c r="CA36" s="154">
        <v>45026</v>
      </c>
      <c r="CB36" s="154">
        <v>45026</v>
      </c>
      <c r="CC36" s="154">
        <v>45026</v>
      </c>
      <c r="CD36" s="154">
        <v>45026</v>
      </c>
      <c r="CE36" s="154">
        <v>45026</v>
      </c>
      <c r="CF36" s="154">
        <v>45026</v>
      </c>
      <c r="CG36" s="154">
        <v>45026</v>
      </c>
      <c r="CH36" s="200">
        <f t="shared" si="114"/>
        <v>540312</v>
      </c>
      <c r="CI36" s="161"/>
      <c r="CJ36" s="163">
        <v>116583</v>
      </c>
      <c r="CK36" s="164">
        <v>116583</v>
      </c>
      <c r="CL36" s="154">
        <v>116583</v>
      </c>
      <c r="CM36" s="154">
        <v>116583</v>
      </c>
      <c r="CN36" s="154">
        <v>116583</v>
      </c>
      <c r="CO36" s="154">
        <v>116583</v>
      </c>
      <c r="CP36" s="154">
        <v>116583</v>
      </c>
      <c r="CQ36" s="154">
        <v>116583</v>
      </c>
      <c r="CR36" s="154">
        <v>116583</v>
      </c>
      <c r="CS36" s="154">
        <v>116583</v>
      </c>
      <c r="CT36" s="154">
        <v>116583</v>
      </c>
      <c r="CU36" s="154">
        <v>116583</v>
      </c>
      <c r="CV36" s="200">
        <f t="shared" si="115"/>
        <v>1398996</v>
      </c>
      <c r="CW36" s="161"/>
      <c r="CX36" s="163">
        <v>258385</v>
      </c>
      <c r="CY36" s="164">
        <v>258385</v>
      </c>
      <c r="CZ36" s="154">
        <v>258385</v>
      </c>
      <c r="DA36" s="154">
        <v>258385</v>
      </c>
      <c r="DB36" s="154">
        <v>258385</v>
      </c>
      <c r="DC36" s="154">
        <v>258385</v>
      </c>
      <c r="DD36" s="154">
        <v>258385</v>
      </c>
      <c r="DE36" s="154">
        <v>258385</v>
      </c>
      <c r="DF36" s="154">
        <v>258385</v>
      </c>
      <c r="DG36" s="154">
        <v>258385</v>
      </c>
      <c r="DH36" s="154">
        <v>258385</v>
      </c>
      <c r="DI36" s="154">
        <v>258385</v>
      </c>
      <c r="DJ36" s="200">
        <f t="shared" si="116"/>
        <v>3100620</v>
      </c>
      <c r="DK36" s="161"/>
      <c r="DL36" s="163">
        <v>150581</v>
      </c>
      <c r="DM36" s="164">
        <v>150581</v>
      </c>
      <c r="DN36" s="154">
        <v>150581</v>
      </c>
      <c r="DO36" s="154">
        <v>150581</v>
      </c>
      <c r="DP36" s="154">
        <v>150581</v>
      </c>
      <c r="DQ36" s="154">
        <v>150581</v>
      </c>
      <c r="DR36" s="154">
        <v>150581</v>
      </c>
      <c r="DS36" s="154">
        <v>150581</v>
      </c>
      <c r="DT36" s="154">
        <v>150581</v>
      </c>
      <c r="DU36" s="154">
        <v>150581</v>
      </c>
      <c r="DV36" s="154">
        <v>150581</v>
      </c>
      <c r="DW36" s="154">
        <v>150581</v>
      </c>
      <c r="DX36" s="200">
        <f t="shared" si="117"/>
        <v>1806972</v>
      </c>
      <c r="DY36" s="161"/>
      <c r="DZ36" s="163">
        <v>24405</v>
      </c>
      <c r="EA36" s="164">
        <v>24405</v>
      </c>
      <c r="EB36" s="154">
        <v>24405</v>
      </c>
      <c r="EC36" s="154">
        <v>24405</v>
      </c>
      <c r="ED36" s="154">
        <v>24405</v>
      </c>
      <c r="EE36" s="154">
        <v>24405</v>
      </c>
      <c r="EF36" s="154">
        <v>24405</v>
      </c>
      <c r="EG36" s="154">
        <v>24405</v>
      </c>
      <c r="EH36" s="154">
        <v>24405</v>
      </c>
      <c r="EI36" s="154">
        <v>24405</v>
      </c>
      <c r="EJ36" s="154">
        <v>24405</v>
      </c>
      <c r="EK36" s="154">
        <v>24405</v>
      </c>
      <c r="EL36" s="200">
        <f t="shared" si="118"/>
        <v>292860</v>
      </c>
      <c r="EM36" s="161"/>
      <c r="EN36" s="163">
        <v>34696</v>
      </c>
      <c r="EO36" s="164">
        <v>34696</v>
      </c>
      <c r="EP36" s="154">
        <v>34696</v>
      </c>
      <c r="EQ36" s="154">
        <v>34696</v>
      </c>
      <c r="ER36" s="154">
        <v>34696</v>
      </c>
      <c r="ES36" s="154">
        <v>34696</v>
      </c>
      <c r="ET36" s="154">
        <v>34696</v>
      </c>
      <c r="EU36" s="154">
        <v>34696</v>
      </c>
      <c r="EV36" s="154">
        <v>34696</v>
      </c>
      <c r="EW36" s="154">
        <v>34696</v>
      </c>
      <c r="EX36" s="154">
        <v>34696</v>
      </c>
      <c r="EY36" s="154">
        <v>34696</v>
      </c>
      <c r="EZ36" s="200">
        <f t="shared" si="119"/>
        <v>416352</v>
      </c>
      <c r="FA36" s="161"/>
      <c r="FB36" s="163">
        <v>5952</v>
      </c>
      <c r="FC36" s="164">
        <v>5952</v>
      </c>
      <c r="FD36" s="154">
        <v>5952</v>
      </c>
      <c r="FE36" s="154">
        <v>5952</v>
      </c>
      <c r="FF36" s="154">
        <v>5952</v>
      </c>
      <c r="FG36" s="154">
        <v>5952</v>
      </c>
      <c r="FH36" s="154">
        <v>5952</v>
      </c>
      <c r="FI36" s="154">
        <v>5952</v>
      </c>
      <c r="FJ36" s="154">
        <v>5952</v>
      </c>
      <c r="FK36" s="154">
        <v>5952</v>
      </c>
      <c r="FL36" s="154">
        <v>5952</v>
      </c>
      <c r="FM36" s="154">
        <v>5952</v>
      </c>
      <c r="FN36" s="200">
        <f t="shared" si="120"/>
        <v>71424</v>
      </c>
      <c r="FO36" s="161"/>
      <c r="FP36" s="163">
        <v>101854</v>
      </c>
      <c r="FQ36" s="164">
        <v>101854</v>
      </c>
      <c r="FR36" s="154">
        <v>101854</v>
      </c>
      <c r="FS36" s="154">
        <v>101854</v>
      </c>
      <c r="FT36" s="154">
        <v>101854</v>
      </c>
      <c r="FU36" s="154">
        <v>101854</v>
      </c>
      <c r="FV36" s="154">
        <v>101854</v>
      </c>
      <c r="FW36" s="154">
        <v>101854</v>
      </c>
      <c r="FX36" s="154">
        <v>101854</v>
      </c>
      <c r="FY36" s="154">
        <v>101854</v>
      </c>
      <c r="FZ36" s="154">
        <v>101854</v>
      </c>
      <c r="GA36" s="154">
        <v>101854</v>
      </c>
      <c r="GB36" s="200">
        <f t="shared" si="121"/>
        <v>1222248</v>
      </c>
      <c r="GC36" s="161"/>
      <c r="GD36" s="163">
        <v>54234</v>
      </c>
      <c r="GE36" s="164">
        <v>54234</v>
      </c>
      <c r="GF36" s="154">
        <v>54234</v>
      </c>
      <c r="GG36" s="154">
        <v>54234</v>
      </c>
      <c r="GH36" s="154">
        <v>54234</v>
      </c>
      <c r="GI36" s="154">
        <v>54234</v>
      </c>
      <c r="GJ36" s="154">
        <v>54234</v>
      </c>
      <c r="GK36" s="154">
        <v>54234</v>
      </c>
      <c r="GL36" s="154">
        <v>54234</v>
      </c>
      <c r="GM36" s="154">
        <v>54234</v>
      </c>
      <c r="GN36" s="154">
        <v>54234</v>
      </c>
      <c r="GO36" s="154">
        <v>54234</v>
      </c>
      <c r="GP36" s="200">
        <f t="shared" si="122"/>
        <v>650808</v>
      </c>
      <c r="GQ36" s="161"/>
      <c r="GR36" s="163">
        <v>-303422.54405833333</v>
      </c>
      <c r="GS36" s="164">
        <v>-303422.54405833333</v>
      </c>
      <c r="GT36" s="154">
        <v>-303422.54405833333</v>
      </c>
      <c r="GU36" s="154">
        <v>-303422.54405833333</v>
      </c>
      <c r="GV36" s="154">
        <v>-303422.54405833333</v>
      </c>
      <c r="GW36" s="154">
        <v>-303422.54405833333</v>
      </c>
      <c r="GX36" s="154">
        <v>-303422.54405833333</v>
      </c>
      <c r="GY36" s="154">
        <v>-303422.54405833333</v>
      </c>
      <c r="GZ36" s="154">
        <v>-303422.54405833333</v>
      </c>
      <c r="HA36" s="154">
        <v>-303422.54405833333</v>
      </c>
      <c r="HB36" s="154">
        <v>-303422.54405833333</v>
      </c>
      <c r="HC36" s="154">
        <v>-303422.54405833333</v>
      </c>
      <c r="HD36" s="200">
        <f t="shared" si="134"/>
        <v>0</v>
      </c>
      <c r="HE36" s="161"/>
      <c r="HF36" s="163">
        <v>44436</v>
      </c>
      <c r="HG36" s="164">
        <v>44436</v>
      </c>
      <c r="HH36" s="154">
        <v>44436</v>
      </c>
      <c r="HI36" s="154">
        <v>44436</v>
      </c>
      <c r="HJ36" s="154">
        <v>44436</v>
      </c>
      <c r="HK36" s="154">
        <v>44436</v>
      </c>
      <c r="HL36" s="154">
        <v>44436</v>
      </c>
      <c r="HM36" s="154">
        <v>44436</v>
      </c>
      <c r="HN36" s="154">
        <v>44436</v>
      </c>
      <c r="HO36" s="154">
        <v>44436</v>
      </c>
      <c r="HP36" s="154">
        <v>44436</v>
      </c>
      <c r="HQ36" s="154">
        <v>44436</v>
      </c>
      <c r="HR36" s="200">
        <f t="shared" si="123"/>
        <v>533232</v>
      </c>
      <c r="HS36" s="161"/>
      <c r="HT36" s="163">
        <v>11591</v>
      </c>
      <c r="HU36" s="164">
        <v>11591</v>
      </c>
      <c r="HV36" s="154">
        <v>11591</v>
      </c>
      <c r="HW36" s="154">
        <v>11591</v>
      </c>
      <c r="HX36" s="154">
        <v>11591</v>
      </c>
      <c r="HY36" s="154">
        <v>11591</v>
      </c>
      <c r="HZ36" s="154">
        <v>11591</v>
      </c>
      <c r="IA36" s="154">
        <v>11591</v>
      </c>
      <c r="IB36" s="154">
        <v>11591</v>
      </c>
      <c r="IC36" s="154">
        <v>11591</v>
      </c>
      <c r="ID36" s="154">
        <v>11591</v>
      </c>
      <c r="IE36" s="154">
        <v>11591</v>
      </c>
      <c r="IF36" s="200">
        <f t="shared" si="124"/>
        <v>139092</v>
      </c>
      <c r="IG36" s="161"/>
      <c r="IH36" s="163">
        <v>38803</v>
      </c>
      <c r="II36" s="164">
        <v>38803</v>
      </c>
      <c r="IJ36" s="154">
        <v>38803</v>
      </c>
      <c r="IK36" s="154">
        <v>38803</v>
      </c>
      <c r="IL36" s="154">
        <v>38803</v>
      </c>
      <c r="IM36" s="154">
        <v>38803</v>
      </c>
      <c r="IN36" s="154">
        <v>38803</v>
      </c>
      <c r="IO36" s="154">
        <v>38803</v>
      </c>
      <c r="IP36" s="154">
        <v>38803</v>
      </c>
      <c r="IQ36" s="154">
        <v>38803</v>
      </c>
      <c r="IR36" s="154">
        <v>38803</v>
      </c>
      <c r="IS36" s="154">
        <v>38803</v>
      </c>
      <c r="IT36" s="200">
        <f t="shared" si="125"/>
        <v>465636</v>
      </c>
      <c r="IU36" s="161"/>
      <c r="IV36" s="163">
        <v>112315</v>
      </c>
      <c r="IW36" s="164">
        <v>112315</v>
      </c>
      <c r="IX36" s="154">
        <v>112315</v>
      </c>
      <c r="IY36" s="154">
        <v>112315</v>
      </c>
      <c r="IZ36" s="154">
        <v>112315</v>
      </c>
      <c r="JA36" s="154">
        <v>112315</v>
      </c>
      <c r="JB36" s="154">
        <v>112315</v>
      </c>
      <c r="JC36" s="154">
        <v>112315</v>
      </c>
      <c r="JD36" s="154">
        <v>112315</v>
      </c>
      <c r="JE36" s="154">
        <v>112315</v>
      </c>
      <c r="JF36" s="154">
        <v>112315</v>
      </c>
      <c r="JG36" s="154">
        <v>112315</v>
      </c>
      <c r="JH36" s="200">
        <f t="shared" si="126"/>
        <v>1347780</v>
      </c>
      <c r="JI36" s="161"/>
      <c r="JJ36" s="163">
        <v>151605</v>
      </c>
      <c r="JK36" s="164">
        <v>151605</v>
      </c>
      <c r="JL36" s="154">
        <v>151605</v>
      </c>
      <c r="JM36" s="154">
        <v>151605</v>
      </c>
      <c r="JN36" s="154">
        <v>151605</v>
      </c>
      <c r="JO36" s="154">
        <v>151605</v>
      </c>
      <c r="JP36" s="154">
        <v>151605</v>
      </c>
      <c r="JQ36" s="154">
        <v>151605</v>
      </c>
      <c r="JR36" s="154">
        <v>151605</v>
      </c>
      <c r="JS36" s="154">
        <v>151605</v>
      </c>
      <c r="JT36" s="154">
        <v>151605</v>
      </c>
      <c r="JU36" s="154">
        <v>151605</v>
      </c>
      <c r="JV36" s="200">
        <f t="shared" si="127"/>
        <v>1819260</v>
      </c>
      <c r="JW36" s="161"/>
      <c r="JX36" s="163">
        <v>81894</v>
      </c>
      <c r="JY36" s="164">
        <v>81894</v>
      </c>
      <c r="JZ36" s="154">
        <v>81894</v>
      </c>
      <c r="KA36" s="154">
        <v>81894</v>
      </c>
      <c r="KB36" s="154">
        <v>81894</v>
      </c>
      <c r="KC36" s="154">
        <v>81894</v>
      </c>
      <c r="KD36" s="154">
        <v>81894</v>
      </c>
      <c r="KE36" s="154">
        <v>81894</v>
      </c>
      <c r="KF36" s="154">
        <v>81894</v>
      </c>
      <c r="KG36" s="154">
        <v>81894</v>
      </c>
      <c r="KH36" s="154">
        <v>81894</v>
      </c>
      <c r="KI36" s="154">
        <v>81894</v>
      </c>
      <c r="KJ36" s="200">
        <f t="shared" si="128"/>
        <v>982728</v>
      </c>
      <c r="KK36" s="161"/>
      <c r="KL36" s="163">
        <v>11268</v>
      </c>
      <c r="KM36" s="164">
        <v>11268</v>
      </c>
      <c r="KN36" s="154">
        <v>11268</v>
      </c>
      <c r="KO36" s="154">
        <v>11268</v>
      </c>
      <c r="KP36" s="154">
        <v>11268</v>
      </c>
      <c r="KQ36" s="154">
        <v>11268</v>
      </c>
      <c r="KR36" s="154">
        <v>11268</v>
      </c>
      <c r="KS36" s="154">
        <v>11268</v>
      </c>
      <c r="KT36" s="154">
        <v>11268</v>
      </c>
      <c r="KU36" s="154">
        <v>11268</v>
      </c>
      <c r="KV36" s="154">
        <v>11268</v>
      </c>
      <c r="KW36" s="154">
        <v>11268</v>
      </c>
      <c r="KX36" s="200">
        <f t="shared" si="129"/>
        <v>135216</v>
      </c>
      <c r="KY36" s="161"/>
      <c r="KZ36" s="163">
        <v>11723</v>
      </c>
      <c r="LA36" s="164">
        <v>11723</v>
      </c>
      <c r="LB36" s="154">
        <v>11723</v>
      </c>
      <c r="LC36" s="154">
        <v>11723</v>
      </c>
      <c r="LD36" s="154">
        <v>11723</v>
      </c>
      <c r="LE36" s="154">
        <v>11723</v>
      </c>
      <c r="LF36" s="154">
        <v>11723</v>
      </c>
      <c r="LG36" s="154">
        <v>11723</v>
      </c>
      <c r="LH36" s="154">
        <v>11723</v>
      </c>
      <c r="LI36" s="154">
        <v>11723</v>
      </c>
      <c r="LJ36" s="154">
        <v>11723</v>
      </c>
      <c r="LK36" s="154">
        <v>11723</v>
      </c>
      <c r="LL36" s="200">
        <f t="shared" si="130"/>
        <v>140676</v>
      </c>
      <c r="LM36" s="161"/>
      <c r="LN36" s="163">
        <v>0</v>
      </c>
      <c r="LO36" s="164">
        <v>0</v>
      </c>
      <c r="LP36" s="154">
        <v>0</v>
      </c>
      <c r="LQ36" s="154">
        <v>0</v>
      </c>
      <c r="LR36" s="154">
        <v>0</v>
      </c>
      <c r="LS36" s="154">
        <v>0</v>
      </c>
      <c r="LT36" s="154">
        <v>0</v>
      </c>
      <c r="LU36" s="154">
        <v>0</v>
      </c>
      <c r="LV36" s="154">
        <v>0</v>
      </c>
      <c r="LW36" s="154">
        <v>0</v>
      </c>
      <c r="LX36" s="154">
        <v>0</v>
      </c>
      <c r="LY36" s="154">
        <v>0</v>
      </c>
      <c r="LZ36" s="200">
        <f t="shared" si="131"/>
        <v>0</v>
      </c>
      <c r="MA36" s="161"/>
      <c r="MB36" s="200">
        <f t="shared" si="132"/>
        <v>1520434.4559416666</v>
      </c>
      <c r="MC36" s="200">
        <f t="shared" si="132"/>
        <v>1520434.4559416666</v>
      </c>
      <c r="MD36" s="200">
        <f t="shared" si="132"/>
        <v>1520434.4559416666</v>
      </c>
      <c r="ME36" s="200">
        <f t="shared" si="132"/>
        <v>1520434.4559416666</v>
      </c>
      <c r="MF36" s="200">
        <f t="shared" si="132"/>
        <v>1520434.4559416666</v>
      </c>
      <c r="MG36" s="200">
        <f t="shared" si="132"/>
        <v>1520434.4559416666</v>
      </c>
      <c r="MH36" s="200">
        <f t="shared" si="132"/>
        <v>1520434.4559416666</v>
      </c>
      <c r="MI36" s="200">
        <f t="shared" si="132"/>
        <v>1520434.4559416666</v>
      </c>
      <c r="MJ36" s="200">
        <f t="shared" si="132"/>
        <v>1520434.4559416666</v>
      </c>
      <c r="MK36" s="200">
        <f t="shared" si="132"/>
        <v>1520434.4559416666</v>
      </c>
      <c r="ML36" s="200">
        <f t="shared" si="132"/>
        <v>1520434.4559416666</v>
      </c>
      <c r="MM36" s="200">
        <f t="shared" si="132"/>
        <v>1520434.4559416666</v>
      </c>
      <c r="MN36" s="200">
        <f t="shared" si="133"/>
        <v>18245213.471299995</v>
      </c>
    </row>
    <row r="37" spans="1:352" s="201" customFormat="1" x14ac:dyDescent="0.25">
      <c r="A37" s="98"/>
      <c r="B37" s="64" t="s">
        <v>55</v>
      </c>
      <c r="C37" s="98"/>
      <c r="D37" s="163">
        <v>90040.801587301583</v>
      </c>
      <c r="E37" s="164">
        <v>94825.801587301583</v>
      </c>
      <c r="F37" s="164">
        <v>94825.801587301583</v>
      </c>
      <c r="G37" s="164">
        <v>94825.801587301583</v>
      </c>
      <c r="H37" s="164">
        <v>94825.801587301583</v>
      </c>
      <c r="I37" s="164">
        <v>94825.801587301583</v>
      </c>
      <c r="J37" s="164">
        <v>104950.80158730158</v>
      </c>
      <c r="K37" s="164">
        <v>104950.80158730158</v>
      </c>
      <c r="L37" s="164">
        <v>104950.80158730158</v>
      </c>
      <c r="M37" s="164">
        <v>194950.8015873016</v>
      </c>
      <c r="N37" s="164">
        <v>104950.80158730158</v>
      </c>
      <c r="O37" s="164">
        <v>103915.08730158731</v>
      </c>
      <c r="P37" s="200">
        <f t="shared" si="109"/>
        <v>1282838.9047619044</v>
      </c>
      <c r="Q37" s="161"/>
      <c r="R37" s="163">
        <v>8203.7380952380954</v>
      </c>
      <c r="S37" s="164">
        <v>8698.7380952380954</v>
      </c>
      <c r="T37" s="164">
        <v>8698.7380952380954</v>
      </c>
      <c r="U37" s="164">
        <v>8698.7380952380954</v>
      </c>
      <c r="V37" s="179">
        <v>8698.7380952380954</v>
      </c>
      <c r="W37" s="179">
        <v>8698.7380952380954</v>
      </c>
      <c r="X37" s="179">
        <v>9549.7380952380954</v>
      </c>
      <c r="Y37" s="164">
        <v>9549.7380952380954</v>
      </c>
      <c r="Z37" s="164">
        <v>9549.7380952380954</v>
      </c>
      <c r="AA37" s="164">
        <v>18549.738095238095</v>
      </c>
      <c r="AB37" s="164">
        <v>9549.7380952380954</v>
      </c>
      <c r="AC37" s="164">
        <v>9442.5952380952385</v>
      </c>
      <c r="AD37" s="200">
        <f t="shared" si="110"/>
        <v>117888.71428571426</v>
      </c>
      <c r="AE37" s="161"/>
      <c r="AF37" s="163">
        <v>8203.7380952380954</v>
      </c>
      <c r="AG37" s="164">
        <v>8698.7380952380954</v>
      </c>
      <c r="AH37" s="164">
        <v>8698.7380952380954</v>
      </c>
      <c r="AI37" s="164">
        <v>8698.7380952380954</v>
      </c>
      <c r="AJ37" s="179">
        <v>8698.7380952380954</v>
      </c>
      <c r="AK37" s="179">
        <v>8698.7380952380954</v>
      </c>
      <c r="AL37" s="179">
        <v>9549.7380952380954</v>
      </c>
      <c r="AM37" s="164">
        <v>9549.7380952380954</v>
      </c>
      <c r="AN37" s="164">
        <v>9549.7380952380954</v>
      </c>
      <c r="AO37" s="164">
        <v>18549.738095238095</v>
      </c>
      <c r="AP37" s="164">
        <v>9549.7380952380954</v>
      </c>
      <c r="AQ37" s="164">
        <v>9442.5952380952385</v>
      </c>
      <c r="AR37" s="200">
        <f t="shared" si="111"/>
        <v>117888.71428571426</v>
      </c>
      <c r="AS37" s="161"/>
      <c r="AT37" s="163">
        <v>8791.1587301587297</v>
      </c>
      <c r="AU37" s="164">
        <v>9121.1587301587297</v>
      </c>
      <c r="AV37" s="164">
        <v>9121.1587301587297</v>
      </c>
      <c r="AW37" s="164">
        <v>9121.1587301587297</v>
      </c>
      <c r="AX37" s="179">
        <v>9121.1587301587297</v>
      </c>
      <c r="AY37" s="179">
        <v>9121.1587301587297</v>
      </c>
      <c r="AZ37" s="179">
        <v>10354.15873015873</v>
      </c>
      <c r="BA37" s="164">
        <v>10354.15873015873</v>
      </c>
      <c r="BB37" s="154">
        <v>10354.15873015873</v>
      </c>
      <c r="BC37" s="154">
        <v>16354.15873015873</v>
      </c>
      <c r="BD37" s="154">
        <v>10354.15873015873</v>
      </c>
      <c r="BE37" s="154">
        <v>10282.730158730159</v>
      </c>
      <c r="BF37" s="200">
        <f t="shared" si="112"/>
        <v>122450.47619047618</v>
      </c>
      <c r="BG37" s="176"/>
      <c r="BH37" s="163">
        <v>48117.690476190473</v>
      </c>
      <c r="BI37" s="164">
        <v>50262.690476190473</v>
      </c>
      <c r="BJ37" s="154">
        <v>50262.690476190473</v>
      </c>
      <c r="BK37" s="154">
        <v>50262.690476190473</v>
      </c>
      <c r="BL37" s="154">
        <v>50262.690476190473</v>
      </c>
      <c r="BM37" s="154">
        <v>50262.690476190473</v>
      </c>
      <c r="BN37" s="154">
        <v>56108.690476190473</v>
      </c>
      <c r="BO37" s="154">
        <v>56108.690476190473</v>
      </c>
      <c r="BP37" s="154">
        <v>56108.690476190473</v>
      </c>
      <c r="BQ37" s="154">
        <v>101108.69047619047</v>
      </c>
      <c r="BR37" s="154">
        <v>56108.690476190473</v>
      </c>
      <c r="BS37" s="154">
        <v>55572.976190476191</v>
      </c>
      <c r="BT37" s="200">
        <f t="shared" si="113"/>
        <v>680547.57142857136</v>
      </c>
      <c r="BU37" s="161"/>
      <c r="BV37" s="163">
        <v>5873.5793650793648</v>
      </c>
      <c r="BW37" s="164">
        <v>6038.5793650793648</v>
      </c>
      <c r="BX37" s="154">
        <v>6038.5793650793648</v>
      </c>
      <c r="BY37" s="154">
        <v>6038.5793650793648</v>
      </c>
      <c r="BZ37" s="154">
        <v>6038.5793650793648</v>
      </c>
      <c r="CA37" s="154">
        <v>6038.5793650793648</v>
      </c>
      <c r="CB37" s="154">
        <v>6951.5793650793648</v>
      </c>
      <c r="CC37" s="154">
        <v>6951.5793650793648</v>
      </c>
      <c r="CD37" s="154">
        <v>6951.5793650793648</v>
      </c>
      <c r="CE37" s="154">
        <v>9951.5793650793657</v>
      </c>
      <c r="CF37" s="154">
        <v>6951.5793650793648</v>
      </c>
      <c r="CG37" s="154">
        <v>6915.8650793650795</v>
      </c>
      <c r="CH37" s="200">
        <f t="shared" si="114"/>
        <v>80740.238095238092</v>
      </c>
      <c r="CI37" s="161"/>
      <c r="CJ37" s="163">
        <v>133771.37301587302</v>
      </c>
      <c r="CK37" s="164">
        <v>135586.37301587302</v>
      </c>
      <c r="CL37" s="154">
        <v>135586.37301587302</v>
      </c>
      <c r="CM37" s="154">
        <v>135586.37301587302</v>
      </c>
      <c r="CN37" s="154">
        <v>135586.37301587302</v>
      </c>
      <c r="CO37" s="154">
        <v>135586.37301587302</v>
      </c>
      <c r="CP37" s="154">
        <v>139442.37301587302</v>
      </c>
      <c r="CQ37" s="154">
        <v>139442.37301587302</v>
      </c>
      <c r="CR37" s="154">
        <v>139442.37301587302</v>
      </c>
      <c r="CS37" s="154">
        <v>172442.37301587302</v>
      </c>
      <c r="CT37" s="154">
        <v>139442.37301587302</v>
      </c>
      <c r="CU37" s="154">
        <v>139049.51587301586</v>
      </c>
      <c r="CV37" s="200">
        <f t="shared" si="115"/>
        <v>1680964.6190476194</v>
      </c>
      <c r="CW37" s="161"/>
      <c r="CX37" s="163">
        <v>92413.222222222219</v>
      </c>
      <c r="CY37" s="164">
        <v>97033.222222222219</v>
      </c>
      <c r="CZ37" s="154">
        <v>97033.222222222219</v>
      </c>
      <c r="DA37" s="154">
        <v>97033.222222222219</v>
      </c>
      <c r="DB37" s="154">
        <v>97033.222222222219</v>
      </c>
      <c r="DC37" s="154">
        <v>97033.222222222219</v>
      </c>
      <c r="DD37" s="154">
        <v>108034.22222222222</v>
      </c>
      <c r="DE37" s="154">
        <v>108034.22222222222</v>
      </c>
      <c r="DF37" s="154">
        <v>108034.22222222222</v>
      </c>
      <c r="DG37" s="154">
        <v>195034.22222222222</v>
      </c>
      <c r="DH37" s="154">
        <v>108034.22222222222</v>
      </c>
      <c r="DI37" s="154">
        <v>107034.22222222222</v>
      </c>
      <c r="DJ37" s="200">
        <f t="shared" si="116"/>
        <v>1311784.6666666667</v>
      </c>
      <c r="DK37" s="161"/>
      <c r="DL37" s="163">
        <v>73141.222222222219</v>
      </c>
      <c r="DM37" s="164">
        <v>77431.222222222219</v>
      </c>
      <c r="DN37" s="154">
        <v>77431.222222222219</v>
      </c>
      <c r="DO37" s="154">
        <v>77431.222222222219</v>
      </c>
      <c r="DP37" s="154">
        <v>77431.222222222219</v>
      </c>
      <c r="DQ37" s="154">
        <v>77431.222222222219</v>
      </c>
      <c r="DR37" s="154">
        <v>84930.222222222219</v>
      </c>
      <c r="DS37" s="154">
        <v>84930.222222222219</v>
      </c>
      <c r="DT37" s="154">
        <v>84930.222222222219</v>
      </c>
      <c r="DU37" s="154">
        <v>168930.22222222222</v>
      </c>
      <c r="DV37" s="154">
        <v>84930.222222222219</v>
      </c>
      <c r="DW37" s="154">
        <v>83930.222222222219</v>
      </c>
      <c r="DX37" s="200">
        <f t="shared" si="117"/>
        <v>1052878.6666666667</v>
      </c>
      <c r="DY37" s="161"/>
      <c r="DZ37" s="163">
        <v>6167.5793650793648</v>
      </c>
      <c r="EA37" s="164">
        <v>6332.5793650793648</v>
      </c>
      <c r="EB37" s="154">
        <v>6332.5793650793648</v>
      </c>
      <c r="EC37" s="154">
        <v>6332.5793650793648</v>
      </c>
      <c r="ED37" s="154">
        <v>6332.5793650793648</v>
      </c>
      <c r="EE37" s="154">
        <v>6332.5793650793648</v>
      </c>
      <c r="EF37" s="154">
        <v>6951.5793650793648</v>
      </c>
      <c r="EG37" s="154">
        <v>6951.5793650793648</v>
      </c>
      <c r="EH37" s="154">
        <v>6951.5793650793648</v>
      </c>
      <c r="EI37" s="154">
        <v>9951.5793650793657</v>
      </c>
      <c r="EJ37" s="154">
        <v>6951.5793650793648</v>
      </c>
      <c r="EK37" s="154">
        <v>6915.8650793650795</v>
      </c>
      <c r="EL37" s="200">
        <f t="shared" si="118"/>
        <v>82504.238095238092</v>
      </c>
      <c r="EM37" s="161"/>
      <c r="EN37" s="163">
        <v>8791.1587301587297</v>
      </c>
      <c r="EO37" s="164">
        <v>9121.1587301587297</v>
      </c>
      <c r="EP37" s="154">
        <v>9121.1587301587297</v>
      </c>
      <c r="EQ37" s="154">
        <v>9121.1587301587297</v>
      </c>
      <c r="ER37" s="154">
        <v>9121.1587301587297</v>
      </c>
      <c r="ES37" s="154">
        <v>9121.1587301587297</v>
      </c>
      <c r="ET37" s="154">
        <v>10354.15873015873</v>
      </c>
      <c r="EU37" s="154">
        <v>10354.15873015873</v>
      </c>
      <c r="EV37" s="154">
        <v>10354.15873015873</v>
      </c>
      <c r="EW37" s="154">
        <v>16354.15873015873</v>
      </c>
      <c r="EX37" s="154">
        <v>10354.15873015873</v>
      </c>
      <c r="EY37" s="154">
        <v>10282.730158730159</v>
      </c>
      <c r="EZ37" s="200">
        <f t="shared" si="119"/>
        <v>122450.47619047618</v>
      </c>
      <c r="FA37" s="161"/>
      <c r="FB37" s="163">
        <v>2917.5793650793648</v>
      </c>
      <c r="FC37" s="164">
        <v>3082.5793650793648</v>
      </c>
      <c r="FD37" s="154">
        <v>3082.5793650793648</v>
      </c>
      <c r="FE37" s="154">
        <v>3082.5793650793648</v>
      </c>
      <c r="FF37" s="154">
        <v>3082.5793650793648</v>
      </c>
      <c r="FG37" s="154">
        <v>3082.5793650793648</v>
      </c>
      <c r="FH37" s="154">
        <v>3402.5793650793648</v>
      </c>
      <c r="FI37" s="154">
        <v>3402.5793650793648</v>
      </c>
      <c r="FJ37" s="154">
        <v>3402.5793650793648</v>
      </c>
      <c r="FK37" s="154">
        <v>6402.5793650793648</v>
      </c>
      <c r="FL37" s="154">
        <v>3402.5793650793648</v>
      </c>
      <c r="FM37" s="154">
        <v>3366.8650793650795</v>
      </c>
      <c r="FN37" s="200">
        <f t="shared" si="120"/>
        <v>41710.238095238092</v>
      </c>
      <c r="FO37" s="161"/>
      <c r="FP37" s="163">
        <v>30255.055555555555</v>
      </c>
      <c r="FQ37" s="164">
        <v>31575.055555555555</v>
      </c>
      <c r="FR37" s="154">
        <v>31575.055555555555</v>
      </c>
      <c r="FS37" s="154">
        <v>31575.055555555555</v>
      </c>
      <c r="FT37" s="154">
        <v>31575.055555555555</v>
      </c>
      <c r="FU37" s="154">
        <v>31575.055555555555</v>
      </c>
      <c r="FV37" s="154">
        <v>35521.055555555555</v>
      </c>
      <c r="FW37" s="154">
        <v>35521.055555555555</v>
      </c>
      <c r="FX37" s="154">
        <v>35521.055555555555</v>
      </c>
      <c r="FY37" s="154">
        <v>59521.055555555555</v>
      </c>
      <c r="FZ37" s="154">
        <v>35521.055555555555</v>
      </c>
      <c r="GA37" s="154">
        <v>35271.055555555555</v>
      </c>
      <c r="GB37" s="200">
        <f t="shared" si="121"/>
        <v>425006.66666666669</v>
      </c>
      <c r="GC37" s="161"/>
      <c r="GD37" s="163">
        <v>402.57936507936506</v>
      </c>
      <c r="GE37" s="164">
        <v>402.57936507936506</v>
      </c>
      <c r="GF37" s="154">
        <v>402.57936507936506</v>
      </c>
      <c r="GG37" s="154">
        <v>402.57936507936506</v>
      </c>
      <c r="GH37" s="154">
        <v>402.57936507936506</v>
      </c>
      <c r="GI37" s="154">
        <v>402.57936507936506</v>
      </c>
      <c r="GJ37" s="154">
        <v>402.57936507936506</v>
      </c>
      <c r="GK37" s="154">
        <v>402.57936507936506</v>
      </c>
      <c r="GL37" s="154">
        <v>402.57936507936506</v>
      </c>
      <c r="GM37" s="154">
        <v>402.57936507936506</v>
      </c>
      <c r="GN37" s="154">
        <v>402.57936507936506</v>
      </c>
      <c r="GO37" s="154">
        <v>366.86507936507934</v>
      </c>
      <c r="GP37" s="200">
        <f t="shared" si="122"/>
        <v>4795.2380952380945</v>
      </c>
      <c r="GQ37" s="161"/>
      <c r="GR37" s="163">
        <v>0</v>
      </c>
      <c r="GS37" s="164">
        <v>0</v>
      </c>
      <c r="GT37" s="154">
        <v>50225</v>
      </c>
      <c r="GU37" s="154">
        <v>50225</v>
      </c>
      <c r="GV37" s="154">
        <v>50225</v>
      </c>
      <c r="GW37" s="154">
        <v>50225</v>
      </c>
      <c r="GX37" s="154">
        <v>50225</v>
      </c>
      <c r="GY37" s="154">
        <v>50225</v>
      </c>
      <c r="GZ37" s="154">
        <v>50225</v>
      </c>
      <c r="HA37" s="154">
        <v>50225</v>
      </c>
      <c r="HB37" s="154">
        <v>50225</v>
      </c>
      <c r="HC37" s="154">
        <v>50225</v>
      </c>
      <c r="HD37" s="200">
        <f t="shared" si="134"/>
        <v>0</v>
      </c>
      <c r="HE37" s="161"/>
      <c r="HF37" s="163">
        <v>14076.317460317459</v>
      </c>
      <c r="HG37" s="164">
        <v>14736.317460317459</v>
      </c>
      <c r="HH37" s="154">
        <v>14736.317460317459</v>
      </c>
      <c r="HI37" s="154">
        <v>14736.317460317459</v>
      </c>
      <c r="HJ37" s="154">
        <v>14736.317460317459</v>
      </c>
      <c r="HK37" s="154">
        <v>14736.317460317459</v>
      </c>
      <c r="HL37" s="154">
        <v>16500.317460317459</v>
      </c>
      <c r="HM37" s="154">
        <v>16500.317460317459</v>
      </c>
      <c r="HN37" s="154">
        <v>16500.317460317459</v>
      </c>
      <c r="HO37" s="154">
        <v>28500.317460317459</v>
      </c>
      <c r="HP37" s="154">
        <v>16500.317460317459</v>
      </c>
      <c r="HQ37" s="154">
        <v>16357.460317460318</v>
      </c>
      <c r="HR37" s="200">
        <f t="shared" si="123"/>
        <v>198616.95238095237</v>
      </c>
      <c r="HS37" s="161"/>
      <c r="HT37" s="163">
        <v>3086.5793650793648</v>
      </c>
      <c r="HU37" s="164">
        <v>3251.5793650793648</v>
      </c>
      <c r="HV37" s="154">
        <v>3251.5793650793648</v>
      </c>
      <c r="HW37" s="154">
        <v>3251.5793650793648</v>
      </c>
      <c r="HX37" s="154">
        <v>3251.5793650793648</v>
      </c>
      <c r="HY37" s="154">
        <v>3251.5793650793648</v>
      </c>
      <c r="HZ37" s="154">
        <v>3605.5793650793648</v>
      </c>
      <c r="IA37" s="154">
        <v>3605.5793650793648</v>
      </c>
      <c r="IB37" s="154">
        <v>3605.5793650793648</v>
      </c>
      <c r="IC37" s="154">
        <v>6605.5793650793648</v>
      </c>
      <c r="ID37" s="154">
        <v>3605.5793650793648</v>
      </c>
      <c r="IE37" s="154">
        <v>3569.8650793650795</v>
      </c>
      <c r="IF37" s="200">
        <f t="shared" si="124"/>
        <v>43942.238095238092</v>
      </c>
      <c r="IG37" s="161"/>
      <c r="IH37" s="163">
        <v>5873.5793650793648</v>
      </c>
      <c r="II37" s="164">
        <v>6038.5793650793648</v>
      </c>
      <c r="IJ37" s="154">
        <v>6038.5793650793648</v>
      </c>
      <c r="IK37" s="154">
        <v>6038.5793650793648</v>
      </c>
      <c r="IL37" s="154">
        <v>6038.5793650793648</v>
      </c>
      <c r="IM37" s="154">
        <v>6038.5793650793648</v>
      </c>
      <c r="IN37" s="154">
        <v>6951.5793650793648</v>
      </c>
      <c r="IO37" s="154">
        <v>6951.5793650793648</v>
      </c>
      <c r="IP37" s="154">
        <v>6951.5793650793648</v>
      </c>
      <c r="IQ37" s="154">
        <v>9951.5793650793657</v>
      </c>
      <c r="IR37" s="154">
        <v>6951.5793650793648</v>
      </c>
      <c r="IS37" s="154">
        <v>6915.8650793650795</v>
      </c>
      <c r="IT37" s="200">
        <f t="shared" si="125"/>
        <v>80740.238095238092</v>
      </c>
      <c r="IU37" s="161"/>
      <c r="IV37" s="163">
        <v>26506.055555555555</v>
      </c>
      <c r="IW37" s="164">
        <v>27661.055555555555</v>
      </c>
      <c r="IX37" s="154">
        <v>27661.055555555555</v>
      </c>
      <c r="IY37" s="154">
        <v>27661.055555555555</v>
      </c>
      <c r="IZ37" s="154">
        <v>27661.055555555555</v>
      </c>
      <c r="JA37" s="154">
        <v>27661.055555555555</v>
      </c>
      <c r="JB37" s="154">
        <v>31121.055555555555</v>
      </c>
      <c r="JC37" s="154">
        <v>31121.055555555555</v>
      </c>
      <c r="JD37" s="154">
        <v>31121.055555555555</v>
      </c>
      <c r="JE37" s="154">
        <v>52121.055555555555</v>
      </c>
      <c r="JF37" s="154">
        <v>31121.055555555555</v>
      </c>
      <c r="JG37" s="154">
        <v>30871.055555555555</v>
      </c>
      <c r="JH37" s="200">
        <f t="shared" si="126"/>
        <v>372287.66666666669</v>
      </c>
      <c r="JI37" s="161"/>
      <c r="JJ37" s="163">
        <v>33480.373015873018</v>
      </c>
      <c r="JK37" s="164">
        <v>34965.373015873018</v>
      </c>
      <c r="JL37" s="154">
        <v>34965.373015873018</v>
      </c>
      <c r="JM37" s="154">
        <v>34965.373015873018</v>
      </c>
      <c r="JN37" s="154">
        <v>34965.373015873018</v>
      </c>
      <c r="JO37" s="154">
        <v>34965.373015873018</v>
      </c>
      <c r="JP37" s="154">
        <v>39065.373015873018</v>
      </c>
      <c r="JQ37" s="154">
        <v>39065.373015873018</v>
      </c>
      <c r="JR37" s="154">
        <v>39065.373015873018</v>
      </c>
      <c r="JS37" s="154">
        <v>78065.373015873018</v>
      </c>
      <c r="JT37" s="154">
        <v>39065.373015873018</v>
      </c>
      <c r="JU37" s="154">
        <v>38672.515873015873</v>
      </c>
      <c r="JV37" s="200">
        <f t="shared" si="127"/>
        <v>481306.61904761905</v>
      </c>
      <c r="JW37" s="161"/>
      <c r="JX37" s="163">
        <v>16291.896825396825</v>
      </c>
      <c r="JY37" s="164">
        <v>16951.896825396827</v>
      </c>
      <c r="JZ37" s="154">
        <v>16951.896825396827</v>
      </c>
      <c r="KA37" s="154">
        <v>16951.896825396827</v>
      </c>
      <c r="KB37" s="154">
        <v>16951.896825396827</v>
      </c>
      <c r="KC37" s="154">
        <v>16951.896825396827</v>
      </c>
      <c r="KD37" s="154">
        <v>19059.896825396827</v>
      </c>
      <c r="KE37" s="154">
        <v>19059.896825396827</v>
      </c>
      <c r="KF37" s="154">
        <v>19059.896825396827</v>
      </c>
      <c r="KG37" s="154">
        <v>34059.896825396827</v>
      </c>
      <c r="KH37" s="154">
        <v>19059.896825396827</v>
      </c>
      <c r="KI37" s="154">
        <v>18881.325396825396</v>
      </c>
      <c r="KJ37" s="200">
        <f t="shared" si="128"/>
        <v>230232.19047619053</v>
      </c>
      <c r="KK37" s="161"/>
      <c r="KL37" s="163">
        <v>27718.158730158728</v>
      </c>
      <c r="KM37" s="164">
        <v>28213.158730158728</v>
      </c>
      <c r="KN37" s="154">
        <v>28213.158730158728</v>
      </c>
      <c r="KO37" s="154">
        <v>28213.158730158728</v>
      </c>
      <c r="KP37" s="154">
        <v>28213.158730158728</v>
      </c>
      <c r="KQ37" s="154">
        <v>28213.158730158728</v>
      </c>
      <c r="KR37" s="154">
        <v>29064.158730158728</v>
      </c>
      <c r="KS37" s="154">
        <v>29064.158730158728</v>
      </c>
      <c r="KT37" s="154">
        <v>29064.158730158728</v>
      </c>
      <c r="KU37" s="154">
        <v>35060.158730158728</v>
      </c>
      <c r="KV37" s="154">
        <v>29064.158730158728</v>
      </c>
      <c r="KW37" s="154">
        <v>28992.730158730159</v>
      </c>
      <c r="KX37" s="200">
        <f t="shared" si="129"/>
        <v>349093.47619047621</v>
      </c>
      <c r="KY37" s="161"/>
      <c r="KZ37" s="163">
        <v>10485.579365079366</v>
      </c>
      <c r="LA37" s="164">
        <v>10485.579365079366</v>
      </c>
      <c r="LB37" s="154">
        <v>10485.579365079366</v>
      </c>
      <c r="LC37" s="154">
        <v>10485.579365079366</v>
      </c>
      <c r="LD37" s="154">
        <v>10485.579365079366</v>
      </c>
      <c r="LE37" s="154">
        <v>10485.579365079366</v>
      </c>
      <c r="LF37" s="154">
        <v>10485.579365079366</v>
      </c>
      <c r="LG37" s="154">
        <v>10485.579365079366</v>
      </c>
      <c r="LH37" s="154">
        <v>10485.579365079366</v>
      </c>
      <c r="LI37" s="154">
        <v>13489.579365079366</v>
      </c>
      <c r="LJ37" s="154">
        <v>10485.579365079366</v>
      </c>
      <c r="LK37" s="154">
        <v>10449.86507936508</v>
      </c>
      <c r="LL37" s="200">
        <f t="shared" si="130"/>
        <v>128795.23809523809</v>
      </c>
      <c r="LM37" s="161"/>
      <c r="LN37" s="163">
        <v>0</v>
      </c>
      <c r="LO37" s="164">
        <v>0</v>
      </c>
      <c r="LP37" s="154">
        <v>0</v>
      </c>
      <c r="LQ37" s="154">
        <v>0</v>
      </c>
      <c r="LR37" s="154">
        <v>0</v>
      </c>
      <c r="LS37" s="154">
        <v>0</v>
      </c>
      <c r="LT37" s="154">
        <v>0</v>
      </c>
      <c r="LU37" s="154">
        <v>0</v>
      </c>
      <c r="LV37" s="154">
        <v>0</v>
      </c>
      <c r="LW37" s="154">
        <v>0</v>
      </c>
      <c r="LX37" s="154">
        <v>0</v>
      </c>
      <c r="LY37" s="154">
        <v>0</v>
      </c>
      <c r="LZ37" s="200">
        <f t="shared" si="131"/>
        <v>0</v>
      </c>
      <c r="MA37" s="161"/>
      <c r="MB37" s="200">
        <f t="shared" si="132"/>
        <v>654609.01587301597</v>
      </c>
      <c r="MC37" s="200">
        <f t="shared" si="132"/>
        <v>680514.01587301609</v>
      </c>
      <c r="MD37" s="200">
        <f t="shared" si="132"/>
        <v>730739.01587301609</v>
      </c>
      <c r="ME37" s="200">
        <f t="shared" si="132"/>
        <v>730739.01587301609</v>
      </c>
      <c r="MF37" s="200">
        <f t="shared" si="132"/>
        <v>730739.01587301609</v>
      </c>
      <c r="MG37" s="200">
        <f t="shared" si="132"/>
        <v>730739.01587301609</v>
      </c>
      <c r="MH37" s="200">
        <f t="shared" si="132"/>
        <v>792582.01587301609</v>
      </c>
      <c r="MI37" s="200">
        <f t="shared" si="132"/>
        <v>792582.01587301609</v>
      </c>
      <c r="MJ37" s="200">
        <f t="shared" si="132"/>
        <v>792582.01587301609</v>
      </c>
      <c r="MK37" s="200">
        <f t="shared" si="132"/>
        <v>1296582.0158730156</v>
      </c>
      <c r="ML37" s="200">
        <f t="shared" si="132"/>
        <v>792582.01587301609</v>
      </c>
      <c r="MM37" s="200">
        <f t="shared" si="132"/>
        <v>786724.87301587313</v>
      </c>
      <c r="MN37" s="200">
        <f t="shared" si="133"/>
        <v>9511714.0476190485</v>
      </c>
    </row>
    <row r="38" spans="1:352" x14ac:dyDescent="0.25">
      <c r="A38" s="98"/>
      <c r="B38" s="64" t="s">
        <v>56</v>
      </c>
      <c r="C38" s="98"/>
      <c r="D38" s="163">
        <v>0</v>
      </c>
      <c r="E38" s="164">
        <v>0</v>
      </c>
      <c r="F38" s="164">
        <v>0</v>
      </c>
      <c r="G38" s="164">
        <v>0</v>
      </c>
      <c r="H38" s="164">
        <v>0</v>
      </c>
      <c r="I38" s="164">
        <v>0</v>
      </c>
      <c r="J38" s="164">
        <v>0</v>
      </c>
      <c r="K38" s="164">
        <v>0</v>
      </c>
      <c r="L38" s="164">
        <v>0</v>
      </c>
      <c r="M38" s="164">
        <v>0</v>
      </c>
      <c r="N38" s="164">
        <v>0</v>
      </c>
      <c r="O38" s="164">
        <v>0</v>
      </c>
      <c r="P38" s="157">
        <f t="shared" si="109"/>
        <v>0</v>
      </c>
      <c r="Q38" s="161"/>
      <c r="R38" s="163">
        <v>0</v>
      </c>
      <c r="S38" s="164">
        <v>0</v>
      </c>
      <c r="T38" s="164">
        <v>0</v>
      </c>
      <c r="U38" s="164">
        <v>0</v>
      </c>
      <c r="V38" s="179">
        <v>0</v>
      </c>
      <c r="W38" s="179">
        <v>0</v>
      </c>
      <c r="X38" s="179">
        <v>0</v>
      </c>
      <c r="Y38" s="164">
        <v>0</v>
      </c>
      <c r="Z38" s="164">
        <v>0</v>
      </c>
      <c r="AA38" s="164">
        <v>0</v>
      </c>
      <c r="AB38" s="164">
        <v>0</v>
      </c>
      <c r="AC38" s="164">
        <v>0</v>
      </c>
      <c r="AD38" s="157">
        <f t="shared" si="110"/>
        <v>0</v>
      </c>
      <c r="AE38" s="161"/>
      <c r="AF38" s="163">
        <v>0</v>
      </c>
      <c r="AG38" s="164">
        <v>0</v>
      </c>
      <c r="AH38" s="164">
        <v>0</v>
      </c>
      <c r="AI38" s="164">
        <v>0</v>
      </c>
      <c r="AJ38" s="179">
        <v>0</v>
      </c>
      <c r="AK38" s="179">
        <v>0</v>
      </c>
      <c r="AL38" s="179">
        <v>0</v>
      </c>
      <c r="AM38" s="164">
        <v>0</v>
      </c>
      <c r="AN38" s="164">
        <v>0</v>
      </c>
      <c r="AO38" s="164">
        <v>0</v>
      </c>
      <c r="AP38" s="164">
        <v>0</v>
      </c>
      <c r="AQ38" s="164">
        <v>0</v>
      </c>
      <c r="AR38" s="157">
        <f t="shared" si="111"/>
        <v>0</v>
      </c>
      <c r="AT38" s="163">
        <v>0</v>
      </c>
      <c r="AU38" s="164">
        <v>0</v>
      </c>
      <c r="AV38" s="164">
        <v>0</v>
      </c>
      <c r="AW38" s="164">
        <v>0</v>
      </c>
      <c r="AX38" s="179">
        <v>0</v>
      </c>
      <c r="AY38" s="179">
        <v>0</v>
      </c>
      <c r="AZ38" s="179">
        <v>0</v>
      </c>
      <c r="BA38" s="164">
        <v>0</v>
      </c>
      <c r="BB38" s="154">
        <v>0</v>
      </c>
      <c r="BC38" s="154">
        <v>0</v>
      </c>
      <c r="BD38" s="154">
        <v>0</v>
      </c>
      <c r="BE38" s="154">
        <v>0</v>
      </c>
      <c r="BF38" s="157">
        <f t="shared" si="112"/>
        <v>0</v>
      </c>
      <c r="BH38" s="163">
        <v>0</v>
      </c>
      <c r="BI38" s="164">
        <v>0</v>
      </c>
      <c r="BJ38" s="154">
        <v>0</v>
      </c>
      <c r="BK38" s="154">
        <v>0</v>
      </c>
      <c r="BL38" s="154">
        <v>0</v>
      </c>
      <c r="BM38" s="154">
        <v>0</v>
      </c>
      <c r="BN38" s="154">
        <v>0</v>
      </c>
      <c r="BO38" s="154">
        <v>0</v>
      </c>
      <c r="BP38" s="154">
        <v>0</v>
      </c>
      <c r="BQ38" s="154">
        <v>0</v>
      </c>
      <c r="BR38" s="154">
        <v>0</v>
      </c>
      <c r="BS38" s="154">
        <v>0</v>
      </c>
      <c r="BT38" s="157">
        <f t="shared" si="113"/>
        <v>0</v>
      </c>
      <c r="BV38" s="163">
        <v>0</v>
      </c>
      <c r="BW38" s="164">
        <v>0</v>
      </c>
      <c r="BX38" s="154">
        <v>0</v>
      </c>
      <c r="BY38" s="154">
        <v>0</v>
      </c>
      <c r="BZ38" s="154">
        <v>0</v>
      </c>
      <c r="CA38" s="154">
        <v>0</v>
      </c>
      <c r="CB38" s="154">
        <v>0</v>
      </c>
      <c r="CC38" s="154">
        <v>0</v>
      </c>
      <c r="CD38" s="154">
        <v>0</v>
      </c>
      <c r="CE38" s="154">
        <v>0</v>
      </c>
      <c r="CF38" s="154">
        <v>0</v>
      </c>
      <c r="CG38" s="154">
        <v>0</v>
      </c>
      <c r="CH38" s="157">
        <f t="shared" si="114"/>
        <v>0</v>
      </c>
      <c r="CI38" s="161"/>
      <c r="CJ38" s="163">
        <v>0</v>
      </c>
      <c r="CK38" s="164">
        <v>0</v>
      </c>
      <c r="CL38" s="154">
        <v>0</v>
      </c>
      <c r="CM38" s="154">
        <v>0</v>
      </c>
      <c r="CN38" s="154">
        <v>0</v>
      </c>
      <c r="CO38" s="154">
        <v>0</v>
      </c>
      <c r="CP38" s="154">
        <v>0</v>
      </c>
      <c r="CQ38" s="154">
        <v>0</v>
      </c>
      <c r="CR38" s="154">
        <v>0</v>
      </c>
      <c r="CS38" s="154">
        <v>0</v>
      </c>
      <c r="CT38" s="154">
        <v>0</v>
      </c>
      <c r="CU38" s="154">
        <v>0</v>
      </c>
      <c r="CV38" s="157">
        <f t="shared" si="115"/>
        <v>0</v>
      </c>
      <c r="CW38" s="161"/>
      <c r="CX38" s="163">
        <v>0</v>
      </c>
      <c r="CY38" s="164">
        <v>0</v>
      </c>
      <c r="CZ38" s="154">
        <v>0</v>
      </c>
      <c r="DA38" s="154">
        <v>0</v>
      </c>
      <c r="DB38" s="154">
        <v>0</v>
      </c>
      <c r="DC38" s="154">
        <v>0</v>
      </c>
      <c r="DD38" s="154">
        <v>0</v>
      </c>
      <c r="DE38" s="154">
        <v>0</v>
      </c>
      <c r="DF38" s="154">
        <v>0</v>
      </c>
      <c r="DG38" s="154">
        <v>0</v>
      </c>
      <c r="DH38" s="154">
        <v>0</v>
      </c>
      <c r="DI38" s="154">
        <v>0</v>
      </c>
      <c r="DJ38" s="157">
        <f t="shared" si="116"/>
        <v>0</v>
      </c>
      <c r="DK38" s="161"/>
      <c r="DL38" s="163">
        <v>0</v>
      </c>
      <c r="DM38" s="164">
        <v>0</v>
      </c>
      <c r="DN38" s="154">
        <v>0</v>
      </c>
      <c r="DO38" s="154">
        <v>0</v>
      </c>
      <c r="DP38" s="154">
        <v>0</v>
      </c>
      <c r="DQ38" s="154">
        <v>0</v>
      </c>
      <c r="DR38" s="154">
        <v>0</v>
      </c>
      <c r="DS38" s="154">
        <v>0</v>
      </c>
      <c r="DT38" s="154">
        <v>0</v>
      </c>
      <c r="DU38" s="154">
        <v>0</v>
      </c>
      <c r="DV38" s="154">
        <v>0</v>
      </c>
      <c r="DW38" s="154">
        <v>0</v>
      </c>
      <c r="DX38" s="157">
        <f t="shared" si="117"/>
        <v>0</v>
      </c>
      <c r="DY38" s="161"/>
      <c r="DZ38" s="163">
        <v>0</v>
      </c>
      <c r="EA38" s="164">
        <v>0</v>
      </c>
      <c r="EB38" s="154">
        <v>0</v>
      </c>
      <c r="EC38" s="154">
        <v>0</v>
      </c>
      <c r="ED38" s="154">
        <v>0</v>
      </c>
      <c r="EE38" s="154">
        <v>0</v>
      </c>
      <c r="EF38" s="154">
        <v>0</v>
      </c>
      <c r="EG38" s="154">
        <v>0</v>
      </c>
      <c r="EH38" s="154">
        <v>0</v>
      </c>
      <c r="EI38" s="154">
        <v>0</v>
      </c>
      <c r="EJ38" s="154">
        <v>0</v>
      </c>
      <c r="EK38" s="154">
        <v>0</v>
      </c>
      <c r="EL38" s="157">
        <f t="shared" si="118"/>
        <v>0</v>
      </c>
      <c r="EM38" s="161"/>
      <c r="EN38" s="163">
        <v>0</v>
      </c>
      <c r="EO38" s="164">
        <v>0</v>
      </c>
      <c r="EP38" s="154">
        <v>0</v>
      </c>
      <c r="EQ38" s="154">
        <v>0</v>
      </c>
      <c r="ER38" s="154">
        <v>0</v>
      </c>
      <c r="ES38" s="154">
        <v>0</v>
      </c>
      <c r="ET38" s="154">
        <v>0</v>
      </c>
      <c r="EU38" s="154">
        <v>0</v>
      </c>
      <c r="EV38" s="154">
        <v>0</v>
      </c>
      <c r="EW38" s="154">
        <v>0</v>
      </c>
      <c r="EX38" s="154">
        <v>0</v>
      </c>
      <c r="EY38" s="154">
        <v>0</v>
      </c>
      <c r="EZ38" s="157">
        <f t="shared" si="119"/>
        <v>0</v>
      </c>
      <c r="FA38" s="161"/>
      <c r="FB38" s="163">
        <v>0</v>
      </c>
      <c r="FC38" s="164">
        <v>0</v>
      </c>
      <c r="FD38" s="154">
        <v>0</v>
      </c>
      <c r="FE38" s="154">
        <v>0</v>
      </c>
      <c r="FF38" s="154">
        <v>0</v>
      </c>
      <c r="FG38" s="154">
        <v>0</v>
      </c>
      <c r="FH38" s="154">
        <v>0</v>
      </c>
      <c r="FI38" s="154">
        <v>0</v>
      </c>
      <c r="FJ38" s="154">
        <v>0</v>
      </c>
      <c r="FK38" s="154">
        <v>0</v>
      </c>
      <c r="FL38" s="154">
        <v>0</v>
      </c>
      <c r="FM38" s="154">
        <v>0</v>
      </c>
      <c r="FN38" s="157">
        <f t="shared" si="120"/>
        <v>0</v>
      </c>
      <c r="FO38" s="161"/>
      <c r="FP38" s="163">
        <v>0</v>
      </c>
      <c r="FQ38" s="164">
        <v>0</v>
      </c>
      <c r="FR38" s="154">
        <v>0</v>
      </c>
      <c r="FS38" s="154">
        <v>0</v>
      </c>
      <c r="FT38" s="154">
        <v>0</v>
      </c>
      <c r="FU38" s="154">
        <v>0</v>
      </c>
      <c r="FV38" s="154">
        <v>0</v>
      </c>
      <c r="FW38" s="154">
        <v>0</v>
      </c>
      <c r="FX38" s="154">
        <v>0</v>
      </c>
      <c r="FY38" s="154">
        <v>0</v>
      </c>
      <c r="FZ38" s="154">
        <v>0</v>
      </c>
      <c r="GA38" s="154">
        <v>0</v>
      </c>
      <c r="GB38" s="157">
        <f t="shared" si="121"/>
        <v>0</v>
      </c>
      <c r="GC38" s="161"/>
      <c r="GD38" s="163">
        <v>0</v>
      </c>
      <c r="GE38" s="164">
        <v>0</v>
      </c>
      <c r="GF38" s="154">
        <v>0</v>
      </c>
      <c r="GG38" s="154">
        <v>0</v>
      </c>
      <c r="GH38" s="154">
        <v>0</v>
      </c>
      <c r="GI38" s="154">
        <v>0</v>
      </c>
      <c r="GJ38" s="154">
        <v>0</v>
      </c>
      <c r="GK38" s="154">
        <v>0</v>
      </c>
      <c r="GL38" s="154">
        <v>0</v>
      </c>
      <c r="GM38" s="154">
        <v>0</v>
      </c>
      <c r="GN38" s="154">
        <v>0</v>
      </c>
      <c r="GO38" s="154">
        <v>0</v>
      </c>
      <c r="GP38" s="157">
        <f t="shared" si="122"/>
        <v>0</v>
      </c>
      <c r="GQ38" s="161"/>
      <c r="GR38" s="163">
        <v>0</v>
      </c>
      <c r="GS38" s="164">
        <v>0</v>
      </c>
      <c r="GT38" s="154">
        <v>0</v>
      </c>
      <c r="GU38" s="154">
        <v>0</v>
      </c>
      <c r="GV38" s="154">
        <v>0</v>
      </c>
      <c r="GW38" s="154">
        <v>0</v>
      </c>
      <c r="GX38" s="154">
        <v>0</v>
      </c>
      <c r="GY38" s="154">
        <v>0</v>
      </c>
      <c r="GZ38" s="154">
        <v>0</v>
      </c>
      <c r="HA38" s="154">
        <v>0</v>
      </c>
      <c r="HB38" s="154">
        <v>0</v>
      </c>
      <c r="HC38" s="154">
        <v>0</v>
      </c>
      <c r="HD38" s="157">
        <f t="shared" si="134"/>
        <v>0</v>
      </c>
      <c r="HE38" s="161"/>
      <c r="HF38" s="163">
        <v>0</v>
      </c>
      <c r="HG38" s="164">
        <v>0</v>
      </c>
      <c r="HH38" s="154">
        <v>0</v>
      </c>
      <c r="HI38" s="154">
        <v>0</v>
      </c>
      <c r="HJ38" s="154">
        <v>0</v>
      </c>
      <c r="HK38" s="154">
        <v>0</v>
      </c>
      <c r="HL38" s="154">
        <v>0</v>
      </c>
      <c r="HM38" s="154">
        <v>0</v>
      </c>
      <c r="HN38" s="154">
        <v>0</v>
      </c>
      <c r="HO38" s="154">
        <v>0</v>
      </c>
      <c r="HP38" s="154">
        <v>0</v>
      </c>
      <c r="HQ38" s="154">
        <v>0</v>
      </c>
      <c r="HR38" s="157">
        <f t="shared" si="123"/>
        <v>0</v>
      </c>
      <c r="HS38" s="161"/>
      <c r="HT38" s="163">
        <v>0</v>
      </c>
      <c r="HU38" s="164">
        <v>0</v>
      </c>
      <c r="HV38" s="154">
        <v>0</v>
      </c>
      <c r="HW38" s="154">
        <v>0</v>
      </c>
      <c r="HX38" s="154">
        <v>0</v>
      </c>
      <c r="HY38" s="154">
        <v>0</v>
      </c>
      <c r="HZ38" s="154">
        <v>0</v>
      </c>
      <c r="IA38" s="154">
        <v>0</v>
      </c>
      <c r="IB38" s="154">
        <v>0</v>
      </c>
      <c r="IC38" s="154">
        <v>0</v>
      </c>
      <c r="ID38" s="154">
        <v>0</v>
      </c>
      <c r="IE38" s="154">
        <v>0</v>
      </c>
      <c r="IF38" s="157">
        <f t="shared" si="124"/>
        <v>0</v>
      </c>
      <c r="IG38" s="161"/>
      <c r="IH38" s="163">
        <v>0</v>
      </c>
      <c r="II38" s="164">
        <v>0</v>
      </c>
      <c r="IJ38" s="154">
        <v>0</v>
      </c>
      <c r="IK38" s="154">
        <v>0</v>
      </c>
      <c r="IL38" s="154">
        <v>0</v>
      </c>
      <c r="IM38" s="154">
        <v>0</v>
      </c>
      <c r="IN38" s="154">
        <v>0</v>
      </c>
      <c r="IO38" s="154">
        <v>0</v>
      </c>
      <c r="IP38" s="154">
        <v>0</v>
      </c>
      <c r="IQ38" s="154">
        <v>0</v>
      </c>
      <c r="IR38" s="154">
        <v>0</v>
      </c>
      <c r="IS38" s="154">
        <v>0</v>
      </c>
      <c r="IT38" s="157">
        <f t="shared" si="125"/>
        <v>0</v>
      </c>
      <c r="IU38" s="161"/>
      <c r="IV38" s="163">
        <v>0</v>
      </c>
      <c r="IW38" s="164">
        <v>0</v>
      </c>
      <c r="IX38" s="154">
        <v>0</v>
      </c>
      <c r="IY38" s="154">
        <v>0</v>
      </c>
      <c r="IZ38" s="154">
        <v>0</v>
      </c>
      <c r="JA38" s="154">
        <v>0</v>
      </c>
      <c r="JB38" s="154">
        <v>0</v>
      </c>
      <c r="JC38" s="154">
        <v>0</v>
      </c>
      <c r="JD38" s="154">
        <v>0</v>
      </c>
      <c r="JE38" s="154">
        <v>0</v>
      </c>
      <c r="JF38" s="154">
        <v>0</v>
      </c>
      <c r="JG38" s="154">
        <v>0</v>
      </c>
      <c r="JH38" s="157">
        <f t="shared" si="126"/>
        <v>0</v>
      </c>
      <c r="JI38" s="161"/>
      <c r="JJ38" s="163">
        <v>0</v>
      </c>
      <c r="JK38" s="164">
        <v>0</v>
      </c>
      <c r="JL38" s="154">
        <v>0</v>
      </c>
      <c r="JM38" s="154">
        <v>0</v>
      </c>
      <c r="JN38" s="154">
        <v>0</v>
      </c>
      <c r="JO38" s="154">
        <v>0</v>
      </c>
      <c r="JP38" s="154">
        <v>0</v>
      </c>
      <c r="JQ38" s="154">
        <v>0</v>
      </c>
      <c r="JR38" s="154">
        <v>0</v>
      </c>
      <c r="JS38" s="154">
        <v>0</v>
      </c>
      <c r="JT38" s="154">
        <v>0</v>
      </c>
      <c r="JU38" s="154">
        <v>0</v>
      </c>
      <c r="JV38" s="157">
        <f t="shared" si="127"/>
        <v>0</v>
      </c>
      <c r="JW38" s="161"/>
      <c r="JX38" s="163">
        <v>0</v>
      </c>
      <c r="JY38" s="164">
        <v>0</v>
      </c>
      <c r="JZ38" s="154">
        <v>0</v>
      </c>
      <c r="KA38" s="154">
        <v>0</v>
      </c>
      <c r="KB38" s="154">
        <v>0</v>
      </c>
      <c r="KC38" s="154">
        <v>0</v>
      </c>
      <c r="KD38" s="154">
        <v>0</v>
      </c>
      <c r="KE38" s="154">
        <v>0</v>
      </c>
      <c r="KF38" s="154">
        <v>0</v>
      </c>
      <c r="KG38" s="154">
        <v>0</v>
      </c>
      <c r="KH38" s="154">
        <v>0</v>
      </c>
      <c r="KI38" s="154">
        <v>0</v>
      </c>
      <c r="KJ38" s="157">
        <f t="shared" si="128"/>
        <v>0</v>
      </c>
      <c r="KK38" s="161"/>
      <c r="KL38" s="163">
        <v>0</v>
      </c>
      <c r="KM38" s="164">
        <v>0</v>
      </c>
      <c r="KN38" s="154">
        <v>0</v>
      </c>
      <c r="KO38" s="154">
        <v>0</v>
      </c>
      <c r="KP38" s="154">
        <v>0</v>
      </c>
      <c r="KQ38" s="154">
        <v>0</v>
      </c>
      <c r="KR38" s="154">
        <v>0</v>
      </c>
      <c r="KS38" s="154">
        <v>0</v>
      </c>
      <c r="KT38" s="154">
        <v>0</v>
      </c>
      <c r="KU38" s="154">
        <v>0</v>
      </c>
      <c r="KV38" s="154">
        <v>0</v>
      </c>
      <c r="KW38" s="154">
        <v>0</v>
      </c>
      <c r="KX38" s="157">
        <f t="shared" si="129"/>
        <v>0</v>
      </c>
      <c r="KY38" s="161"/>
      <c r="KZ38" s="163">
        <v>0</v>
      </c>
      <c r="LA38" s="164">
        <v>0</v>
      </c>
      <c r="LB38" s="154">
        <v>0</v>
      </c>
      <c r="LC38" s="154">
        <v>0</v>
      </c>
      <c r="LD38" s="154">
        <v>0</v>
      </c>
      <c r="LE38" s="154">
        <v>0</v>
      </c>
      <c r="LF38" s="154">
        <v>0</v>
      </c>
      <c r="LG38" s="154">
        <v>0</v>
      </c>
      <c r="LH38" s="154">
        <v>0</v>
      </c>
      <c r="LI38" s="154">
        <v>0</v>
      </c>
      <c r="LJ38" s="154">
        <v>0</v>
      </c>
      <c r="LK38" s="154">
        <v>0</v>
      </c>
      <c r="LL38" s="157">
        <f t="shared" si="130"/>
        <v>0</v>
      </c>
      <c r="LM38" s="161"/>
      <c r="LN38" s="163">
        <v>0</v>
      </c>
      <c r="LO38" s="164">
        <v>0</v>
      </c>
      <c r="LP38" s="154">
        <v>0</v>
      </c>
      <c r="LQ38" s="154">
        <v>0</v>
      </c>
      <c r="LR38" s="154">
        <v>0</v>
      </c>
      <c r="LS38" s="154">
        <v>0</v>
      </c>
      <c r="LT38" s="154">
        <v>0</v>
      </c>
      <c r="LU38" s="154">
        <v>0</v>
      </c>
      <c r="LV38" s="154">
        <v>0</v>
      </c>
      <c r="LW38" s="154">
        <v>0</v>
      </c>
      <c r="LX38" s="154">
        <v>0</v>
      </c>
      <c r="LY38" s="154">
        <v>0</v>
      </c>
      <c r="LZ38" s="157">
        <f t="shared" si="131"/>
        <v>0</v>
      </c>
      <c r="MA38" s="161"/>
      <c r="MB38" s="157">
        <f t="shared" si="132"/>
        <v>0</v>
      </c>
      <c r="MC38" s="157">
        <f t="shared" si="132"/>
        <v>0</v>
      </c>
      <c r="MD38" s="157">
        <f t="shared" si="132"/>
        <v>0</v>
      </c>
      <c r="ME38" s="157">
        <f t="shared" si="132"/>
        <v>0</v>
      </c>
      <c r="MF38" s="157">
        <f t="shared" si="132"/>
        <v>0</v>
      </c>
      <c r="MG38" s="157">
        <f t="shared" si="132"/>
        <v>0</v>
      </c>
      <c r="MH38" s="157">
        <f t="shared" si="132"/>
        <v>0</v>
      </c>
      <c r="MI38" s="157">
        <f t="shared" si="132"/>
        <v>0</v>
      </c>
      <c r="MJ38" s="157">
        <f t="shared" si="132"/>
        <v>0</v>
      </c>
      <c r="MK38" s="157">
        <f t="shared" si="132"/>
        <v>0</v>
      </c>
      <c r="ML38" s="157">
        <f t="shared" si="132"/>
        <v>0</v>
      </c>
      <c r="MM38" s="157">
        <f t="shared" si="132"/>
        <v>0</v>
      </c>
      <c r="MN38" s="157">
        <f t="shared" si="133"/>
        <v>0</v>
      </c>
    </row>
    <row r="39" spans="1:352" x14ac:dyDescent="0.25">
      <c r="A39" s="98"/>
      <c r="B39" s="64" t="s">
        <v>58</v>
      </c>
      <c r="C39" s="98"/>
      <c r="D39" s="163">
        <v>84364.273701058191</v>
      </c>
      <c r="E39" s="164">
        <v>84364.273701058191</v>
      </c>
      <c r="F39" s="164">
        <v>84364.273701058191</v>
      </c>
      <c r="G39" s="164">
        <v>84364.273701058191</v>
      </c>
      <c r="H39" s="164">
        <v>84364.273701058191</v>
      </c>
      <c r="I39" s="164">
        <v>84364.273701058191</v>
      </c>
      <c r="J39" s="164">
        <v>84364.273701058191</v>
      </c>
      <c r="K39" s="164">
        <v>84364.273701058191</v>
      </c>
      <c r="L39" s="164">
        <v>84364.273701058191</v>
      </c>
      <c r="M39" s="164">
        <v>84364.273701058191</v>
      </c>
      <c r="N39" s="164">
        <v>84364.273701058191</v>
      </c>
      <c r="O39" s="164">
        <v>84364.273701058191</v>
      </c>
      <c r="P39" s="157">
        <f t="shared" si="109"/>
        <v>1012371.2844126985</v>
      </c>
      <c r="Q39" s="161"/>
      <c r="R39" s="163">
        <v>8727.3386587301575</v>
      </c>
      <c r="S39" s="164">
        <v>8727.3386587301575</v>
      </c>
      <c r="T39" s="164">
        <v>8727.3386587301575</v>
      </c>
      <c r="U39" s="164">
        <v>8727.3386587301575</v>
      </c>
      <c r="V39" s="179">
        <v>8727.3386587301575</v>
      </c>
      <c r="W39" s="179">
        <v>8727.3386587301575</v>
      </c>
      <c r="X39" s="179">
        <v>8727.3386587301575</v>
      </c>
      <c r="Y39" s="164">
        <v>8727.3386587301575</v>
      </c>
      <c r="Z39" s="164">
        <v>8727.3386587301575</v>
      </c>
      <c r="AA39" s="164">
        <v>8727.3386587301575</v>
      </c>
      <c r="AB39" s="164">
        <v>8727.3386587301575</v>
      </c>
      <c r="AC39" s="164">
        <v>8727.3386587301575</v>
      </c>
      <c r="AD39" s="157">
        <f t="shared" si="110"/>
        <v>104728.06390476186</v>
      </c>
      <c r="AE39" s="161"/>
      <c r="AF39" s="163">
        <v>8727.3386587301575</v>
      </c>
      <c r="AG39" s="164">
        <v>8727.3386587301575</v>
      </c>
      <c r="AH39" s="164">
        <v>8727.3386587301575</v>
      </c>
      <c r="AI39" s="164">
        <v>8727.3386587301575</v>
      </c>
      <c r="AJ39" s="179">
        <v>8727.3386587301575</v>
      </c>
      <c r="AK39" s="179">
        <v>8727.3386587301575</v>
      </c>
      <c r="AL39" s="179">
        <v>8727.3386587301575</v>
      </c>
      <c r="AM39" s="164">
        <v>8727.3386587301575</v>
      </c>
      <c r="AN39" s="164">
        <v>8727.3386587301575</v>
      </c>
      <c r="AO39" s="164">
        <v>8727.3386587301575</v>
      </c>
      <c r="AP39" s="164">
        <v>8727.3386587301575</v>
      </c>
      <c r="AQ39" s="164">
        <v>8727.3386587301575</v>
      </c>
      <c r="AR39" s="157">
        <f t="shared" si="111"/>
        <v>104728.06390476186</v>
      </c>
      <c r="AT39" s="163">
        <v>5818.2257724867723</v>
      </c>
      <c r="AU39" s="164">
        <v>5818.2257724867723</v>
      </c>
      <c r="AV39" s="164">
        <v>5818.2257724867723</v>
      </c>
      <c r="AW39" s="164">
        <v>5818.2257724867723</v>
      </c>
      <c r="AX39" s="179">
        <v>5818.2257724867723</v>
      </c>
      <c r="AY39" s="179">
        <v>5818.2257724867723</v>
      </c>
      <c r="AZ39" s="179">
        <v>5818.2257724867723</v>
      </c>
      <c r="BA39" s="164">
        <v>5818.2257724867723</v>
      </c>
      <c r="BB39" s="154">
        <v>5818.2257724867723</v>
      </c>
      <c r="BC39" s="154">
        <v>5818.2257724867723</v>
      </c>
      <c r="BD39" s="154">
        <v>5818.2257724867723</v>
      </c>
      <c r="BE39" s="154">
        <v>5818.2257724867723</v>
      </c>
      <c r="BF39" s="157">
        <f t="shared" si="112"/>
        <v>69818.709269841274</v>
      </c>
      <c r="BH39" s="163">
        <v>43636.693293650795</v>
      </c>
      <c r="BI39" s="164">
        <v>43636.693293650795</v>
      </c>
      <c r="BJ39" s="154">
        <v>43636.693293650795</v>
      </c>
      <c r="BK39" s="154">
        <v>43636.693293650795</v>
      </c>
      <c r="BL39" s="154">
        <v>43636.693293650795</v>
      </c>
      <c r="BM39" s="154">
        <v>43636.693293650795</v>
      </c>
      <c r="BN39" s="154">
        <v>43636.693293650795</v>
      </c>
      <c r="BO39" s="154">
        <v>43636.693293650795</v>
      </c>
      <c r="BP39" s="154">
        <v>43636.693293650795</v>
      </c>
      <c r="BQ39" s="154">
        <v>43636.693293650795</v>
      </c>
      <c r="BR39" s="154">
        <v>43636.693293650795</v>
      </c>
      <c r="BS39" s="154">
        <v>43636.693293650795</v>
      </c>
      <c r="BT39" s="157">
        <f t="shared" si="113"/>
        <v>523640.31952380965</v>
      </c>
      <c r="BV39" s="163">
        <v>2909.1128862433861</v>
      </c>
      <c r="BW39" s="164">
        <v>2909.1128862433861</v>
      </c>
      <c r="BX39" s="154">
        <v>2909.1128862433861</v>
      </c>
      <c r="BY39" s="154">
        <v>2909.1128862433861</v>
      </c>
      <c r="BZ39" s="154">
        <v>2909.1128862433861</v>
      </c>
      <c r="CA39" s="154">
        <v>2909.1128862433861</v>
      </c>
      <c r="CB39" s="154">
        <v>2909.1128862433861</v>
      </c>
      <c r="CC39" s="154">
        <v>2909.1128862433861</v>
      </c>
      <c r="CD39" s="154">
        <v>2909.1128862433861</v>
      </c>
      <c r="CE39" s="154">
        <v>2909.1128862433861</v>
      </c>
      <c r="CF39" s="154">
        <v>2909.1128862433861</v>
      </c>
      <c r="CG39" s="154">
        <v>2909.1128862433861</v>
      </c>
      <c r="CH39" s="157">
        <f t="shared" si="114"/>
        <v>34909.354634920637</v>
      </c>
      <c r="CI39" s="161"/>
      <c r="CJ39" s="163">
        <v>32000.241748677247</v>
      </c>
      <c r="CK39" s="164">
        <v>32000.241748677247</v>
      </c>
      <c r="CL39" s="154">
        <v>32000.241748677247</v>
      </c>
      <c r="CM39" s="154">
        <v>32000.241748677247</v>
      </c>
      <c r="CN39" s="154">
        <v>32000.241748677247</v>
      </c>
      <c r="CO39" s="154">
        <v>32000.241748677247</v>
      </c>
      <c r="CP39" s="154">
        <v>32000.241748677247</v>
      </c>
      <c r="CQ39" s="154">
        <v>32000.241748677247</v>
      </c>
      <c r="CR39" s="154">
        <v>32000.241748677247</v>
      </c>
      <c r="CS39" s="154">
        <v>32000.241748677247</v>
      </c>
      <c r="CT39" s="154">
        <v>32000.241748677247</v>
      </c>
      <c r="CU39" s="154">
        <v>32000.241748677247</v>
      </c>
      <c r="CV39" s="157">
        <f t="shared" si="115"/>
        <v>384002.90098412684</v>
      </c>
      <c r="CW39" s="161"/>
      <c r="CX39" s="163">
        <v>81455.160814814808</v>
      </c>
      <c r="CY39" s="164">
        <v>81455.160814814808</v>
      </c>
      <c r="CZ39" s="154">
        <v>81455.160814814808</v>
      </c>
      <c r="DA39" s="154">
        <v>81455.160814814808</v>
      </c>
      <c r="DB39" s="154">
        <v>81455.160814814808</v>
      </c>
      <c r="DC39" s="154">
        <v>81455.160814814808</v>
      </c>
      <c r="DD39" s="154">
        <v>81455.160814814808</v>
      </c>
      <c r="DE39" s="154">
        <v>81455.160814814808</v>
      </c>
      <c r="DF39" s="154">
        <v>81455.160814814808</v>
      </c>
      <c r="DG39" s="154">
        <v>81455.160814814808</v>
      </c>
      <c r="DH39" s="154">
        <v>81455.160814814808</v>
      </c>
      <c r="DI39" s="154">
        <v>81455.160814814808</v>
      </c>
      <c r="DJ39" s="157">
        <f t="shared" si="116"/>
        <v>977461.92977777787</v>
      </c>
      <c r="DK39" s="161"/>
      <c r="DL39" s="163">
        <v>81455.160814814808</v>
      </c>
      <c r="DM39" s="164">
        <v>81455.160814814808</v>
      </c>
      <c r="DN39" s="154">
        <v>81455.160814814808</v>
      </c>
      <c r="DO39" s="154">
        <v>81455.160814814808</v>
      </c>
      <c r="DP39" s="154">
        <v>81455.160814814808</v>
      </c>
      <c r="DQ39" s="154">
        <v>81455.160814814808</v>
      </c>
      <c r="DR39" s="154">
        <v>81455.160814814808</v>
      </c>
      <c r="DS39" s="154">
        <v>81455.160814814808</v>
      </c>
      <c r="DT39" s="154">
        <v>81455.160814814808</v>
      </c>
      <c r="DU39" s="154">
        <v>81455.160814814808</v>
      </c>
      <c r="DV39" s="154">
        <v>81455.160814814808</v>
      </c>
      <c r="DW39" s="154">
        <v>81455.160814814808</v>
      </c>
      <c r="DX39" s="157">
        <f t="shared" si="117"/>
        <v>977461.92977777787</v>
      </c>
      <c r="DY39" s="161"/>
      <c r="DZ39" s="163">
        <v>2909.1128862433861</v>
      </c>
      <c r="EA39" s="164">
        <v>2909.1128862433861</v>
      </c>
      <c r="EB39" s="154">
        <v>2909.1128862433861</v>
      </c>
      <c r="EC39" s="154">
        <v>2909.1128862433861</v>
      </c>
      <c r="ED39" s="154">
        <v>2909.1128862433861</v>
      </c>
      <c r="EE39" s="154">
        <v>2909.1128862433861</v>
      </c>
      <c r="EF39" s="154">
        <v>2909.1128862433861</v>
      </c>
      <c r="EG39" s="154">
        <v>2909.1128862433861</v>
      </c>
      <c r="EH39" s="154">
        <v>2909.1128862433861</v>
      </c>
      <c r="EI39" s="154">
        <v>2909.1128862433861</v>
      </c>
      <c r="EJ39" s="154">
        <v>2909.1128862433861</v>
      </c>
      <c r="EK39" s="154">
        <v>2909.1128862433861</v>
      </c>
      <c r="EL39" s="157">
        <f t="shared" si="118"/>
        <v>34909.354634920637</v>
      </c>
      <c r="EM39" s="161"/>
      <c r="EN39" s="163">
        <v>5818.2257724867723</v>
      </c>
      <c r="EO39" s="164">
        <v>5818.2257724867723</v>
      </c>
      <c r="EP39" s="154">
        <v>5818.2257724867723</v>
      </c>
      <c r="EQ39" s="154">
        <v>5818.2257724867723</v>
      </c>
      <c r="ER39" s="154">
        <v>5818.2257724867723</v>
      </c>
      <c r="ES39" s="154">
        <v>5818.2257724867723</v>
      </c>
      <c r="ET39" s="154">
        <v>5818.2257724867723</v>
      </c>
      <c r="EU39" s="154">
        <v>5818.2257724867723</v>
      </c>
      <c r="EV39" s="154">
        <v>5818.2257724867723</v>
      </c>
      <c r="EW39" s="154">
        <v>5818.2257724867723</v>
      </c>
      <c r="EX39" s="154">
        <v>5818.2257724867723</v>
      </c>
      <c r="EY39" s="154">
        <v>5818.2257724867723</v>
      </c>
      <c r="EZ39" s="157">
        <f t="shared" si="119"/>
        <v>69818.709269841274</v>
      </c>
      <c r="FA39" s="161"/>
      <c r="FB39" s="163">
        <v>2909.1128862433861</v>
      </c>
      <c r="FC39" s="164">
        <v>2909.1128862433861</v>
      </c>
      <c r="FD39" s="154">
        <v>2909.1128862433861</v>
      </c>
      <c r="FE39" s="154">
        <v>2909.1128862433861</v>
      </c>
      <c r="FF39" s="154">
        <v>2909.1128862433861</v>
      </c>
      <c r="FG39" s="154">
        <v>2909.1128862433861</v>
      </c>
      <c r="FH39" s="154">
        <v>2909.1128862433861</v>
      </c>
      <c r="FI39" s="154">
        <v>2909.1128862433861</v>
      </c>
      <c r="FJ39" s="154">
        <v>2909.1128862433861</v>
      </c>
      <c r="FK39" s="154">
        <v>2909.1128862433861</v>
      </c>
      <c r="FL39" s="154">
        <v>2909.1128862433861</v>
      </c>
      <c r="FM39" s="154">
        <v>2909.1128862433861</v>
      </c>
      <c r="FN39" s="157">
        <f t="shared" si="120"/>
        <v>34909.354634920637</v>
      </c>
      <c r="FO39" s="161"/>
      <c r="FP39" s="163">
        <v>20363.790203703702</v>
      </c>
      <c r="FQ39" s="164">
        <v>20363.790203703702</v>
      </c>
      <c r="FR39" s="154">
        <v>20363.790203703702</v>
      </c>
      <c r="FS39" s="154">
        <v>20363.790203703702</v>
      </c>
      <c r="FT39" s="154">
        <v>20363.790203703702</v>
      </c>
      <c r="FU39" s="154">
        <v>20363.790203703702</v>
      </c>
      <c r="FV39" s="154">
        <v>20363.790203703702</v>
      </c>
      <c r="FW39" s="154">
        <v>20363.790203703702</v>
      </c>
      <c r="FX39" s="154">
        <v>20363.790203703702</v>
      </c>
      <c r="FY39" s="154">
        <v>20363.790203703702</v>
      </c>
      <c r="FZ39" s="154">
        <v>20363.790203703702</v>
      </c>
      <c r="GA39" s="154">
        <v>20363.790203703702</v>
      </c>
      <c r="GB39" s="157">
        <f t="shared" si="121"/>
        <v>244365.48244444447</v>
      </c>
      <c r="GC39" s="161"/>
      <c r="GD39" s="163">
        <v>2909.1128862433861</v>
      </c>
      <c r="GE39" s="164">
        <v>2909.1128862433861</v>
      </c>
      <c r="GF39" s="154">
        <v>2909.1128862433861</v>
      </c>
      <c r="GG39" s="154">
        <v>2909.1128862433861</v>
      </c>
      <c r="GH39" s="154">
        <v>2909.1128862433861</v>
      </c>
      <c r="GI39" s="154">
        <v>2909.1128862433861</v>
      </c>
      <c r="GJ39" s="154">
        <v>2909.1128862433861</v>
      </c>
      <c r="GK39" s="154">
        <v>2909.1128862433861</v>
      </c>
      <c r="GL39" s="154">
        <v>2909.1128862433861</v>
      </c>
      <c r="GM39" s="154">
        <v>2909.1128862433861</v>
      </c>
      <c r="GN39" s="154">
        <v>2909.1128862433861</v>
      </c>
      <c r="GO39" s="154">
        <v>2909.1128862433861</v>
      </c>
      <c r="GP39" s="157">
        <f t="shared" si="122"/>
        <v>34909.354634920637</v>
      </c>
      <c r="GQ39" s="161"/>
      <c r="GR39" s="163">
        <v>-159349.35013247022</v>
      </c>
      <c r="GS39" s="164">
        <v>-159349.35013247022</v>
      </c>
      <c r="GT39" s="154">
        <v>-159349.35013247022</v>
      </c>
      <c r="GU39" s="154">
        <v>-159349.35013247022</v>
      </c>
      <c r="GV39" s="154">
        <v>-159349.35013247022</v>
      </c>
      <c r="GW39" s="154">
        <v>-159349.35013247022</v>
      </c>
      <c r="GX39" s="154">
        <v>-159349.35013247022</v>
      </c>
      <c r="GY39" s="154">
        <v>-159349.35013247022</v>
      </c>
      <c r="GZ39" s="154">
        <v>-159349.35013247022</v>
      </c>
      <c r="HA39" s="154">
        <v>-159349.35013247022</v>
      </c>
      <c r="HB39" s="154">
        <v>-159349.35013247022</v>
      </c>
      <c r="HC39" s="154">
        <v>-159349.35013247022</v>
      </c>
      <c r="HD39" s="157">
        <f t="shared" si="134"/>
        <v>0</v>
      </c>
      <c r="HE39" s="161"/>
      <c r="HF39" s="163">
        <v>11636.451544973545</v>
      </c>
      <c r="HG39" s="164">
        <v>11636.451544973545</v>
      </c>
      <c r="HH39" s="154">
        <v>11636.451544973545</v>
      </c>
      <c r="HI39" s="154">
        <v>11636.451544973545</v>
      </c>
      <c r="HJ39" s="154">
        <v>11636.451544973545</v>
      </c>
      <c r="HK39" s="154">
        <v>11636.451544973545</v>
      </c>
      <c r="HL39" s="154">
        <v>11636.451544973545</v>
      </c>
      <c r="HM39" s="154">
        <v>11636.451544973545</v>
      </c>
      <c r="HN39" s="154">
        <v>11636.451544973545</v>
      </c>
      <c r="HO39" s="154">
        <v>11636.451544973545</v>
      </c>
      <c r="HP39" s="154">
        <v>11636.451544973545</v>
      </c>
      <c r="HQ39" s="154">
        <v>11636.451544973545</v>
      </c>
      <c r="HR39" s="157">
        <f t="shared" si="123"/>
        <v>139637.41853968255</v>
      </c>
      <c r="HS39" s="161"/>
      <c r="HT39" s="163">
        <v>2909.1128862433861</v>
      </c>
      <c r="HU39" s="164">
        <v>2909.1128862433861</v>
      </c>
      <c r="HV39" s="154">
        <v>2909.1128862433861</v>
      </c>
      <c r="HW39" s="154">
        <v>2909.1128862433861</v>
      </c>
      <c r="HX39" s="154">
        <v>2909.1128862433861</v>
      </c>
      <c r="HY39" s="154">
        <v>2909.1128862433861</v>
      </c>
      <c r="HZ39" s="154">
        <v>2909.1128862433861</v>
      </c>
      <c r="IA39" s="154">
        <v>2909.1128862433861</v>
      </c>
      <c r="IB39" s="154">
        <v>2909.1128862433861</v>
      </c>
      <c r="IC39" s="154">
        <v>2909.1128862433861</v>
      </c>
      <c r="ID39" s="154">
        <v>2909.1128862433861</v>
      </c>
      <c r="IE39" s="154">
        <v>2909.1128862433861</v>
      </c>
      <c r="IF39" s="157">
        <f t="shared" si="124"/>
        <v>34909.354634920637</v>
      </c>
      <c r="IG39" s="161"/>
      <c r="IH39" s="163">
        <v>2909.1128862433861</v>
      </c>
      <c r="II39" s="164">
        <v>2909.1128862433861</v>
      </c>
      <c r="IJ39" s="154">
        <v>2909.1128862433861</v>
      </c>
      <c r="IK39" s="154">
        <v>2909.1128862433861</v>
      </c>
      <c r="IL39" s="154">
        <v>2909.1128862433861</v>
      </c>
      <c r="IM39" s="154">
        <v>2909.1128862433861</v>
      </c>
      <c r="IN39" s="154">
        <v>2909.1128862433861</v>
      </c>
      <c r="IO39" s="154">
        <v>2909.1128862433861</v>
      </c>
      <c r="IP39" s="154">
        <v>2909.1128862433861</v>
      </c>
      <c r="IQ39" s="154">
        <v>2909.1128862433861</v>
      </c>
      <c r="IR39" s="154">
        <v>2909.1128862433861</v>
      </c>
      <c r="IS39" s="154">
        <v>2909.1128862433861</v>
      </c>
      <c r="IT39" s="157">
        <f t="shared" si="125"/>
        <v>34909.354634920637</v>
      </c>
      <c r="IU39" s="161"/>
      <c r="IV39" s="163">
        <v>20363.790203703702</v>
      </c>
      <c r="IW39" s="164">
        <v>20363.790203703702</v>
      </c>
      <c r="IX39" s="154">
        <v>20363.790203703702</v>
      </c>
      <c r="IY39" s="154">
        <v>20363.790203703702</v>
      </c>
      <c r="IZ39" s="154">
        <v>20363.790203703702</v>
      </c>
      <c r="JA39" s="154">
        <v>20363.790203703702</v>
      </c>
      <c r="JB39" s="154">
        <v>20363.790203703702</v>
      </c>
      <c r="JC39" s="154">
        <v>20363.790203703702</v>
      </c>
      <c r="JD39" s="154">
        <v>20363.790203703702</v>
      </c>
      <c r="JE39" s="154">
        <v>20363.790203703702</v>
      </c>
      <c r="JF39" s="154">
        <v>20363.790203703702</v>
      </c>
      <c r="JG39" s="154">
        <v>20363.790203703702</v>
      </c>
      <c r="JH39" s="157">
        <f t="shared" si="126"/>
        <v>244365.48244444447</v>
      </c>
      <c r="JI39" s="161"/>
      <c r="JJ39" s="163">
        <v>32000.241748677247</v>
      </c>
      <c r="JK39" s="164">
        <v>32000.241748677247</v>
      </c>
      <c r="JL39" s="154">
        <v>32000.241748677247</v>
      </c>
      <c r="JM39" s="154">
        <v>32000.241748677247</v>
      </c>
      <c r="JN39" s="154">
        <v>32000.241748677247</v>
      </c>
      <c r="JO39" s="154">
        <v>32000.241748677247</v>
      </c>
      <c r="JP39" s="154">
        <v>32000.241748677247</v>
      </c>
      <c r="JQ39" s="154">
        <v>32000.241748677247</v>
      </c>
      <c r="JR39" s="154">
        <v>32000.241748677247</v>
      </c>
      <c r="JS39" s="154">
        <v>32000.241748677247</v>
      </c>
      <c r="JT39" s="154">
        <v>32000.241748677247</v>
      </c>
      <c r="JU39" s="154">
        <v>32000.241748677247</v>
      </c>
      <c r="JV39" s="157">
        <f t="shared" si="127"/>
        <v>384002.90098412684</v>
      </c>
      <c r="JW39" s="161"/>
      <c r="JX39" s="163">
        <v>14545.564431216932</v>
      </c>
      <c r="JY39" s="164">
        <v>14545.564431216932</v>
      </c>
      <c r="JZ39" s="154">
        <v>14545.564431216932</v>
      </c>
      <c r="KA39" s="154">
        <v>14545.564431216932</v>
      </c>
      <c r="KB39" s="154">
        <v>14545.564431216932</v>
      </c>
      <c r="KC39" s="154">
        <v>14545.564431216932</v>
      </c>
      <c r="KD39" s="154">
        <v>14545.564431216932</v>
      </c>
      <c r="KE39" s="154">
        <v>14545.564431216932</v>
      </c>
      <c r="KF39" s="154">
        <v>14545.564431216932</v>
      </c>
      <c r="KG39" s="154">
        <v>14545.564431216932</v>
      </c>
      <c r="KH39" s="154">
        <v>14545.564431216932</v>
      </c>
      <c r="KI39" s="154">
        <v>14545.564431216932</v>
      </c>
      <c r="KJ39" s="157">
        <f t="shared" si="128"/>
        <v>174546.77317460318</v>
      </c>
      <c r="KK39" s="161"/>
      <c r="KL39" s="163">
        <v>5818.2257724867723</v>
      </c>
      <c r="KM39" s="164">
        <v>5818.2257724867723</v>
      </c>
      <c r="KN39" s="154">
        <v>5818.2257724867723</v>
      </c>
      <c r="KO39" s="154">
        <v>5818.2257724867723</v>
      </c>
      <c r="KP39" s="154">
        <v>5818.2257724867723</v>
      </c>
      <c r="KQ39" s="154">
        <v>5818.2257724867723</v>
      </c>
      <c r="KR39" s="154">
        <v>5818.2257724867723</v>
      </c>
      <c r="KS39" s="154">
        <v>5818.2257724867723</v>
      </c>
      <c r="KT39" s="154">
        <v>5818.2257724867723</v>
      </c>
      <c r="KU39" s="154">
        <v>5818.2257724867723</v>
      </c>
      <c r="KV39" s="154">
        <v>5818.2257724867723</v>
      </c>
      <c r="KW39" s="154">
        <v>5818.2257724867723</v>
      </c>
      <c r="KX39" s="157">
        <f t="shared" si="129"/>
        <v>69818.709269841274</v>
      </c>
      <c r="KY39" s="161"/>
      <c r="KZ39" s="163">
        <v>2909.1128862433861</v>
      </c>
      <c r="LA39" s="164">
        <v>2909.1128862433861</v>
      </c>
      <c r="LB39" s="154">
        <v>2909.1128862433861</v>
      </c>
      <c r="LC39" s="154">
        <v>2909.1128862433861</v>
      </c>
      <c r="LD39" s="154">
        <v>2909.1128862433861</v>
      </c>
      <c r="LE39" s="154">
        <v>2909.1128862433861</v>
      </c>
      <c r="LF39" s="154">
        <v>2909.1128862433861</v>
      </c>
      <c r="LG39" s="154">
        <v>2909.1128862433861</v>
      </c>
      <c r="LH39" s="154">
        <v>2909.1128862433861</v>
      </c>
      <c r="LI39" s="154">
        <v>2909.1128862433861</v>
      </c>
      <c r="LJ39" s="154">
        <v>2909.1128862433861</v>
      </c>
      <c r="LK39" s="154">
        <v>2909.1128862433861</v>
      </c>
      <c r="LL39" s="157">
        <f t="shared" si="130"/>
        <v>34909.354634920637</v>
      </c>
      <c r="LM39" s="161"/>
      <c r="LN39" s="163">
        <v>0</v>
      </c>
      <c r="LO39" s="164">
        <v>0</v>
      </c>
      <c r="LP39" s="154">
        <v>0</v>
      </c>
      <c r="LQ39" s="154">
        <v>0</v>
      </c>
      <c r="LR39" s="154">
        <v>0</v>
      </c>
      <c r="LS39" s="154">
        <v>0</v>
      </c>
      <c r="LT39" s="154">
        <v>0</v>
      </c>
      <c r="LU39" s="154">
        <v>0</v>
      </c>
      <c r="LV39" s="154">
        <v>0</v>
      </c>
      <c r="LW39" s="154">
        <v>0</v>
      </c>
      <c r="LX39" s="154">
        <v>0</v>
      </c>
      <c r="LY39" s="154">
        <v>0</v>
      </c>
      <c r="LZ39" s="157">
        <f t="shared" si="131"/>
        <v>0</v>
      </c>
      <c r="MA39" s="161"/>
      <c r="MB39" s="157">
        <f t="shared" si="132"/>
        <v>317745.16321144497</v>
      </c>
      <c r="MC39" s="157">
        <f t="shared" si="132"/>
        <v>317745.16321144497</v>
      </c>
      <c r="MD39" s="157">
        <f t="shared" si="132"/>
        <v>317745.16321144497</v>
      </c>
      <c r="ME39" s="157">
        <f t="shared" si="132"/>
        <v>317745.16321144497</v>
      </c>
      <c r="MF39" s="157">
        <f t="shared" si="132"/>
        <v>317745.16321144497</v>
      </c>
      <c r="MG39" s="157">
        <f t="shared" si="132"/>
        <v>317745.16321144497</v>
      </c>
      <c r="MH39" s="157">
        <f t="shared" si="132"/>
        <v>317745.16321144497</v>
      </c>
      <c r="MI39" s="157">
        <f t="shared" si="132"/>
        <v>317745.16321144497</v>
      </c>
      <c r="MJ39" s="157">
        <f t="shared" si="132"/>
        <v>317745.16321144497</v>
      </c>
      <c r="MK39" s="157">
        <f t="shared" si="132"/>
        <v>317745.16321144497</v>
      </c>
      <c r="ML39" s="157">
        <f t="shared" si="132"/>
        <v>317745.16321144497</v>
      </c>
      <c r="MM39" s="157">
        <f t="shared" si="132"/>
        <v>317745.16321144497</v>
      </c>
      <c r="MN39" s="157">
        <f t="shared" si="133"/>
        <v>3812941.9585373388</v>
      </c>
    </row>
    <row r="40" spans="1:352" s="201" customFormat="1" x14ac:dyDescent="0.25">
      <c r="A40" s="98"/>
      <c r="B40" s="64" t="s">
        <v>59</v>
      </c>
      <c r="C40" s="98"/>
      <c r="D40" s="163">
        <v>174750</v>
      </c>
      <c r="E40" s="164">
        <v>12750</v>
      </c>
      <c r="F40" s="164">
        <v>38250</v>
      </c>
      <c r="G40" s="164">
        <v>12750</v>
      </c>
      <c r="H40" s="164">
        <v>12750</v>
      </c>
      <c r="I40" s="164">
        <v>12750</v>
      </c>
      <c r="J40" s="164">
        <v>12750</v>
      </c>
      <c r="K40" s="164">
        <v>117750</v>
      </c>
      <c r="L40" s="164">
        <v>102750</v>
      </c>
      <c r="M40" s="164">
        <v>33050</v>
      </c>
      <c r="N40" s="164">
        <v>38250</v>
      </c>
      <c r="O40" s="164">
        <v>39750</v>
      </c>
      <c r="P40" s="200">
        <f t="shared" si="109"/>
        <v>608300</v>
      </c>
      <c r="Q40" s="161"/>
      <c r="R40" s="163">
        <v>17476</v>
      </c>
      <c r="S40" s="164">
        <v>1276</v>
      </c>
      <c r="T40" s="164">
        <v>3826</v>
      </c>
      <c r="U40" s="164">
        <v>1276</v>
      </c>
      <c r="V40" s="179">
        <v>1276</v>
      </c>
      <c r="W40" s="179">
        <v>1276</v>
      </c>
      <c r="X40" s="179">
        <v>1276</v>
      </c>
      <c r="Y40" s="164">
        <v>11776</v>
      </c>
      <c r="Z40" s="164">
        <v>10276</v>
      </c>
      <c r="AA40" s="164">
        <v>3376</v>
      </c>
      <c r="AB40" s="164">
        <v>3826</v>
      </c>
      <c r="AC40" s="164">
        <v>3976</v>
      </c>
      <c r="AD40" s="200">
        <f t="shared" si="110"/>
        <v>60912</v>
      </c>
      <c r="AE40" s="161"/>
      <c r="AF40" s="163">
        <v>17476</v>
      </c>
      <c r="AG40" s="164">
        <v>1276</v>
      </c>
      <c r="AH40" s="164">
        <v>3826</v>
      </c>
      <c r="AI40" s="164">
        <v>1276</v>
      </c>
      <c r="AJ40" s="179">
        <v>1276</v>
      </c>
      <c r="AK40" s="179">
        <v>1276</v>
      </c>
      <c r="AL40" s="179">
        <v>1276</v>
      </c>
      <c r="AM40" s="164">
        <v>11776</v>
      </c>
      <c r="AN40" s="164">
        <v>10276</v>
      </c>
      <c r="AO40" s="164">
        <v>3376</v>
      </c>
      <c r="AP40" s="164">
        <v>3826</v>
      </c>
      <c r="AQ40" s="164">
        <v>3976</v>
      </c>
      <c r="AR40" s="200">
        <f t="shared" si="111"/>
        <v>60912</v>
      </c>
      <c r="AS40" s="161"/>
      <c r="AT40" s="163">
        <v>11652</v>
      </c>
      <c r="AU40" s="164">
        <v>852</v>
      </c>
      <c r="AV40" s="164">
        <v>2552</v>
      </c>
      <c r="AW40" s="164">
        <v>852</v>
      </c>
      <c r="AX40" s="179">
        <v>852</v>
      </c>
      <c r="AY40" s="179">
        <v>852</v>
      </c>
      <c r="AZ40" s="179">
        <v>852</v>
      </c>
      <c r="BA40" s="164">
        <v>7852</v>
      </c>
      <c r="BB40" s="154">
        <v>6852</v>
      </c>
      <c r="BC40" s="154">
        <v>2252</v>
      </c>
      <c r="BD40" s="154">
        <v>2552</v>
      </c>
      <c r="BE40" s="154">
        <v>2652</v>
      </c>
      <c r="BF40" s="200">
        <f t="shared" si="112"/>
        <v>40624</v>
      </c>
      <c r="BG40" s="176"/>
      <c r="BH40" s="163">
        <v>87376</v>
      </c>
      <c r="BI40" s="164">
        <v>6376</v>
      </c>
      <c r="BJ40" s="154">
        <v>19126</v>
      </c>
      <c r="BK40" s="154">
        <v>6376</v>
      </c>
      <c r="BL40" s="154">
        <v>6376</v>
      </c>
      <c r="BM40" s="154">
        <v>6376</v>
      </c>
      <c r="BN40" s="154">
        <v>6376</v>
      </c>
      <c r="BO40" s="154">
        <v>58876</v>
      </c>
      <c r="BP40" s="154">
        <v>51376</v>
      </c>
      <c r="BQ40" s="154">
        <v>15476</v>
      </c>
      <c r="BR40" s="154">
        <v>19126</v>
      </c>
      <c r="BS40" s="154">
        <v>19876</v>
      </c>
      <c r="BT40" s="200">
        <f t="shared" si="113"/>
        <v>303112</v>
      </c>
      <c r="BU40" s="161"/>
      <c r="BV40" s="163">
        <v>7326</v>
      </c>
      <c r="BW40" s="164">
        <v>426</v>
      </c>
      <c r="BX40" s="154">
        <v>1276</v>
      </c>
      <c r="BY40" s="154">
        <v>426</v>
      </c>
      <c r="BZ40" s="154">
        <v>426</v>
      </c>
      <c r="CA40" s="154">
        <v>426</v>
      </c>
      <c r="CB40" s="154">
        <v>426</v>
      </c>
      <c r="CC40" s="154">
        <v>5426</v>
      </c>
      <c r="CD40" s="154">
        <v>3426</v>
      </c>
      <c r="CE40" s="154">
        <v>1126</v>
      </c>
      <c r="CF40" s="154">
        <v>1276</v>
      </c>
      <c r="CG40" s="154">
        <v>1326</v>
      </c>
      <c r="CH40" s="200">
        <f t="shared" si="114"/>
        <v>23312</v>
      </c>
      <c r="CI40" s="161"/>
      <c r="CJ40" s="163">
        <v>64078</v>
      </c>
      <c r="CK40" s="164">
        <v>4678</v>
      </c>
      <c r="CL40" s="154">
        <v>14028</v>
      </c>
      <c r="CM40" s="154">
        <v>4678</v>
      </c>
      <c r="CN40" s="154">
        <v>4678</v>
      </c>
      <c r="CO40" s="154">
        <v>4678</v>
      </c>
      <c r="CP40" s="154">
        <v>4678</v>
      </c>
      <c r="CQ40" s="154">
        <v>43178</v>
      </c>
      <c r="CR40" s="154">
        <v>37678</v>
      </c>
      <c r="CS40" s="154">
        <v>12378</v>
      </c>
      <c r="CT40" s="154">
        <v>14028</v>
      </c>
      <c r="CU40" s="154">
        <v>14578</v>
      </c>
      <c r="CV40" s="200">
        <f t="shared" si="115"/>
        <v>223336</v>
      </c>
      <c r="CW40" s="161"/>
      <c r="CX40" s="163">
        <v>171178</v>
      </c>
      <c r="CY40" s="164">
        <v>12328</v>
      </c>
      <c r="CZ40" s="154">
        <v>36978</v>
      </c>
      <c r="DA40" s="154">
        <v>12328</v>
      </c>
      <c r="DB40" s="154">
        <v>12328</v>
      </c>
      <c r="DC40" s="154">
        <v>12328</v>
      </c>
      <c r="DD40" s="154">
        <v>12328</v>
      </c>
      <c r="DE40" s="154">
        <v>116078</v>
      </c>
      <c r="DF40" s="154">
        <v>99328</v>
      </c>
      <c r="DG40" s="154">
        <v>32628</v>
      </c>
      <c r="DH40" s="154">
        <v>36978</v>
      </c>
      <c r="DI40" s="154">
        <v>38428</v>
      </c>
      <c r="DJ40" s="200">
        <f t="shared" si="116"/>
        <v>593236</v>
      </c>
      <c r="DK40" s="161"/>
      <c r="DL40" s="163">
        <v>163852</v>
      </c>
      <c r="DM40" s="164">
        <v>11902</v>
      </c>
      <c r="DN40" s="154">
        <v>35702</v>
      </c>
      <c r="DO40" s="154">
        <v>11902</v>
      </c>
      <c r="DP40" s="154">
        <v>11902</v>
      </c>
      <c r="DQ40" s="154">
        <v>11902</v>
      </c>
      <c r="DR40" s="154">
        <v>11902</v>
      </c>
      <c r="DS40" s="154">
        <v>110652</v>
      </c>
      <c r="DT40" s="154">
        <v>95902</v>
      </c>
      <c r="DU40" s="154">
        <v>30102</v>
      </c>
      <c r="DV40" s="154">
        <v>35702</v>
      </c>
      <c r="DW40" s="154">
        <v>37102</v>
      </c>
      <c r="DX40" s="200">
        <f t="shared" si="117"/>
        <v>568524</v>
      </c>
      <c r="DY40" s="161"/>
      <c r="DZ40" s="163">
        <v>5826</v>
      </c>
      <c r="EA40" s="164">
        <v>426</v>
      </c>
      <c r="EB40" s="154">
        <v>1276</v>
      </c>
      <c r="EC40" s="154">
        <v>426</v>
      </c>
      <c r="ED40" s="154">
        <v>426</v>
      </c>
      <c r="EE40" s="154">
        <v>426</v>
      </c>
      <c r="EF40" s="154">
        <v>426</v>
      </c>
      <c r="EG40" s="154">
        <v>3926</v>
      </c>
      <c r="EH40" s="154">
        <v>3426</v>
      </c>
      <c r="EI40" s="154">
        <v>1126</v>
      </c>
      <c r="EJ40" s="154">
        <v>1276</v>
      </c>
      <c r="EK40" s="154">
        <v>1326</v>
      </c>
      <c r="EL40" s="200">
        <f t="shared" si="118"/>
        <v>20312</v>
      </c>
      <c r="EM40" s="161"/>
      <c r="EN40" s="163">
        <v>11652</v>
      </c>
      <c r="EO40" s="164">
        <v>852</v>
      </c>
      <c r="EP40" s="154">
        <v>2552</v>
      </c>
      <c r="EQ40" s="154">
        <v>852</v>
      </c>
      <c r="ER40" s="154">
        <v>852</v>
      </c>
      <c r="ES40" s="154">
        <v>852</v>
      </c>
      <c r="ET40" s="154">
        <v>852</v>
      </c>
      <c r="EU40" s="154">
        <v>7852</v>
      </c>
      <c r="EV40" s="154">
        <v>6852</v>
      </c>
      <c r="EW40" s="154">
        <v>2252</v>
      </c>
      <c r="EX40" s="154">
        <v>2552</v>
      </c>
      <c r="EY40" s="154">
        <v>2652</v>
      </c>
      <c r="EZ40" s="200">
        <f t="shared" si="119"/>
        <v>40624</v>
      </c>
      <c r="FA40" s="161"/>
      <c r="FB40" s="163">
        <v>5826</v>
      </c>
      <c r="FC40" s="164">
        <v>426</v>
      </c>
      <c r="FD40" s="154">
        <v>1276</v>
      </c>
      <c r="FE40" s="154">
        <v>426</v>
      </c>
      <c r="FF40" s="154">
        <v>426</v>
      </c>
      <c r="FG40" s="154">
        <v>426</v>
      </c>
      <c r="FH40" s="154">
        <v>426</v>
      </c>
      <c r="FI40" s="154">
        <v>3926</v>
      </c>
      <c r="FJ40" s="154">
        <v>3426</v>
      </c>
      <c r="FK40" s="154">
        <v>1126</v>
      </c>
      <c r="FL40" s="154">
        <v>1276</v>
      </c>
      <c r="FM40" s="154">
        <v>1326</v>
      </c>
      <c r="FN40" s="200">
        <f t="shared" si="120"/>
        <v>20312</v>
      </c>
      <c r="FO40" s="161"/>
      <c r="FP40" s="163">
        <v>46604</v>
      </c>
      <c r="FQ40" s="164">
        <v>3404</v>
      </c>
      <c r="FR40" s="154">
        <v>10204</v>
      </c>
      <c r="FS40" s="154">
        <v>3404</v>
      </c>
      <c r="FT40" s="154">
        <v>3404</v>
      </c>
      <c r="FU40" s="154">
        <v>3404</v>
      </c>
      <c r="FV40" s="154">
        <v>3404</v>
      </c>
      <c r="FW40" s="154">
        <v>31404</v>
      </c>
      <c r="FX40" s="154">
        <v>27404</v>
      </c>
      <c r="FY40" s="154">
        <v>9004</v>
      </c>
      <c r="FZ40" s="154">
        <v>10204</v>
      </c>
      <c r="GA40" s="154">
        <v>10604</v>
      </c>
      <c r="GB40" s="200">
        <f t="shared" si="121"/>
        <v>162448</v>
      </c>
      <c r="GC40" s="161"/>
      <c r="GD40" s="163">
        <v>0</v>
      </c>
      <c r="GE40" s="164">
        <v>0</v>
      </c>
      <c r="GF40" s="154">
        <v>0</v>
      </c>
      <c r="GG40" s="154">
        <v>0</v>
      </c>
      <c r="GH40" s="154">
        <v>0</v>
      </c>
      <c r="GI40" s="154">
        <v>0</v>
      </c>
      <c r="GJ40" s="154">
        <v>0</v>
      </c>
      <c r="GK40" s="154">
        <v>0</v>
      </c>
      <c r="GL40" s="154">
        <v>0</v>
      </c>
      <c r="GM40" s="154">
        <v>0</v>
      </c>
      <c r="GN40" s="154">
        <v>0</v>
      </c>
      <c r="GO40" s="154">
        <v>0</v>
      </c>
      <c r="GP40" s="200">
        <f t="shared" si="122"/>
        <v>0</v>
      </c>
      <c r="GQ40" s="161"/>
      <c r="GR40" s="163">
        <v>-120881.11288840242</v>
      </c>
      <c r="GS40" s="164">
        <v>-120881.11288840242</v>
      </c>
      <c r="GT40" s="154">
        <v>-120881.11288840242</v>
      </c>
      <c r="GU40" s="154">
        <v>-120881.11288840242</v>
      </c>
      <c r="GV40" s="154">
        <v>-120881.11288840242</v>
      </c>
      <c r="GW40" s="154">
        <v>-120881.11288840242</v>
      </c>
      <c r="GX40" s="154">
        <v>-120881.11288840242</v>
      </c>
      <c r="GY40" s="154">
        <v>-120881.11288840242</v>
      </c>
      <c r="GZ40" s="154">
        <v>-120881.11288840242</v>
      </c>
      <c r="HA40" s="154">
        <v>-120881.11288840242</v>
      </c>
      <c r="HB40" s="154">
        <v>-120881.11288840242</v>
      </c>
      <c r="HC40" s="154">
        <v>-120881.11288840242</v>
      </c>
      <c r="HD40" s="200">
        <f t="shared" si="134"/>
        <v>0</v>
      </c>
      <c r="HE40" s="161"/>
      <c r="HF40" s="163">
        <v>23304</v>
      </c>
      <c r="HG40" s="164">
        <v>1704</v>
      </c>
      <c r="HH40" s="154">
        <v>5104</v>
      </c>
      <c r="HI40" s="154">
        <v>1704</v>
      </c>
      <c r="HJ40" s="154">
        <v>1704</v>
      </c>
      <c r="HK40" s="154">
        <v>1704</v>
      </c>
      <c r="HL40" s="154">
        <v>1704</v>
      </c>
      <c r="HM40" s="154">
        <v>15704</v>
      </c>
      <c r="HN40" s="154">
        <v>13704</v>
      </c>
      <c r="HO40" s="154">
        <v>4504</v>
      </c>
      <c r="HP40" s="154">
        <v>5104</v>
      </c>
      <c r="HQ40" s="154">
        <v>5304</v>
      </c>
      <c r="HR40" s="200">
        <f t="shared" si="123"/>
        <v>81248</v>
      </c>
      <c r="HS40" s="161"/>
      <c r="HT40" s="163">
        <v>5826</v>
      </c>
      <c r="HU40" s="164">
        <v>426</v>
      </c>
      <c r="HV40" s="154">
        <v>1276</v>
      </c>
      <c r="HW40" s="154">
        <v>426</v>
      </c>
      <c r="HX40" s="154">
        <v>426</v>
      </c>
      <c r="HY40" s="154">
        <v>426</v>
      </c>
      <c r="HZ40" s="154">
        <v>426</v>
      </c>
      <c r="IA40" s="154">
        <v>3926</v>
      </c>
      <c r="IB40" s="154">
        <v>3426</v>
      </c>
      <c r="IC40" s="154">
        <v>1126</v>
      </c>
      <c r="ID40" s="154">
        <v>1276</v>
      </c>
      <c r="IE40" s="154">
        <v>1326</v>
      </c>
      <c r="IF40" s="200">
        <f t="shared" si="124"/>
        <v>20312</v>
      </c>
      <c r="IG40" s="161"/>
      <c r="IH40" s="163">
        <v>5826</v>
      </c>
      <c r="II40" s="164">
        <v>426</v>
      </c>
      <c r="IJ40" s="154">
        <v>1276</v>
      </c>
      <c r="IK40" s="154">
        <v>426</v>
      </c>
      <c r="IL40" s="154">
        <v>426</v>
      </c>
      <c r="IM40" s="154">
        <v>426</v>
      </c>
      <c r="IN40" s="154">
        <v>426</v>
      </c>
      <c r="IO40" s="154">
        <v>3926</v>
      </c>
      <c r="IP40" s="154">
        <v>3426</v>
      </c>
      <c r="IQ40" s="154">
        <v>1126</v>
      </c>
      <c r="IR40" s="154">
        <v>1276</v>
      </c>
      <c r="IS40" s="154">
        <v>1326</v>
      </c>
      <c r="IT40" s="200">
        <f t="shared" si="125"/>
        <v>20312</v>
      </c>
      <c r="IU40" s="161"/>
      <c r="IV40" s="163">
        <v>40778</v>
      </c>
      <c r="IW40" s="164">
        <v>2978</v>
      </c>
      <c r="IX40" s="154">
        <v>8928</v>
      </c>
      <c r="IY40" s="154">
        <v>2978</v>
      </c>
      <c r="IZ40" s="154">
        <v>2978</v>
      </c>
      <c r="JA40" s="154">
        <v>2978</v>
      </c>
      <c r="JB40" s="154">
        <v>2978</v>
      </c>
      <c r="JC40" s="154">
        <v>27478</v>
      </c>
      <c r="JD40" s="154">
        <v>23978</v>
      </c>
      <c r="JE40" s="154">
        <v>7878</v>
      </c>
      <c r="JF40" s="154">
        <v>8928</v>
      </c>
      <c r="JG40" s="154">
        <v>9278</v>
      </c>
      <c r="JH40" s="200">
        <f t="shared" si="126"/>
        <v>142136</v>
      </c>
      <c r="JI40" s="161"/>
      <c r="JJ40" s="163">
        <v>76478</v>
      </c>
      <c r="JK40" s="164">
        <v>5528</v>
      </c>
      <c r="JL40" s="154">
        <v>16578</v>
      </c>
      <c r="JM40" s="154">
        <v>5528</v>
      </c>
      <c r="JN40" s="154">
        <v>5528</v>
      </c>
      <c r="JO40" s="154">
        <v>5528</v>
      </c>
      <c r="JP40" s="154">
        <v>5528</v>
      </c>
      <c r="JQ40" s="154">
        <v>51778</v>
      </c>
      <c r="JR40" s="154">
        <v>44528</v>
      </c>
      <c r="JS40" s="154">
        <v>11828</v>
      </c>
      <c r="JT40" s="154">
        <v>16578</v>
      </c>
      <c r="JU40" s="154">
        <v>17228</v>
      </c>
      <c r="JV40" s="200">
        <f t="shared" si="127"/>
        <v>262636</v>
      </c>
      <c r="JW40" s="161"/>
      <c r="JX40" s="163">
        <v>29126</v>
      </c>
      <c r="JY40" s="164">
        <v>2126</v>
      </c>
      <c r="JZ40" s="154">
        <v>6376</v>
      </c>
      <c r="KA40" s="154">
        <v>2126</v>
      </c>
      <c r="KB40" s="154">
        <v>2126</v>
      </c>
      <c r="KC40" s="154">
        <v>2126</v>
      </c>
      <c r="KD40" s="154">
        <v>2126</v>
      </c>
      <c r="KE40" s="154">
        <v>19626</v>
      </c>
      <c r="KF40" s="154">
        <v>17126</v>
      </c>
      <c r="KG40" s="154">
        <v>4926</v>
      </c>
      <c r="KH40" s="154">
        <v>6376</v>
      </c>
      <c r="KI40" s="154">
        <v>6626</v>
      </c>
      <c r="KJ40" s="200">
        <f t="shared" si="128"/>
        <v>100812</v>
      </c>
      <c r="KK40" s="161"/>
      <c r="KL40" s="163">
        <v>11651</v>
      </c>
      <c r="KM40" s="164">
        <v>851</v>
      </c>
      <c r="KN40" s="154">
        <v>2551</v>
      </c>
      <c r="KO40" s="154">
        <v>851</v>
      </c>
      <c r="KP40" s="154">
        <v>851</v>
      </c>
      <c r="KQ40" s="154">
        <v>851</v>
      </c>
      <c r="KR40" s="154">
        <v>851</v>
      </c>
      <c r="KS40" s="154">
        <v>7851</v>
      </c>
      <c r="KT40" s="154">
        <v>6851</v>
      </c>
      <c r="KU40" s="154">
        <v>2251</v>
      </c>
      <c r="KV40" s="154">
        <v>2551</v>
      </c>
      <c r="KW40" s="154">
        <v>2651</v>
      </c>
      <c r="KX40" s="200">
        <f t="shared" si="129"/>
        <v>40612</v>
      </c>
      <c r="KY40" s="161"/>
      <c r="KZ40" s="163">
        <v>5825</v>
      </c>
      <c r="LA40" s="164">
        <v>425</v>
      </c>
      <c r="LB40" s="154">
        <v>1275</v>
      </c>
      <c r="LC40" s="154">
        <v>425</v>
      </c>
      <c r="LD40" s="154">
        <v>425</v>
      </c>
      <c r="LE40" s="154">
        <v>425</v>
      </c>
      <c r="LF40" s="154">
        <v>425</v>
      </c>
      <c r="LG40" s="154">
        <v>3925</v>
      </c>
      <c r="LH40" s="154">
        <v>3425</v>
      </c>
      <c r="LI40" s="154">
        <v>1125</v>
      </c>
      <c r="LJ40" s="154">
        <v>1275</v>
      </c>
      <c r="LK40" s="154">
        <v>1325</v>
      </c>
      <c r="LL40" s="200">
        <f t="shared" si="130"/>
        <v>20300</v>
      </c>
      <c r="LM40" s="161"/>
      <c r="LN40" s="163">
        <v>0</v>
      </c>
      <c r="LO40" s="164">
        <v>0</v>
      </c>
      <c r="LP40" s="154">
        <v>0</v>
      </c>
      <c r="LQ40" s="154">
        <v>0</v>
      </c>
      <c r="LR40" s="154">
        <v>0</v>
      </c>
      <c r="LS40" s="154">
        <v>0</v>
      </c>
      <c r="LT40" s="154">
        <v>0</v>
      </c>
      <c r="LU40" s="154">
        <v>0</v>
      </c>
      <c r="LV40" s="154">
        <v>0</v>
      </c>
      <c r="LW40" s="154">
        <v>0</v>
      </c>
      <c r="LX40" s="154">
        <v>0</v>
      </c>
      <c r="LY40" s="154">
        <v>0</v>
      </c>
      <c r="LZ40" s="200">
        <f t="shared" si="131"/>
        <v>0</v>
      </c>
      <c r="MA40" s="161"/>
      <c r="MB40" s="200">
        <f t="shared" si="132"/>
        <v>863004.88711159758</v>
      </c>
      <c r="MC40" s="200">
        <f t="shared" si="132"/>
        <v>-49445.112888402422</v>
      </c>
      <c r="MD40" s="200">
        <f t="shared" si="132"/>
        <v>93354.887111597578</v>
      </c>
      <c r="ME40" s="200">
        <f t="shared" si="132"/>
        <v>-49445.112888402422</v>
      </c>
      <c r="MF40" s="200">
        <f t="shared" si="132"/>
        <v>-49445.112888402422</v>
      </c>
      <c r="MG40" s="200">
        <f t="shared" si="132"/>
        <v>-49445.112888402422</v>
      </c>
      <c r="MH40" s="200">
        <f t="shared" si="132"/>
        <v>-49445.112888402422</v>
      </c>
      <c r="MI40" s="200">
        <f t="shared" si="132"/>
        <v>543804.88711159758</v>
      </c>
      <c r="MJ40" s="200">
        <f t="shared" si="132"/>
        <v>454554.88711159758</v>
      </c>
      <c r="MK40" s="200">
        <f t="shared" si="132"/>
        <v>61154.887111597578</v>
      </c>
      <c r="ML40" s="200">
        <f t="shared" si="132"/>
        <v>93354.887111597578</v>
      </c>
      <c r="MM40" s="200">
        <f t="shared" si="132"/>
        <v>101754.88711159758</v>
      </c>
      <c r="MN40" s="200">
        <f t="shared" si="133"/>
        <v>1963758.6453391714</v>
      </c>
    </row>
    <row r="41" spans="1:352" s="201" customFormat="1" x14ac:dyDescent="0.25">
      <c r="A41" s="98"/>
      <c r="B41" s="64" t="s">
        <v>60</v>
      </c>
      <c r="C41" s="202"/>
      <c r="D41" s="163">
        <v>23947</v>
      </c>
      <c r="E41" s="164">
        <v>23947</v>
      </c>
      <c r="F41" s="164">
        <v>23947</v>
      </c>
      <c r="G41" s="164">
        <v>23947</v>
      </c>
      <c r="H41" s="164">
        <v>23947</v>
      </c>
      <c r="I41" s="164">
        <v>23947</v>
      </c>
      <c r="J41" s="164">
        <v>23947</v>
      </c>
      <c r="K41" s="164">
        <v>23947</v>
      </c>
      <c r="L41" s="164">
        <v>23947</v>
      </c>
      <c r="M41" s="164">
        <v>23947</v>
      </c>
      <c r="N41" s="164">
        <v>23947</v>
      </c>
      <c r="O41" s="164">
        <v>23947</v>
      </c>
      <c r="P41" s="200">
        <f t="shared" si="109"/>
        <v>287364</v>
      </c>
      <c r="Q41" s="161"/>
      <c r="R41" s="163">
        <v>1938</v>
      </c>
      <c r="S41" s="164">
        <v>1938</v>
      </c>
      <c r="T41" s="164">
        <v>1938</v>
      </c>
      <c r="U41" s="164">
        <v>1938</v>
      </c>
      <c r="V41" s="179">
        <v>1938</v>
      </c>
      <c r="W41" s="179">
        <v>1938</v>
      </c>
      <c r="X41" s="179">
        <v>1938</v>
      </c>
      <c r="Y41" s="164">
        <v>1938</v>
      </c>
      <c r="Z41" s="164">
        <v>1938</v>
      </c>
      <c r="AA41" s="164">
        <v>1938</v>
      </c>
      <c r="AB41" s="164">
        <v>1938</v>
      </c>
      <c r="AC41" s="164">
        <v>1938</v>
      </c>
      <c r="AD41" s="200">
        <f t="shared" si="110"/>
        <v>23256</v>
      </c>
      <c r="AE41" s="161"/>
      <c r="AF41" s="163">
        <v>1952</v>
      </c>
      <c r="AG41" s="164">
        <v>1952</v>
      </c>
      <c r="AH41" s="164">
        <v>1952</v>
      </c>
      <c r="AI41" s="164">
        <v>1952</v>
      </c>
      <c r="AJ41" s="179">
        <v>1952</v>
      </c>
      <c r="AK41" s="179">
        <v>1952</v>
      </c>
      <c r="AL41" s="179">
        <v>1952</v>
      </c>
      <c r="AM41" s="164">
        <v>1952</v>
      </c>
      <c r="AN41" s="164">
        <v>1952</v>
      </c>
      <c r="AO41" s="164">
        <v>1952</v>
      </c>
      <c r="AP41" s="164">
        <v>1952</v>
      </c>
      <c r="AQ41" s="164">
        <v>1952</v>
      </c>
      <c r="AR41" s="200">
        <f t="shared" si="111"/>
        <v>23424</v>
      </c>
      <c r="AS41" s="161"/>
      <c r="AT41" s="163">
        <v>6106</v>
      </c>
      <c r="AU41" s="164">
        <v>6106</v>
      </c>
      <c r="AV41" s="164">
        <v>6106</v>
      </c>
      <c r="AW41" s="164">
        <v>6106</v>
      </c>
      <c r="AX41" s="179">
        <v>6106</v>
      </c>
      <c r="AY41" s="179">
        <v>6106</v>
      </c>
      <c r="AZ41" s="179">
        <v>6106</v>
      </c>
      <c r="BA41" s="164">
        <v>6106</v>
      </c>
      <c r="BB41" s="154">
        <v>6106</v>
      </c>
      <c r="BC41" s="154">
        <v>6106</v>
      </c>
      <c r="BD41" s="154">
        <v>6106</v>
      </c>
      <c r="BE41" s="154">
        <v>6106</v>
      </c>
      <c r="BF41" s="200">
        <f t="shared" si="112"/>
        <v>73272</v>
      </c>
      <c r="BG41" s="176"/>
      <c r="BH41" s="163">
        <v>35036</v>
      </c>
      <c r="BI41" s="164">
        <v>35036</v>
      </c>
      <c r="BJ41" s="154">
        <v>35036</v>
      </c>
      <c r="BK41" s="154">
        <v>35036</v>
      </c>
      <c r="BL41" s="154">
        <v>35036</v>
      </c>
      <c r="BM41" s="154">
        <v>35036</v>
      </c>
      <c r="BN41" s="154">
        <v>35036</v>
      </c>
      <c r="BO41" s="154">
        <v>35036</v>
      </c>
      <c r="BP41" s="154">
        <v>35036</v>
      </c>
      <c r="BQ41" s="154">
        <v>35036</v>
      </c>
      <c r="BR41" s="154">
        <v>35036</v>
      </c>
      <c r="BS41" s="154">
        <v>35036</v>
      </c>
      <c r="BT41" s="200">
        <f t="shared" si="113"/>
        <v>420432</v>
      </c>
      <c r="BU41" s="161"/>
      <c r="BV41" s="163">
        <v>5463</v>
      </c>
      <c r="BW41" s="164">
        <v>5463</v>
      </c>
      <c r="BX41" s="154">
        <v>5463</v>
      </c>
      <c r="BY41" s="154">
        <v>5463</v>
      </c>
      <c r="BZ41" s="154">
        <v>5463</v>
      </c>
      <c r="CA41" s="154">
        <v>5463</v>
      </c>
      <c r="CB41" s="154">
        <v>5463</v>
      </c>
      <c r="CC41" s="154">
        <v>5463</v>
      </c>
      <c r="CD41" s="154">
        <v>5463</v>
      </c>
      <c r="CE41" s="154">
        <v>5463</v>
      </c>
      <c r="CF41" s="154">
        <v>5463</v>
      </c>
      <c r="CG41" s="154">
        <v>5463</v>
      </c>
      <c r="CH41" s="200">
        <f t="shared" si="114"/>
        <v>65556</v>
      </c>
      <c r="CI41" s="161"/>
      <c r="CJ41" s="163">
        <v>14146</v>
      </c>
      <c r="CK41" s="164">
        <v>14146</v>
      </c>
      <c r="CL41" s="154">
        <v>14146</v>
      </c>
      <c r="CM41" s="154">
        <v>14146</v>
      </c>
      <c r="CN41" s="154">
        <v>14146</v>
      </c>
      <c r="CO41" s="154">
        <v>14146</v>
      </c>
      <c r="CP41" s="154">
        <v>14146</v>
      </c>
      <c r="CQ41" s="154">
        <v>14146</v>
      </c>
      <c r="CR41" s="154">
        <v>14146</v>
      </c>
      <c r="CS41" s="154">
        <v>14146</v>
      </c>
      <c r="CT41" s="154">
        <v>14146</v>
      </c>
      <c r="CU41" s="154">
        <v>14146</v>
      </c>
      <c r="CV41" s="200">
        <f t="shared" si="115"/>
        <v>169752</v>
      </c>
      <c r="CW41" s="161"/>
      <c r="CX41" s="163">
        <v>31351</v>
      </c>
      <c r="CY41" s="164">
        <v>31351</v>
      </c>
      <c r="CZ41" s="154">
        <v>31351</v>
      </c>
      <c r="DA41" s="154">
        <v>31351</v>
      </c>
      <c r="DB41" s="154">
        <v>31351</v>
      </c>
      <c r="DC41" s="154">
        <v>31351</v>
      </c>
      <c r="DD41" s="154">
        <v>31351</v>
      </c>
      <c r="DE41" s="154">
        <v>31351</v>
      </c>
      <c r="DF41" s="154">
        <v>31351</v>
      </c>
      <c r="DG41" s="154">
        <v>31351</v>
      </c>
      <c r="DH41" s="154">
        <v>31351</v>
      </c>
      <c r="DI41" s="154">
        <v>31351</v>
      </c>
      <c r="DJ41" s="200">
        <f t="shared" si="116"/>
        <v>376212</v>
      </c>
      <c r="DK41" s="161"/>
      <c r="DL41" s="163">
        <v>18271</v>
      </c>
      <c r="DM41" s="164">
        <v>18271</v>
      </c>
      <c r="DN41" s="154">
        <v>18271</v>
      </c>
      <c r="DO41" s="154">
        <v>18271</v>
      </c>
      <c r="DP41" s="154">
        <v>18271</v>
      </c>
      <c r="DQ41" s="154">
        <v>18271</v>
      </c>
      <c r="DR41" s="154">
        <v>18271</v>
      </c>
      <c r="DS41" s="154">
        <v>18271</v>
      </c>
      <c r="DT41" s="154">
        <v>18271</v>
      </c>
      <c r="DU41" s="154">
        <v>18271</v>
      </c>
      <c r="DV41" s="154">
        <v>18271</v>
      </c>
      <c r="DW41" s="154">
        <v>18271</v>
      </c>
      <c r="DX41" s="200">
        <f t="shared" si="117"/>
        <v>219252</v>
      </c>
      <c r="DY41" s="161"/>
      <c r="DZ41" s="163">
        <v>2961</v>
      </c>
      <c r="EA41" s="164">
        <v>2961</v>
      </c>
      <c r="EB41" s="154">
        <v>2961</v>
      </c>
      <c r="EC41" s="154">
        <v>2961</v>
      </c>
      <c r="ED41" s="154">
        <v>2961</v>
      </c>
      <c r="EE41" s="154">
        <v>2961</v>
      </c>
      <c r="EF41" s="154">
        <v>2961</v>
      </c>
      <c r="EG41" s="154">
        <v>2961</v>
      </c>
      <c r="EH41" s="154">
        <v>2961</v>
      </c>
      <c r="EI41" s="154">
        <v>2961</v>
      </c>
      <c r="EJ41" s="154">
        <v>2961</v>
      </c>
      <c r="EK41" s="154">
        <v>2961</v>
      </c>
      <c r="EL41" s="200">
        <f t="shared" si="118"/>
        <v>35532</v>
      </c>
      <c r="EM41" s="161"/>
      <c r="EN41" s="163">
        <v>4210</v>
      </c>
      <c r="EO41" s="164">
        <v>4210</v>
      </c>
      <c r="EP41" s="154">
        <v>4210</v>
      </c>
      <c r="EQ41" s="154">
        <v>4210</v>
      </c>
      <c r="ER41" s="154">
        <v>4210</v>
      </c>
      <c r="ES41" s="154">
        <v>4210</v>
      </c>
      <c r="ET41" s="154">
        <v>4210</v>
      </c>
      <c r="EU41" s="154">
        <v>4210</v>
      </c>
      <c r="EV41" s="154">
        <v>4210</v>
      </c>
      <c r="EW41" s="154">
        <v>4210</v>
      </c>
      <c r="EX41" s="154">
        <v>4210</v>
      </c>
      <c r="EY41" s="154">
        <v>4210</v>
      </c>
      <c r="EZ41" s="200">
        <f t="shared" si="119"/>
        <v>50520</v>
      </c>
      <c r="FA41" s="161"/>
      <c r="FB41" s="163">
        <v>722</v>
      </c>
      <c r="FC41" s="164">
        <v>722</v>
      </c>
      <c r="FD41" s="154">
        <v>722</v>
      </c>
      <c r="FE41" s="154">
        <v>722</v>
      </c>
      <c r="FF41" s="154">
        <v>722</v>
      </c>
      <c r="FG41" s="154">
        <v>722</v>
      </c>
      <c r="FH41" s="154">
        <v>722</v>
      </c>
      <c r="FI41" s="154">
        <v>722</v>
      </c>
      <c r="FJ41" s="154">
        <v>722</v>
      </c>
      <c r="FK41" s="154">
        <v>722</v>
      </c>
      <c r="FL41" s="154">
        <v>722</v>
      </c>
      <c r="FM41" s="154">
        <v>722</v>
      </c>
      <c r="FN41" s="200">
        <f t="shared" si="120"/>
        <v>8664</v>
      </c>
      <c r="FO41" s="161"/>
      <c r="FP41" s="163">
        <v>12358</v>
      </c>
      <c r="FQ41" s="164">
        <v>12358</v>
      </c>
      <c r="FR41" s="154">
        <v>12358</v>
      </c>
      <c r="FS41" s="154">
        <v>12358</v>
      </c>
      <c r="FT41" s="154">
        <v>12358</v>
      </c>
      <c r="FU41" s="154">
        <v>12358</v>
      </c>
      <c r="FV41" s="154">
        <v>12358</v>
      </c>
      <c r="FW41" s="154">
        <v>12358</v>
      </c>
      <c r="FX41" s="154">
        <v>12358</v>
      </c>
      <c r="FY41" s="154">
        <v>12358</v>
      </c>
      <c r="FZ41" s="154">
        <v>12358</v>
      </c>
      <c r="GA41" s="154">
        <v>12358</v>
      </c>
      <c r="GB41" s="200">
        <f t="shared" si="121"/>
        <v>148296</v>
      </c>
      <c r="GC41" s="161"/>
      <c r="GD41" s="163">
        <v>6580</v>
      </c>
      <c r="GE41" s="164">
        <v>6580</v>
      </c>
      <c r="GF41" s="154">
        <v>6580</v>
      </c>
      <c r="GG41" s="154">
        <v>6580</v>
      </c>
      <c r="GH41" s="154">
        <v>6580</v>
      </c>
      <c r="GI41" s="154">
        <v>6580</v>
      </c>
      <c r="GJ41" s="154">
        <v>6580</v>
      </c>
      <c r="GK41" s="154">
        <v>6580</v>
      </c>
      <c r="GL41" s="154">
        <v>6580</v>
      </c>
      <c r="GM41" s="154">
        <v>6580</v>
      </c>
      <c r="GN41" s="154">
        <v>6580</v>
      </c>
      <c r="GO41" s="154">
        <v>6580</v>
      </c>
      <c r="GP41" s="200">
        <f t="shared" si="122"/>
        <v>78960</v>
      </c>
      <c r="GQ41" s="161"/>
      <c r="GR41" s="163">
        <v>-122636.59499983423</v>
      </c>
      <c r="GS41" s="164">
        <v>-122636.59499983423</v>
      </c>
      <c r="GT41" s="154">
        <v>-122636.59499983423</v>
      </c>
      <c r="GU41" s="154">
        <v>-122636.59499983423</v>
      </c>
      <c r="GV41" s="154">
        <v>-122636.59499983423</v>
      </c>
      <c r="GW41" s="154">
        <v>-122636.59499983423</v>
      </c>
      <c r="GX41" s="154">
        <v>-122636.59499983423</v>
      </c>
      <c r="GY41" s="154">
        <v>-122636.59499983423</v>
      </c>
      <c r="GZ41" s="154">
        <v>-122636.59499983423</v>
      </c>
      <c r="HA41" s="154">
        <v>-122636.59499983423</v>
      </c>
      <c r="HB41" s="154">
        <v>-122636.59499983423</v>
      </c>
      <c r="HC41" s="154">
        <v>-122636.59499983423</v>
      </c>
      <c r="HD41" s="200">
        <f t="shared" si="134"/>
        <v>0</v>
      </c>
      <c r="HE41" s="161"/>
      <c r="HF41" s="163">
        <v>5392</v>
      </c>
      <c r="HG41" s="164">
        <v>5392</v>
      </c>
      <c r="HH41" s="154">
        <v>5392</v>
      </c>
      <c r="HI41" s="154">
        <v>5392</v>
      </c>
      <c r="HJ41" s="154">
        <v>5392</v>
      </c>
      <c r="HK41" s="154">
        <v>5392</v>
      </c>
      <c r="HL41" s="154">
        <v>5392</v>
      </c>
      <c r="HM41" s="154">
        <v>5392</v>
      </c>
      <c r="HN41" s="154">
        <v>5392</v>
      </c>
      <c r="HO41" s="154">
        <v>5392</v>
      </c>
      <c r="HP41" s="154">
        <v>5392</v>
      </c>
      <c r="HQ41" s="154">
        <v>5392</v>
      </c>
      <c r="HR41" s="200">
        <f t="shared" si="123"/>
        <v>64704</v>
      </c>
      <c r="HS41" s="161"/>
      <c r="HT41" s="163">
        <v>1406</v>
      </c>
      <c r="HU41" s="164">
        <v>1406</v>
      </c>
      <c r="HV41" s="154">
        <v>1406</v>
      </c>
      <c r="HW41" s="154">
        <v>1406</v>
      </c>
      <c r="HX41" s="154">
        <v>1406</v>
      </c>
      <c r="HY41" s="154">
        <v>1406</v>
      </c>
      <c r="HZ41" s="154">
        <v>1406</v>
      </c>
      <c r="IA41" s="154">
        <v>1406</v>
      </c>
      <c r="IB41" s="154">
        <v>1406</v>
      </c>
      <c r="IC41" s="154">
        <v>1406</v>
      </c>
      <c r="ID41" s="154">
        <v>1406</v>
      </c>
      <c r="IE41" s="154">
        <v>1406</v>
      </c>
      <c r="IF41" s="200">
        <f t="shared" si="124"/>
        <v>16872</v>
      </c>
      <c r="IG41" s="161"/>
      <c r="IH41" s="163">
        <v>4708</v>
      </c>
      <c r="II41" s="164">
        <v>4708</v>
      </c>
      <c r="IJ41" s="154">
        <v>4708</v>
      </c>
      <c r="IK41" s="154">
        <v>4708</v>
      </c>
      <c r="IL41" s="154">
        <v>4708</v>
      </c>
      <c r="IM41" s="154">
        <v>4708</v>
      </c>
      <c r="IN41" s="154">
        <v>4708</v>
      </c>
      <c r="IO41" s="154">
        <v>4708</v>
      </c>
      <c r="IP41" s="154">
        <v>4708</v>
      </c>
      <c r="IQ41" s="154">
        <v>4708</v>
      </c>
      <c r="IR41" s="154">
        <v>4708</v>
      </c>
      <c r="IS41" s="154">
        <v>4708</v>
      </c>
      <c r="IT41" s="200">
        <f t="shared" si="125"/>
        <v>56496</v>
      </c>
      <c r="IU41" s="161"/>
      <c r="IV41" s="163">
        <v>13628</v>
      </c>
      <c r="IW41" s="164">
        <v>13628</v>
      </c>
      <c r="IX41" s="154">
        <v>13628</v>
      </c>
      <c r="IY41" s="154">
        <v>13628</v>
      </c>
      <c r="IZ41" s="154">
        <v>13628</v>
      </c>
      <c r="JA41" s="154">
        <v>13628</v>
      </c>
      <c r="JB41" s="154">
        <v>13628</v>
      </c>
      <c r="JC41" s="154">
        <v>13628</v>
      </c>
      <c r="JD41" s="154">
        <v>13628</v>
      </c>
      <c r="JE41" s="154">
        <v>13628</v>
      </c>
      <c r="JF41" s="154">
        <v>13628</v>
      </c>
      <c r="JG41" s="154">
        <v>13628</v>
      </c>
      <c r="JH41" s="200">
        <f t="shared" si="126"/>
        <v>163536</v>
      </c>
      <c r="JI41" s="161"/>
      <c r="JJ41" s="163">
        <v>18395</v>
      </c>
      <c r="JK41" s="164">
        <v>18395</v>
      </c>
      <c r="JL41" s="154">
        <v>18395</v>
      </c>
      <c r="JM41" s="154">
        <v>18395</v>
      </c>
      <c r="JN41" s="154">
        <v>18395</v>
      </c>
      <c r="JO41" s="154">
        <v>18395</v>
      </c>
      <c r="JP41" s="154">
        <v>18395</v>
      </c>
      <c r="JQ41" s="154">
        <v>18395</v>
      </c>
      <c r="JR41" s="154">
        <v>18395</v>
      </c>
      <c r="JS41" s="154">
        <v>18395</v>
      </c>
      <c r="JT41" s="154">
        <v>18395</v>
      </c>
      <c r="JU41" s="154">
        <v>18395</v>
      </c>
      <c r="JV41" s="200">
        <f t="shared" si="127"/>
        <v>220740</v>
      </c>
      <c r="JW41" s="161"/>
      <c r="JX41" s="163">
        <v>9936</v>
      </c>
      <c r="JY41" s="164">
        <v>9936</v>
      </c>
      <c r="JZ41" s="154">
        <v>9936</v>
      </c>
      <c r="KA41" s="154">
        <v>9936</v>
      </c>
      <c r="KB41" s="154">
        <v>9936</v>
      </c>
      <c r="KC41" s="154">
        <v>9936</v>
      </c>
      <c r="KD41" s="154">
        <v>9936</v>
      </c>
      <c r="KE41" s="154">
        <v>9936</v>
      </c>
      <c r="KF41" s="154">
        <v>9936</v>
      </c>
      <c r="KG41" s="154">
        <v>9936</v>
      </c>
      <c r="KH41" s="154">
        <v>9936</v>
      </c>
      <c r="KI41" s="154">
        <v>9936</v>
      </c>
      <c r="KJ41" s="200">
        <f t="shared" si="128"/>
        <v>119232</v>
      </c>
      <c r="KK41" s="161"/>
      <c r="KL41" s="163">
        <v>1368</v>
      </c>
      <c r="KM41" s="164">
        <v>1368</v>
      </c>
      <c r="KN41" s="154">
        <v>1368</v>
      </c>
      <c r="KO41" s="154">
        <v>1368</v>
      </c>
      <c r="KP41" s="154">
        <v>1368</v>
      </c>
      <c r="KQ41" s="154">
        <v>1368</v>
      </c>
      <c r="KR41" s="154">
        <v>1368</v>
      </c>
      <c r="KS41" s="154">
        <v>1368</v>
      </c>
      <c r="KT41" s="154">
        <v>1368</v>
      </c>
      <c r="KU41" s="154">
        <v>1368</v>
      </c>
      <c r="KV41" s="154">
        <v>1368</v>
      </c>
      <c r="KW41" s="154">
        <v>1368</v>
      </c>
      <c r="KX41" s="200">
        <f t="shared" si="129"/>
        <v>16416</v>
      </c>
      <c r="KY41" s="161"/>
      <c r="KZ41" s="163">
        <v>1422</v>
      </c>
      <c r="LA41" s="164">
        <v>1422</v>
      </c>
      <c r="LB41" s="154">
        <v>1422</v>
      </c>
      <c r="LC41" s="154">
        <v>1422</v>
      </c>
      <c r="LD41" s="154">
        <v>1422</v>
      </c>
      <c r="LE41" s="154">
        <v>1422</v>
      </c>
      <c r="LF41" s="154">
        <v>1422</v>
      </c>
      <c r="LG41" s="154">
        <v>1422</v>
      </c>
      <c r="LH41" s="154">
        <v>1422</v>
      </c>
      <c r="LI41" s="154">
        <v>1422</v>
      </c>
      <c r="LJ41" s="154">
        <v>1422</v>
      </c>
      <c r="LK41" s="154">
        <v>1422</v>
      </c>
      <c r="LL41" s="200">
        <f t="shared" si="130"/>
        <v>17064</v>
      </c>
      <c r="LM41" s="161"/>
      <c r="LN41" s="163">
        <v>0</v>
      </c>
      <c r="LO41" s="164">
        <v>0</v>
      </c>
      <c r="LP41" s="154">
        <v>0</v>
      </c>
      <c r="LQ41" s="154">
        <v>0</v>
      </c>
      <c r="LR41" s="154">
        <v>0</v>
      </c>
      <c r="LS41" s="154">
        <v>0</v>
      </c>
      <c r="LT41" s="154">
        <v>0</v>
      </c>
      <c r="LU41" s="154">
        <v>0</v>
      </c>
      <c r="LV41" s="154">
        <v>0</v>
      </c>
      <c r="LW41" s="154">
        <v>0</v>
      </c>
      <c r="LX41" s="154">
        <v>0</v>
      </c>
      <c r="LY41" s="154">
        <v>0</v>
      </c>
      <c r="LZ41" s="200">
        <f t="shared" si="131"/>
        <v>0</v>
      </c>
      <c r="MA41" s="161"/>
      <c r="MB41" s="200">
        <f t="shared" si="132"/>
        <v>98659.405000165774</v>
      </c>
      <c r="MC41" s="200">
        <f t="shared" si="132"/>
        <v>98659.405000165774</v>
      </c>
      <c r="MD41" s="200">
        <f t="shared" si="132"/>
        <v>98659.405000165774</v>
      </c>
      <c r="ME41" s="200">
        <f t="shared" si="132"/>
        <v>98659.405000165774</v>
      </c>
      <c r="MF41" s="200">
        <f t="shared" si="132"/>
        <v>98659.405000165774</v>
      </c>
      <c r="MG41" s="200">
        <f t="shared" si="132"/>
        <v>98659.405000165774</v>
      </c>
      <c r="MH41" s="200">
        <f t="shared" si="132"/>
        <v>98659.405000165774</v>
      </c>
      <c r="MI41" s="200">
        <f t="shared" si="132"/>
        <v>98659.405000165774</v>
      </c>
      <c r="MJ41" s="200">
        <f t="shared" si="132"/>
        <v>98659.405000165774</v>
      </c>
      <c r="MK41" s="200">
        <f t="shared" si="132"/>
        <v>98659.405000165774</v>
      </c>
      <c r="ML41" s="200">
        <f t="shared" si="132"/>
        <v>98659.405000165774</v>
      </c>
      <c r="MM41" s="200">
        <f t="shared" si="132"/>
        <v>98659.405000165774</v>
      </c>
      <c r="MN41" s="200">
        <f t="shared" si="133"/>
        <v>1183912.8600019894</v>
      </c>
    </row>
    <row r="42" spans="1:352" x14ac:dyDescent="0.25">
      <c r="A42" s="98"/>
      <c r="B42" s="64" t="s">
        <v>61</v>
      </c>
      <c r="C42" s="202"/>
      <c r="D42" s="163">
        <v>0</v>
      </c>
      <c r="E42" s="164">
        <v>0</v>
      </c>
      <c r="F42" s="164">
        <v>0</v>
      </c>
      <c r="G42" s="164">
        <v>0</v>
      </c>
      <c r="H42" s="164">
        <v>0</v>
      </c>
      <c r="I42" s="164">
        <v>0</v>
      </c>
      <c r="J42" s="164">
        <v>0</v>
      </c>
      <c r="K42" s="164">
        <v>0</v>
      </c>
      <c r="L42" s="164">
        <v>0</v>
      </c>
      <c r="M42" s="164">
        <v>0</v>
      </c>
      <c r="N42" s="164">
        <v>0</v>
      </c>
      <c r="O42" s="164">
        <v>0</v>
      </c>
      <c r="P42" s="157">
        <f t="shared" si="109"/>
        <v>0</v>
      </c>
      <c r="Q42" s="161"/>
      <c r="R42" s="163">
        <v>0</v>
      </c>
      <c r="S42" s="164">
        <v>0</v>
      </c>
      <c r="T42" s="164">
        <v>0</v>
      </c>
      <c r="U42" s="164">
        <v>0</v>
      </c>
      <c r="V42" s="179">
        <v>0</v>
      </c>
      <c r="W42" s="179">
        <v>0</v>
      </c>
      <c r="X42" s="179">
        <v>0</v>
      </c>
      <c r="Y42" s="164">
        <v>0</v>
      </c>
      <c r="Z42" s="164">
        <v>0</v>
      </c>
      <c r="AA42" s="164">
        <v>0</v>
      </c>
      <c r="AB42" s="164">
        <v>0</v>
      </c>
      <c r="AC42" s="164">
        <v>0</v>
      </c>
      <c r="AD42" s="157">
        <f t="shared" si="110"/>
        <v>0</v>
      </c>
      <c r="AE42" s="161"/>
      <c r="AF42" s="163">
        <v>0</v>
      </c>
      <c r="AG42" s="164">
        <v>0</v>
      </c>
      <c r="AH42" s="164">
        <v>0</v>
      </c>
      <c r="AI42" s="164">
        <v>0</v>
      </c>
      <c r="AJ42" s="179">
        <v>0</v>
      </c>
      <c r="AK42" s="179">
        <v>0</v>
      </c>
      <c r="AL42" s="179">
        <v>0</v>
      </c>
      <c r="AM42" s="164">
        <v>0</v>
      </c>
      <c r="AN42" s="164">
        <v>0</v>
      </c>
      <c r="AO42" s="164">
        <v>0</v>
      </c>
      <c r="AP42" s="164">
        <v>0</v>
      </c>
      <c r="AQ42" s="164">
        <v>0</v>
      </c>
      <c r="AR42" s="157">
        <f t="shared" si="111"/>
        <v>0</v>
      </c>
      <c r="AT42" s="163">
        <v>0</v>
      </c>
      <c r="AU42" s="164">
        <v>0</v>
      </c>
      <c r="AV42" s="164">
        <v>0</v>
      </c>
      <c r="AW42" s="164">
        <v>0</v>
      </c>
      <c r="AX42" s="179">
        <v>0</v>
      </c>
      <c r="AY42" s="179">
        <v>0</v>
      </c>
      <c r="AZ42" s="179">
        <v>0</v>
      </c>
      <c r="BA42" s="164">
        <v>0</v>
      </c>
      <c r="BB42" s="154">
        <v>0</v>
      </c>
      <c r="BC42" s="154">
        <v>0</v>
      </c>
      <c r="BD42" s="154">
        <v>0</v>
      </c>
      <c r="BE42" s="154">
        <v>0</v>
      </c>
      <c r="BF42" s="157">
        <f t="shared" si="112"/>
        <v>0</v>
      </c>
      <c r="BH42" s="163">
        <v>0</v>
      </c>
      <c r="BI42" s="164">
        <v>0</v>
      </c>
      <c r="BJ42" s="154">
        <v>0</v>
      </c>
      <c r="BK42" s="154">
        <v>0</v>
      </c>
      <c r="BL42" s="154">
        <v>0</v>
      </c>
      <c r="BM42" s="154">
        <v>0</v>
      </c>
      <c r="BN42" s="154">
        <v>0</v>
      </c>
      <c r="BO42" s="154">
        <v>0</v>
      </c>
      <c r="BP42" s="154">
        <v>0</v>
      </c>
      <c r="BQ42" s="154">
        <v>0</v>
      </c>
      <c r="BR42" s="154">
        <v>0</v>
      </c>
      <c r="BS42" s="154">
        <v>0</v>
      </c>
      <c r="BT42" s="157">
        <f t="shared" si="113"/>
        <v>0</v>
      </c>
      <c r="BV42" s="163">
        <v>0</v>
      </c>
      <c r="BW42" s="164">
        <v>0</v>
      </c>
      <c r="BX42" s="154">
        <v>0</v>
      </c>
      <c r="BY42" s="154">
        <v>0</v>
      </c>
      <c r="BZ42" s="154">
        <v>0</v>
      </c>
      <c r="CA42" s="154">
        <v>0</v>
      </c>
      <c r="CB42" s="154">
        <v>0</v>
      </c>
      <c r="CC42" s="154">
        <v>0</v>
      </c>
      <c r="CD42" s="154">
        <v>0</v>
      </c>
      <c r="CE42" s="154">
        <v>0</v>
      </c>
      <c r="CF42" s="154">
        <v>0</v>
      </c>
      <c r="CG42" s="154">
        <v>0</v>
      </c>
      <c r="CH42" s="157">
        <f t="shared" si="114"/>
        <v>0</v>
      </c>
      <c r="CI42" s="161"/>
      <c r="CJ42" s="163">
        <v>0</v>
      </c>
      <c r="CK42" s="164">
        <v>0</v>
      </c>
      <c r="CL42" s="154">
        <v>0</v>
      </c>
      <c r="CM42" s="154">
        <v>0</v>
      </c>
      <c r="CN42" s="154">
        <v>0</v>
      </c>
      <c r="CO42" s="154">
        <v>0</v>
      </c>
      <c r="CP42" s="154">
        <v>0</v>
      </c>
      <c r="CQ42" s="154">
        <v>0</v>
      </c>
      <c r="CR42" s="154">
        <v>0</v>
      </c>
      <c r="CS42" s="154">
        <v>0</v>
      </c>
      <c r="CT42" s="154">
        <v>0</v>
      </c>
      <c r="CU42" s="154">
        <v>0</v>
      </c>
      <c r="CV42" s="157">
        <f t="shared" si="115"/>
        <v>0</v>
      </c>
      <c r="CW42" s="161"/>
      <c r="CX42" s="163">
        <v>0</v>
      </c>
      <c r="CY42" s="164">
        <v>0</v>
      </c>
      <c r="CZ42" s="154">
        <v>0</v>
      </c>
      <c r="DA42" s="154">
        <v>0</v>
      </c>
      <c r="DB42" s="154">
        <v>0</v>
      </c>
      <c r="DC42" s="154">
        <v>0</v>
      </c>
      <c r="DD42" s="154">
        <v>0</v>
      </c>
      <c r="DE42" s="154">
        <v>0</v>
      </c>
      <c r="DF42" s="154">
        <v>0</v>
      </c>
      <c r="DG42" s="154">
        <v>0</v>
      </c>
      <c r="DH42" s="154">
        <v>0</v>
      </c>
      <c r="DI42" s="154">
        <v>0</v>
      </c>
      <c r="DJ42" s="157">
        <f t="shared" si="116"/>
        <v>0</v>
      </c>
      <c r="DK42" s="161"/>
      <c r="DL42" s="163">
        <v>0</v>
      </c>
      <c r="DM42" s="164">
        <v>0</v>
      </c>
      <c r="DN42" s="154">
        <v>0</v>
      </c>
      <c r="DO42" s="154">
        <v>0</v>
      </c>
      <c r="DP42" s="154">
        <v>0</v>
      </c>
      <c r="DQ42" s="154">
        <v>0</v>
      </c>
      <c r="DR42" s="154">
        <v>0</v>
      </c>
      <c r="DS42" s="154">
        <v>0</v>
      </c>
      <c r="DT42" s="154">
        <v>0</v>
      </c>
      <c r="DU42" s="154">
        <v>0</v>
      </c>
      <c r="DV42" s="154">
        <v>0</v>
      </c>
      <c r="DW42" s="154">
        <v>0</v>
      </c>
      <c r="DX42" s="157">
        <f t="shared" si="117"/>
        <v>0</v>
      </c>
      <c r="DY42" s="161"/>
      <c r="DZ42" s="163">
        <v>0</v>
      </c>
      <c r="EA42" s="164">
        <v>0</v>
      </c>
      <c r="EB42" s="154">
        <v>0</v>
      </c>
      <c r="EC42" s="154">
        <v>0</v>
      </c>
      <c r="ED42" s="154">
        <v>0</v>
      </c>
      <c r="EE42" s="154">
        <v>0</v>
      </c>
      <c r="EF42" s="154">
        <v>0</v>
      </c>
      <c r="EG42" s="154">
        <v>0</v>
      </c>
      <c r="EH42" s="154">
        <v>0</v>
      </c>
      <c r="EI42" s="154">
        <v>0</v>
      </c>
      <c r="EJ42" s="154">
        <v>0</v>
      </c>
      <c r="EK42" s="154">
        <v>0</v>
      </c>
      <c r="EL42" s="157">
        <f t="shared" si="118"/>
        <v>0</v>
      </c>
      <c r="EM42" s="161"/>
      <c r="EN42" s="163">
        <v>0</v>
      </c>
      <c r="EO42" s="164">
        <v>0</v>
      </c>
      <c r="EP42" s="154">
        <v>0</v>
      </c>
      <c r="EQ42" s="154">
        <v>0</v>
      </c>
      <c r="ER42" s="154">
        <v>0</v>
      </c>
      <c r="ES42" s="154">
        <v>0</v>
      </c>
      <c r="ET42" s="154">
        <v>0</v>
      </c>
      <c r="EU42" s="154">
        <v>0</v>
      </c>
      <c r="EV42" s="154">
        <v>0</v>
      </c>
      <c r="EW42" s="154">
        <v>0</v>
      </c>
      <c r="EX42" s="154">
        <v>0</v>
      </c>
      <c r="EY42" s="154">
        <v>0</v>
      </c>
      <c r="EZ42" s="157">
        <f t="shared" si="119"/>
        <v>0</v>
      </c>
      <c r="FA42" s="161"/>
      <c r="FB42" s="163">
        <v>0</v>
      </c>
      <c r="FC42" s="164">
        <v>0</v>
      </c>
      <c r="FD42" s="154">
        <v>0</v>
      </c>
      <c r="FE42" s="154">
        <v>0</v>
      </c>
      <c r="FF42" s="154">
        <v>0</v>
      </c>
      <c r="FG42" s="154">
        <v>0</v>
      </c>
      <c r="FH42" s="154">
        <v>0</v>
      </c>
      <c r="FI42" s="154">
        <v>0</v>
      </c>
      <c r="FJ42" s="154">
        <v>0</v>
      </c>
      <c r="FK42" s="154">
        <v>0</v>
      </c>
      <c r="FL42" s="154">
        <v>0</v>
      </c>
      <c r="FM42" s="154">
        <v>0</v>
      </c>
      <c r="FN42" s="157">
        <f t="shared" si="120"/>
        <v>0</v>
      </c>
      <c r="FO42" s="161"/>
      <c r="FP42" s="163">
        <v>0</v>
      </c>
      <c r="FQ42" s="164">
        <v>0</v>
      </c>
      <c r="FR42" s="154">
        <v>0</v>
      </c>
      <c r="FS42" s="154">
        <v>0</v>
      </c>
      <c r="FT42" s="154">
        <v>0</v>
      </c>
      <c r="FU42" s="154">
        <v>0</v>
      </c>
      <c r="FV42" s="154">
        <v>0</v>
      </c>
      <c r="FW42" s="154">
        <v>0</v>
      </c>
      <c r="FX42" s="154">
        <v>0</v>
      </c>
      <c r="FY42" s="154">
        <v>0</v>
      </c>
      <c r="FZ42" s="154">
        <v>0</v>
      </c>
      <c r="GA42" s="154">
        <v>0</v>
      </c>
      <c r="GB42" s="157">
        <f t="shared" si="121"/>
        <v>0</v>
      </c>
      <c r="GC42" s="161"/>
      <c r="GD42" s="163">
        <v>0</v>
      </c>
      <c r="GE42" s="164">
        <v>0</v>
      </c>
      <c r="GF42" s="154">
        <v>0</v>
      </c>
      <c r="GG42" s="154">
        <v>0</v>
      </c>
      <c r="GH42" s="154">
        <v>0</v>
      </c>
      <c r="GI42" s="154">
        <v>0</v>
      </c>
      <c r="GJ42" s="154">
        <v>0</v>
      </c>
      <c r="GK42" s="154">
        <v>0</v>
      </c>
      <c r="GL42" s="154">
        <v>0</v>
      </c>
      <c r="GM42" s="154">
        <v>0</v>
      </c>
      <c r="GN42" s="154">
        <v>0</v>
      </c>
      <c r="GO42" s="154">
        <v>0</v>
      </c>
      <c r="GP42" s="157">
        <f t="shared" si="122"/>
        <v>0</v>
      </c>
      <c r="GQ42" s="161"/>
      <c r="GR42" s="163">
        <v>0</v>
      </c>
      <c r="GS42" s="164">
        <v>0</v>
      </c>
      <c r="GT42" s="154">
        <v>0</v>
      </c>
      <c r="GU42" s="154">
        <v>0</v>
      </c>
      <c r="GV42" s="154">
        <v>0</v>
      </c>
      <c r="GW42" s="154">
        <v>0</v>
      </c>
      <c r="GX42" s="154">
        <v>0</v>
      </c>
      <c r="GY42" s="154">
        <v>0</v>
      </c>
      <c r="GZ42" s="154">
        <v>0</v>
      </c>
      <c r="HA42" s="154">
        <v>0</v>
      </c>
      <c r="HB42" s="154">
        <v>0</v>
      </c>
      <c r="HC42" s="154">
        <v>0</v>
      </c>
      <c r="HD42" s="157">
        <f t="shared" si="134"/>
        <v>0</v>
      </c>
      <c r="HE42" s="161"/>
      <c r="HF42" s="163">
        <v>0</v>
      </c>
      <c r="HG42" s="164">
        <v>0</v>
      </c>
      <c r="HH42" s="154">
        <v>0</v>
      </c>
      <c r="HI42" s="154">
        <v>0</v>
      </c>
      <c r="HJ42" s="154">
        <v>0</v>
      </c>
      <c r="HK42" s="154">
        <v>0</v>
      </c>
      <c r="HL42" s="154">
        <v>0</v>
      </c>
      <c r="HM42" s="154">
        <v>0</v>
      </c>
      <c r="HN42" s="154">
        <v>0</v>
      </c>
      <c r="HO42" s="154">
        <v>0</v>
      </c>
      <c r="HP42" s="154">
        <v>0</v>
      </c>
      <c r="HQ42" s="154">
        <v>0</v>
      </c>
      <c r="HR42" s="157">
        <f t="shared" si="123"/>
        <v>0</v>
      </c>
      <c r="HS42" s="161"/>
      <c r="HT42" s="163">
        <v>0</v>
      </c>
      <c r="HU42" s="164">
        <v>0</v>
      </c>
      <c r="HV42" s="154">
        <v>0</v>
      </c>
      <c r="HW42" s="154">
        <v>0</v>
      </c>
      <c r="HX42" s="154">
        <v>0</v>
      </c>
      <c r="HY42" s="154">
        <v>0</v>
      </c>
      <c r="HZ42" s="154">
        <v>0</v>
      </c>
      <c r="IA42" s="154">
        <v>0</v>
      </c>
      <c r="IB42" s="154">
        <v>0</v>
      </c>
      <c r="IC42" s="154">
        <v>0</v>
      </c>
      <c r="ID42" s="154">
        <v>0</v>
      </c>
      <c r="IE42" s="154">
        <v>0</v>
      </c>
      <c r="IF42" s="157">
        <f t="shared" si="124"/>
        <v>0</v>
      </c>
      <c r="IG42" s="161"/>
      <c r="IH42" s="163">
        <v>0</v>
      </c>
      <c r="II42" s="164">
        <v>0</v>
      </c>
      <c r="IJ42" s="154">
        <v>0</v>
      </c>
      <c r="IK42" s="154">
        <v>0</v>
      </c>
      <c r="IL42" s="154">
        <v>0</v>
      </c>
      <c r="IM42" s="154">
        <v>0</v>
      </c>
      <c r="IN42" s="154">
        <v>0</v>
      </c>
      <c r="IO42" s="154">
        <v>0</v>
      </c>
      <c r="IP42" s="154">
        <v>0</v>
      </c>
      <c r="IQ42" s="154">
        <v>0</v>
      </c>
      <c r="IR42" s="154">
        <v>0</v>
      </c>
      <c r="IS42" s="154">
        <v>0</v>
      </c>
      <c r="IT42" s="157">
        <f t="shared" si="125"/>
        <v>0</v>
      </c>
      <c r="IU42" s="161"/>
      <c r="IV42" s="163">
        <v>0</v>
      </c>
      <c r="IW42" s="164">
        <v>0</v>
      </c>
      <c r="IX42" s="154">
        <v>0</v>
      </c>
      <c r="IY42" s="154">
        <v>0</v>
      </c>
      <c r="IZ42" s="154">
        <v>0</v>
      </c>
      <c r="JA42" s="154">
        <v>0</v>
      </c>
      <c r="JB42" s="154">
        <v>0</v>
      </c>
      <c r="JC42" s="154">
        <v>0</v>
      </c>
      <c r="JD42" s="154">
        <v>0</v>
      </c>
      <c r="JE42" s="154">
        <v>0</v>
      </c>
      <c r="JF42" s="154">
        <v>0</v>
      </c>
      <c r="JG42" s="154">
        <v>0</v>
      </c>
      <c r="JH42" s="157">
        <f t="shared" si="126"/>
        <v>0</v>
      </c>
      <c r="JI42" s="161"/>
      <c r="JJ42" s="163">
        <v>0</v>
      </c>
      <c r="JK42" s="164">
        <v>0</v>
      </c>
      <c r="JL42" s="154">
        <v>0</v>
      </c>
      <c r="JM42" s="154">
        <v>0</v>
      </c>
      <c r="JN42" s="154">
        <v>0</v>
      </c>
      <c r="JO42" s="154">
        <v>0</v>
      </c>
      <c r="JP42" s="154">
        <v>0</v>
      </c>
      <c r="JQ42" s="154">
        <v>0</v>
      </c>
      <c r="JR42" s="154">
        <v>0</v>
      </c>
      <c r="JS42" s="154">
        <v>0</v>
      </c>
      <c r="JT42" s="154">
        <v>0</v>
      </c>
      <c r="JU42" s="154">
        <v>0</v>
      </c>
      <c r="JV42" s="157">
        <f t="shared" si="127"/>
        <v>0</v>
      </c>
      <c r="JW42" s="161"/>
      <c r="JX42" s="163">
        <v>0</v>
      </c>
      <c r="JY42" s="164">
        <v>0</v>
      </c>
      <c r="JZ42" s="154">
        <v>0</v>
      </c>
      <c r="KA42" s="154">
        <v>0</v>
      </c>
      <c r="KB42" s="154">
        <v>0</v>
      </c>
      <c r="KC42" s="154">
        <v>0</v>
      </c>
      <c r="KD42" s="154">
        <v>0</v>
      </c>
      <c r="KE42" s="154">
        <v>0</v>
      </c>
      <c r="KF42" s="154">
        <v>0</v>
      </c>
      <c r="KG42" s="154">
        <v>0</v>
      </c>
      <c r="KH42" s="154">
        <v>0</v>
      </c>
      <c r="KI42" s="154">
        <v>0</v>
      </c>
      <c r="KJ42" s="157">
        <f t="shared" si="128"/>
        <v>0</v>
      </c>
      <c r="KK42" s="161"/>
      <c r="KL42" s="163">
        <v>0</v>
      </c>
      <c r="KM42" s="164">
        <v>0</v>
      </c>
      <c r="KN42" s="154">
        <v>0</v>
      </c>
      <c r="KO42" s="154">
        <v>0</v>
      </c>
      <c r="KP42" s="154">
        <v>0</v>
      </c>
      <c r="KQ42" s="154">
        <v>0</v>
      </c>
      <c r="KR42" s="154">
        <v>0</v>
      </c>
      <c r="KS42" s="154">
        <v>0</v>
      </c>
      <c r="KT42" s="154">
        <v>0</v>
      </c>
      <c r="KU42" s="154">
        <v>0</v>
      </c>
      <c r="KV42" s="154">
        <v>0</v>
      </c>
      <c r="KW42" s="154">
        <v>0</v>
      </c>
      <c r="KX42" s="157">
        <f t="shared" si="129"/>
        <v>0</v>
      </c>
      <c r="KY42" s="161"/>
      <c r="KZ42" s="163">
        <v>0</v>
      </c>
      <c r="LA42" s="164">
        <v>0</v>
      </c>
      <c r="LB42" s="154">
        <v>0</v>
      </c>
      <c r="LC42" s="154">
        <v>0</v>
      </c>
      <c r="LD42" s="154">
        <v>0</v>
      </c>
      <c r="LE42" s="154">
        <v>0</v>
      </c>
      <c r="LF42" s="154">
        <v>0</v>
      </c>
      <c r="LG42" s="154">
        <v>0</v>
      </c>
      <c r="LH42" s="154">
        <v>0</v>
      </c>
      <c r="LI42" s="154">
        <v>0</v>
      </c>
      <c r="LJ42" s="154">
        <v>0</v>
      </c>
      <c r="LK42" s="154">
        <v>0</v>
      </c>
      <c r="LL42" s="157">
        <f t="shared" si="130"/>
        <v>0</v>
      </c>
      <c r="LM42" s="161"/>
      <c r="LN42" s="163">
        <v>0</v>
      </c>
      <c r="LO42" s="164">
        <v>0</v>
      </c>
      <c r="LP42" s="154">
        <v>0</v>
      </c>
      <c r="LQ42" s="154">
        <v>0</v>
      </c>
      <c r="LR42" s="154">
        <v>0</v>
      </c>
      <c r="LS42" s="154">
        <v>0</v>
      </c>
      <c r="LT42" s="154">
        <v>0</v>
      </c>
      <c r="LU42" s="154">
        <v>0</v>
      </c>
      <c r="LV42" s="154">
        <v>0</v>
      </c>
      <c r="LW42" s="154">
        <v>0</v>
      </c>
      <c r="LX42" s="154">
        <v>0</v>
      </c>
      <c r="LY42" s="154">
        <v>0</v>
      </c>
      <c r="LZ42" s="157">
        <f t="shared" si="131"/>
        <v>0</v>
      </c>
      <c r="MA42" s="161"/>
      <c r="MB42" s="157">
        <f t="shared" si="132"/>
        <v>0</v>
      </c>
      <c r="MC42" s="157">
        <f t="shared" si="132"/>
        <v>0</v>
      </c>
      <c r="MD42" s="157">
        <f t="shared" si="132"/>
        <v>0</v>
      </c>
      <c r="ME42" s="157">
        <f t="shared" si="132"/>
        <v>0</v>
      </c>
      <c r="MF42" s="157">
        <f t="shared" si="132"/>
        <v>0</v>
      </c>
      <c r="MG42" s="157">
        <f t="shared" si="132"/>
        <v>0</v>
      </c>
      <c r="MH42" s="157">
        <f t="shared" si="132"/>
        <v>0</v>
      </c>
      <c r="MI42" s="157">
        <f t="shared" si="132"/>
        <v>0</v>
      </c>
      <c r="MJ42" s="157">
        <f t="shared" si="132"/>
        <v>0</v>
      </c>
      <c r="MK42" s="157">
        <f t="shared" si="132"/>
        <v>0</v>
      </c>
      <c r="ML42" s="157">
        <f t="shared" si="132"/>
        <v>0</v>
      </c>
      <c r="MM42" s="157">
        <f t="shared" si="132"/>
        <v>0</v>
      </c>
      <c r="MN42" s="157">
        <f t="shared" si="133"/>
        <v>0</v>
      </c>
    </row>
    <row r="43" spans="1:352" x14ac:dyDescent="0.25">
      <c r="A43" s="98"/>
      <c r="B43" s="64" t="s">
        <v>62</v>
      </c>
      <c r="C43" s="202"/>
      <c r="D43" s="163">
        <v>0</v>
      </c>
      <c r="E43" s="164">
        <v>0</v>
      </c>
      <c r="F43" s="164">
        <v>0</v>
      </c>
      <c r="G43" s="164">
        <v>0</v>
      </c>
      <c r="H43" s="164">
        <v>0</v>
      </c>
      <c r="I43" s="164">
        <v>0</v>
      </c>
      <c r="J43" s="164">
        <v>0</v>
      </c>
      <c r="K43" s="164">
        <v>0</v>
      </c>
      <c r="L43" s="164">
        <v>0</v>
      </c>
      <c r="M43" s="164">
        <v>0</v>
      </c>
      <c r="N43" s="164">
        <v>0</v>
      </c>
      <c r="O43" s="164">
        <v>0</v>
      </c>
      <c r="P43" s="157">
        <f t="shared" si="109"/>
        <v>0</v>
      </c>
      <c r="Q43" s="161"/>
      <c r="R43" s="163">
        <v>0</v>
      </c>
      <c r="S43" s="164">
        <v>0</v>
      </c>
      <c r="T43" s="164">
        <v>0</v>
      </c>
      <c r="U43" s="164">
        <v>0</v>
      </c>
      <c r="V43" s="179">
        <v>0</v>
      </c>
      <c r="W43" s="179">
        <v>0</v>
      </c>
      <c r="X43" s="179">
        <v>0</v>
      </c>
      <c r="Y43" s="164">
        <v>0</v>
      </c>
      <c r="Z43" s="164">
        <v>0</v>
      </c>
      <c r="AA43" s="164">
        <v>0</v>
      </c>
      <c r="AB43" s="164">
        <v>0</v>
      </c>
      <c r="AC43" s="164">
        <v>0</v>
      </c>
      <c r="AD43" s="157">
        <f t="shared" si="110"/>
        <v>0</v>
      </c>
      <c r="AE43" s="161"/>
      <c r="AF43" s="163">
        <v>0</v>
      </c>
      <c r="AG43" s="164">
        <v>0</v>
      </c>
      <c r="AH43" s="164">
        <v>0</v>
      </c>
      <c r="AI43" s="164">
        <v>0</v>
      </c>
      <c r="AJ43" s="179">
        <v>0</v>
      </c>
      <c r="AK43" s="179">
        <v>0</v>
      </c>
      <c r="AL43" s="179">
        <v>0</v>
      </c>
      <c r="AM43" s="164">
        <v>0</v>
      </c>
      <c r="AN43" s="164">
        <v>0</v>
      </c>
      <c r="AO43" s="164">
        <v>0</v>
      </c>
      <c r="AP43" s="164">
        <v>0</v>
      </c>
      <c r="AQ43" s="164">
        <v>0</v>
      </c>
      <c r="AR43" s="157">
        <f t="shared" si="111"/>
        <v>0</v>
      </c>
      <c r="AT43" s="163">
        <v>0</v>
      </c>
      <c r="AU43" s="164">
        <v>0</v>
      </c>
      <c r="AV43" s="164">
        <v>0</v>
      </c>
      <c r="AW43" s="164">
        <v>0</v>
      </c>
      <c r="AX43" s="179">
        <v>0</v>
      </c>
      <c r="AY43" s="179">
        <v>0</v>
      </c>
      <c r="AZ43" s="179">
        <v>0</v>
      </c>
      <c r="BA43" s="164">
        <v>0</v>
      </c>
      <c r="BB43" s="154">
        <v>0</v>
      </c>
      <c r="BC43" s="154">
        <v>0</v>
      </c>
      <c r="BD43" s="154">
        <v>0</v>
      </c>
      <c r="BE43" s="154">
        <v>0</v>
      </c>
      <c r="BF43" s="157">
        <f t="shared" si="112"/>
        <v>0</v>
      </c>
      <c r="BH43" s="163">
        <v>0</v>
      </c>
      <c r="BI43" s="164">
        <v>0</v>
      </c>
      <c r="BJ43" s="154">
        <v>0</v>
      </c>
      <c r="BK43" s="154">
        <v>0</v>
      </c>
      <c r="BL43" s="154">
        <v>0</v>
      </c>
      <c r="BM43" s="154">
        <v>0</v>
      </c>
      <c r="BN43" s="154">
        <v>0</v>
      </c>
      <c r="BO43" s="154">
        <v>0</v>
      </c>
      <c r="BP43" s="154">
        <v>0</v>
      </c>
      <c r="BQ43" s="154">
        <v>0</v>
      </c>
      <c r="BR43" s="154">
        <v>0</v>
      </c>
      <c r="BS43" s="154">
        <v>0</v>
      </c>
      <c r="BT43" s="157">
        <f t="shared" si="113"/>
        <v>0</v>
      </c>
      <c r="BV43" s="163">
        <v>0</v>
      </c>
      <c r="BW43" s="164">
        <v>0</v>
      </c>
      <c r="BX43" s="154">
        <v>0</v>
      </c>
      <c r="BY43" s="154">
        <v>0</v>
      </c>
      <c r="BZ43" s="154">
        <v>0</v>
      </c>
      <c r="CA43" s="154">
        <v>0</v>
      </c>
      <c r="CB43" s="154">
        <v>0</v>
      </c>
      <c r="CC43" s="154">
        <v>0</v>
      </c>
      <c r="CD43" s="154">
        <v>0</v>
      </c>
      <c r="CE43" s="154">
        <v>0</v>
      </c>
      <c r="CF43" s="154">
        <v>0</v>
      </c>
      <c r="CG43" s="154">
        <v>0</v>
      </c>
      <c r="CH43" s="157">
        <f t="shared" si="114"/>
        <v>0</v>
      </c>
      <c r="CI43" s="161"/>
      <c r="CJ43" s="163">
        <v>0</v>
      </c>
      <c r="CK43" s="164">
        <v>0</v>
      </c>
      <c r="CL43" s="154">
        <v>0</v>
      </c>
      <c r="CM43" s="154">
        <v>0</v>
      </c>
      <c r="CN43" s="154">
        <v>0</v>
      </c>
      <c r="CO43" s="154">
        <v>0</v>
      </c>
      <c r="CP43" s="154">
        <v>0</v>
      </c>
      <c r="CQ43" s="154">
        <v>0</v>
      </c>
      <c r="CR43" s="154">
        <v>0</v>
      </c>
      <c r="CS43" s="154">
        <v>0</v>
      </c>
      <c r="CT43" s="154">
        <v>0</v>
      </c>
      <c r="CU43" s="154">
        <v>0</v>
      </c>
      <c r="CV43" s="157">
        <f t="shared" si="115"/>
        <v>0</v>
      </c>
      <c r="CW43" s="161"/>
      <c r="CX43" s="163">
        <v>0</v>
      </c>
      <c r="CY43" s="164">
        <v>0</v>
      </c>
      <c r="CZ43" s="154">
        <v>0</v>
      </c>
      <c r="DA43" s="154">
        <v>0</v>
      </c>
      <c r="DB43" s="154">
        <v>0</v>
      </c>
      <c r="DC43" s="154">
        <v>0</v>
      </c>
      <c r="DD43" s="154">
        <v>0</v>
      </c>
      <c r="DE43" s="154">
        <v>0</v>
      </c>
      <c r="DF43" s="154">
        <v>0</v>
      </c>
      <c r="DG43" s="154">
        <v>0</v>
      </c>
      <c r="DH43" s="154">
        <v>0</v>
      </c>
      <c r="DI43" s="154">
        <v>0</v>
      </c>
      <c r="DJ43" s="157">
        <f t="shared" si="116"/>
        <v>0</v>
      </c>
      <c r="DK43" s="161"/>
      <c r="DL43" s="163">
        <v>0</v>
      </c>
      <c r="DM43" s="164">
        <v>0</v>
      </c>
      <c r="DN43" s="154">
        <v>0</v>
      </c>
      <c r="DO43" s="154">
        <v>0</v>
      </c>
      <c r="DP43" s="154">
        <v>0</v>
      </c>
      <c r="DQ43" s="154">
        <v>0</v>
      </c>
      <c r="DR43" s="154">
        <v>0</v>
      </c>
      <c r="DS43" s="154">
        <v>0</v>
      </c>
      <c r="DT43" s="154">
        <v>0</v>
      </c>
      <c r="DU43" s="154">
        <v>0</v>
      </c>
      <c r="DV43" s="154">
        <v>0</v>
      </c>
      <c r="DW43" s="154">
        <v>0</v>
      </c>
      <c r="DX43" s="157">
        <f t="shared" si="117"/>
        <v>0</v>
      </c>
      <c r="DY43" s="161"/>
      <c r="DZ43" s="163">
        <v>0</v>
      </c>
      <c r="EA43" s="164">
        <v>0</v>
      </c>
      <c r="EB43" s="154">
        <v>0</v>
      </c>
      <c r="EC43" s="154">
        <v>0</v>
      </c>
      <c r="ED43" s="154">
        <v>0</v>
      </c>
      <c r="EE43" s="154">
        <v>0</v>
      </c>
      <c r="EF43" s="154">
        <v>0</v>
      </c>
      <c r="EG43" s="154">
        <v>0</v>
      </c>
      <c r="EH43" s="154">
        <v>0</v>
      </c>
      <c r="EI43" s="154">
        <v>0</v>
      </c>
      <c r="EJ43" s="154">
        <v>0</v>
      </c>
      <c r="EK43" s="154">
        <v>0</v>
      </c>
      <c r="EL43" s="157">
        <f t="shared" si="118"/>
        <v>0</v>
      </c>
      <c r="EM43" s="161"/>
      <c r="EN43" s="163">
        <v>0</v>
      </c>
      <c r="EO43" s="164">
        <v>0</v>
      </c>
      <c r="EP43" s="154">
        <v>0</v>
      </c>
      <c r="EQ43" s="154">
        <v>0</v>
      </c>
      <c r="ER43" s="154">
        <v>0</v>
      </c>
      <c r="ES43" s="154">
        <v>0</v>
      </c>
      <c r="ET43" s="154">
        <v>0</v>
      </c>
      <c r="EU43" s="154">
        <v>0</v>
      </c>
      <c r="EV43" s="154">
        <v>0</v>
      </c>
      <c r="EW43" s="154">
        <v>0</v>
      </c>
      <c r="EX43" s="154">
        <v>0</v>
      </c>
      <c r="EY43" s="154">
        <v>0</v>
      </c>
      <c r="EZ43" s="157">
        <f t="shared" si="119"/>
        <v>0</v>
      </c>
      <c r="FA43" s="161"/>
      <c r="FB43" s="163">
        <v>0</v>
      </c>
      <c r="FC43" s="164">
        <v>0</v>
      </c>
      <c r="FD43" s="154">
        <v>0</v>
      </c>
      <c r="FE43" s="154">
        <v>0</v>
      </c>
      <c r="FF43" s="154">
        <v>0</v>
      </c>
      <c r="FG43" s="154">
        <v>0</v>
      </c>
      <c r="FH43" s="154">
        <v>0</v>
      </c>
      <c r="FI43" s="154">
        <v>0</v>
      </c>
      <c r="FJ43" s="154">
        <v>0</v>
      </c>
      <c r="FK43" s="154">
        <v>0</v>
      </c>
      <c r="FL43" s="154">
        <v>0</v>
      </c>
      <c r="FM43" s="154">
        <v>0</v>
      </c>
      <c r="FN43" s="157">
        <f t="shared" si="120"/>
        <v>0</v>
      </c>
      <c r="FO43" s="161"/>
      <c r="FP43" s="163">
        <v>0</v>
      </c>
      <c r="FQ43" s="164">
        <v>0</v>
      </c>
      <c r="FR43" s="154">
        <v>0</v>
      </c>
      <c r="FS43" s="154">
        <v>0</v>
      </c>
      <c r="FT43" s="154">
        <v>0</v>
      </c>
      <c r="FU43" s="154">
        <v>0</v>
      </c>
      <c r="FV43" s="154">
        <v>0</v>
      </c>
      <c r="FW43" s="154">
        <v>0</v>
      </c>
      <c r="FX43" s="154">
        <v>0</v>
      </c>
      <c r="FY43" s="154">
        <v>0</v>
      </c>
      <c r="FZ43" s="154">
        <v>0</v>
      </c>
      <c r="GA43" s="154">
        <v>0</v>
      </c>
      <c r="GB43" s="157">
        <f t="shared" si="121"/>
        <v>0</v>
      </c>
      <c r="GC43" s="161"/>
      <c r="GD43" s="163">
        <v>0</v>
      </c>
      <c r="GE43" s="164">
        <v>0</v>
      </c>
      <c r="GF43" s="154">
        <v>0</v>
      </c>
      <c r="GG43" s="154">
        <v>0</v>
      </c>
      <c r="GH43" s="154">
        <v>0</v>
      </c>
      <c r="GI43" s="154">
        <v>0</v>
      </c>
      <c r="GJ43" s="154">
        <v>0</v>
      </c>
      <c r="GK43" s="154">
        <v>0</v>
      </c>
      <c r="GL43" s="154">
        <v>0</v>
      </c>
      <c r="GM43" s="154">
        <v>0</v>
      </c>
      <c r="GN43" s="154">
        <v>0</v>
      </c>
      <c r="GO43" s="154">
        <v>0</v>
      </c>
      <c r="GP43" s="157">
        <f t="shared" si="122"/>
        <v>0</v>
      </c>
      <c r="GQ43" s="161"/>
      <c r="GR43" s="163">
        <v>0</v>
      </c>
      <c r="GS43" s="164">
        <v>0</v>
      </c>
      <c r="GT43" s="154">
        <v>0</v>
      </c>
      <c r="GU43" s="154">
        <v>0</v>
      </c>
      <c r="GV43" s="154">
        <v>0</v>
      </c>
      <c r="GW43" s="154">
        <v>0</v>
      </c>
      <c r="GX43" s="154">
        <v>0</v>
      </c>
      <c r="GY43" s="154">
        <v>0</v>
      </c>
      <c r="GZ43" s="154">
        <v>0</v>
      </c>
      <c r="HA43" s="154">
        <v>0</v>
      </c>
      <c r="HB43" s="154">
        <v>0</v>
      </c>
      <c r="HC43" s="154">
        <v>0</v>
      </c>
      <c r="HD43" s="157">
        <f t="shared" si="134"/>
        <v>0</v>
      </c>
      <c r="HE43" s="161"/>
      <c r="HF43" s="163">
        <v>0</v>
      </c>
      <c r="HG43" s="164">
        <v>0</v>
      </c>
      <c r="HH43" s="154">
        <v>0</v>
      </c>
      <c r="HI43" s="154">
        <v>0</v>
      </c>
      <c r="HJ43" s="154">
        <v>0</v>
      </c>
      <c r="HK43" s="154">
        <v>0</v>
      </c>
      <c r="HL43" s="154">
        <v>0</v>
      </c>
      <c r="HM43" s="154">
        <v>0</v>
      </c>
      <c r="HN43" s="154">
        <v>0</v>
      </c>
      <c r="HO43" s="154">
        <v>0</v>
      </c>
      <c r="HP43" s="154">
        <v>0</v>
      </c>
      <c r="HQ43" s="154">
        <v>0</v>
      </c>
      <c r="HR43" s="157">
        <f t="shared" si="123"/>
        <v>0</v>
      </c>
      <c r="HS43" s="161"/>
      <c r="HT43" s="163">
        <v>0</v>
      </c>
      <c r="HU43" s="164">
        <v>0</v>
      </c>
      <c r="HV43" s="154">
        <v>0</v>
      </c>
      <c r="HW43" s="154">
        <v>0</v>
      </c>
      <c r="HX43" s="154">
        <v>0</v>
      </c>
      <c r="HY43" s="154">
        <v>0</v>
      </c>
      <c r="HZ43" s="154">
        <v>0</v>
      </c>
      <c r="IA43" s="154">
        <v>0</v>
      </c>
      <c r="IB43" s="154">
        <v>0</v>
      </c>
      <c r="IC43" s="154">
        <v>0</v>
      </c>
      <c r="ID43" s="154">
        <v>0</v>
      </c>
      <c r="IE43" s="154">
        <v>0</v>
      </c>
      <c r="IF43" s="157">
        <f t="shared" si="124"/>
        <v>0</v>
      </c>
      <c r="IG43" s="161"/>
      <c r="IH43" s="163">
        <v>0</v>
      </c>
      <c r="II43" s="164">
        <v>0</v>
      </c>
      <c r="IJ43" s="154">
        <v>0</v>
      </c>
      <c r="IK43" s="154">
        <v>0</v>
      </c>
      <c r="IL43" s="154">
        <v>0</v>
      </c>
      <c r="IM43" s="154">
        <v>0</v>
      </c>
      <c r="IN43" s="154">
        <v>0</v>
      </c>
      <c r="IO43" s="154">
        <v>0</v>
      </c>
      <c r="IP43" s="154">
        <v>0</v>
      </c>
      <c r="IQ43" s="154">
        <v>0</v>
      </c>
      <c r="IR43" s="154">
        <v>0</v>
      </c>
      <c r="IS43" s="154">
        <v>0</v>
      </c>
      <c r="IT43" s="157">
        <f t="shared" si="125"/>
        <v>0</v>
      </c>
      <c r="IU43" s="161"/>
      <c r="IV43" s="163">
        <v>0</v>
      </c>
      <c r="IW43" s="164">
        <v>0</v>
      </c>
      <c r="IX43" s="154">
        <v>0</v>
      </c>
      <c r="IY43" s="154">
        <v>0</v>
      </c>
      <c r="IZ43" s="154">
        <v>0</v>
      </c>
      <c r="JA43" s="154">
        <v>0</v>
      </c>
      <c r="JB43" s="154">
        <v>0</v>
      </c>
      <c r="JC43" s="154">
        <v>0</v>
      </c>
      <c r="JD43" s="154">
        <v>0</v>
      </c>
      <c r="JE43" s="154">
        <v>0</v>
      </c>
      <c r="JF43" s="154">
        <v>0</v>
      </c>
      <c r="JG43" s="154">
        <v>0</v>
      </c>
      <c r="JH43" s="157">
        <f t="shared" si="126"/>
        <v>0</v>
      </c>
      <c r="JI43" s="161"/>
      <c r="JJ43" s="163">
        <v>0</v>
      </c>
      <c r="JK43" s="164">
        <v>0</v>
      </c>
      <c r="JL43" s="154">
        <v>0</v>
      </c>
      <c r="JM43" s="154">
        <v>0</v>
      </c>
      <c r="JN43" s="154">
        <v>0</v>
      </c>
      <c r="JO43" s="154">
        <v>0</v>
      </c>
      <c r="JP43" s="154">
        <v>0</v>
      </c>
      <c r="JQ43" s="154">
        <v>0</v>
      </c>
      <c r="JR43" s="154">
        <v>0</v>
      </c>
      <c r="JS43" s="154">
        <v>0</v>
      </c>
      <c r="JT43" s="154">
        <v>0</v>
      </c>
      <c r="JU43" s="154">
        <v>0</v>
      </c>
      <c r="JV43" s="157">
        <f t="shared" si="127"/>
        <v>0</v>
      </c>
      <c r="JW43" s="161"/>
      <c r="JX43" s="163">
        <v>0</v>
      </c>
      <c r="JY43" s="164">
        <v>0</v>
      </c>
      <c r="JZ43" s="154">
        <v>0</v>
      </c>
      <c r="KA43" s="154">
        <v>0</v>
      </c>
      <c r="KB43" s="154">
        <v>0</v>
      </c>
      <c r="KC43" s="154">
        <v>0</v>
      </c>
      <c r="KD43" s="154">
        <v>0</v>
      </c>
      <c r="KE43" s="154">
        <v>0</v>
      </c>
      <c r="KF43" s="154">
        <v>0</v>
      </c>
      <c r="KG43" s="154">
        <v>0</v>
      </c>
      <c r="KH43" s="154">
        <v>0</v>
      </c>
      <c r="KI43" s="154">
        <v>0</v>
      </c>
      <c r="KJ43" s="157">
        <f t="shared" si="128"/>
        <v>0</v>
      </c>
      <c r="KK43" s="161"/>
      <c r="KL43" s="163">
        <v>0</v>
      </c>
      <c r="KM43" s="164">
        <v>0</v>
      </c>
      <c r="KN43" s="154">
        <v>0</v>
      </c>
      <c r="KO43" s="154">
        <v>0</v>
      </c>
      <c r="KP43" s="154">
        <v>0</v>
      </c>
      <c r="KQ43" s="154">
        <v>0</v>
      </c>
      <c r="KR43" s="154">
        <v>0</v>
      </c>
      <c r="KS43" s="154">
        <v>0</v>
      </c>
      <c r="KT43" s="154">
        <v>0</v>
      </c>
      <c r="KU43" s="154">
        <v>0</v>
      </c>
      <c r="KV43" s="154">
        <v>0</v>
      </c>
      <c r="KW43" s="154">
        <v>0</v>
      </c>
      <c r="KX43" s="157">
        <f t="shared" si="129"/>
        <v>0</v>
      </c>
      <c r="KY43" s="161"/>
      <c r="KZ43" s="163">
        <v>0</v>
      </c>
      <c r="LA43" s="164">
        <v>0</v>
      </c>
      <c r="LB43" s="154">
        <v>0</v>
      </c>
      <c r="LC43" s="154">
        <v>0</v>
      </c>
      <c r="LD43" s="154">
        <v>0</v>
      </c>
      <c r="LE43" s="154">
        <v>0</v>
      </c>
      <c r="LF43" s="154">
        <v>0</v>
      </c>
      <c r="LG43" s="154">
        <v>0</v>
      </c>
      <c r="LH43" s="154">
        <v>0</v>
      </c>
      <c r="LI43" s="154">
        <v>0</v>
      </c>
      <c r="LJ43" s="154">
        <v>0</v>
      </c>
      <c r="LK43" s="154">
        <v>0</v>
      </c>
      <c r="LL43" s="157">
        <f t="shared" si="130"/>
        <v>0</v>
      </c>
      <c r="LM43" s="161"/>
      <c r="LN43" s="163">
        <v>0</v>
      </c>
      <c r="LO43" s="164">
        <v>0</v>
      </c>
      <c r="LP43" s="154">
        <v>0</v>
      </c>
      <c r="LQ43" s="154">
        <v>0</v>
      </c>
      <c r="LR43" s="154">
        <v>0</v>
      </c>
      <c r="LS43" s="154">
        <v>0</v>
      </c>
      <c r="LT43" s="154">
        <v>0</v>
      </c>
      <c r="LU43" s="154">
        <v>0</v>
      </c>
      <c r="LV43" s="154">
        <v>0</v>
      </c>
      <c r="LW43" s="154">
        <v>0</v>
      </c>
      <c r="LX43" s="154">
        <v>0</v>
      </c>
      <c r="LY43" s="154">
        <v>0</v>
      </c>
      <c r="LZ43" s="157">
        <f t="shared" si="131"/>
        <v>0</v>
      </c>
      <c r="MA43" s="161"/>
      <c r="MB43" s="157">
        <f t="shared" si="132"/>
        <v>0</v>
      </c>
      <c r="MC43" s="157">
        <f t="shared" si="132"/>
        <v>0</v>
      </c>
      <c r="MD43" s="157">
        <f t="shared" si="132"/>
        <v>0</v>
      </c>
      <c r="ME43" s="157">
        <f t="shared" si="132"/>
        <v>0</v>
      </c>
      <c r="MF43" s="157">
        <f t="shared" si="132"/>
        <v>0</v>
      </c>
      <c r="MG43" s="157">
        <f t="shared" si="132"/>
        <v>0</v>
      </c>
      <c r="MH43" s="157">
        <f t="shared" si="132"/>
        <v>0</v>
      </c>
      <c r="MI43" s="157">
        <f t="shared" si="132"/>
        <v>0</v>
      </c>
      <c r="MJ43" s="157">
        <f t="shared" si="132"/>
        <v>0</v>
      </c>
      <c r="MK43" s="157">
        <f t="shared" si="132"/>
        <v>0</v>
      </c>
      <c r="ML43" s="157">
        <f t="shared" si="132"/>
        <v>0</v>
      </c>
      <c r="MM43" s="157">
        <f t="shared" si="132"/>
        <v>0</v>
      </c>
      <c r="MN43" s="157">
        <f t="shared" si="133"/>
        <v>0</v>
      </c>
    </row>
    <row r="44" spans="1:352" x14ac:dyDescent="0.25">
      <c r="A44" s="98"/>
      <c r="B44" s="183"/>
      <c r="C44" s="98"/>
      <c r="D44" s="192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57"/>
      <c r="Q44" s="161"/>
      <c r="R44" s="192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57"/>
      <c r="AE44" s="161"/>
      <c r="AF44" s="192"/>
      <c r="AG44" s="179"/>
      <c r="AH44" s="179"/>
      <c r="AI44" s="179"/>
      <c r="AJ44" s="179"/>
      <c r="AK44" s="179"/>
      <c r="AL44" s="179"/>
      <c r="AM44" s="179"/>
      <c r="AN44" s="179"/>
      <c r="AO44" s="179"/>
      <c r="AP44" s="179"/>
      <c r="AQ44" s="179"/>
      <c r="AR44" s="157"/>
      <c r="AT44" s="192"/>
      <c r="AU44" s="179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57"/>
      <c r="BH44" s="192"/>
      <c r="BI44" s="179"/>
      <c r="BJ44" s="179"/>
      <c r="BK44" s="179"/>
      <c r="BL44" s="179"/>
      <c r="BM44" s="179"/>
      <c r="BN44" s="179"/>
      <c r="BO44" s="179"/>
      <c r="BP44" s="179"/>
      <c r="BQ44" s="179"/>
      <c r="BR44" s="179"/>
      <c r="BS44" s="179"/>
      <c r="BT44" s="157"/>
      <c r="BV44" s="192"/>
      <c r="BW44" s="179"/>
      <c r="BX44" s="179"/>
      <c r="BY44" s="179"/>
      <c r="BZ44" s="179"/>
      <c r="CA44" s="179"/>
      <c r="CB44" s="179"/>
      <c r="CC44" s="179"/>
      <c r="CD44" s="179"/>
      <c r="CE44" s="179"/>
      <c r="CF44" s="179"/>
      <c r="CG44" s="179"/>
      <c r="CH44" s="157"/>
      <c r="CI44" s="161"/>
      <c r="CJ44" s="192"/>
      <c r="CK44" s="179"/>
      <c r="CL44" s="179"/>
      <c r="CM44" s="179"/>
      <c r="CN44" s="179"/>
      <c r="CO44" s="179"/>
      <c r="CP44" s="179"/>
      <c r="CQ44" s="179"/>
      <c r="CR44" s="179"/>
      <c r="CS44" s="179"/>
      <c r="CT44" s="179"/>
      <c r="CU44" s="179"/>
      <c r="CV44" s="157"/>
      <c r="CW44" s="161"/>
      <c r="CX44" s="192"/>
      <c r="CY44" s="179"/>
      <c r="CZ44" s="179"/>
      <c r="DA44" s="179"/>
      <c r="DB44" s="179"/>
      <c r="DC44" s="179"/>
      <c r="DD44" s="179"/>
      <c r="DE44" s="179"/>
      <c r="DF44" s="179"/>
      <c r="DG44" s="179"/>
      <c r="DH44" s="179"/>
      <c r="DI44" s="179"/>
      <c r="DJ44" s="157"/>
      <c r="DK44" s="161"/>
      <c r="DL44" s="192"/>
      <c r="DM44" s="179"/>
      <c r="DN44" s="179"/>
      <c r="DO44" s="179"/>
      <c r="DP44" s="179"/>
      <c r="DQ44" s="179"/>
      <c r="DR44" s="179"/>
      <c r="DS44" s="179"/>
      <c r="DT44" s="179"/>
      <c r="DU44" s="179"/>
      <c r="DV44" s="179"/>
      <c r="DW44" s="179"/>
      <c r="DX44" s="157"/>
      <c r="DY44" s="161"/>
      <c r="DZ44" s="192"/>
      <c r="EA44" s="179"/>
      <c r="EB44" s="179"/>
      <c r="EC44" s="179"/>
      <c r="ED44" s="179"/>
      <c r="EE44" s="179"/>
      <c r="EF44" s="179"/>
      <c r="EG44" s="179"/>
      <c r="EH44" s="179"/>
      <c r="EI44" s="179"/>
      <c r="EJ44" s="179"/>
      <c r="EK44" s="179"/>
      <c r="EL44" s="157"/>
      <c r="EM44" s="161"/>
      <c r="EN44" s="192"/>
      <c r="EO44" s="179"/>
      <c r="EP44" s="179"/>
      <c r="EQ44" s="179"/>
      <c r="ER44" s="179"/>
      <c r="ES44" s="179"/>
      <c r="ET44" s="179"/>
      <c r="EU44" s="179"/>
      <c r="EV44" s="179"/>
      <c r="EW44" s="179"/>
      <c r="EX44" s="179"/>
      <c r="EY44" s="179"/>
      <c r="EZ44" s="157"/>
      <c r="FA44" s="161"/>
      <c r="FB44" s="192"/>
      <c r="FC44" s="179"/>
      <c r="FD44" s="179"/>
      <c r="FE44" s="179"/>
      <c r="FF44" s="179"/>
      <c r="FG44" s="179"/>
      <c r="FH44" s="179"/>
      <c r="FI44" s="179"/>
      <c r="FJ44" s="179"/>
      <c r="FK44" s="179"/>
      <c r="FL44" s="179"/>
      <c r="FM44" s="179"/>
      <c r="FN44" s="157"/>
      <c r="FO44" s="161"/>
      <c r="FP44" s="192"/>
      <c r="FQ44" s="179"/>
      <c r="FR44" s="179"/>
      <c r="FS44" s="179"/>
      <c r="FT44" s="179"/>
      <c r="FU44" s="179"/>
      <c r="FV44" s="179"/>
      <c r="FW44" s="179"/>
      <c r="FX44" s="179"/>
      <c r="FY44" s="179"/>
      <c r="FZ44" s="179"/>
      <c r="GA44" s="179"/>
      <c r="GB44" s="157"/>
      <c r="GC44" s="161"/>
      <c r="GD44" s="192"/>
      <c r="GE44" s="179"/>
      <c r="GF44" s="179"/>
      <c r="GG44" s="179"/>
      <c r="GH44" s="179"/>
      <c r="GI44" s="179"/>
      <c r="GJ44" s="179"/>
      <c r="GK44" s="179"/>
      <c r="GL44" s="179"/>
      <c r="GM44" s="179"/>
      <c r="GN44" s="179"/>
      <c r="GO44" s="179"/>
      <c r="GP44" s="157"/>
      <c r="GQ44" s="161"/>
      <c r="GR44" s="192"/>
      <c r="GS44" s="179"/>
      <c r="GT44" s="179"/>
      <c r="GU44" s="179"/>
      <c r="GV44" s="179"/>
      <c r="GW44" s="179"/>
      <c r="GX44" s="179"/>
      <c r="GY44" s="179"/>
      <c r="GZ44" s="179"/>
      <c r="HA44" s="179"/>
      <c r="HB44" s="179"/>
      <c r="HC44" s="179"/>
      <c r="HD44" s="157"/>
      <c r="HE44" s="161"/>
      <c r="HF44" s="192"/>
      <c r="HG44" s="179"/>
      <c r="HH44" s="179"/>
      <c r="HI44" s="179"/>
      <c r="HJ44" s="179"/>
      <c r="HK44" s="179"/>
      <c r="HL44" s="179"/>
      <c r="HM44" s="179"/>
      <c r="HN44" s="179"/>
      <c r="HO44" s="179"/>
      <c r="HP44" s="179"/>
      <c r="HQ44" s="179"/>
      <c r="HR44" s="157"/>
      <c r="HS44" s="161"/>
      <c r="HT44" s="192"/>
      <c r="HU44" s="179"/>
      <c r="HV44" s="179"/>
      <c r="HW44" s="179"/>
      <c r="HX44" s="179"/>
      <c r="HY44" s="179"/>
      <c r="HZ44" s="179"/>
      <c r="IA44" s="179"/>
      <c r="IB44" s="179"/>
      <c r="IC44" s="179"/>
      <c r="ID44" s="179"/>
      <c r="IE44" s="179"/>
      <c r="IF44" s="157"/>
      <c r="IG44" s="161"/>
      <c r="IH44" s="192"/>
      <c r="II44" s="179"/>
      <c r="IJ44" s="179"/>
      <c r="IK44" s="179"/>
      <c r="IL44" s="179"/>
      <c r="IM44" s="179"/>
      <c r="IN44" s="179"/>
      <c r="IO44" s="179"/>
      <c r="IP44" s="179"/>
      <c r="IQ44" s="179"/>
      <c r="IR44" s="179"/>
      <c r="IS44" s="179"/>
      <c r="IT44" s="157"/>
      <c r="IU44" s="161"/>
      <c r="IV44" s="192"/>
      <c r="IW44" s="179"/>
      <c r="IX44" s="179"/>
      <c r="IY44" s="179"/>
      <c r="IZ44" s="179"/>
      <c r="JA44" s="179"/>
      <c r="JB44" s="179"/>
      <c r="JC44" s="179"/>
      <c r="JD44" s="179"/>
      <c r="JE44" s="179"/>
      <c r="JF44" s="179"/>
      <c r="JG44" s="179"/>
      <c r="JH44" s="157"/>
      <c r="JI44" s="161"/>
      <c r="JJ44" s="192"/>
      <c r="JK44" s="179"/>
      <c r="JL44" s="179"/>
      <c r="JM44" s="179"/>
      <c r="JN44" s="179"/>
      <c r="JO44" s="179"/>
      <c r="JP44" s="179"/>
      <c r="JQ44" s="179"/>
      <c r="JR44" s="179"/>
      <c r="JS44" s="179"/>
      <c r="JT44" s="179"/>
      <c r="JU44" s="179"/>
      <c r="JV44" s="157"/>
      <c r="JW44" s="161"/>
      <c r="JX44" s="192"/>
      <c r="JY44" s="179"/>
      <c r="JZ44" s="179"/>
      <c r="KA44" s="179"/>
      <c r="KB44" s="179"/>
      <c r="KC44" s="179"/>
      <c r="KD44" s="179"/>
      <c r="KE44" s="179"/>
      <c r="KF44" s="179"/>
      <c r="KG44" s="179"/>
      <c r="KH44" s="179"/>
      <c r="KI44" s="179"/>
      <c r="KJ44" s="157"/>
      <c r="KK44" s="161"/>
      <c r="KL44" s="192"/>
      <c r="KM44" s="179"/>
      <c r="KN44" s="179"/>
      <c r="KO44" s="179"/>
      <c r="KP44" s="179"/>
      <c r="KQ44" s="179"/>
      <c r="KR44" s="179"/>
      <c r="KS44" s="179"/>
      <c r="KT44" s="179"/>
      <c r="KU44" s="179"/>
      <c r="KV44" s="179"/>
      <c r="KW44" s="179"/>
      <c r="KX44" s="157"/>
      <c r="KY44" s="161"/>
      <c r="KZ44" s="192"/>
      <c r="LA44" s="179"/>
      <c r="LB44" s="179"/>
      <c r="LC44" s="179"/>
      <c r="LD44" s="179"/>
      <c r="LE44" s="179"/>
      <c r="LF44" s="179"/>
      <c r="LG44" s="179"/>
      <c r="LH44" s="179"/>
      <c r="LI44" s="179"/>
      <c r="LJ44" s="179"/>
      <c r="LK44" s="179"/>
      <c r="LL44" s="157"/>
      <c r="LM44" s="161"/>
      <c r="LN44" s="192"/>
      <c r="LO44" s="179"/>
      <c r="LP44" s="179"/>
      <c r="LQ44" s="179"/>
      <c r="LR44" s="179"/>
      <c r="LS44" s="179"/>
      <c r="LT44" s="179"/>
      <c r="LU44" s="179"/>
      <c r="LV44" s="179"/>
      <c r="LW44" s="179"/>
      <c r="LX44" s="179"/>
      <c r="LY44" s="179"/>
      <c r="LZ44" s="157"/>
      <c r="MA44" s="161"/>
      <c r="MB44" s="157"/>
      <c r="MC44" s="157"/>
      <c r="MD44" s="157"/>
      <c r="ME44" s="157"/>
      <c r="MF44" s="157"/>
      <c r="MG44" s="157"/>
      <c r="MH44" s="157"/>
      <c r="MI44" s="157"/>
      <c r="MJ44" s="157"/>
      <c r="MK44" s="157"/>
      <c r="ML44" s="157"/>
      <c r="MM44" s="157"/>
      <c r="MN44" s="157"/>
    </row>
    <row r="45" spans="1:352" x14ac:dyDescent="0.3">
      <c r="A45" s="98"/>
      <c r="B45" s="166" t="s">
        <v>210</v>
      </c>
      <c r="C45" s="172"/>
      <c r="D45" s="189">
        <f>SUM(D33:D44)</f>
        <v>3401211.07528836</v>
      </c>
      <c r="E45" s="190">
        <f t="shared" ref="E45:O45" si="135">SUM(E33:E44)</f>
        <v>3243996.07528836</v>
      </c>
      <c r="F45" s="190">
        <f t="shared" si="135"/>
        <v>3269496.07528836</v>
      </c>
      <c r="G45" s="190">
        <f t="shared" si="135"/>
        <v>3243996.07528836</v>
      </c>
      <c r="H45" s="190">
        <f t="shared" si="135"/>
        <v>3243996.07528836</v>
      </c>
      <c r="I45" s="190">
        <f t="shared" si="135"/>
        <v>3243996.07528836</v>
      </c>
      <c r="J45" s="190">
        <f t="shared" si="135"/>
        <v>3254121.07528836</v>
      </c>
      <c r="K45" s="190">
        <f t="shared" si="135"/>
        <v>3359121.07528836</v>
      </c>
      <c r="L45" s="190">
        <f t="shared" si="135"/>
        <v>3344121.07528836</v>
      </c>
      <c r="M45" s="190">
        <f t="shared" si="135"/>
        <v>3364421.07528836</v>
      </c>
      <c r="N45" s="190">
        <f t="shared" si="135"/>
        <v>3279621.07528836</v>
      </c>
      <c r="O45" s="190">
        <f t="shared" si="135"/>
        <v>3280085.3610026455</v>
      </c>
      <c r="P45" s="169">
        <f>+SUBTOTAL(9,D45:O45)</f>
        <v>39528182.1891746</v>
      </c>
      <c r="Q45" s="161"/>
      <c r="R45" s="189">
        <f>SUM(R33:R44)</f>
        <v>281435.07675396826</v>
      </c>
      <c r="S45" s="190">
        <f t="shared" ref="S45:AC45" si="136">SUM(S33:S44)</f>
        <v>265730.07675396826</v>
      </c>
      <c r="T45" s="190">
        <f t="shared" si="136"/>
        <v>268280.07675396826</v>
      </c>
      <c r="U45" s="190">
        <f t="shared" si="136"/>
        <v>265730.07675396826</v>
      </c>
      <c r="V45" s="190">
        <f t="shared" si="136"/>
        <v>265730.07675396826</v>
      </c>
      <c r="W45" s="190">
        <f t="shared" si="136"/>
        <v>265730.07675396826</v>
      </c>
      <c r="X45" s="190">
        <f t="shared" si="136"/>
        <v>266581.07675396826</v>
      </c>
      <c r="Y45" s="190">
        <f t="shared" si="136"/>
        <v>277081.07675396826</v>
      </c>
      <c r="Z45" s="190">
        <f t="shared" si="136"/>
        <v>275581.07675396826</v>
      </c>
      <c r="AA45" s="190">
        <f t="shared" si="136"/>
        <v>277681.07675396826</v>
      </c>
      <c r="AB45" s="190">
        <f t="shared" si="136"/>
        <v>269131.07675396826</v>
      </c>
      <c r="AC45" s="190">
        <f t="shared" si="136"/>
        <v>269173.93389682542</v>
      </c>
      <c r="AD45" s="169">
        <f>+SUBTOTAL(9,R45:AC45)</f>
        <v>3247864.7781904768</v>
      </c>
      <c r="AE45" s="161"/>
      <c r="AF45" s="189">
        <f>SUM(AF33:AF44)</f>
        <v>283218.07675396826</v>
      </c>
      <c r="AG45" s="190">
        <f t="shared" ref="AG45:AQ45" si="137">SUM(AG33:AG44)</f>
        <v>267513.07675396826</v>
      </c>
      <c r="AH45" s="190">
        <f t="shared" si="137"/>
        <v>270063.07675396826</v>
      </c>
      <c r="AI45" s="190">
        <f t="shared" si="137"/>
        <v>267513.07675396826</v>
      </c>
      <c r="AJ45" s="190">
        <f t="shared" si="137"/>
        <v>267513.07675396826</v>
      </c>
      <c r="AK45" s="190">
        <f t="shared" si="137"/>
        <v>267513.07675396826</v>
      </c>
      <c r="AL45" s="190">
        <f t="shared" si="137"/>
        <v>268364.07675396826</v>
      </c>
      <c r="AM45" s="190">
        <f t="shared" si="137"/>
        <v>278864.07675396826</v>
      </c>
      <c r="AN45" s="190">
        <f t="shared" si="137"/>
        <v>277364.07675396826</v>
      </c>
      <c r="AO45" s="190">
        <f t="shared" si="137"/>
        <v>279464.07675396826</v>
      </c>
      <c r="AP45" s="190">
        <f t="shared" si="137"/>
        <v>270914.07675396826</v>
      </c>
      <c r="AQ45" s="190">
        <f t="shared" si="137"/>
        <v>270956.93389682542</v>
      </c>
      <c r="AR45" s="169">
        <f>+SUBTOTAL(9,AF45:AQ45)</f>
        <v>3269260.7781904768</v>
      </c>
      <c r="AT45" s="189">
        <f>SUM(AT33:AT44)</f>
        <v>804423.38450264547</v>
      </c>
      <c r="AU45" s="190">
        <f t="shared" ref="AU45:BE45" si="138">SUM(AU33:AU44)</f>
        <v>793953.38450264547</v>
      </c>
      <c r="AV45" s="190">
        <f t="shared" si="138"/>
        <v>795653.38450264547</v>
      </c>
      <c r="AW45" s="190">
        <f t="shared" si="138"/>
        <v>793953.38450264547</v>
      </c>
      <c r="AX45" s="190">
        <f t="shared" si="138"/>
        <v>793953.38450264547</v>
      </c>
      <c r="AY45" s="190">
        <f t="shared" si="138"/>
        <v>793953.38450264547</v>
      </c>
      <c r="AZ45" s="190">
        <f t="shared" si="138"/>
        <v>795186.38450264547</v>
      </c>
      <c r="BA45" s="190">
        <f t="shared" si="138"/>
        <v>802186.38450264547</v>
      </c>
      <c r="BB45" s="190">
        <f t="shared" si="138"/>
        <v>801186.38450264547</v>
      </c>
      <c r="BC45" s="190">
        <f t="shared" si="138"/>
        <v>802586.38450264547</v>
      </c>
      <c r="BD45" s="190">
        <f t="shared" si="138"/>
        <v>796886.38450264547</v>
      </c>
      <c r="BE45" s="190">
        <f t="shared" si="138"/>
        <v>796914.95593121694</v>
      </c>
      <c r="BF45" s="169">
        <f>+SUBTOTAL(9,AT45:BE45)</f>
        <v>9570837.185460316</v>
      </c>
      <c r="BH45" s="189">
        <f>SUM(BH33:BH44)</f>
        <v>4644493.3837698409</v>
      </c>
      <c r="BI45" s="190">
        <f t="shared" ref="BI45:BS45" si="139">SUM(BI33:BI44)</f>
        <v>4565638.3837698409</v>
      </c>
      <c r="BJ45" s="190">
        <f t="shared" si="139"/>
        <v>4578388.3837698409</v>
      </c>
      <c r="BK45" s="190">
        <f t="shared" si="139"/>
        <v>4565638.3837698409</v>
      </c>
      <c r="BL45" s="190">
        <f t="shared" si="139"/>
        <v>4565638.3837698409</v>
      </c>
      <c r="BM45" s="190">
        <f t="shared" si="139"/>
        <v>4565638.3837698409</v>
      </c>
      <c r="BN45" s="190">
        <f t="shared" si="139"/>
        <v>4571484.3837698409</v>
      </c>
      <c r="BO45" s="190">
        <f t="shared" si="139"/>
        <v>4623984.3837698409</v>
      </c>
      <c r="BP45" s="190">
        <f t="shared" si="139"/>
        <v>4616484.3837698409</v>
      </c>
      <c r="BQ45" s="190">
        <f t="shared" si="139"/>
        <v>4625584.3837698409</v>
      </c>
      <c r="BR45" s="190">
        <f t="shared" si="139"/>
        <v>4584234.3837698409</v>
      </c>
      <c r="BS45" s="190">
        <f t="shared" si="139"/>
        <v>4584448.6694841264</v>
      </c>
      <c r="BT45" s="169">
        <f>+SUBTOTAL(9,BH45:BS45)</f>
        <v>55091655.890952371</v>
      </c>
      <c r="BV45" s="189">
        <f>SUM(BV33:BV44)</f>
        <v>712393.69225132279</v>
      </c>
      <c r="BW45" s="190">
        <f t="shared" ref="BW45:CG45" si="140">SUM(BW33:BW44)</f>
        <v>705658.69225132279</v>
      </c>
      <c r="BX45" s="190">
        <f t="shared" si="140"/>
        <v>706508.69225132279</v>
      </c>
      <c r="BY45" s="190">
        <f t="shared" si="140"/>
        <v>705658.69225132279</v>
      </c>
      <c r="BZ45" s="190">
        <f t="shared" si="140"/>
        <v>705658.69225132279</v>
      </c>
      <c r="CA45" s="190">
        <f t="shared" si="140"/>
        <v>705658.69225132279</v>
      </c>
      <c r="CB45" s="190">
        <f t="shared" si="140"/>
        <v>706571.69225132279</v>
      </c>
      <c r="CC45" s="190">
        <f t="shared" si="140"/>
        <v>711571.69225132279</v>
      </c>
      <c r="CD45" s="190">
        <f t="shared" si="140"/>
        <v>709571.69225132279</v>
      </c>
      <c r="CE45" s="190">
        <f t="shared" si="140"/>
        <v>710271.69225132279</v>
      </c>
      <c r="CF45" s="190">
        <f t="shared" si="140"/>
        <v>707421.69225132279</v>
      </c>
      <c r="CG45" s="190">
        <f t="shared" si="140"/>
        <v>707435.97796560847</v>
      </c>
      <c r="CH45" s="169">
        <f>+SUBTOTAL(9,BV45:CG45)</f>
        <v>8494381.5927301589</v>
      </c>
      <c r="CI45" s="161"/>
      <c r="CJ45" s="189">
        <f>SUM(CJ33:CJ44)</f>
        <v>2032705.6147645505</v>
      </c>
      <c r="CK45" s="190">
        <f t="shared" ref="CK45:CU45" si="141">SUM(CK33:CK44)</f>
        <v>1975120.6147645505</v>
      </c>
      <c r="CL45" s="190">
        <f t="shared" si="141"/>
        <v>1984470.6147645505</v>
      </c>
      <c r="CM45" s="190">
        <f t="shared" si="141"/>
        <v>1975120.6147645505</v>
      </c>
      <c r="CN45" s="190">
        <f t="shared" si="141"/>
        <v>1975120.6147645505</v>
      </c>
      <c r="CO45" s="190">
        <f t="shared" si="141"/>
        <v>1975120.6147645505</v>
      </c>
      <c r="CP45" s="190">
        <f t="shared" si="141"/>
        <v>1978976.6147645505</v>
      </c>
      <c r="CQ45" s="190">
        <f t="shared" si="141"/>
        <v>2017476.6147645505</v>
      </c>
      <c r="CR45" s="190">
        <f t="shared" si="141"/>
        <v>2011976.6147645505</v>
      </c>
      <c r="CS45" s="190">
        <f t="shared" si="141"/>
        <v>2019676.6147645505</v>
      </c>
      <c r="CT45" s="190">
        <f t="shared" si="141"/>
        <v>1988326.6147645505</v>
      </c>
      <c r="CU45" s="190">
        <f t="shared" si="141"/>
        <v>1988483.7576216932</v>
      </c>
      <c r="CV45" s="169">
        <f>+SUBTOTAL(9,CJ45:CU45)</f>
        <v>23922575.520031746</v>
      </c>
      <c r="CW45" s="161"/>
      <c r="CX45" s="189">
        <f>SUM(CX33:CX44)</f>
        <v>4530729.3830370372</v>
      </c>
      <c r="CY45" s="190">
        <f t="shared" ref="CY45:DI45" si="142">SUM(CY33:CY44)</f>
        <v>4376499.3830370372</v>
      </c>
      <c r="CZ45" s="190">
        <f t="shared" si="142"/>
        <v>4401149.3830370372</v>
      </c>
      <c r="DA45" s="190">
        <f t="shared" si="142"/>
        <v>4376499.3830370372</v>
      </c>
      <c r="DB45" s="190">
        <f t="shared" si="142"/>
        <v>4376499.3830370372</v>
      </c>
      <c r="DC45" s="190">
        <f t="shared" si="142"/>
        <v>4376499.3830370372</v>
      </c>
      <c r="DD45" s="190">
        <f t="shared" si="142"/>
        <v>4387500.3830370372</v>
      </c>
      <c r="DE45" s="190">
        <f t="shared" si="142"/>
        <v>4491250.3830370372</v>
      </c>
      <c r="DF45" s="190">
        <f t="shared" si="142"/>
        <v>4474500.3830370372</v>
      </c>
      <c r="DG45" s="190">
        <f t="shared" si="142"/>
        <v>4494800.3830370372</v>
      </c>
      <c r="DH45" s="190">
        <f t="shared" si="142"/>
        <v>4412150.3830370372</v>
      </c>
      <c r="DI45" s="190">
        <f t="shared" si="142"/>
        <v>4412600.3830370372</v>
      </c>
      <c r="DJ45" s="169">
        <f>+SUBTOTAL(9,CX45:DI45)</f>
        <v>53110678.59644445</v>
      </c>
      <c r="DK45" s="161"/>
      <c r="DL45" s="189">
        <f>SUM(DL33:DL44)</f>
        <v>2647058.3830370368</v>
      </c>
      <c r="DM45" s="190">
        <f t="shared" ref="DM45:DW45" si="143">SUM(DM33:DM44)</f>
        <v>2499398.3830370368</v>
      </c>
      <c r="DN45" s="190">
        <f t="shared" si="143"/>
        <v>2523198.3830370368</v>
      </c>
      <c r="DO45" s="190">
        <f t="shared" si="143"/>
        <v>2499398.3830370368</v>
      </c>
      <c r="DP45" s="190">
        <f t="shared" si="143"/>
        <v>2499398.3830370368</v>
      </c>
      <c r="DQ45" s="190">
        <f t="shared" si="143"/>
        <v>2499398.3830370368</v>
      </c>
      <c r="DR45" s="190">
        <f t="shared" si="143"/>
        <v>2506897.3830370368</v>
      </c>
      <c r="DS45" s="190">
        <f t="shared" si="143"/>
        <v>2605647.3830370368</v>
      </c>
      <c r="DT45" s="190">
        <f t="shared" si="143"/>
        <v>2590897.3830370368</v>
      </c>
      <c r="DU45" s="190">
        <f t="shared" si="143"/>
        <v>2609097.3830370368</v>
      </c>
      <c r="DV45" s="190">
        <f t="shared" si="143"/>
        <v>2530697.3830370368</v>
      </c>
      <c r="DW45" s="190">
        <f t="shared" si="143"/>
        <v>2531097.3830370368</v>
      </c>
      <c r="DX45" s="169">
        <f>+SUBTOTAL(9,DL45:DW45)</f>
        <v>30542184.596444447</v>
      </c>
      <c r="DY45" s="161"/>
      <c r="DZ45" s="189">
        <f>SUM(DZ33:DZ44)</f>
        <v>392311.69225132273</v>
      </c>
      <c r="EA45" s="190">
        <f t="shared" ref="EA45:EK45" si="144">SUM(EA33:EA44)</f>
        <v>387076.69225132273</v>
      </c>
      <c r="EB45" s="190">
        <f t="shared" si="144"/>
        <v>387926.69225132273</v>
      </c>
      <c r="EC45" s="190">
        <f t="shared" si="144"/>
        <v>387076.69225132273</v>
      </c>
      <c r="ED45" s="190">
        <f t="shared" si="144"/>
        <v>387076.69225132273</v>
      </c>
      <c r="EE45" s="190">
        <f t="shared" si="144"/>
        <v>387076.69225132273</v>
      </c>
      <c r="EF45" s="190">
        <f t="shared" si="144"/>
        <v>387695.69225132273</v>
      </c>
      <c r="EG45" s="190">
        <f t="shared" si="144"/>
        <v>391195.69225132273</v>
      </c>
      <c r="EH45" s="190">
        <f t="shared" si="144"/>
        <v>390695.69225132273</v>
      </c>
      <c r="EI45" s="190">
        <f t="shared" si="144"/>
        <v>391395.69225132273</v>
      </c>
      <c r="EJ45" s="190">
        <f t="shared" si="144"/>
        <v>388545.69225132273</v>
      </c>
      <c r="EK45" s="190">
        <f t="shared" si="144"/>
        <v>388559.97796560847</v>
      </c>
      <c r="EL45" s="169">
        <f>+SUBTOTAL(9,DZ45:EK45)</f>
        <v>4666633.592730158</v>
      </c>
      <c r="EM45" s="161"/>
      <c r="EN45" s="189">
        <f>SUM(EN33:EN44)</f>
        <v>562808.38450264547</v>
      </c>
      <c r="EO45" s="190">
        <f t="shared" ref="EO45:EY45" si="145">SUM(EO33:EO44)</f>
        <v>552338.38450264547</v>
      </c>
      <c r="EP45" s="190">
        <f t="shared" si="145"/>
        <v>554038.38450264547</v>
      </c>
      <c r="EQ45" s="190">
        <f t="shared" si="145"/>
        <v>552338.38450264547</v>
      </c>
      <c r="ER45" s="190">
        <f t="shared" si="145"/>
        <v>552338.38450264547</v>
      </c>
      <c r="ES45" s="190">
        <f t="shared" si="145"/>
        <v>552338.38450264547</v>
      </c>
      <c r="ET45" s="190">
        <f t="shared" si="145"/>
        <v>553571.38450264547</v>
      </c>
      <c r="EU45" s="190">
        <f t="shared" si="145"/>
        <v>560571.38450264547</v>
      </c>
      <c r="EV45" s="190">
        <f t="shared" si="145"/>
        <v>559571.38450264547</v>
      </c>
      <c r="EW45" s="190">
        <f t="shared" si="145"/>
        <v>560971.38450264547</v>
      </c>
      <c r="EX45" s="190">
        <f t="shared" si="145"/>
        <v>555271.38450264547</v>
      </c>
      <c r="EY45" s="190">
        <f t="shared" si="145"/>
        <v>555299.95593121694</v>
      </c>
      <c r="EZ45" s="169">
        <f>+SUBTOTAL(9,EN45:EY45)</f>
        <v>6671457.1854603179</v>
      </c>
      <c r="FA45" s="161"/>
      <c r="FB45" s="189">
        <f>SUM(FB33:FB44)</f>
        <v>103696.69225132275</v>
      </c>
      <c r="FC45" s="190">
        <f t="shared" ref="FC45:FM45" si="146">SUM(FC33:FC44)</f>
        <v>98461.692251322747</v>
      </c>
      <c r="FD45" s="190">
        <f t="shared" si="146"/>
        <v>99311.692251322747</v>
      </c>
      <c r="FE45" s="190">
        <f t="shared" si="146"/>
        <v>98461.692251322747</v>
      </c>
      <c r="FF45" s="190">
        <f t="shared" si="146"/>
        <v>98461.692251322747</v>
      </c>
      <c r="FG45" s="190">
        <f t="shared" si="146"/>
        <v>98461.692251322747</v>
      </c>
      <c r="FH45" s="190">
        <f t="shared" si="146"/>
        <v>98781.692251322747</v>
      </c>
      <c r="FI45" s="190">
        <f t="shared" si="146"/>
        <v>102281.69225132275</v>
      </c>
      <c r="FJ45" s="190">
        <f t="shared" si="146"/>
        <v>101781.69225132275</v>
      </c>
      <c r="FK45" s="190">
        <f t="shared" si="146"/>
        <v>102481.69225132275</v>
      </c>
      <c r="FL45" s="190">
        <f t="shared" si="146"/>
        <v>99631.692251322747</v>
      </c>
      <c r="FM45" s="190">
        <f t="shared" si="146"/>
        <v>99645.977965608457</v>
      </c>
      <c r="FN45" s="169">
        <f>+SUBTOTAL(9,FB45:FM45)</f>
        <v>1201459.5927301589</v>
      </c>
      <c r="FO45" s="161"/>
      <c r="FP45" s="189">
        <f>SUM(FP33:FP44)</f>
        <v>1672302.8457592593</v>
      </c>
      <c r="FQ45" s="190">
        <f t="shared" ref="FQ45:GA45" si="147">SUM(FQ33:FQ44)</f>
        <v>1630422.8457592593</v>
      </c>
      <c r="FR45" s="190">
        <f t="shared" si="147"/>
        <v>1637222.8457592593</v>
      </c>
      <c r="FS45" s="190">
        <f t="shared" si="147"/>
        <v>1630422.8457592593</v>
      </c>
      <c r="FT45" s="190">
        <f t="shared" si="147"/>
        <v>1630422.8457592593</v>
      </c>
      <c r="FU45" s="190">
        <f t="shared" si="147"/>
        <v>1630422.8457592593</v>
      </c>
      <c r="FV45" s="190">
        <f t="shared" si="147"/>
        <v>1634368.8457592593</v>
      </c>
      <c r="FW45" s="190">
        <f t="shared" si="147"/>
        <v>1662368.8457592593</v>
      </c>
      <c r="FX45" s="190">
        <f t="shared" si="147"/>
        <v>1658368.8457592593</v>
      </c>
      <c r="FY45" s="190">
        <f t="shared" si="147"/>
        <v>1663968.8457592593</v>
      </c>
      <c r="FZ45" s="190">
        <f t="shared" si="147"/>
        <v>1641168.8457592593</v>
      </c>
      <c r="GA45" s="190">
        <f t="shared" si="147"/>
        <v>1641318.8457592593</v>
      </c>
      <c r="GB45" s="169">
        <f>+SUBTOTAL(9,FP45:GA45)</f>
        <v>19732780.149111111</v>
      </c>
      <c r="GC45" s="161"/>
      <c r="GD45" s="189">
        <f>SUM(GD33:GD44)</f>
        <v>841996.69225132279</v>
      </c>
      <c r="GE45" s="190">
        <f t="shared" ref="GE45:GO45" si="148">SUM(GE33:GE44)</f>
        <v>841996.69225132279</v>
      </c>
      <c r="GF45" s="190">
        <f t="shared" si="148"/>
        <v>841996.69225132279</v>
      </c>
      <c r="GG45" s="190">
        <f t="shared" si="148"/>
        <v>841996.69225132279</v>
      </c>
      <c r="GH45" s="190">
        <f t="shared" si="148"/>
        <v>841996.69225132279</v>
      </c>
      <c r="GI45" s="190">
        <f t="shared" si="148"/>
        <v>841996.69225132279</v>
      </c>
      <c r="GJ45" s="190">
        <f t="shared" si="148"/>
        <v>841996.69225132279</v>
      </c>
      <c r="GK45" s="190">
        <f t="shared" si="148"/>
        <v>841996.69225132279</v>
      </c>
      <c r="GL45" s="190">
        <f t="shared" si="148"/>
        <v>841996.69225132279</v>
      </c>
      <c r="GM45" s="190">
        <f t="shared" si="148"/>
        <v>841996.69225132279</v>
      </c>
      <c r="GN45" s="190">
        <f t="shared" si="148"/>
        <v>841996.69225132279</v>
      </c>
      <c r="GO45" s="190">
        <f t="shared" si="148"/>
        <v>841960.97796560847</v>
      </c>
      <c r="GP45" s="169">
        <f>+SUBTOTAL(9,GD45:GO45)</f>
        <v>10103924.592730159</v>
      </c>
      <c r="GQ45" s="161"/>
      <c r="GR45" s="189">
        <f>SUM(GR33:GR44)</f>
        <v>-1857108.282248447</v>
      </c>
      <c r="GS45" s="190">
        <f t="shared" ref="GS45:HC45" si="149">SUM(GS33:GS44)</f>
        <v>-1857108.282248447</v>
      </c>
      <c r="GT45" s="190">
        <f t="shared" si="149"/>
        <v>-1806883.282248447</v>
      </c>
      <c r="GU45" s="190">
        <f t="shared" si="149"/>
        <v>-1806883.282248447</v>
      </c>
      <c r="GV45" s="190">
        <f t="shared" si="149"/>
        <v>-1806883.282248447</v>
      </c>
      <c r="GW45" s="190">
        <f t="shared" si="149"/>
        <v>-1806883.282248447</v>
      </c>
      <c r="GX45" s="190">
        <f t="shared" si="149"/>
        <v>-1806883.282248447</v>
      </c>
      <c r="GY45" s="190">
        <f t="shared" si="149"/>
        <v>-1806883.282248447</v>
      </c>
      <c r="GZ45" s="190">
        <f t="shared" si="149"/>
        <v>-1806883.282248447</v>
      </c>
      <c r="HA45" s="190">
        <f t="shared" si="149"/>
        <v>-1806883.282248447</v>
      </c>
      <c r="HB45" s="190">
        <f t="shared" si="149"/>
        <v>-1806883.282248447</v>
      </c>
      <c r="HC45" s="190">
        <f t="shared" si="149"/>
        <v>-1806883.282248447</v>
      </c>
      <c r="HD45" s="169">
        <f>+SUBTOTAL(9,GR45:HC45)*0</f>
        <v>0</v>
      </c>
      <c r="HE45" s="161"/>
      <c r="HF45" s="189">
        <f>SUM(HF33:HF44)</f>
        <v>736181.76900529105</v>
      </c>
      <c r="HG45" s="190">
        <f t="shared" ref="HG45:HQ45" si="150">SUM(HG33:HG44)</f>
        <v>715241.76900529105</v>
      </c>
      <c r="HH45" s="190">
        <f t="shared" si="150"/>
        <v>718641.76900529105</v>
      </c>
      <c r="HI45" s="190">
        <f t="shared" si="150"/>
        <v>715241.76900529105</v>
      </c>
      <c r="HJ45" s="190">
        <f t="shared" si="150"/>
        <v>715241.76900529105</v>
      </c>
      <c r="HK45" s="190">
        <f t="shared" si="150"/>
        <v>715241.76900529105</v>
      </c>
      <c r="HL45" s="190">
        <f t="shared" si="150"/>
        <v>717005.76900529105</v>
      </c>
      <c r="HM45" s="190">
        <f t="shared" si="150"/>
        <v>731005.76900529105</v>
      </c>
      <c r="HN45" s="190">
        <f t="shared" si="150"/>
        <v>729005.76900529105</v>
      </c>
      <c r="HO45" s="190">
        <f t="shared" si="150"/>
        <v>731805.76900529105</v>
      </c>
      <c r="HP45" s="190">
        <f t="shared" si="150"/>
        <v>720405.76900529105</v>
      </c>
      <c r="HQ45" s="190">
        <f t="shared" si="150"/>
        <v>720462.91186243389</v>
      </c>
      <c r="HR45" s="169">
        <f>+SUBTOTAL(9,HF45:HQ45)</f>
        <v>8665482.3709206358</v>
      </c>
      <c r="HS45" s="161"/>
      <c r="HT45" s="189">
        <f>SUM(HT33:HT44)</f>
        <v>191070.69225132276</v>
      </c>
      <c r="HU45" s="190">
        <f t="shared" ref="HU45:IE45" si="151">SUM(HU33:HU44)</f>
        <v>185835.69225132276</v>
      </c>
      <c r="HV45" s="190">
        <f t="shared" si="151"/>
        <v>186685.69225132276</v>
      </c>
      <c r="HW45" s="190">
        <f t="shared" si="151"/>
        <v>185835.69225132276</v>
      </c>
      <c r="HX45" s="190">
        <f t="shared" si="151"/>
        <v>185835.69225132276</v>
      </c>
      <c r="HY45" s="190">
        <f t="shared" si="151"/>
        <v>185835.69225132276</v>
      </c>
      <c r="HZ45" s="190">
        <f t="shared" si="151"/>
        <v>186189.69225132276</v>
      </c>
      <c r="IA45" s="190">
        <f t="shared" si="151"/>
        <v>189689.69225132276</v>
      </c>
      <c r="IB45" s="190">
        <f t="shared" si="151"/>
        <v>189189.69225132276</v>
      </c>
      <c r="IC45" s="190">
        <f t="shared" si="151"/>
        <v>189889.69225132276</v>
      </c>
      <c r="ID45" s="190">
        <f t="shared" si="151"/>
        <v>187039.69225132276</v>
      </c>
      <c r="IE45" s="190">
        <f t="shared" si="151"/>
        <v>187053.97796560847</v>
      </c>
      <c r="IF45" s="169">
        <f>+SUBTOTAL(9,HT45:IE45)</f>
        <v>2250151.5927301589</v>
      </c>
      <c r="IG45" s="161"/>
      <c r="IH45" s="189">
        <f>SUM(IH33:IH44)</f>
        <v>614659.69225132279</v>
      </c>
      <c r="II45" s="190">
        <f t="shared" ref="II45:IS45" si="152">SUM(II33:II44)</f>
        <v>609424.69225132279</v>
      </c>
      <c r="IJ45" s="190">
        <f t="shared" si="152"/>
        <v>610274.69225132279</v>
      </c>
      <c r="IK45" s="190">
        <f t="shared" si="152"/>
        <v>609424.69225132279</v>
      </c>
      <c r="IL45" s="190">
        <f t="shared" si="152"/>
        <v>609424.69225132279</v>
      </c>
      <c r="IM45" s="190">
        <f t="shared" si="152"/>
        <v>609424.69225132279</v>
      </c>
      <c r="IN45" s="190">
        <f t="shared" si="152"/>
        <v>610337.69225132279</v>
      </c>
      <c r="IO45" s="190">
        <f t="shared" si="152"/>
        <v>613837.69225132279</v>
      </c>
      <c r="IP45" s="190">
        <f t="shared" si="152"/>
        <v>613337.69225132279</v>
      </c>
      <c r="IQ45" s="190">
        <f t="shared" si="152"/>
        <v>614037.69225132279</v>
      </c>
      <c r="IR45" s="190">
        <f t="shared" si="152"/>
        <v>611187.69225132279</v>
      </c>
      <c r="IS45" s="190">
        <f t="shared" si="152"/>
        <v>611201.97796560847</v>
      </c>
      <c r="IT45" s="169">
        <f>+SUBTOTAL(9,IH45:IS45)</f>
        <v>7336573.5927301589</v>
      </c>
      <c r="IU45" s="161"/>
      <c r="IV45" s="189">
        <f>SUM(IV33:IV44)</f>
        <v>1824499.8457592593</v>
      </c>
      <c r="IW45" s="190">
        <f t="shared" ref="IW45:JG45" si="153">SUM(IW33:IW44)</f>
        <v>1787854.8457592593</v>
      </c>
      <c r="IX45" s="190">
        <f t="shared" si="153"/>
        <v>1793804.8457592593</v>
      </c>
      <c r="IY45" s="190">
        <f t="shared" si="153"/>
        <v>1787854.8457592593</v>
      </c>
      <c r="IZ45" s="190">
        <f t="shared" si="153"/>
        <v>1787854.8457592593</v>
      </c>
      <c r="JA45" s="190">
        <f t="shared" si="153"/>
        <v>1787854.8457592593</v>
      </c>
      <c r="JB45" s="190">
        <f t="shared" si="153"/>
        <v>1791314.8457592593</v>
      </c>
      <c r="JC45" s="190">
        <f t="shared" si="153"/>
        <v>1815814.8457592593</v>
      </c>
      <c r="JD45" s="190">
        <f t="shared" si="153"/>
        <v>1812314.8457592593</v>
      </c>
      <c r="JE45" s="190">
        <f t="shared" si="153"/>
        <v>1817214.8457592593</v>
      </c>
      <c r="JF45" s="190">
        <f t="shared" si="153"/>
        <v>1797264.8457592593</v>
      </c>
      <c r="JG45" s="190">
        <f t="shared" si="153"/>
        <v>1797364.8457592593</v>
      </c>
      <c r="JH45" s="169">
        <f>+SUBTOTAL(9,IV45:JG45)</f>
        <v>21601013.149111107</v>
      </c>
      <c r="JI45" s="161"/>
      <c r="JJ45" s="189">
        <f>SUM(JJ33:JJ44)</f>
        <v>2486401.6147645502</v>
      </c>
      <c r="JK45" s="190">
        <f t="shared" ref="JK45:JU45" si="154">SUM(JK33:JK44)</f>
        <v>2416936.6147645502</v>
      </c>
      <c r="JL45" s="190">
        <f t="shared" si="154"/>
        <v>2427986.6147645502</v>
      </c>
      <c r="JM45" s="190">
        <f t="shared" si="154"/>
        <v>2416936.6147645502</v>
      </c>
      <c r="JN45" s="190">
        <f t="shared" si="154"/>
        <v>2416936.6147645502</v>
      </c>
      <c r="JO45" s="190">
        <f t="shared" si="154"/>
        <v>2416936.6147645502</v>
      </c>
      <c r="JP45" s="190">
        <f t="shared" si="154"/>
        <v>2421036.6147645502</v>
      </c>
      <c r="JQ45" s="190">
        <f t="shared" si="154"/>
        <v>2467286.6147645502</v>
      </c>
      <c r="JR45" s="190">
        <f t="shared" si="154"/>
        <v>2460036.6147645502</v>
      </c>
      <c r="JS45" s="190">
        <f t="shared" si="154"/>
        <v>2466336.6147645502</v>
      </c>
      <c r="JT45" s="190">
        <f t="shared" si="154"/>
        <v>2432086.6147645502</v>
      </c>
      <c r="JU45" s="190">
        <f t="shared" si="154"/>
        <v>2432343.757621693</v>
      </c>
      <c r="JV45" s="169">
        <f>+SUBTOTAL(9,JJ45:JU45)</f>
        <v>29261261.520031743</v>
      </c>
      <c r="JW45" s="161"/>
      <c r="JX45" s="189">
        <f>SUM(JX33:JX44)</f>
        <v>1326379.461256614</v>
      </c>
      <c r="JY45" s="190">
        <f t="shared" ref="JY45:KI45" si="155">SUM(JY33:JY44)</f>
        <v>1300039.461256614</v>
      </c>
      <c r="JZ45" s="190">
        <f t="shared" si="155"/>
        <v>1304289.461256614</v>
      </c>
      <c r="KA45" s="190">
        <f t="shared" si="155"/>
        <v>1300039.461256614</v>
      </c>
      <c r="KB45" s="190">
        <f t="shared" si="155"/>
        <v>1300039.461256614</v>
      </c>
      <c r="KC45" s="190">
        <f t="shared" si="155"/>
        <v>1300039.461256614</v>
      </c>
      <c r="KD45" s="190">
        <f t="shared" si="155"/>
        <v>1302147.461256614</v>
      </c>
      <c r="KE45" s="190">
        <f t="shared" si="155"/>
        <v>1319647.461256614</v>
      </c>
      <c r="KF45" s="190">
        <f t="shared" si="155"/>
        <v>1317147.461256614</v>
      </c>
      <c r="KG45" s="190">
        <f t="shared" si="155"/>
        <v>1319947.461256614</v>
      </c>
      <c r="KH45" s="190">
        <f t="shared" si="155"/>
        <v>1306397.461256614</v>
      </c>
      <c r="KI45" s="190">
        <f t="shared" si="155"/>
        <v>1306468.8898280424</v>
      </c>
      <c r="KJ45" s="169">
        <f>+SUBTOTAL(9,JX45:KI45)</f>
        <v>15702582.963650797</v>
      </c>
      <c r="KK45" s="161"/>
      <c r="KL45" s="189">
        <f>SUM(KL33:KL44)</f>
        <v>219448.38450264549</v>
      </c>
      <c r="KM45" s="190">
        <f t="shared" ref="KM45:KW45" si="156">SUM(KM33:KM44)</f>
        <v>209143.38450264549</v>
      </c>
      <c r="KN45" s="190">
        <f t="shared" si="156"/>
        <v>210843.38450264549</v>
      </c>
      <c r="KO45" s="190">
        <f t="shared" si="156"/>
        <v>209143.38450264549</v>
      </c>
      <c r="KP45" s="190">
        <f t="shared" si="156"/>
        <v>209143.38450264549</v>
      </c>
      <c r="KQ45" s="190">
        <f t="shared" si="156"/>
        <v>209143.38450264549</v>
      </c>
      <c r="KR45" s="190">
        <f t="shared" si="156"/>
        <v>209994.38450264549</v>
      </c>
      <c r="KS45" s="190">
        <f t="shared" si="156"/>
        <v>216994.38450264549</v>
      </c>
      <c r="KT45" s="190">
        <f t="shared" si="156"/>
        <v>215994.38450264549</v>
      </c>
      <c r="KU45" s="190">
        <f t="shared" si="156"/>
        <v>217390.38450264549</v>
      </c>
      <c r="KV45" s="190">
        <f t="shared" si="156"/>
        <v>211694.38450264549</v>
      </c>
      <c r="KW45" s="190">
        <f t="shared" si="156"/>
        <v>211722.95593121691</v>
      </c>
      <c r="KX45" s="169">
        <f>+SUBTOTAL(9,KL45:KW45)</f>
        <v>2550656.1854603179</v>
      </c>
      <c r="KY45" s="161"/>
      <c r="KZ45" s="189">
        <f>SUM(KZ33:KZ44)</f>
        <v>200498.69225132276</v>
      </c>
      <c r="LA45" s="190">
        <f t="shared" ref="LA45:LK45" si="157">SUM(LA33:LA44)</f>
        <v>195098.69225132276</v>
      </c>
      <c r="LB45" s="190">
        <f t="shared" si="157"/>
        <v>195948.69225132276</v>
      </c>
      <c r="LC45" s="190">
        <f t="shared" si="157"/>
        <v>195098.69225132276</v>
      </c>
      <c r="LD45" s="190">
        <f t="shared" si="157"/>
        <v>195098.69225132276</v>
      </c>
      <c r="LE45" s="190">
        <f t="shared" si="157"/>
        <v>195098.69225132276</v>
      </c>
      <c r="LF45" s="190">
        <f t="shared" si="157"/>
        <v>195098.69225132276</v>
      </c>
      <c r="LG45" s="190">
        <f t="shared" si="157"/>
        <v>198598.69225132276</v>
      </c>
      <c r="LH45" s="190">
        <f t="shared" si="157"/>
        <v>198098.69225132276</v>
      </c>
      <c r="LI45" s="190">
        <f t="shared" si="157"/>
        <v>198802.69225132276</v>
      </c>
      <c r="LJ45" s="190">
        <f t="shared" si="157"/>
        <v>195948.69225132276</v>
      </c>
      <c r="LK45" s="190">
        <f t="shared" si="157"/>
        <v>195962.97796560847</v>
      </c>
      <c r="LL45" s="169">
        <f>+SUBTOTAL(9,KZ45:LK45)</f>
        <v>2359352.5927301589</v>
      </c>
      <c r="LM45" s="161"/>
      <c r="LN45" s="189">
        <f>SUM(LN33:LN44)</f>
        <v>0</v>
      </c>
      <c r="LO45" s="190">
        <f t="shared" ref="LO45:LY45" si="158">SUM(LO33:LO44)</f>
        <v>0</v>
      </c>
      <c r="LP45" s="190">
        <f t="shared" si="158"/>
        <v>0</v>
      </c>
      <c r="LQ45" s="190">
        <f t="shared" si="158"/>
        <v>0</v>
      </c>
      <c r="LR45" s="190">
        <f t="shared" si="158"/>
        <v>0</v>
      </c>
      <c r="LS45" s="190">
        <f t="shared" si="158"/>
        <v>0</v>
      </c>
      <c r="LT45" s="190">
        <f t="shared" si="158"/>
        <v>0</v>
      </c>
      <c r="LU45" s="190">
        <f t="shared" si="158"/>
        <v>0</v>
      </c>
      <c r="LV45" s="190">
        <f t="shared" si="158"/>
        <v>0</v>
      </c>
      <c r="LW45" s="190">
        <f t="shared" si="158"/>
        <v>0</v>
      </c>
      <c r="LX45" s="190">
        <f t="shared" si="158"/>
        <v>0</v>
      </c>
      <c r="LY45" s="190">
        <f t="shared" si="158"/>
        <v>0</v>
      </c>
      <c r="LZ45" s="169">
        <f>+SUBTOTAL(9,LN45:LY45)</f>
        <v>0</v>
      </c>
      <c r="MA45" s="161"/>
      <c r="MB45" s="169">
        <f t="shared" ref="MB45:MC45" si="159">SUM(MB33:MB44)</f>
        <v>28652816.246968482</v>
      </c>
      <c r="MC45" s="169">
        <f t="shared" si="159"/>
        <v>27766271.246968482</v>
      </c>
      <c r="MD45" s="169">
        <f t="shared" ref="MD45:MN45" si="160">SUM(MD33:MD44)</f>
        <v>27959296.246968482</v>
      </c>
      <c r="ME45" s="169">
        <f t="shared" si="160"/>
        <v>27816496.246968482</v>
      </c>
      <c r="MF45" s="169">
        <f t="shared" si="160"/>
        <v>27816496.246968482</v>
      </c>
      <c r="MG45" s="169">
        <f t="shared" si="160"/>
        <v>27816496.246968482</v>
      </c>
      <c r="MH45" s="169">
        <f t="shared" si="160"/>
        <v>27878339.246968482</v>
      </c>
      <c r="MI45" s="169">
        <f t="shared" si="160"/>
        <v>28471589.246968482</v>
      </c>
      <c r="MJ45" s="169">
        <f t="shared" si="160"/>
        <v>28382339.246968482</v>
      </c>
      <c r="MK45" s="169">
        <f t="shared" si="160"/>
        <v>28492939.246968482</v>
      </c>
      <c r="ML45" s="169">
        <f t="shared" si="160"/>
        <v>28021139.246968482</v>
      </c>
      <c r="MM45" s="169">
        <f t="shared" si="160"/>
        <v>28023682.10411134</v>
      </c>
      <c r="MN45" s="169">
        <f t="shared" si="160"/>
        <v>337097900.82076472</v>
      </c>
    </row>
    <row r="46" spans="1:352" x14ac:dyDescent="0.25">
      <c r="A46" s="98"/>
      <c r="B46" s="183"/>
      <c r="C46" s="98"/>
      <c r="D46" s="203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204"/>
      <c r="Q46" s="205"/>
      <c r="R46" s="203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204"/>
      <c r="AE46" s="205"/>
      <c r="AF46" s="203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204"/>
      <c r="AT46" s="203"/>
      <c r="AU46" s="177"/>
      <c r="AV46" s="177"/>
      <c r="AW46" s="177"/>
      <c r="AX46" s="177"/>
      <c r="AY46" s="177"/>
      <c r="AZ46" s="177"/>
      <c r="BA46" s="177"/>
      <c r="BB46" s="177"/>
      <c r="BC46" s="177"/>
      <c r="BD46" s="177"/>
      <c r="BE46" s="177"/>
      <c r="BF46" s="204"/>
      <c r="BH46" s="203"/>
      <c r="BI46" s="177"/>
      <c r="BJ46" s="177"/>
      <c r="BK46" s="177"/>
      <c r="BL46" s="177"/>
      <c r="BM46" s="177"/>
      <c r="BN46" s="177"/>
      <c r="BO46" s="177"/>
      <c r="BP46" s="177"/>
      <c r="BQ46" s="177"/>
      <c r="BR46" s="177"/>
      <c r="BS46" s="177"/>
      <c r="BT46" s="204"/>
      <c r="BV46" s="203"/>
      <c r="BW46" s="177"/>
      <c r="BX46" s="177"/>
      <c r="BY46" s="177"/>
      <c r="BZ46" s="177"/>
      <c r="CA46" s="177"/>
      <c r="CB46" s="177"/>
      <c r="CC46" s="177"/>
      <c r="CD46" s="177"/>
      <c r="CE46" s="177"/>
      <c r="CF46" s="177"/>
      <c r="CG46" s="177"/>
      <c r="CH46" s="204"/>
      <c r="CI46" s="205"/>
      <c r="CJ46" s="203"/>
      <c r="CK46" s="177"/>
      <c r="CL46" s="177"/>
      <c r="CM46" s="177"/>
      <c r="CN46" s="177"/>
      <c r="CO46" s="177"/>
      <c r="CP46" s="177"/>
      <c r="CQ46" s="177"/>
      <c r="CR46" s="177"/>
      <c r="CS46" s="177"/>
      <c r="CT46" s="177"/>
      <c r="CU46" s="177"/>
      <c r="CV46" s="204"/>
      <c r="CW46" s="205"/>
      <c r="CX46" s="203"/>
      <c r="CY46" s="177"/>
      <c r="CZ46" s="177"/>
      <c r="DA46" s="177"/>
      <c r="DB46" s="177"/>
      <c r="DC46" s="177"/>
      <c r="DD46" s="177"/>
      <c r="DE46" s="177"/>
      <c r="DF46" s="177"/>
      <c r="DG46" s="177"/>
      <c r="DH46" s="177"/>
      <c r="DI46" s="177"/>
      <c r="DJ46" s="204"/>
      <c r="DK46" s="205"/>
      <c r="DL46" s="203"/>
      <c r="DM46" s="177"/>
      <c r="DN46" s="177"/>
      <c r="DO46" s="177"/>
      <c r="DP46" s="177"/>
      <c r="DQ46" s="177"/>
      <c r="DR46" s="177"/>
      <c r="DS46" s="177"/>
      <c r="DT46" s="177"/>
      <c r="DU46" s="177"/>
      <c r="DV46" s="177"/>
      <c r="DW46" s="177"/>
      <c r="DX46" s="204"/>
      <c r="DY46" s="205"/>
      <c r="DZ46" s="203"/>
      <c r="EA46" s="177"/>
      <c r="EB46" s="177"/>
      <c r="EC46" s="177"/>
      <c r="ED46" s="177"/>
      <c r="EE46" s="177"/>
      <c r="EF46" s="177"/>
      <c r="EG46" s="177"/>
      <c r="EH46" s="177"/>
      <c r="EI46" s="177"/>
      <c r="EJ46" s="177"/>
      <c r="EK46" s="177"/>
      <c r="EL46" s="204"/>
      <c r="EM46" s="205"/>
      <c r="EN46" s="203"/>
      <c r="EO46" s="177"/>
      <c r="EP46" s="177"/>
      <c r="EQ46" s="177"/>
      <c r="ER46" s="177"/>
      <c r="ES46" s="177"/>
      <c r="ET46" s="177"/>
      <c r="EU46" s="177"/>
      <c r="EV46" s="177"/>
      <c r="EW46" s="177"/>
      <c r="EX46" s="177"/>
      <c r="EY46" s="177"/>
      <c r="EZ46" s="204"/>
      <c r="FA46" s="205"/>
      <c r="FB46" s="203"/>
      <c r="FC46" s="177"/>
      <c r="FD46" s="177"/>
      <c r="FE46" s="177"/>
      <c r="FF46" s="177"/>
      <c r="FG46" s="177"/>
      <c r="FH46" s="177"/>
      <c r="FI46" s="177"/>
      <c r="FJ46" s="177"/>
      <c r="FK46" s="177"/>
      <c r="FL46" s="177"/>
      <c r="FM46" s="177"/>
      <c r="FN46" s="204"/>
      <c r="FO46" s="205"/>
      <c r="FP46" s="203"/>
      <c r="FQ46" s="177"/>
      <c r="FR46" s="177"/>
      <c r="FS46" s="177"/>
      <c r="FT46" s="177"/>
      <c r="FU46" s="177"/>
      <c r="FV46" s="177"/>
      <c r="FW46" s="177"/>
      <c r="FX46" s="177"/>
      <c r="FY46" s="177"/>
      <c r="FZ46" s="177"/>
      <c r="GA46" s="177"/>
      <c r="GB46" s="204"/>
      <c r="GC46" s="205"/>
      <c r="GD46" s="203">
        <f>+GD45+GR45</f>
        <v>-1015111.5899971242</v>
      </c>
      <c r="GE46" s="177">
        <f>+GD46/83.92</f>
        <v>-12096.18195897431</v>
      </c>
      <c r="GF46" s="177">
        <f>+GE46-'[1]Actual YTD feb'!KL54</f>
        <v>-20459.14449232311</v>
      </c>
      <c r="GG46" s="177"/>
      <c r="GH46" s="177"/>
      <c r="GI46" s="177"/>
      <c r="GJ46" s="177"/>
      <c r="GK46" s="177"/>
      <c r="GL46" s="177"/>
      <c r="GM46" s="177"/>
      <c r="GN46" s="177"/>
      <c r="GO46" s="177"/>
      <c r="GP46" s="204"/>
      <c r="GQ46" s="205"/>
      <c r="GR46" s="203"/>
      <c r="GS46" s="177"/>
      <c r="GT46" s="177"/>
      <c r="GU46" s="177"/>
      <c r="GV46" s="177"/>
      <c r="GW46" s="177"/>
      <c r="GX46" s="177"/>
      <c r="GY46" s="177"/>
      <c r="GZ46" s="177"/>
      <c r="HA46" s="177"/>
      <c r="HB46" s="177"/>
      <c r="HC46" s="177"/>
      <c r="HD46" s="204"/>
      <c r="HE46" s="205"/>
      <c r="HF46" s="203"/>
      <c r="HG46" s="177"/>
      <c r="HH46" s="177"/>
      <c r="HI46" s="177"/>
      <c r="HJ46" s="177"/>
      <c r="HK46" s="177"/>
      <c r="HL46" s="177"/>
      <c r="HM46" s="177"/>
      <c r="HN46" s="177"/>
      <c r="HO46" s="177"/>
      <c r="HP46" s="177"/>
      <c r="HQ46" s="177"/>
      <c r="HR46" s="204"/>
      <c r="HS46" s="205"/>
      <c r="HT46" s="203"/>
      <c r="HU46" s="177"/>
      <c r="HV46" s="177"/>
      <c r="HW46" s="177"/>
      <c r="HX46" s="177"/>
      <c r="HY46" s="177"/>
      <c r="HZ46" s="177"/>
      <c r="IA46" s="177"/>
      <c r="IB46" s="177"/>
      <c r="IC46" s="177"/>
      <c r="ID46" s="177"/>
      <c r="IE46" s="177"/>
      <c r="IF46" s="204"/>
      <c r="IG46" s="205"/>
      <c r="IH46" s="203"/>
      <c r="II46" s="177"/>
      <c r="IJ46" s="177"/>
      <c r="IK46" s="177"/>
      <c r="IL46" s="177"/>
      <c r="IM46" s="177"/>
      <c r="IN46" s="177"/>
      <c r="IO46" s="177"/>
      <c r="IP46" s="177"/>
      <c r="IQ46" s="177"/>
      <c r="IR46" s="177"/>
      <c r="IS46" s="177"/>
      <c r="IT46" s="204"/>
      <c r="IU46" s="205"/>
      <c r="IV46" s="203"/>
      <c r="IW46" s="177"/>
      <c r="IX46" s="177"/>
      <c r="IY46" s="177"/>
      <c r="IZ46" s="177"/>
      <c r="JA46" s="177"/>
      <c r="JB46" s="177"/>
      <c r="JC46" s="177"/>
      <c r="JD46" s="177"/>
      <c r="JE46" s="177"/>
      <c r="JF46" s="177"/>
      <c r="JG46" s="177"/>
      <c r="JH46" s="204"/>
      <c r="JI46" s="205"/>
      <c r="JJ46" s="203"/>
      <c r="JK46" s="177"/>
      <c r="JL46" s="177"/>
      <c r="JM46" s="177"/>
      <c r="JN46" s="177"/>
      <c r="JO46" s="177"/>
      <c r="JP46" s="177"/>
      <c r="JQ46" s="177"/>
      <c r="JR46" s="177"/>
      <c r="JS46" s="177"/>
      <c r="JT46" s="177"/>
      <c r="JU46" s="177"/>
      <c r="JV46" s="204"/>
      <c r="JW46" s="205"/>
      <c r="JX46" s="203"/>
      <c r="JY46" s="177"/>
      <c r="JZ46" s="177"/>
      <c r="KA46" s="177"/>
      <c r="KB46" s="177"/>
      <c r="KC46" s="177"/>
      <c r="KD46" s="177"/>
      <c r="KE46" s="177"/>
      <c r="KF46" s="177"/>
      <c r="KG46" s="177"/>
      <c r="KH46" s="177"/>
      <c r="KI46" s="177"/>
      <c r="KJ46" s="204"/>
      <c r="KK46" s="205"/>
      <c r="KL46" s="203"/>
      <c r="KM46" s="177"/>
      <c r="KN46" s="177"/>
      <c r="KO46" s="177"/>
      <c r="KP46" s="177"/>
      <c r="KQ46" s="177"/>
      <c r="KR46" s="177"/>
      <c r="KS46" s="177"/>
      <c r="KT46" s="177"/>
      <c r="KU46" s="177"/>
      <c r="KV46" s="177"/>
      <c r="KW46" s="177"/>
      <c r="KX46" s="204"/>
      <c r="KY46" s="205"/>
      <c r="KZ46" s="203"/>
      <c r="LA46" s="177"/>
      <c r="LB46" s="177"/>
      <c r="LC46" s="177"/>
      <c r="LD46" s="177"/>
      <c r="LE46" s="177"/>
      <c r="LF46" s="177"/>
      <c r="LG46" s="177"/>
      <c r="LH46" s="177"/>
      <c r="LI46" s="177"/>
      <c r="LJ46" s="177"/>
      <c r="LK46" s="177"/>
      <c r="LL46" s="204"/>
      <c r="LM46" s="205"/>
      <c r="LN46" s="203"/>
      <c r="LO46" s="177"/>
      <c r="LP46" s="177"/>
      <c r="LQ46" s="177"/>
      <c r="LR46" s="177"/>
      <c r="LS46" s="177"/>
      <c r="LT46" s="177"/>
      <c r="LU46" s="177"/>
      <c r="LV46" s="177"/>
      <c r="LW46" s="177"/>
      <c r="LX46" s="177"/>
      <c r="LY46" s="177"/>
      <c r="LZ46" s="204"/>
      <c r="MA46" s="205"/>
      <c r="MB46" s="204"/>
      <c r="MC46" s="204">
        <f>+MC45/83.92</f>
        <v>330865.95861497236</v>
      </c>
      <c r="MD46" s="204"/>
      <c r="ME46" s="204"/>
      <c r="MF46" s="204"/>
      <c r="MG46" s="204"/>
      <c r="MH46" s="204"/>
      <c r="MI46" s="204"/>
      <c r="MJ46" s="204"/>
      <c r="MK46" s="204"/>
      <c r="ML46" s="204"/>
      <c r="MM46" s="204"/>
      <c r="MN46" s="204"/>
    </row>
    <row r="47" spans="1:352" x14ac:dyDescent="0.3">
      <c r="A47" s="98"/>
      <c r="B47" s="206" t="s">
        <v>64</v>
      </c>
      <c r="C47" s="172"/>
      <c r="D47" s="173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5"/>
      <c r="Q47" s="176"/>
      <c r="R47" s="173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5"/>
      <c r="AE47" s="176"/>
      <c r="AF47" s="173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5"/>
      <c r="AT47" s="173"/>
      <c r="AU47" s="174"/>
      <c r="AV47" s="174"/>
      <c r="AW47" s="174"/>
      <c r="AX47" s="174"/>
      <c r="AY47" s="174"/>
      <c r="AZ47" s="174"/>
      <c r="BA47" s="174"/>
      <c r="BB47" s="174"/>
      <c r="BC47" s="174"/>
      <c r="BD47" s="174"/>
      <c r="BE47" s="174"/>
      <c r="BF47" s="175"/>
      <c r="BH47" s="173"/>
      <c r="BI47" s="174"/>
      <c r="BJ47" s="174"/>
      <c r="BK47" s="174"/>
      <c r="BL47" s="174"/>
      <c r="BM47" s="174"/>
      <c r="BN47" s="174"/>
      <c r="BO47" s="174"/>
      <c r="BP47" s="174"/>
      <c r="BQ47" s="174"/>
      <c r="BR47" s="174"/>
      <c r="BS47" s="174"/>
      <c r="BT47" s="175"/>
      <c r="BV47" s="173"/>
      <c r="BW47" s="174"/>
      <c r="BX47" s="174"/>
      <c r="BY47" s="174"/>
      <c r="BZ47" s="174"/>
      <c r="CA47" s="174"/>
      <c r="CB47" s="174"/>
      <c r="CC47" s="174"/>
      <c r="CD47" s="174"/>
      <c r="CE47" s="174"/>
      <c r="CF47" s="174"/>
      <c r="CG47" s="174"/>
      <c r="CH47" s="175"/>
      <c r="CI47" s="176"/>
      <c r="CJ47" s="173"/>
      <c r="CK47" s="174"/>
      <c r="CL47" s="174"/>
      <c r="CM47" s="174"/>
      <c r="CN47" s="174"/>
      <c r="CO47" s="174"/>
      <c r="CP47" s="174"/>
      <c r="CQ47" s="174"/>
      <c r="CR47" s="174"/>
      <c r="CS47" s="174"/>
      <c r="CT47" s="174"/>
      <c r="CU47" s="174"/>
      <c r="CV47" s="175"/>
      <c r="CW47" s="176"/>
      <c r="CX47" s="173"/>
      <c r="CY47" s="174"/>
      <c r="CZ47" s="174"/>
      <c r="DA47" s="174"/>
      <c r="DB47" s="174"/>
      <c r="DC47" s="174"/>
      <c r="DD47" s="174"/>
      <c r="DE47" s="174"/>
      <c r="DF47" s="174"/>
      <c r="DG47" s="174"/>
      <c r="DH47" s="174"/>
      <c r="DI47" s="174"/>
      <c r="DJ47" s="175"/>
      <c r="DK47" s="176"/>
      <c r="DL47" s="173"/>
      <c r="DM47" s="174"/>
      <c r="DN47" s="174"/>
      <c r="DO47" s="174"/>
      <c r="DP47" s="174"/>
      <c r="DQ47" s="174"/>
      <c r="DR47" s="174"/>
      <c r="DS47" s="174"/>
      <c r="DT47" s="174"/>
      <c r="DU47" s="174"/>
      <c r="DV47" s="174"/>
      <c r="DW47" s="174"/>
      <c r="DX47" s="175"/>
      <c r="DY47" s="176"/>
      <c r="DZ47" s="173"/>
      <c r="EA47" s="174"/>
      <c r="EB47" s="174"/>
      <c r="EC47" s="174"/>
      <c r="ED47" s="174"/>
      <c r="EE47" s="174"/>
      <c r="EF47" s="174"/>
      <c r="EG47" s="174"/>
      <c r="EH47" s="174"/>
      <c r="EI47" s="174"/>
      <c r="EJ47" s="174"/>
      <c r="EK47" s="174"/>
      <c r="EL47" s="175"/>
      <c r="EM47" s="176"/>
      <c r="EN47" s="173"/>
      <c r="EO47" s="174"/>
      <c r="EP47" s="174"/>
      <c r="EQ47" s="174"/>
      <c r="ER47" s="174"/>
      <c r="ES47" s="174"/>
      <c r="ET47" s="174"/>
      <c r="EU47" s="174"/>
      <c r="EV47" s="174"/>
      <c r="EW47" s="174"/>
      <c r="EX47" s="174"/>
      <c r="EY47" s="174"/>
      <c r="EZ47" s="175"/>
      <c r="FA47" s="176"/>
      <c r="FB47" s="173"/>
      <c r="FC47" s="174"/>
      <c r="FD47" s="174"/>
      <c r="FE47" s="174"/>
      <c r="FF47" s="174"/>
      <c r="FG47" s="174"/>
      <c r="FH47" s="174"/>
      <c r="FI47" s="174"/>
      <c r="FJ47" s="174"/>
      <c r="FK47" s="174"/>
      <c r="FL47" s="174"/>
      <c r="FM47" s="174"/>
      <c r="FN47" s="175"/>
      <c r="FO47" s="176"/>
      <c r="FP47" s="173"/>
      <c r="FQ47" s="174"/>
      <c r="FR47" s="174"/>
      <c r="FS47" s="174"/>
      <c r="FT47" s="174"/>
      <c r="FU47" s="174"/>
      <c r="FV47" s="174"/>
      <c r="FW47" s="174"/>
      <c r="FX47" s="174"/>
      <c r="FY47" s="174"/>
      <c r="FZ47" s="174"/>
      <c r="GA47" s="174"/>
      <c r="GB47" s="175"/>
      <c r="GC47" s="176"/>
      <c r="GD47" s="173"/>
      <c r="GE47" s="174"/>
      <c r="GF47" s="174"/>
      <c r="GG47" s="174"/>
      <c r="GH47" s="174"/>
      <c r="GI47" s="174"/>
      <c r="GJ47" s="174"/>
      <c r="GK47" s="174"/>
      <c r="GL47" s="174"/>
      <c r="GM47" s="174"/>
      <c r="GN47" s="174"/>
      <c r="GO47" s="174"/>
      <c r="GP47" s="175"/>
      <c r="GQ47" s="176"/>
      <c r="GR47" s="173"/>
      <c r="GS47" s="174"/>
      <c r="GT47" s="174"/>
      <c r="GU47" s="174"/>
      <c r="GV47" s="174"/>
      <c r="GW47" s="174"/>
      <c r="GX47" s="174"/>
      <c r="GY47" s="174"/>
      <c r="GZ47" s="174"/>
      <c r="HA47" s="174"/>
      <c r="HB47" s="174"/>
      <c r="HC47" s="174"/>
      <c r="HD47" s="175"/>
      <c r="HE47" s="176"/>
      <c r="HF47" s="173"/>
      <c r="HG47" s="174"/>
      <c r="HH47" s="174"/>
      <c r="HI47" s="174"/>
      <c r="HJ47" s="174"/>
      <c r="HK47" s="174"/>
      <c r="HL47" s="174"/>
      <c r="HM47" s="174"/>
      <c r="HN47" s="174"/>
      <c r="HO47" s="174"/>
      <c r="HP47" s="174"/>
      <c r="HQ47" s="174"/>
      <c r="HR47" s="175"/>
      <c r="HS47" s="176"/>
      <c r="HT47" s="173"/>
      <c r="HU47" s="174"/>
      <c r="HV47" s="174"/>
      <c r="HW47" s="174"/>
      <c r="HX47" s="174"/>
      <c r="HY47" s="174"/>
      <c r="HZ47" s="174"/>
      <c r="IA47" s="174"/>
      <c r="IB47" s="174"/>
      <c r="IC47" s="174"/>
      <c r="ID47" s="174"/>
      <c r="IE47" s="174"/>
      <c r="IF47" s="175"/>
      <c r="IG47" s="176"/>
      <c r="IH47" s="173"/>
      <c r="II47" s="174"/>
      <c r="IJ47" s="174"/>
      <c r="IK47" s="174"/>
      <c r="IL47" s="174"/>
      <c r="IM47" s="174"/>
      <c r="IN47" s="174"/>
      <c r="IO47" s="174"/>
      <c r="IP47" s="174"/>
      <c r="IQ47" s="174"/>
      <c r="IR47" s="174"/>
      <c r="IS47" s="174"/>
      <c r="IT47" s="175"/>
      <c r="IU47" s="176"/>
      <c r="IV47" s="173"/>
      <c r="IW47" s="174"/>
      <c r="IX47" s="174"/>
      <c r="IY47" s="174"/>
      <c r="IZ47" s="174"/>
      <c r="JA47" s="174"/>
      <c r="JB47" s="174"/>
      <c r="JC47" s="174"/>
      <c r="JD47" s="174"/>
      <c r="JE47" s="174"/>
      <c r="JF47" s="174"/>
      <c r="JG47" s="174"/>
      <c r="JH47" s="175"/>
      <c r="JI47" s="176"/>
      <c r="JJ47" s="173"/>
      <c r="JK47" s="174"/>
      <c r="JL47" s="174"/>
      <c r="JM47" s="174"/>
      <c r="JN47" s="174"/>
      <c r="JO47" s="174"/>
      <c r="JP47" s="174"/>
      <c r="JQ47" s="174"/>
      <c r="JR47" s="174"/>
      <c r="JS47" s="174"/>
      <c r="JT47" s="174"/>
      <c r="JU47" s="174"/>
      <c r="JV47" s="175"/>
      <c r="JW47" s="176"/>
      <c r="JX47" s="173"/>
      <c r="JY47" s="174"/>
      <c r="JZ47" s="174"/>
      <c r="KA47" s="174"/>
      <c r="KB47" s="174"/>
      <c r="KC47" s="174"/>
      <c r="KD47" s="174"/>
      <c r="KE47" s="174"/>
      <c r="KF47" s="174"/>
      <c r="KG47" s="174"/>
      <c r="KH47" s="174"/>
      <c r="KI47" s="174"/>
      <c r="KJ47" s="175"/>
      <c r="KK47" s="176"/>
      <c r="KL47" s="173"/>
      <c r="KM47" s="174"/>
      <c r="KN47" s="174"/>
      <c r="KO47" s="174"/>
      <c r="KP47" s="174"/>
      <c r="KQ47" s="174"/>
      <c r="KR47" s="174"/>
      <c r="KS47" s="174"/>
      <c r="KT47" s="174"/>
      <c r="KU47" s="174"/>
      <c r="KV47" s="174"/>
      <c r="KW47" s="174"/>
      <c r="KX47" s="175"/>
      <c r="KY47" s="176"/>
      <c r="KZ47" s="173"/>
      <c r="LA47" s="174"/>
      <c r="LB47" s="174"/>
      <c r="LC47" s="174"/>
      <c r="LD47" s="174"/>
      <c r="LE47" s="174"/>
      <c r="LF47" s="174"/>
      <c r="LG47" s="174"/>
      <c r="LH47" s="174"/>
      <c r="LI47" s="174"/>
      <c r="LJ47" s="174"/>
      <c r="LK47" s="174"/>
      <c r="LL47" s="175"/>
      <c r="LM47" s="176"/>
      <c r="LN47" s="173"/>
      <c r="LO47" s="174"/>
      <c r="LP47" s="174"/>
      <c r="LQ47" s="174"/>
      <c r="LR47" s="174"/>
      <c r="LS47" s="174"/>
      <c r="LT47" s="174"/>
      <c r="LU47" s="174"/>
      <c r="LV47" s="174"/>
      <c r="LW47" s="174"/>
      <c r="LX47" s="174"/>
      <c r="LY47" s="174"/>
      <c r="LZ47" s="175"/>
      <c r="MA47" s="176"/>
      <c r="MB47" s="175"/>
      <c r="MC47" s="175"/>
      <c r="MD47" s="175"/>
      <c r="ME47" s="175"/>
      <c r="MF47" s="175"/>
      <c r="MG47" s="175"/>
      <c r="MH47" s="175"/>
      <c r="MI47" s="175"/>
      <c r="MJ47" s="175"/>
      <c r="MK47" s="175"/>
      <c r="ML47" s="175"/>
      <c r="MM47" s="175"/>
      <c r="MN47" s="175"/>
    </row>
    <row r="48" spans="1:352" x14ac:dyDescent="0.25">
      <c r="A48" s="98"/>
      <c r="B48" s="64" t="s">
        <v>65</v>
      </c>
      <c r="C48" s="98"/>
      <c r="D48" s="163">
        <v>88680.960833333331</v>
      </c>
      <c r="E48" s="164">
        <v>88680.960833333331</v>
      </c>
      <c r="F48" s="164">
        <v>88680.960833333331</v>
      </c>
      <c r="G48" s="164">
        <v>88680.960833333331</v>
      </c>
      <c r="H48" s="164">
        <v>88680.960833333331</v>
      </c>
      <c r="I48" s="164">
        <v>88680.960833333331</v>
      </c>
      <c r="J48" s="164">
        <v>88680.960833333331</v>
      </c>
      <c r="K48" s="164">
        <v>88680.960833333331</v>
      </c>
      <c r="L48" s="164">
        <v>88680.960833333331</v>
      </c>
      <c r="M48" s="164">
        <v>88680.960833333331</v>
      </c>
      <c r="N48" s="164">
        <v>88680.960833333331</v>
      </c>
      <c r="O48" s="164">
        <v>88680.960833333331</v>
      </c>
      <c r="P48" s="157">
        <f t="shared" ref="P48:P55" si="161">+SUBTOTAL(9,D48:O48)</f>
        <v>1064171.53</v>
      </c>
      <c r="Q48" s="161"/>
      <c r="R48" s="163">
        <v>9173.8924999999999</v>
      </c>
      <c r="S48" s="164">
        <v>9173.8924999999999</v>
      </c>
      <c r="T48" s="164">
        <v>9173.8924999999999</v>
      </c>
      <c r="U48" s="164">
        <v>9173.8924999999999</v>
      </c>
      <c r="V48" s="164">
        <v>9173.8924999999999</v>
      </c>
      <c r="W48" s="164">
        <v>9173.8924999999999</v>
      </c>
      <c r="X48" s="164">
        <v>9173.8924999999999</v>
      </c>
      <c r="Y48" s="164">
        <v>9173.8924999999999</v>
      </c>
      <c r="Z48" s="164">
        <v>9173.8924999999999</v>
      </c>
      <c r="AA48" s="164">
        <v>9173.8924999999999</v>
      </c>
      <c r="AB48" s="164">
        <v>9173.8924999999999</v>
      </c>
      <c r="AC48" s="164">
        <v>9173.8924999999999</v>
      </c>
      <c r="AD48" s="157">
        <f t="shared" ref="AD48:AD55" si="162">+SUBTOTAL(9,R48:AC48)</f>
        <v>110086.71</v>
      </c>
      <c r="AE48" s="161"/>
      <c r="AF48" s="163">
        <v>9173.8924999999999</v>
      </c>
      <c r="AG48" s="164">
        <v>9173.8924999999999</v>
      </c>
      <c r="AH48" s="164">
        <v>9173.8924999999999</v>
      </c>
      <c r="AI48" s="164">
        <v>9173.8924999999999</v>
      </c>
      <c r="AJ48" s="164">
        <v>9173.8924999999999</v>
      </c>
      <c r="AK48" s="164">
        <v>9173.8924999999999</v>
      </c>
      <c r="AL48" s="164">
        <v>9173.8924999999999</v>
      </c>
      <c r="AM48" s="164">
        <v>9173.8924999999999</v>
      </c>
      <c r="AN48" s="164">
        <v>9173.8924999999999</v>
      </c>
      <c r="AO48" s="164">
        <v>9173.8924999999999</v>
      </c>
      <c r="AP48" s="164">
        <v>9173.8924999999999</v>
      </c>
      <c r="AQ48" s="164">
        <v>9173.8924999999999</v>
      </c>
      <c r="AR48" s="157">
        <f t="shared" ref="AR48:AR55" si="163">+SUBTOTAL(9,AF48:AQ48)</f>
        <v>110086.71</v>
      </c>
      <c r="AT48" s="163">
        <v>6115.9283333333333</v>
      </c>
      <c r="AU48" s="164">
        <v>6115.9283333333333</v>
      </c>
      <c r="AV48" s="164">
        <v>6115.9283333333333</v>
      </c>
      <c r="AW48" s="164">
        <v>6115.9283333333333</v>
      </c>
      <c r="AX48" s="164">
        <v>6115.9283333333333</v>
      </c>
      <c r="AY48" s="164">
        <v>6115.9283333333333</v>
      </c>
      <c r="AZ48" s="164">
        <v>6115.9283333333333</v>
      </c>
      <c r="BA48" s="164">
        <v>6115.9283333333333</v>
      </c>
      <c r="BB48" s="154">
        <v>6115.9283333333333</v>
      </c>
      <c r="BC48" s="154">
        <v>6115.9283333333333</v>
      </c>
      <c r="BD48" s="154">
        <v>6115.9283333333333</v>
      </c>
      <c r="BE48" s="154">
        <v>6115.9283333333333</v>
      </c>
      <c r="BF48" s="157">
        <f t="shared" ref="BF48:BF55" si="164">+SUBTOTAL(9,AT48:BE48)</f>
        <v>73391.139999999985</v>
      </c>
      <c r="BH48" s="163">
        <v>45869.462500000001</v>
      </c>
      <c r="BI48" s="164">
        <v>45869.462500000001</v>
      </c>
      <c r="BJ48" s="154">
        <v>45869.462500000001</v>
      </c>
      <c r="BK48" s="154">
        <v>45869.462500000001</v>
      </c>
      <c r="BL48" s="154">
        <v>45869.462500000001</v>
      </c>
      <c r="BM48" s="154">
        <v>45869.462500000001</v>
      </c>
      <c r="BN48" s="154">
        <v>45869.462500000001</v>
      </c>
      <c r="BO48" s="154">
        <v>45869.462500000001</v>
      </c>
      <c r="BP48" s="154">
        <v>45869.462500000001</v>
      </c>
      <c r="BQ48" s="154">
        <v>45869.462500000001</v>
      </c>
      <c r="BR48" s="154">
        <v>45869.462500000001</v>
      </c>
      <c r="BS48" s="154">
        <v>45869.462500000001</v>
      </c>
      <c r="BT48" s="157">
        <f t="shared" ref="BT48:BT55" si="165">+SUBTOTAL(9,BH48:BS48)</f>
        <v>550433.55000000016</v>
      </c>
      <c r="BV48" s="163">
        <v>3057.9641666666666</v>
      </c>
      <c r="BW48" s="164">
        <v>3057.9641666666666</v>
      </c>
      <c r="BX48" s="154">
        <v>3057.9641666666666</v>
      </c>
      <c r="BY48" s="154">
        <v>3057.9641666666666</v>
      </c>
      <c r="BZ48" s="154">
        <v>3057.9641666666666</v>
      </c>
      <c r="CA48" s="154">
        <v>3057.9641666666666</v>
      </c>
      <c r="CB48" s="154">
        <v>3057.9641666666666</v>
      </c>
      <c r="CC48" s="154">
        <v>3057.9641666666666</v>
      </c>
      <c r="CD48" s="154">
        <v>3057.9641666666666</v>
      </c>
      <c r="CE48" s="154">
        <v>3057.9641666666666</v>
      </c>
      <c r="CF48" s="154">
        <v>3057.9641666666666</v>
      </c>
      <c r="CG48" s="154">
        <v>3057.9641666666666</v>
      </c>
      <c r="CH48" s="157">
        <f t="shared" ref="CH48:CH55" si="166">+SUBTOTAL(9,BV48:CG48)</f>
        <v>36695.569999999992</v>
      </c>
      <c r="CI48" s="161"/>
      <c r="CJ48" s="163">
        <v>33637.605833333335</v>
      </c>
      <c r="CK48" s="164">
        <v>33637.605833333335</v>
      </c>
      <c r="CL48" s="154">
        <v>33637.605833333335</v>
      </c>
      <c r="CM48" s="154">
        <v>33637.605833333335</v>
      </c>
      <c r="CN48" s="154">
        <v>33637.605833333335</v>
      </c>
      <c r="CO48" s="154">
        <v>33637.605833333335</v>
      </c>
      <c r="CP48" s="154">
        <v>33637.605833333335</v>
      </c>
      <c r="CQ48" s="154">
        <v>33637.605833333335</v>
      </c>
      <c r="CR48" s="154">
        <v>33637.605833333335</v>
      </c>
      <c r="CS48" s="154">
        <v>33637.605833333335</v>
      </c>
      <c r="CT48" s="154">
        <v>33637.605833333335</v>
      </c>
      <c r="CU48" s="154">
        <v>33637.605833333335</v>
      </c>
      <c r="CV48" s="157">
        <f t="shared" ref="CV48:CV55" si="167">+SUBTOTAL(9,CJ48:CU48)</f>
        <v>403651.27</v>
      </c>
      <c r="CW48" s="161"/>
      <c r="CX48" s="163">
        <v>85622.996666666673</v>
      </c>
      <c r="CY48" s="164">
        <v>85622.996666666673</v>
      </c>
      <c r="CZ48" s="154">
        <v>85622.996666666673</v>
      </c>
      <c r="DA48" s="154">
        <v>85622.996666666673</v>
      </c>
      <c r="DB48" s="154">
        <v>85622.996666666673</v>
      </c>
      <c r="DC48" s="154">
        <v>85622.996666666673</v>
      </c>
      <c r="DD48" s="154">
        <v>85622.996666666673</v>
      </c>
      <c r="DE48" s="154">
        <v>85622.996666666673</v>
      </c>
      <c r="DF48" s="154">
        <v>85622.996666666673</v>
      </c>
      <c r="DG48" s="154">
        <v>85622.996666666673</v>
      </c>
      <c r="DH48" s="154">
        <v>85622.996666666673</v>
      </c>
      <c r="DI48" s="154">
        <v>85622.996666666673</v>
      </c>
      <c r="DJ48" s="157">
        <f t="shared" ref="DJ48:DJ55" si="168">+SUBTOTAL(9,CX48:DI48)</f>
        <v>1027475.9600000003</v>
      </c>
      <c r="DK48" s="161"/>
      <c r="DL48" s="163">
        <v>85622.996666666673</v>
      </c>
      <c r="DM48" s="164">
        <v>85622.996666666673</v>
      </c>
      <c r="DN48" s="154">
        <v>85622.996666666673</v>
      </c>
      <c r="DO48" s="154">
        <v>85622.996666666673</v>
      </c>
      <c r="DP48" s="154">
        <v>85622.996666666673</v>
      </c>
      <c r="DQ48" s="154">
        <v>85622.996666666673</v>
      </c>
      <c r="DR48" s="154">
        <v>85622.996666666673</v>
      </c>
      <c r="DS48" s="154">
        <v>85622.996666666673</v>
      </c>
      <c r="DT48" s="154">
        <v>85622.996666666673</v>
      </c>
      <c r="DU48" s="154">
        <v>85622.996666666673</v>
      </c>
      <c r="DV48" s="154">
        <v>85622.996666666673</v>
      </c>
      <c r="DW48" s="154">
        <v>85622.996666666673</v>
      </c>
      <c r="DX48" s="157">
        <f t="shared" ref="DX48:DX55" si="169">+SUBTOTAL(9,DL48:DW48)</f>
        <v>1027475.9600000003</v>
      </c>
      <c r="DY48" s="161"/>
      <c r="DZ48" s="163">
        <v>3057.9641666666666</v>
      </c>
      <c r="EA48" s="164">
        <v>3057.9641666666666</v>
      </c>
      <c r="EB48" s="154">
        <v>3057.9641666666666</v>
      </c>
      <c r="EC48" s="154">
        <v>3057.9641666666666</v>
      </c>
      <c r="ED48" s="154">
        <v>3057.9641666666666</v>
      </c>
      <c r="EE48" s="154">
        <v>3057.9641666666666</v>
      </c>
      <c r="EF48" s="154">
        <v>3057.9641666666666</v>
      </c>
      <c r="EG48" s="154">
        <v>3057.9641666666666</v>
      </c>
      <c r="EH48" s="154">
        <v>3057.9641666666666</v>
      </c>
      <c r="EI48" s="154">
        <v>3057.9641666666666</v>
      </c>
      <c r="EJ48" s="154">
        <v>3057.9641666666666</v>
      </c>
      <c r="EK48" s="154">
        <v>3057.9641666666666</v>
      </c>
      <c r="EL48" s="157">
        <f t="shared" ref="EL48:EL55" si="170">+SUBTOTAL(9,DZ48:EK48)</f>
        <v>36695.569999999992</v>
      </c>
      <c r="EM48" s="161"/>
      <c r="EN48" s="163">
        <v>6115.9283333333333</v>
      </c>
      <c r="EO48" s="164">
        <v>6115.9283333333333</v>
      </c>
      <c r="EP48" s="154">
        <v>6115.9283333333333</v>
      </c>
      <c r="EQ48" s="154">
        <v>6115.9283333333333</v>
      </c>
      <c r="ER48" s="154">
        <v>6115.9283333333333</v>
      </c>
      <c r="ES48" s="154">
        <v>6115.9283333333333</v>
      </c>
      <c r="ET48" s="154">
        <v>6115.9283333333333</v>
      </c>
      <c r="EU48" s="154">
        <v>6115.9283333333333</v>
      </c>
      <c r="EV48" s="154">
        <v>6115.9283333333333</v>
      </c>
      <c r="EW48" s="154">
        <v>6115.9283333333333</v>
      </c>
      <c r="EX48" s="154">
        <v>6115.9283333333333</v>
      </c>
      <c r="EY48" s="154">
        <v>6115.9283333333333</v>
      </c>
      <c r="EZ48" s="157">
        <f t="shared" ref="EZ48:EZ55" si="171">+SUBTOTAL(9,EN48:EY48)</f>
        <v>73391.139999999985</v>
      </c>
      <c r="FA48" s="161"/>
      <c r="FB48" s="163">
        <v>3057.9641666666666</v>
      </c>
      <c r="FC48" s="164">
        <v>3057.9641666666666</v>
      </c>
      <c r="FD48" s="154">
        <v>3057.9641666666666</v>
      </c>
      <c r="FE48" s="154">
        <v>3057.9641666666666</v>
      </c>
      <c r="FF48" s="154">
        <v>3057.9641666666666</v>
      </c>
      <c r="FG48" s="154">
        <v>3057.9641666666666</v>
      </c>
      <c r="FH48" s="154">
        <v>3057.9641666666666</v>
      </c>
      <c r="FI48" s="154">
        <v>3057.9641666666666</v>
      </c>
      <c r="FJ48" s="154">
        <v>3057.9641666666666</v>
      </c>
      <c r="FK48" s="154">
        <v>3057.9641666666666</v>
      </c>
      <c r="FL48" s="154">
        <v>3057.9641666666666</v>
      </c>
      <c r="FM48" s="154">
        <v>3057.9641666666666</v>
      </c>
      <c r="FN48" s="157">
        <f t="shared" ref="FN48:FN55" si="172">+SUBTOTAL(9,FB48:FM48)</f>
        <v>36695.569999999992</v>
      </c>
      <c r="FO48" s="161"/>
      <c r="FP48" s="163">
        <v>21405.749166666668</v>
      </c>
      <c r="FQ48" s="164">
        <v>21405.749166666668</v>
      </c>
      <c r="FR48" s="154">
        <v>21405.749166666668</v>
      </c>
      <c r="FS48" s="154">
        <v>21405.749166666668</v>
      </c>
      <c r="FT48" s="154">
        <v>21405.749166666668</v>
      </c>
      <c r="FU48" s="154">
        <v>21405.749166666668</v>
      </c>
      <c r="FV48" s="154">
        <v>21405.749166666668</v>
      </c>
      <c r="FW48" s="154">
        <v>21405.749166666668</v>
      </c>
      <c r="FX48" s="154">
        <v>21405.749166666668</v>
      </c>
      <c r="FY48" s="154">
        <v>21405.749166666668</v>
      </c>
      <c r="FZ48" s="154">
        <v>21405.749166666668</v>
      </c>
      <c r="GA48" s="154">
        <v>21405.749166666668</v>
      </c>
      <c r="GB48" s="157">
        <f t="shared" ref="GB48:GB55" si="173">+SUBTOTAL(9,FP48:GA48)</f>
        <v>256868.99000000008</v>
      </c>
      <c r="GC48" s="161"/>
      <c r="GD48" s="163">
        <v>3057.9641666666666</v>
      </c>
      <c r="GE48" s="164">
        <v>3057.9641666666666</v>
      </c>
      <c r="GF48" s="154">
        <v>3057.9641666666666</v>
      </c>
      <c r="GG48" s="154">
        <v>3057.9641666666666</v>
      </c>
      <c r="GH48" s="154">
        <v>3057.9641666666666</v>
      </c>
      <c r="GI48" s="154">
        <v>3057.9641666666666</v>
      </c>
      <c r="GJ48" s="154">
        <v>3057.9641666666666</v>
      </c>
      <c r="GK48" s="154">
        <v>3057.9641666666666</v>
      </c>
      <c r="GL48" s="154">
        <v>3057.9641666666666</v>
      </c>
      <c r="GM48" s="154">
        <v>3057.9641666666666</v>
      </c>
      <c r="GN48" s="154">
        <v>3057.9641666666666</v>
      </c>
      <c r="GO48" s="154">
        <v>3057.9641666666666</v>
      </c>
      <c r="GP48" s="157">
        <f t="shared" ref="GP48:GP55" si="174">+SUBTOTAL(9,GD48:GO48)</f>
        <v>36695.569999999992</v>
      </c>
      <c r="GQ48" s="161"/>
      <c r="GR48" s="163">
        <v>1026407.43</v>
      </c>
      <c r="GS48" s="164">
        <v>1026407.43</v>
      </c>
      <c r="GT48" s="154">
        <v>1026407.43</v>
      </c>
      <c r="GU48" s="154">
        <v>1026407.43</v>
      </c>
      <c r="GV48" s="154">
        <v>1026407.43</v>
      </c>
      <c r="GW48" s="154">
        <v>1026407.43</v>
      </c>
      <c r="GX48" s="154">
        <v>1026407.43</v>
      </c>
      <c r="GY48" s="154">
        <v>1026407.43</v>
      </c>
      <c r="GZ48" s="154">
        <v>1026407.43</v>
      </c>
      <c r="HA48" s="154">
        <v>1026407.43</v>
      </c>
      <c r="HB48" s="154">
        <v>1026407.43</v>
      </c>
      <c r="HC48" s="154">
        <v>1026407.43</v>
      </c>
      <c r="HD48" s="157">
        <f>+SUBTOTAL(9,GR48:HC48)*0</f>
        <v>0</v>
      </c>
      <c r="HE48" s="161"/>
      <c r="HF48" s="163">
        <v>12231.856666666667</v>
      </c>
      <c r="HG48" s="164">
        <v>12231.856666666667</v>
      </c>
      <c r="HH48" s="154">
        <v>12231.856666666667</v>
      </c>
      <c r="HI48" s="154">
        <v>12231.856666666667</v>
      </c>
      <c r="HJ48" s="154">
        <v>12231.856666666667</v>
      </c>
      <c r="HK48" s="154">
        <v>12231.856666666667</v>
      </c>
      <c r="HL48" s="154">
        <v>12231.856666666667</v>
      </c>
      <c r="HM48" s="154">
        <v>12231.856666666667</v>
      </c>
      <c r="HN48" s="154">
        <v>12231.856666666667</v>
      </c>
      <c r="HO48" s="154">
        <v>12231.856666666667</v>
      </c>
      <c r="HP48" s="154">
        <v>12231.856666666667</v>
      </c>
      <c r="HQ48" s="154">
        <v>12231.856666666667</v>
      </c>
      <c r="HR48" s="157">
        <f t="shared" ref="HR48:HR55" si="175">+SUBTOTAL(9,HF48:HQ48)</f>
        <v>146782.27999999997</v>
      </c>
      <c r="HS48" s="161"/>
      <c r="HT48" s="163">
        <v>3057.9641666666666</v>
      </c>
      <c r="HU48" s="164">
        <v>3057.9641666666666</v>
      </c>
      <c r="HV48" s="154">
        <v>3057.9641666666666</v>
      </c>
      <c r="HW48" s="154">
        <v>3057.9641666666666</v>
      </c>
      <c r="HX48" s="154">
        <v>3057.9641666666666</v>
      </c>
      <c r="HY48" s="154">
        <v>3057.9641666666666</v>
      </c>
      <c r="HZ48" s="154">
        <v>3057.9641666666666</v>
      </c>
      <c r="IA48" s="154">
        <v>3057.9641666666666</v>
      </c>
      <c r="IB48" s="154">
        <v>3057.9641666666666</v>
      </c>
      <c r="IC48" s="154">
        <v>3057.9641666666666</v>
      </c>
      <c r="ID48" s="154">
        <v>3057.9641666666666</v>
      </c>
      <c r="IE48" s="154">
        <v>3057.9641666666666</v>
      </c>
      <c r="IF48" s="157">
        <f t="shared" ref="IF48:IF55" si="176">+SUBTOTAL(9,HT48:IE48)</f>
        <v>36695.569999999992</v>
      </c>
      <c r="IG48" s="161"/>
      <c r="IH48" s="163">
        <v>3057.9641666666666</v>
      </c>
      <c r="II48" s="164">
        <v>3057.9641666666666</v>
      </c>
      <c r="IJ48" s="154">
        <v>3057.9641666666666</v>
      </c>
      <c r="IK48" s="154">
        <v>3057.9641666666666</v>
      </c>
      <c r="IL48" s="154">
        <v>3057.9641666666666</v>
      </c>
      <c r="IM48" s="154">
        <v>3057.9641666666666</v>
      </c>
      <c r="IN48" s="154">
        <v>3057.9641666666666</v>
      </c>
      <c r="IO48" s="154">
        <v>3057.9641666666666</v>
      </c>
      <c r="IP48" s="154">
        <v>3057.9641666666666</v>
      </c>
      <c r="IQ48" s="154">
        <v>3057.9641666666666</v>
      </c>
      <c r="IR48" s="154">
        <v>3057.9641666666666</v>
      </c>
      <c r="IS48" s="154">
        <v>3057.9641666666666</v>
      </c>
      <c r="IT48" s="157">
        <f t="shared" ref="IT48:IT55" si="177">+SUBTOTAL(9,IH48:IS48)</f>
        <v>36695.569999999992</v>
      </c>
      <c r="IU48" s="161"/>
      <c r="IV48" s="163">
        <v>21405.749166666668</v>
      </c>
      <c r="IW48" s="164">
        <v>21405.749166666668</v>
      </c>
      <c r="IX48" s="154">
        <v>21405.749166666668</v>
      </c>
      <c r="IY48" s="154">
        <v>21405.749166666668</v>
      </c>
      <c r="IZ48" s="154">
        <v>21405.749166666668</v>
      </c>
      <c r="JA48" s="154">
        <v>21405.749166666668</v>
      </c>
      <c r="JB48" s="154">
        <v>21405.749166666668</v>
      </c>
      <c r="JC48" s="154">
        <v>21405.749166666668</v>
      </c>
      <c r="JD48" s="154">
        <v>21405.749166666668</v>
      </c>
      <c r="JE48" s="154">
        <v>21405.749166666668</v>
      </c>
      <c r="JF48" s="154">
        <v>21405.749166666668</v>
      </c>
      <c r="JG48" s="154">
        <v>21405.749166666668</v>
      </c>
      <c r="JH48" s="157">
        <f t="shared" ref="JH48:JH55" si="178">+SUBTOTAL(9,IV48:JG48)</f>
        <v>256868.99000000008</v>
      </c>
      <c r="JI48" s="161"/>
      <c r="JJ48" s="163">
        <v>33637.605833333335</v>
      </c>
      <c r="JK48" s="164">
        <v>33637.605833333335</v>
      </c>
      <c r="JL48" s="154">
        <v>33637.605833333335</v>
      </c>
      <c r="JM48" s="154">
        <v>33637.605833333335</v>
      </c>
      <c r="JN48" s="154">
        <v>33637.605833333335</v>
      </c>
      <c r="JO48" s="154">
        <v>33637.605833333335</v>
      </c>
      <c r="JP48" s="154">
        <v>33637.605833333335</v>
      </c>
      <c r="JQ48" s="154">
        <v>33637.605833333335</v>
      </c>
      <c r="JR48" s="154">
        <v>33637.605833333335</v>
      </c>
      <c r="JS48" s="154">
        <v>33637.605833333335</v>
      </c>
      <c r="JT48" s="154">
        <v>33637.605833333335</v>
      </c>
      <c r="JU48" s="154">
        <v>33637.605833333335</v>
      </c>
      <c r="JV48" s="157">
        <f t="shared" ref="JV48:JV55" si="179">+SUBTOTAL(9,JJ48:JU48)</f>
        <v>403651.27</v>
      </c>
      <c r="JW48" s="161"/>
      <c r="JX48" s="163">
        <v>15289.820833333333</v>
      </c>
      <c r="JY48" s="164">
        <v>15289.820833333333</v>
      </c>
      <c r="JZ48" s="154">
        <v>15289.820833333333</v>
      </c>
      <c r="KA48" s="154">
        <v>15289.820833333333</v>
      </c>
      <c r="KB48" s="154">
        <v>15289.820833333333</v>
      </c>
      <c r="KC48" s="154">
        <v>15289.820833333333</v>
      </c>
      <c r="KD48" s="154">
        <v>15289.820833333333</v>
      </c>
      <c r="KE48" s="154">
        <v>15289.820833333333</v>
      </c>
      <c r="KF48" s="154">
        <v>15289.820833333333</v>
      </c>
      <c r="KG48" s="154">
        <v>15289.820833333333</v>
      </c>
      <c r="KH48" s="154">
        <v>15289.820833333333</v>
      </c>
      <c r="KI48" s="154">
        <v>15289.820833333333</v>
      </c>
      <c r="KJ48" s="157">
        <f t="shared" ref="KJ48:KJ55" si="180">+SUBTOTAL(9,JX48:KI48)</f>
        <v>183477.85</v>
      </c>
      <c r="KK48" s="161"/>
      <c r="KL48" s="163">
        <v>6115.9283333333333</v>
      </c>
      <c r="KM48" s="164">
        <v>6115.9283333333333</v>
      </c>
      <c r="KN48" s="154">
        <v>6115.9283333333333</v>
      </c>
      <c r="KO48" s="154">
        <v>6115.9283333333333</v>
      </c>
      <c r="KP48" s="154">
        <v>6115.9283333333333</v>
      </c>
      <c r="KQ48" s="154">
        <v>6115.9283333333333</v>
      </c>
      <c r="KR48" s="154">
        <v>6115.9283333333333</v>
      </c>
      <c r="KS48" s="154">
        <v>6115.9283333333333</v>
      </c>
      <c r="KT48" s="154">
        <v>6115.9283333333333</v>
      </c>
      <c r="KU48" s="154">
        <v>6115.9283333333333</v>
      </c>
      <c r="KV48" s="154">
        <v>6115.9283333333333</v>
      </c>
      <c r="KW48" s="154">
        <v>6115.9283333333333</v>
      </c>
      <c r="KX48" s="157">
        <f t="shared" ref="KX48:KX55" si="181">+SUBTOTAL(9,KL48:KW48)</f>
        <v>73391.139999999985</v>
      </c>
      <c r="KY48" s="161"/>
      <c r="KZ48" s="163">
        <v>3057.9641666666666</v>
      </c>
      <c r="LA48" s="164">
        <v>3057.9641666666666</v>
      </c>
      <c r="LB48" s="154">
        <v>3057.9641666666666</v>
      </c>
      <c r="LC48" s="154">
        <v>3057.9641666666666</v>
      </c>
      <c r="LD48" s="154">
        <v>3057.9641666666666</v>
      </c>
      <c r="LE48" s="154">
        <v>3057.9641666666666</v>
      </c>
      <c r="LF48" s="154">
        <v>3057.9641666666666</v>
      </c>
      <c r="LG48" s="154">
        <v>3057.9641666666666</v>
      </c>
      <c r="LH48" s="154">
        <v>3057.9641666666666</v>
      </c>
      <c r="LI48" s="154">
        <v>3057.9641666666666</v>
      </c>
      <c r="LJ48" s="154">
        <v>3057.9641666666666</v>
      </c>
      <c r="LK48" s="154">
        <v>3057.9641666666666</v>
      </c>
      <c r="LL48" s="157">
        <f t="shared" ref="LL48:LL55" si="182">+SUBTOTAL(9,KZ48:LK48)</f>
        <v>36695.569999999992</v>
      </c>
      <c r="LM48" s="161"/>
      <c r="LN48" s="163">
        <v>0</v>
      </c>
      <c r="LO48" s="164">
        <v>0</v>
      </c>
      <c r="LP48" s="154">
        <v>0</v>
      </c>
      <c r="LQ48" s="154">
        <v>0</v>
      </c>
      <c r="LR48" s="154">
        <v>0</v>
      </c>
      <c r="LS48" s="154">
        <v>0</v>
      </c>
      <c r="LT48" s="154">
        <v>0</v>
      </c>
      <c r="LU48" s="154">
        <v>0</v>
      </c>
      <c r="LV48" s="154">
        <v>0</v>
      </c>
      <c r="LW48" s="154">
        <v>0</v>
      </c>
      <c r="LX48" s="154">
        <v>0</v>
      </c>
      <c r="LY48" s="154">
        <v>0</v>
      </c>
      <c r="LZ48" s="157">
        <f t="shared" ref="LZ48:LZ55" si="183">+SUBTOTAL(9,LN48:LY48)</f>
        <v>0</v>
      </c>
      <c r="MA48" s="161"/>
      <c r="MB48" s="157">
        <f t="shared" ref="MB48:MM55" si="184">SUMIF($D$6:$LY$6,MB$3,$D48:$LY48)</f>
        <v>1527913.5533333335</v>
      </c>
      <c r="MC48" s="157">
        <f t="shared" si="184"/>
        <v>1527913.5533333335</v>
      </c>
      <c r="MD48" s="157">
        <f t="shared" si="184"/>
        <v>1527913.5533333335</v>
      </c>
      <c r="ME48" s="157">
        <f t="shared" si="184"/>
        <v>1527913.5533333335</v>
      </c>
      <c r="MF48" s="157">
        <f t="shared" si="184"/>
        <v>1527913.5533333335</v>
      </c>
      <c r="MG48" s="157">
        <f t="shared" si="184"/>
        <v>1527913.5533333335</v>
      </c>
      <c r="MH48" s="157">
        <f t="shared" si="184"/>
        <v>1527913.5533333335</v>
      </c>
      <c r="MI48" s="157">
        <f t="shared" si="184"/>
        <v>1527913.5533333335</v>
      </c>
      <c r="MJ48" s="157">
        <f t="shared" si="184"/>
        <v>1527913.5533333335</v>
      </c>
      <c r="MK48" s="157">
        <f t="shared" si="184"/>
        <v>1527913.5533333335</v>
      </c>
      <c r="ML48" s="157">
        <f t="shared" si="184"/>
        <v>1527913.5533333335</v>
      </c>
      <c r="MM48" s="157">
        <f t="shared" si="184"/>
        <v>1527913.5533333335</v>
      </c>
      <c r="MN48" s="157">
        <f t="shared" ref="MN48:MN55" si="185">SUM(MB48:MM48)</f>
        <v>18334962.640000001</v>
      </c>
    </row>
    <row r="49" spans="1:352" s="180" customFormat="1" x14ac:dyDescent="0.25">
      <c r="A49" s="98"/>
      <c r="B49" s="64" t="s">
        <v>66</v>
      </c>
      <c r="C49" s="98"/>
      <c r="D49" s="163">
        <v>20875.483134920636</v>
      </c>
      <c r="E49" s="164">
        <v>20227.548333333332</v>
      </c>
      <c r="F49" s="164">
        <v>19575.36365079365</v>
      </c>
      <c r="G49" s="164">
        <v>18918.902619047618</v>
      </c>
      <c r="H49" s="164">
        <v>18258.136468253968</v>
      </c>
      <c r="I49" s="164">
        <v>17593.037579365078</v>
      </c>
      <c r="J49" s="164">
        <v>16923.577182539681</v>
      </c>
      <c r="K49" s="164">
        <v>16249.726507936506</v>
      </c>
      <c r="L49" s="164">
        <v>15571.457936507935</v>
      </c>
      <c r="M49" s="164">
        <v>14888.740396825398</v>
      </c>
      <c r="N49" s="164">
        <v>14201.546269841268</v>
      </c>
      <c r="O49" s="164">
        <v>13415.666984126985</v>
      </c>
      <c r="P49" s="157">
        <f t="shared" si="161"/>
        <v>206699.18706349205</v>
      </c>
      <c r="Q49" s="161"/>
      <c r="R49" s="163">
        <v>2159.5327380952381</v>
      </c>
      <c r="S49" s="164">
        <v>2092.5050000000001</v>
      </c>
      <c r="T49" s="164">
        <v>2025.037619047619</v>
      </c>
      <c r="U49" s="164">
        <v>1957.127857142857</v>
      </c>
      <c r="V49" s="164">
        <v>1888.7727380952381</v>
      </c>
      <c r="W49" s="164">
        <v>1819.9694047619046</v>
      </c>
      <c r="X49" s="164">
        <v>1750.714880952381</v>
      </c>
      <c r="Y49" s="164">
        <v>1681.0061904761901</v>
      </c>
      <c r="Z49" s="164">
        <v>1610.8404761904762</v>
      </c>
      <c r="AA49" s="164">
        <v>1540.2145238095241</v>
      </c>
      <c r="AB49" s="164">
        <v>1469.1254761904761</v>
      </c>
      <c r="AC49" s="164">
        <v>1387.827619047619</v>
      </c>
      <c r="AD49" s="157">
        <f t="shared" si="162"/>
        <v>21382.674523809525</v>
      </c>
      <c r="AE49" s="161"/>
      <c r="AF49" s="163">
        <v>2159.5327380952381</v>
      </c>
      <c r="AG49" s="164">
        <v>2092.5050000000001</v>
      </c>
      <c r="AH49" s="164">
        <v>2025.037619047619</v>
      </c>
      <c r="AI49" s="164">
        <v>1957.127857142857</v>
      </c>
      <c r="AJ49" s="164">
        <v>1888.7727380952381</v>
      </c>
      <c r="AK49" s="164">
        <v>1819.9694047619046</v>
      </c>
      <c r="AL49" s="164">
        <v>1750.714880952381</v>
      </c>
      <c r="AM49" s="164">
        <v>1681.0061904761901</v>
      </c>
      <c r="AN49" s="164">
        <v>1610.8404761904762</v>
      </c>
      <c r="AO49" s="164">
        <v>1540.2145238095241</v>
      </c>
      <c r="AP49" s="164">
        <v>1469.1254761904761</v>
      </c>
      <c r="AQ49" s="164">
        <v>1387.827619047619</v>
      </c>
      <c r="AR49" s="157">
        <f t="shared" si="163"/>
        <v>21382.674523809525</v>
      </c>
      <c r="AS49" s="161"/>
      <c r="AT49" s="163">
        <v>1439.688492063492</v>
      </c>
      <c r="AU49" s="164">
        <v>1395.0033333333333</v>
      </c>
      <c r="AV49" s="164">
        <v>1350.0250793650794</v>
      </c>
      <c r="AW49" s="164">
        <v>1304.7519047619046</v>
      </c>
      <c r="AX49" s="164">
        <v>1259.1818253968254</v>
      </c>
      <c r="AY49" s="164">
        <v>1213.3129365079365</v>
      </c>
      <c r="AZ49" s="164">
        <v>1167.1432539682539</v>
      </c>
      <c r="BA49" s="164">
        <v>1120.6707936507935</v>
      </c>
      <c r="BB49" s="154">
        <v>1073.8936507936507</v>
      </c>
      <c r="BC49" s="154">
        <v>1026.8096825396826</v>
      </c>
      <c r="BD49" s="154">
        <v>979.41698412698406</v>
      </c>
      <c r="BE49" s="154">
        <v>925.21841269841275</v>
      </c>
      <c r="BF49" s="157">
        <f t="shared" si="164"/>
        <v>14255.116349206348</v>
      </c>
      <c r="BG49" s="176"/>
      <c r="BH49" s="163">
        <v>10797.663690476191</v>
      </c>
      <c r="BI49" s="164">
        <v>10462.525</v>
      </c>
      <c r="BJ49" s="154">
        <v>10125.188095238096</v>
      </c>
      <c r="BK49" s="154">
        <v>9785.6392857142837</v>
      </c>
      <c r="BL49" s="154">
        <v>9443.8636904761897</v>
      </c>
      <c r="BM49" s="154">
        <v>9099.8470238095233</v>
      </c>
      <c r="BN49" s="154">
        <v>8753.5744047619046</v>
      </c>
      <c r="BO49" s="154">
        <v>8405.0309523809519</v>
      </c>
      <c r="BP49" s="154">
        <v>8054.2023809523807</v>
      </c>
      <c r="BQ49" s="154">
        <v>7701.0726190476198</v>
      </c>
      <c r="BR49" s="154">
        <v>7345.6273809523809</v>
      </c>
      <c r="BS49" s="154">
        <v>6939.138095238096</v>
      </c>
      <c r="BT49" s="157">
        <f t="shared" si="165"/>
        <v>106913.37261904764</v>
      </c>
      <c r="BU49" s="161"/>
      <c r="BV49" s="163">
        <v>719.84424603174602</v>
      </c>
      <c r="BW49" s="164">
        <v>697.50166666666667</v>
      </c>
      <c r="BX49" s="154">
        <v>675.01253968253968</v>
      </c>
      <c r="BY49" s="154">
        <v>652.3759523809523</v>
      </c>
      <c r="BZ49" s="154">
        <v>629.59091269841269</v>
      </c>
      <c r="CA49" s="154">
        <v>606.65646825396823</v>
      </c>
      <c r="CB49" s="154">
        <v>583.57162698412696</v>
      </c>
      <c r="CC49" s="154">
        <v>560.33539682539674</v>
      </c>
      <c r="CD49" s="154">
        <v>536.94682539682537</v>
      </c>
      <c r="CE49" s="154">
        <v>513.40484126984131</v>
      </c>
      <c r="CF49" s="154">
        <v>489.70849206349203</v>
      </c>
      <c r="CG49" s="154">
        <v>462.60920634920637</v>
      </c>
      <c r="CH49" s="157">
        <f t="shared" si="166"/>
        <v>7127.5581746031739</v>
      </c>
      <c r="CI49" s="161"/>
      <c r="CJ49" s="163">
        <v>7918.2867063492067</v>
      </c>
      <c r="CK49" s="164">
        <v>7672.5183333333334</v>
      </c>
      <c r="CL49" s="154">
        <v>7425.1379365079365</v>
      </c>
      <c r="CM49" s="154">
        <v>7176.1354761904749</v>
      </c>
      <c r="CN49" s="154">
        <v>6925.5000396825399</v>
      </c>
      <c r="CO49" s="154">
        <v>6673.2211507936508</v>
      </c>
      <c r="CP49" s="154">
        <v>6419.2878968253963</v>
      </c>
      <c r="CQ49" s="154">
        <v>6163.6893650793645</v>
      </c>
      <c r="CR49" s="154">
        <v>5906.4150793650788</v>
      </c>
      <c r="CS49" s="154">
        <v>5647.4532539682541</v>
      </c>
      <c r="CT49" s="154">
        <v>5386.7934126984128</v>
      </c>
      <c r="CU49" s="154">
        <v>5088.70126984127</v>
      </c>
      <c r="CV49" s="157">
        <f t="shared" si="167"/>
        <v>78403.139920634916</v>
      </c>
      <c r="CW49" s="161"/>
      <c r="CX49" s="163">
        <v>20155.638888888891</v>
      </c>
      <c r="CY49" s="164">
        <v>19530.046666666665</v>
      </c>
      <c r="CZ49" s="154">
        <v>18900.351111111111</v>
      </c>
      <c r="DA49" s="154">
        <v>18266.526666666665</v>
      </c>
      <c r="DB49" s="154">
        <v>17628.545555555556</v>
      </c>
      <c r="DC49" s="154">
        <v>16986.38111111111</v>
      </c>
      <c r="DD49" s="154">
        <v>16340.005555555555</v>
      </c>
      <c r="DE49" s="154">
        <v>15689.391111111108</v>
      </c>
      <c r="DF49" s="154">
        <v>15034.511111111111</v>
      </c>
      <c r="DG49" s="154">
        <v>14375.335555555557</v>
      </c>
      <c r="DH49" s="154">
        <v>13711.837777777777</v>
      </c>
      <c r="DI49" s="154">
        <v>12953.057777777778</v>
      </c>
      <c r="DJ49" s="157">
        <f t="shared" si="168"/>
        <v>199571.6288888889</v>
      </c>
      <c r="DK49" s="161"/>
      <c r="DL49" s="163">
        <v>20155.638888888891</v>
      </c>
      <c r="DM49" s="164">
        <v>19530.046666666665</v>
      </c>
      <c r="DN49" s="154">
        <v>18900.351111111111</v>
      </c>
      <c r="DO49" s="154">
        <v>18266.526666666665</v>
      </c>
      <c r="DP49" s="154">
        <v>17628.545555555556</v>
      </c>
      <c r="DQ49" s="154">
        <v>16986.38111111111</v>
      </c>
      <c r="DR49" s="154">
        <v>16340.005555555555</v>
      </c>
      <c r="DS49" s="154">
        <v>15689.391111111108</v>
      </c>
      <c r="DT49" s="154">
        <v>15034.511111111111</v>
      </c>
      <c r="DU49" s="154">
        <v>14375.335555555557</v>
      </c>
      <c r="DV49" s="154">
        <v>13711.837777777777</v>
      </c>
      <c r="DW49" s="154">
        <v>12953.057777777778</v>
      </c>
      <c r="DX49" s="157">
        <f t="shared" si="169"/>
        <v>199571.6288888889</v>
      </c>
      <c r="DY49" s="161"/>
      <c r="DZ49" s="163">
        <v>719.84424603174602</v>
      </c>
      <c r="EA49" s="164">
        <v>697.50166666666667</v>
      </c>
      <c r="EB49" s="154">
        <v>675.01253968253968</v>
      </c>
      <c r="EC49" s="154">
        <v>652.3759523809523</v>
      </c>
      <c r="ED49" s="154">
        <v>629.59091269841269</v>
      </c>
      <c r="EE49" s="154">
        <v>606.65646825396823</v>
      </c>
      <c r="EF49" s="154">
        <v>583.57162698412696</v>
      </c>
      <c r="EG49" s="154">
        <v>560.33539682539674</v>
      </c>
      <c r="EH49" s="154">
        <v>536.94682539682537</v>
      </c>
      <c r="EI49" s="154">
        <v>513.40484126984131</v>
      </c>
      <c r="EJ49" s="154">
        <v>489.70849206349203</v>
      </c>
      <c r="EK49" s="154">
        <v>462.60920634920637</v>
      </c>
      <c r="EL49" s="157">
        <f t="shared" si="170"/>
        <v>7127.5581746031739</v>
      </c>
      <c r="EM49" s="161"/>
      <c r="EN49" s="163">
        <v>1439.688492063492</v>
      </c>
      <c r="EO49" s="164">
        <v>1395.0033333333333</v>
      </c>
      <c r="EP49" s="154">
        <v>1350.0250793650794</v>
      </c>
      <c r="EQ49" s="154">
        <v>1304.7519047619046</v>
      </c>
      <c r="ER49" s="154">
        <v>1259.1818253968254</v>
      </c>
      <c r="ES49" s="154">
        <v>1213.3129365079365</v>
      </c>
      <c r="ET49" s="154">
        <v>1167.1432539682539</v>
      </c>
      <c r="EU49" s="154">
        <v>1120.6707936507935</v>
      </c>
      <c r="EV49" s="154">
        <v>1073.8936507936507</v>
      </c>
      <c r="EW49" s="154">
        <v>1026.8096825396826</v>
      </c>
      <c r="EX49" s="154">
        <v>979.41698412698406</v>
      </c>
      <c r="EY49" s="154">
        <v>925.21841269841275</v>
      </c>
      <c r="EZ49" s="157">
        <f t="shared" si="171"/>
        <v>14255.116349206348</v>
      </c>
      <c r="FA49" s="161"/>
      <c r="FB49" s="163">
        <v>719.84424603174602</v>
      </c>
      <c r="FC49" s="164">
        <v>697.50166666666667</v>
      </c>
      <c r="FD49" s="154">
        <v>675.01253968253968</v>
      </c>
      <c r="FE49" s="154">
        <v>652.3759523809523</v>
      </c>
      <c r="FF49" s="154">
        <v>629.59091269841269</v>
      </c>
      <c r="FG49" s="154">
        <v>606.65646825396823</v>
      </c>
      <c r="FH49" s="154">
        <v>583.57162698412696</v>
      </c>
      <c r="FI49" s="154">
        <v>560.33539682539674</v>
      </c>
      <c r="FJ49" s="154">
        <v>536.94682539682537</v>
      </c>
      <c r="FK49" s="154">
        <v>513.40484126984131</v>
      </c>
      <c r="FL49" s="154">
        <v>489.70849206349203</v>
      </c>
      <c r="FM49" s="154">
        <v>462.60920634920637</v>
      </c>
      <c r="FN49" s="157">
        <f t="shared" si="172"/>
        <v>7127.5581746031739</v>
      </c>
      <c r="FO49" s="161"/>
      <c r="FP49" s="163">
        <v>5038.9097222222226</v>
      </c>
      <c r="FQ49" s="164">
        <v>4882.5116666666663</v>
      </c>
      <c r="FR49" s="154">
        <v>4725.0877777777778</v>
      </c>
      <c r="FS49" s="154">
        <v>4566.6316666666662</v>
      </c>
      <c r="FT49" s="154">
        <v>4407.1363888888891</v>
      </c>
      <c r="FU49" s="154">
        <v>4246.5952777777775</v>
      </c>
      <c r="FV49" s="154">
        <v>4085.0013888888889</v>
      </c>
      <c r="FW49" s="154">
        <v>3922.3477777777771</v>
      </c>
      <c r="FX49" s="154">
        <v>3758.6277777777777</v>
      </c>
      <c r="FY49" s="154">
        <v>3593.8338888888893</v>
      </c>
      <c r="FZ49" s="154">
        <v>3427.9594444444442</v>
      </c>
      <c r="GA49" s="154">
        <v>3238.2644444444445</v>
      </c>
      <c r="GB49" s="157">
        <f t="shared" si="173"/>
        <v>49892.907222222224</v>
      </c>
      <c r="GC49" s="161"/>
      <c r="GD49" s="163">
        <v>719.84424603174602</v>
      </c>
      <c r="GE49" s="164">
        <v>697.50166666666667</v>
      </c>
      <c r="GF49" s="154">
        <v>675.01253968253968</v>
      </c>
      <c r="GG49" s="154">
        <v>652.3759523809523</v>
      </c>
      <c r="GH49" s="154">
        <v>629.59091269841269</v>
      </c>
      <c r="GI49" s="154">
        <v>606.65646825396823</v>
      </c>
      <c r="GJ49" s="154">
        <v>583.57162698412696</v>
      </c>
      <c r="GK49" s="154">
        <v>560.33539682539674</v>
      </c>
      <c r="GL49" s="154">
        <v>536.94682539682537</v>
      </c>
      <c r="GM49" s="154">
        <v>513.40484126984131</v>
      </c>
      <c r="GN49" s="154">
        <v>489.70849206349203</v>
      </c>
      <c r="GO49" s="154">
        <v>462.60920634920637</v>
      </c>
      <c r="GP49" s="157">
        <f t="shared" si="174"/>
        <v>7127.5581746031739</v>
      </c>
      <c r="GQ49" s="161"/>
      <c r="GR49" s="163">
        <v>404048.6</v>
      </c>
      <c r="GS49" s="164">
        <v>397662.89</v>
      </c>
      <c r="GT49" s="154">
        <v>391232.66</v>
      </c>
      <c r="GU49" s="154">
        <v>384757.61</v>
      </c>
      <c r="GV49" s="154">
        <v>378237.41</v>
      </c>
      <c r="GW49" s="154">
        <v>371671.75</v>
      </c>
      <c r="GX49" s="154">
        <v>365060.32</v>
      </c>
      <c r="GY49" s="154">
        <v>358402.8</v>
      </c>
      <c r="GZ49" s="154">
        <v>351698.87</v>
      </c>
      <c r="HA49" s="154">
        <v>344948.19</v>
      </c>
      <c r="HB49" s="154">
        <v>338150.46</v>
      </c>
      <c r="HC49" s="154">
        <v>331305.33</v>
      </c>
      <c r="HD49" s="157">
        <f t="shared" ref="HD49:HD55" si="186">+SUBTOTAL(9,GR49:HC49)*0</f>
        <v>0</v>
      </c>
      <c r="HE49" s="161"/>
      <c r="HF49" s="163">
        <v>2879.3769841269841</v>
      </c>
      <c r="HG49" s="164">
        <v>2790.0066666666667</v>
      </c>
      <c r="HH49" s="154">
        <v>2700.0501587301587</v>
      </c>
      <c r="HI49" s="154">
        <v>2609.5038095238092</v>
      </c>
      <c r="HJ49" s="154">
        <v>2518.3636507936508</v>
      </c>
      <c r="HK49" s="154">
        <v>2426.6258730158729</v>
      </c>
      <c r="HL49" s="154">
        <v>2334.2865079365079</v>
      </c>
      <c r="HM49" s="154">
        <v>2241.341587301587</v>
      </c>
      <c r="HN49" s="154">
        <v>2147.7873015873015</v>
      </c>
      <c r="HO49" s="154">
        <v>2053.6193650793653</v>
      </c>
      <c r="HP49" s="154">
        <v>1958.8339682539681</v>
      </c>
      <c r="HQ49" s="154">
        <v>1850.4368253968255</v>
      </c>
      <c r="HR49" s="157">
        <f t="shared" si="175"/>
        <v>28510.232698412696</v>
      </c>
      <c r="HS49" s="161"/>
      <c r="HT49" s="163">
        <v>719.84424603174602</v>
      </c>
      <c r="HU49" s="164">
        <v>697.50166666666667</v>
      </c>
      <c r="HV49" s="154">
        <v>675.01253968253968</v>
      </c>
      <c r="HW49" s="154">
        <v>652.3759523809523</v>
      </c>
      <c r="HX49" s="154">
        <v>629.59091269841269</v>
      </c>
      <c r="HY49" s="154">
        <v>606.65646825396823</v>
      </c>
      <c r="HZ49" s="154">
        <v>583.57162698412696</v>
      </c>
      <c r="IA49" s="154">
        <v>560.33539682539674</v>
      </c>
      <c r="IB49" s="154">
        <v>536.94682539682537</v>
      </c>
      <c r="IC49" s="154">
        <v>513.40484126984131</v>
      </c>
      <c r="ID49" s="154">
        <v>489.70849206349203</v>
      </c>
      <c r="IE49" s="154">
        <v>462.60920634920637</v>
      </c>
      <c r="IF49" s="157">
        <f t="shared" si="176"/>
        <v>7127.5581746031739</v>
      </c>
      <c r="IG49" s="161"/>
      <c r="IH49" s="163">
        <v>719.84424603174602</v>
      </c>
      <c r="II49" s="164">
        <v>697.50166666666667</v>
      </c>
      <c r="IJ49" s="154">
        <v>675.01253968253968</v>
      </c>
      <c r="IK49" s="154">
        <v>652.3759523809523</v>
      </c>
      <c r="IL49" s="154">
        <v>629.59091269841269</v>
      </c>
      <c r="IM49" s="154">
        <v>606.65646825396823</v>
      </c>
      <c r="IN49" s="154">
        <v>583.57162698412696</v>
      </c>
      <c r="IO49" s="154">
        <v>560.33539682539674</v>
      </c>
      <c r="IP49" s="154">
        <v>536.94682539682537</v>
      </c>
      <c r="IQ49" s="154">
        <v>513.40484126984131</v>
      </c>
      <c r="IR49" s="154">
        <v>489.70849206349203</v>
      </c>
      <c r="IS49" s="154">
        <v>462.60920634920637</v>
      </c>
      <c r="IT49" s="157">
        <f t="shared" si="177"/>
        <v>7127.5581746031739</v>
      </c>
      <c r="IU49" s="161"/>
      <c r="IV49" s="163">
        <v>5038.9097222222226</v>
      </c>
      <c r="IW49" s="164">
        <v>4882.5116666666663</v>
      </c>
      <c r="IX49" s="154">
        <v>4725.0877777777778</v>
      </c>
      <c r="IY49" s="154">
        <v>4566.6316666666662</v>
      </c>
      <c r="IZ49" s="154">
        <v>4407.1363888888891</v>
      </c>
      <c r="JA49" s="154">
        <v>4246.5952777777775</v>
      </c>
      <c r="JB49" s="154">
        <v>4085.0013888888889</v>
      </c>
      <c r="JC49" s="154">
        <v>3922.3477777777771</v>
      </c>
      <c r="JD49" s="154">
        <v>3758.6277777777777</v>
      </c>
      <c r="JE49" s="154">
        <v>3593.8338888888893</v>
      </c>
      <c r="JF49" s="154">
        <v>3427.9594444444442</v>
      </c>
      <c r="JG49" s="154">
        <v>3238.2644444444445</v>
      </c>
      <c r="JH49" s="157">
        <f t="shared" si="178"/>
        <v>49892.907222222224</v>
      </c>
      <c r="JI49" s="161"/>
      <c r="JJ49" s="163">
        <v>7918.2867063492067</v>
      </c>
      <c r="JK49" s="164">
        <v>7672.5183333333334</v>
      </c>
      <c r="JL49" s="154">
        <v>7425.1379365079365</v>
      </c>
      <c r="JM49" s="154">
        <v>7176.1354761904749</v>
      </c>
      <c r="JN49" s="154">
        <v>6925.5000396825399</v>
      </c>
      <c r="JO49" s="154">
        <v>6673.2211507936508</v>
      </c>
      <c r="JP49" s="154">
        <v>6419.2878968253963</v>
      </c>
      <c r="JQ49" s="154">
        <v>6163.6893650793645</v>
      </c>
      <c r="JR49" s="154">
        <v>5906.4150793650788</v>
      </c>
      <c r="JS49" s="154">
        <v>5647.4532539682541</v>
      </c>
      <c r="JT49" s="154">
        <v>5386.7934126984128</v>
      </c>
      <c r="JU49" s="154">
        <v>5088.70126984127</v>
      </c>
      <c r="JV49" s="157">
        <f t="shared" si="179"/>
        <v>78403.139920634916</v>
      </c>
      <c r="JW49" s="161"/>
      <c r="JX49" s="163">
        <v>3599.2212301587301</v>
      </c>
      <c r="JY49" s="164">
        <v>3487.5083333333332</v>
      </c>
      <c r="JZ49" s="154">
        <v>3375.0626984126984</v>
      </c>
      <c r="KA49" s="154">
        <v>3261.8797619047614</v>
      </c>
      <c r="KB49" s="154">
        <v>3147.9545634920632</v>
      </c>
      <c r="KC49" s="154">
        <v>3033.2823412698413</v>
      </c>
      <c r="KD49" s="154">
        <v>2917.8581349206347</v>
      </c>
      <c r="KE49" s="154">
        <v>2801.6769841269838</v>
      </c>
      <c r="KF49" s="154">
        <v>2684.7341269841268</v>
      </c>
      <c r="KG49" s="154">
        <v>2567.0242063492065</v>
      </c>
      <c r="KH49" s="154">
        <v>2448.5424603174602</v>
      </c>
      <c r="KI49" s="154">
        <v>2313.046031746032</v>
      </c>
      <c r="KJ49" s="157">
        <f t="shared" si="180"/>
        <v>35637.790873015874</v>
      </c>
      <c r="KK49" s="161"/>
      <c r="KL49" s="163">
        <v>1439.688492063492</v>
      </c>
      <c r="KM49" s="164">
        <v>1395.0033333333333</v>
      </c>
      <c r="KN49" s="154">
        <v>1350.0250793650794</v>
      </c>
      <c r="KO49" s="154">
        <v>1304.7519047619046</v>
      </c>
      <c r="KP49" s="154">
        <v>1259.1818253968254</v>
      </c>
      <c r="KQ49" s="154">
        <v>1213.3129365079365</v>
      </c>
      <c r="KR49" s="154">
        <v>1167.1432539682539</v>
      </c>
      <c r="KS49" s="154">
        <v>1120.6707936507935</v>
      </c>
      <c r="KT49" s="154">
        <v>1073.8936507936507</v>
      </c>
      <c r="KU49" s="154">
        <v>1026.8096825396826</v>
      </c>
      <c r="KV49" s="154">
        <v>979.41698412698406</v>
      </c>
      <c r="KW49" s="154">
        <v>925.21841269841275</v>
      </c>
      <c r="KX49" s="157">
        <f t="shared" si="181"/>
        <v>14255.116349206348</v>
      </c>
      <c r="KY49" s="161"/>
      <c r="KZ49" s="163">
        <v>719.84424603174602</v>
      </c>
      <c r="LA49" s="164">
        <v>697.50166666666667</v>
      </c>
      <c r="LB49" s="154">
        <v>675.01253968253968</v>
      </c>
      <c r="LC49" s="154">
        <v>652.3759523809523</v>
      </c>
      <c r="LD49" s="154">
        <v>629.59091269841269</v>
      </c>
      <c r="LE49" s="154">
        <v>606.65646825396823</v>
      </c>
      <c r="LF49" s="154">
        <v>583.57162698412696</v>
      </c>
      <c r="LG49" s="154">
        <v>560.33539682539674</v>
      </c>
      <c r="LH49" s="154">
        <v>536.94682539682537</v>
      </c>
      <c r="LI49" s="154">
        <v>513.40484126984131</v>
      </c>
      <c r="LJ49" s="154">
        <v>489.70849206349203</v>
      </c>
      <c r="LK49" s="154">
        <v>462.60920634920637</v>
      </c>
      <c r="LL49" s="157">
        <f t="shared" si="182"/>
        <v>7127.5581746031739</v>
      </c>
      <c r="LM49" s="161"/>
      <c r="LN49" s="163">
        <v>0</v>
      </c>
      <c r="LO49" s="164">
        <v>0</v>
      </c>
      <c r="LP49" s="154">
        <v>0</v>
      </c>
      <c r="LQ49" s="154">
        <v>0</v>
      </c>
      <c r="LR49" s="154">
        <v>0</v>
      </c>
      <c r="LS49" s="154">
        <v>0</v>
      </c>
      <c r="LT49" s="154">
        <v>0</v>
      </c>
      <c r="LU49" s="154">
        <v>0</v>
      </c>
      <c r="LV49" s="154">
        <v>0</v>
      </c>
      <c r="LW49" s="154">
        <v>0</v>
      </c>
      <c r="LX49" s="154">
        <v>0</v>
      </c>
      <c r="LY49" s="154">
        <v>0</v>
      </c>
      <c r="LZ49" s="157">
        <f t="shared" si="183"/>
        <v>0</v>
      </c>
      <c r="MA49" s="161"/>
      <c r="MB49" s="157">
        <f t="shared" si="184"/>
        <v>522103.05634920648</v>
      </c>
      <c r="MC49" s="157">
        <f t="shared" si="184"/>
        <v>512053.16333333327</v>
      </c>
      <c r="MD49" s="157">
        <f t="shared" si="184"/>
        <v>501934.71650793654</v>
      </c>
      <c r="ME49" s="157">
        <f t="shared" si="184"/>
        <v>491747.26619047613</v>
      </c>
      <c r="MF49" s="157">
        <f t="shared" si="184"/>
        <v>481490.31968253967</v>
      </c>
      <c r="MG49" s="157">
        <f t="shared" si="184"/>
        <v>471163.41079365078</v>
      </c>
      <c r="MH49" s="157">
        <f t="shared" si="184"/>
        <v>460766.06682539673</v>
      </c>
      <c r="MI49" s="157">
        <f t="shared" si="184"/>
        <v>450297.80507936503</v>
      </c>
      <c r="MJ49" s="157">
        <f t="shared" si="184"/>
        <v>439758.14936507941</v>
      </c>
      <c r="MK49" s="157">
        <f t="shared" si="184"/>
        <v>429146.58396825398</v>
      </c>
      <c r="ML49" s="157">
        <f t="shared" si="184"/>
        <v>418462.65269841277</v>
      </c>
      <c r="MM49" s="157">
        <f t="shared" si="184"/>
        <v>407173.23984126979</v>
      </c>
      <c r="MN49" s="157">
        <f t="shared" si="185"/>
        <v>5586096.4306349196</v>
      </c>
    </row>
    <row r="50" spans="1:352" s="180" customFormat="1" x14ac:dyDescent="0.25">
      <c r="A50" s="98"/>
      <c r="B50" s="64" t="s">
        <v>67</v>
      </c>
      <c r="C50" s="98"/>
      <c r="D50" s="163">
        <v>56952.777777777781</v>
      </c>
      <c r="E50" s="164">
        <v>56952.777777777781</v>
      </c>
      <c r="F50" s="164">
        <v>56952.777777777781</v>
      </c>
      <c r="G50" s="164">
        <v>56952.777777777781</v>
      </c>
      <c r="H50" s="164">
        <v>56952.777777777781</v>
      </c>
      <c r="I50" s="164">
        <v>56952.777777777781</v>
      </c>
      <c r="J50" s="164">
        <v>56952.777777777781</v>
      </c>
      <c r="K50" s="164">
        <v>56952.777777777781</v>
      </c>
      <c r="L50" s="164">
        <v>56952.777777777781</v>
      </c>
      <c r="M50" s="164">
        <v>56952.777777777781</v>
      </c>
      <c r="N50" s="164">
        <v>56952.777777777781</v>
      </c>
      <c r="O50" s="164">
        <v>55226.5873015873</v>
      </c>
      <c r="P50" s="157">
        <f t="shared" si="161"/>
        <v>681707.14285714272</v>
      </c>
      <c r="Q50" s="161"/>
      <c r="R50" s="163">
        <v>5891.666666666667</v>
      </c>
      <c r="S50" s="164">
        <v>5891.666666666667</v>
      </c>
      <c r="T50" s="164">
        <v>5891.666666666667</v>
      </c>
      <c r="U50" s="164">
        <v>5891.666666666667</v>
      </c>
      <c r="V50" s="164">
        <v>5891.666666666667</v>
      </c>
      <c r="W50" s="164">
        <v>5891.666666666667</v>
      </c>
      <c r="X50" s="164">
        <v>5891.666666666667</v>
      </c>
      <c r="Y50" s="164">
        <v>5891.666666666667</v>
      </c>
      <c r="Z50" s="164">
        <v>5891.666666666667</v>
      </c>
      <c r="AA50" s="164">
        <v>5891.666666666667</v>
      </c>
      <c r="AB50" s="164">
        <v>5891.666666666667</v>
      </c>
      <c r="AC50" s="164">
        <v>5713.0952380952376</v>
      </c>
      <c r="AD50" s="157">
        <f t="shared" si="162"/>
        <v>70521.428571428565</v>
      </c>
      <c r="AE50" s="161"/>
      <c r="AF50" s="163">
        <v>5891.666666666667</v>
      </c>
      <c r="AG50" s="164">
        <v>5891.666666666667</v>
      </c>
      <c r="AH50" s="164">
        <v>5891.666666666667</v>
      </c>
      <c r="AI50" s="164">
        <v>5891.666666666667</v>
      </c>
      <c r="AJ50" s="164">
        <v>5891.666666666667</v>
      </c>
      <c r="AK50" s="164">
        <v>5891.666666666667</v>
      </c>
      <c r="AL50" s="164">
        <v>5891.666666666667</v>
      </c>
      <c r="AM50" s="164">
        <v>5891.666666666667</v>
      </c>
      <c r="AN50" s="164">
        <v>5891.666666666667</v>
      </c>
      <c r="AO50" s="164">
        <v>5891.666666666667</v>
      </c>
      <c r="AP50" s="164">
        <v>5891.666666666667</v>
      </c>
      <c r="AQ50" s="164">
        <v>5713.0952380952376</v>
      </c>
      <c r="AR50" s="157">
        <f t="shared" si="163"/>
        <v>70521.428571428565</v>
      </c>
      <c r="AS50" s="161"/>
      <c r="AT50" s="163">
        <v>3927.7777777777778</v>
      </c>
      <c r="AU50" s="164">
        <v>3927.7777777777778</v>
      </c>
      <c r="AV50" s="164">
        <v>3927.7777777777778</v>
      </c>
      <c r="AW50" s="164">
        <v>3927.7777777777778</v>
      </c>
      <c r="AX50" s="164">
        <v>3927.7777777777778</v>
      </c>
      <c r="AY50" s="164">
        <v>3927.7777777777778</v>
      </c>
      <c r="AZ50" s="164">
        <v>3927.7777777777778</v>
      </c>
      <c r="BA50" s="164">
        <v>3927.7777777777778</v>
      </c>
      <c r="BB50" s="154">
        <v>3927.7777777777778</v>
      </c>
      <c r="BC50" s="154">
        <v>3927.7777777777778</v>
      </c>
      <c r="BD50" s="154">
        <v>3927.7777777777778</v>
      </c>
      <c r="BE50" s="154">
        <v>3808.7301587301586</v>
      </c>
      <c r="BF50" s="157">
        <f t="shared" si="164"/>
        <v>47014.285714285717</v>
      </c>
      <c r="BG50" s="176"/>
      <c r="BH50" s="163">
        <v>29458.333333333332</v>
      </c>
      <c r="BI50" s="164">
        <v>29458.333333333332</v>
      </c>
      <c r="BJ50" s="154">
        <v>29458.333333333332</v>
      </c>
      <c r="BK50" s="154">
        <v>29458.333333333332</v>
      </c>
      <c r="BL50" s="154">
        <v>29458.333333333332</v>
      </c>
      <c r="BM50" s="154">
        <v>29458.333333333332</v>
      </c>
      <c r="BN50" s="154">
        <v>29458.333333333332</v>
      </c>
      <c r="BO50" s="154">
        <v>29458.333333333332</v>
      </c>
      <c r="BP50" s="154">
        <v>29458.333333333332</v>
      </c>
      <c r="BQ50" s="154">
        <v>29458.333333333332</v>
      </c>
      <c r="BR50" s="154">
        <v>29458.333333333332</v>
      </c>
      <c r="BS50" s="154">
        <v>28565.476190476191</v>
      </c>
      <c r="BT50" s="157">
        <f t="shared" si="165"/>
        <v>352607.14285714284</v>
      </c>
      <c r="BU50" s="161"/>
      <c r="BV50" s="163">
        <v>1963.8888888888889</v>
      </c>
      <c r="BW50" s="164">
        <v>1963.8888888888889</v>
      </c>
      <c r="BX50" s="154">
        <v>1963.8888888888889</v>
      </c>
      <c r="BY50" s="154">
        <v>1963.8888888888889</v>
      </c>
      <c r="BZ50" s="154">
        <v>1963.8888888888889</v>
      </c>
      <c r="CA50" s="154">
        <v>1963.8888888888889</v>
      </c>
      <c r="CB50" s="154">
        <v>1963.8888888888889</v>
      </c>
      <c r="CC50" s="154">
        <v>1963.8888888888889</v>
      </c>
      <c r="CD50" s="154">
        <v>1963.8888888888889</v>
      </c>
      <c r="CE50" s="154">
        <v>1963.8888888888889</v>
      </c>
      <c r="CF50" s="154">
        <v>1963.8888888888889</v>
      </c>
      <c r="CG50" s="154">
        <v>1904.3650793650793</v>
      </c>
      <c r="CH50" s="157">
        <f t="shared" si="166"/>
        <v>23507.142857142859</v>
      </c>
      <c r="CI50" s="161"/>
      <c r="CJ50" s="163">
        <v>21602.777777777777</v>
      </c>
      <c r="CK50" s="164">
        <v>21602.777777777777</v>
      </c>
      <c r="CL50" s="154">
        <v>21602.777777777777</v>
      </c>
      <c r="CM50" s="154">
        <v>21602.777777777777</v>
      </c>
      <c r="CN50" s="154">
        <v>21602.777777777777</v>
      </c>
      <c r="CO50" s="154">
        <v>21602.777777777777</v>
      </c>
      <c r="CP50" s="154">
        <v>21602.777777777777</v>
      </c>
      <c r="CQ50" s="154">
        <v>21602.777777777777</v>
      </c>
      <c r="CR50" s="154">
        <v>21602.777777777777</v>
      </c>
      <c r="CS50" s="154">
        <v>21602.777777777777</v>
      </c>
      <c r="CT50" s="154">
        <v>21602.777777777777</v>
      </c>
      <c r="CU50" s="154">
        <v>20948.015873015873</v>
      </c>
      <c r="CV50" s="157">
        <f t="shared" si="167"/>
        <v>258578.57142857142</v>
      </c>
      <c r="CW50" s="161"/>
      <c r="CX50" s="163">
        <v>54988.888888888891</v>
      </c>
      <c r="CY50" s="164">
        <v>54988.888888888891</v>
      </c>
      <c r="CZ50" s="154">
        <v>54988.888888888891</v>
      </c>
      <c r="DA50" s="154">
        <v>54988.888888888891</v>
      </c>
      <c r="DB50" s="154">
        <v>54988.888888888891</v>
      </c>
      <c r="DC50" s="154">
        <v>54988.888888888891</v>
      </c>
      <c r="DD50" s="154">
        <v>54988.888888888891</v>
      </c>
      <c r="DE50" s="154">
        <v>54988.888888888891</v>
      </c>
      <c r="DF50" s="154">
        <v>54988.888888888891</v>
      </c>
      <c r="DG50" s="154">
        <v>54988.888888888891</v>
      </c>
      <c r="DH50" s="154">
        <v>54988.888888888891</v>
      </c>
      <c r="DI50" s="154">
        <v>53322.222222222219</v>
      </c>
      <c r="DJ50" s="157">
        <f t="shared" si="168"/>
        <v>658200</v>
      </c>
      <c r="DK50" s="161"/>
      <c r="DL50" s="163">
        <v>54988.888888888891</v>
      </c>
      <c r="DM50" s="164">
        <v>54988.888888888891</v>
      </c>
      <c r="DN50" s="154">
        <v>54988.888888888891</v>
      </c>
      <c r="DO50" s="154">
        <v>54988.888888888891</v>
      </c>
      <c r="DP50" s="154">
        <v>54988.888888888891</v>
      </c>
      <c r="DQ50" s="154">
        <v>54988.888888888891</v>
      </c>
      <c r="DR50" s="154">
        <v>54988.888888888891</v>
      </c>
      <c r="DS50" s="154">
        <v>54988.888888888891</v>
      </c>
      <c r="DT50" s="154">
        <v>54988.888888888891</v>
      </c>
      <c r="DU50" s="154">
        <v>54988.888888888891</v>
      </c>
      <c r="DV50" s="154">
        <v>54988.888888888891</v>
      </c>
      <c r="DW50" s="154">
        <v>53322.222222222219</v>
      </c>
      <c r="DX50" s="157">
        <f t="shared" si="169"/>
        <v>658200</v>
      </c>
      <c r="DY50" s="161"/>
      <c r="DZ50" s="163">
        <v>1963.8888888888889</v>
      </c>
      <c r="EA50" s="164">
        <v>1963.8888888888889</v>
      </c>
      <c r="EB50" s="154">
        <v>1963.8888888888889</v>
      </c>
      <c r="EC50" s="154">
        <v>1963.8888888888889</v>
      </c>
      <c r="ED50" s="154">
        <v>1963.8888888888889</v>
      </c>
      <c r="EE50" s="154">
        <v>1963.8888888888889</v>
      </c>
      <c r="EF50" s="154">
        <v>1963.8888888888889</v>
      </c>
      <c r="EG50" s="154">
        <v>1963.8888888888889</v>
      </c>
      <c r="EH50" s="154">
        <v>1963.8888888888889</v>
      </c>
      <c r="EI50" s="154">
        <v>1963.8888888888889</v>
      </c>
      <c r="EJ50" s="154">
        <v>1963.8888888888889</v>
      </c>
      <c r="EK50" s="154">
        <v>1904.3650793650793</v>
      </c>
      <c r="EL50" s="157">
        <f t="shared" si="170"/>
        <v>23507.142857142859</v>
      </c>
      <c r="EM50" s="161"/>
      <c r="EN50" s="163">
        <v>3927.7777777777778</v>
      </c>
      <c r="EO50" s="164">
        <v>3927.7777777777778</v>
      </c>
      <c r="EP50" s="154">
        <v>3927.7777777777778</v>
      </c>
      <c r="EQ50" s="154">
        <v>3927.7777777777778</v>
      </c>
      <c r="ER50" s="154">
        <v>3927.7777777777778</v>
      </c>
      <c r="ES50" s="154">
        <v>3927.7777777777778</v>
      </c>
      <c r="ET50" s="154">
        <v>3927.7777777777778</v>
      </c>
      <c r="EU50" s="154">
        <v>3927.7777777777778</v>
      </c>
      <c r="EV50" s="154">
        <v>3927.7777777777778</v>
      </c>
      <c r="EW50" s="154">
        <v>3927.7777777777778</v>
      </c>
      <c r="EX50" s="154">
        <v>3927.7777777777778</v>
      </c>
      <c r="EY50" s="154">
        <v>3808.7301587301586</v>
      </c>
      <c r="EZ50" s="157">
        <f t="shared" si="171"/>
        <v>47014.285714285717</v>
      </c>
      <c r="FA50" s="161"/>
      <c r="FB50" s="163">
        <v>1963.8888888888889</v>
      </c>
      <c r="FC50" s="164">
        <v>1963.8888888888889</v>
      </c>
      <c r="FD50" s="154">
        <v>1963.8888888888889</v>
      </c>
      <c r="FE50" s="154">
        <v>1963.8888888888889</v>
      </c>
      <c r="FF50" s="154">
        <v>1963.8888888888889</v>
      </c>
      <c r="FG50" s="154">
        <v>1963.8888888888889</v>
      </c>
      <c r="FH50" s="154">
        <v>1963.8888888888889</v>
      </c>
      <c r="FI50" s="154">
        <v>1963.8888888888889</v>
      </c>
      <c r="FJ50" s="154">
        <v>1963.8888888888889</v>
      </c>
      <c r="FK50" s="154">
        <v>1963.8888888888889</v>
      </c>
      <c r="FL50" s="154">
        <v>1963.8888888888889</v>
      </c>
      <c r="FM50" s="154">
        <v>1904.3650793650793</v>
      </c>
      <c r="FN50" s="157">
        <f t="shared" si="172"/>
        <v>23507.142857142859</v>
      </c>
      <c r="FO50" s="161"/>
      <c r="FP50" s="163">
        <v>13747.222222222223</v>
      </c>
      <c r="FQ50" s="164">
        <v>13747.222222222223</v>
      </c>
      <c r="FR50" s="154">
        <v>13747.222222222223</v>
      </c>
      <c r="FS50" s="154">
        <v>13747.222222222223</v>
      </c>
      <c r="FT50" s="154">
        <v>13747.222222222223</v>
      </c>
      <c r="FU50" s="154">
        <v>13747.222222222223</v>
      </c>
      <c r="FV50" s="154">
        <v>13747.222222222223</v>
      </c>
      <c r="FW50" s="154">
        <v>13747.222222222223</v>
      </c>
      <c r="FX50" s="154">
        <v>13747.222222222223</v>
      </c>
      <c r="FY50" s="154">
        <v>13747.222222222223</v>
      </c>
      <c r="FZ50" s="154">
        <v>13747.222222222223</v>
      </c>
      <c r="GA50" s="154">
        <v>13330.555555555555</v>
      </c>
      <c r="GB50" s="157">
        <f t="shared" si="173"/>
        <v>164550</v>
      </c>
      <c r="GC50" s="161"/>
      <c r="GD50" s="163">
        <v>1963.8888888888889</v>
      </c>
      <c r="GE50" s="164">
        <v>1963.8888888888889</v>
      </c>
      <c r="GF50" s="154">
        <v>1963.8888888888889</v>
      </c>
      <c r="GG50" s="154">
        <v>1963.8888888888889</v>
      </c>
      <c r="GH50" s="154">
        <v>1963.8888888888889</v>
      </c>
      <c r="GI50" s="154">
        <v>1963.8888888888889</v>
      </c>
      <c r="GJ50" s="154">
        <v>1963.8888888888889</v>
      </c>
      <c r="GK50" s="154">
        <v>1963.8888888888889</v>
      </c>
      <c r="GL50" s="154">
        <v>1963.8888888888889</v>
      </c>
      <c r="GM50" s="154">
        <v>1963.8888888888889</v>
      </c>
      <c r="GN50" s="154">
        <v>1963.8888888888889</v>
      </c>
      <c r="GO50" s="154">
        <v>1904.3650793650793</v>
      </c>
      <c r="GP50" s="157">
        <f t="shared" si="174"/>
        <v>23507.142857142859</v>
      </c>
      <c r="GQ50" s="161"/>
      <c r="GR50" s="163">
        <v>0</v>
      </c>
      <c r="GS50" s="164">
        <v>0</v>
      </c>
      <c r="GT50" s="154">
        <v>403000</v>
      </c>
      <c r="GU50" s="154">
        <v>403000</v>
      </c>
      <c r="GV50" s="154">
        <v>403000</v>
      </c>
      <c r="GW50" s="154">
        <v>403000</v>
      </c>
      <c r="GX50" s="154">
        <v>403000</v>
      </c>
      <c r="GY50" s="154">
        <v>403000</v>
      </c>
      <c r="GZ50" s="154">
        <v>403000</v>
      </c>
      <c r="HA50" s="154">
        <v>403000</v>
      </c>
      <c r="HB50" s="154">
        <v>403000</v>
      </c>
      <c r="HC50" s="154">
        <v>403000</v>
      </c>
      <c r="HD50" s="157">
        <f t="shared" si="186"/>
        <v>0</v>
      </c>
      <c r="HE50" s="161"/>
      <c r="HF50" s="163">
        <v>7855.5555555555557</v>
      </c>
      <c r="HG50" s="164">
        <v>7855.5555555555557</v>
      </c>
      <c r="HH50" s="154">
        <v>7855.5555555555557</v>
      </c>
      <c r="HI50" s="154">
        <v>7855.5555555555557</v>
      </c>
      <c r="HJ50" s="154">
        <v>7855.5555555555557</v>
      </c>
      <c r="HK50" s="154">
        <v>7855.5555555555557</v>
      </c>
      <c r="HL50" s="154">
        <v>7855.5555555555557</v>
      </c>
      <c r="HM50" s="154">
        <v>7855.5555555555557</v>
      </c>
      <c r="HN50" s="154">
        <v>7855.5555555555557</v>
      </c>
      <c r="HO50" s="154">
        <v>7855.5555555555557</v>
      </c>
      <c r="HP50" s="154">
        <v>7855.5555555555557</v>
      </c>
      <c r="HQ50" s="154">
        <v>7617.4603174603171</v>
      </c>
      <c r="HR50" s="157">
        <f t="shared" si="175"/>
        <v>94028.571428571435</v>
      </c>
      <c r="HS50" s="161"/>
      <c r="HT50" s="163">
        <v>1963.8888888888889</v>
      </c>
      <c r="HU50" s="164">
        <v>1963.8888888888889</v>
      </c>
      <c r="HV50" s="154">
        <v>1963.8888888888889</v>
      </c>
      <c r="HW50" s="154">
        <v>1963.8888888888889</v>
      </c>
      <c r="HX50" s="154">
        <v>1963.8888888888889</v>
      </c>
      <c r="HY50" s="154">
        <v>1963.8888888888889</v>
      </c>
      <c r="HZ50" s="154">
        <v>1963.8888888888889</v>
      </c>
      <c r="IA50" s="154">
        <v>1963.8888888888889</v>
      </c>
      <c r="IB50" s="154">
        <v>1963.8888888888889</v>
      </c>
      <c r="IC50" s="154">
        <v>1963.8888888888889</v>
      </c>
      <c r="ID50" s="154">
        <v>1963.8888888888889</v>
      </c>
      <c r="IE50" s="154">
        <v>1904.3650793650793</v>
      </c>
      <c r="IF50" s="157">
        <f t="shared" si="176"/>
        <v>23507.142857142859</v>
      </c>
      <c r="IG50" s="161"/>
      <c r="IH50" s="163">
        <v>1963.8888888888889</v>
      </c>
      <c r="II50" s="164">
        <v>1963.8888888888889</v>
      </c>
      <c r="IJ50" s="154">
        <v>1963.8888888888889</v>
      </c>
      <c r="IK50" s="154">
        <v>1963.8888888888889</v>
      </c>
      <c r="IL50" s="154">
        <v>1963.8888888888889</v>
      </c>
      <c r="IM50" s="154">
        <v>1963.8888888888889</v>
      </c>
      <c r="IN50" s="154">
        <v>1963.8888888888889</v>
      </c>
      <c r="IO50" s="154">
        <v>1963.8888888888889</v>
      </c>
      <c r="IP50" s="154">
        <v>1963.8888888888889</v>
      </c>
      <c r="IQ50" s="154">
        <v>1963.8888888888889</v>
      </c>
      <c r="IR50" s="154">
        <v>1963.8888888888889</v>
      </c>
      <c r="IS50" s="154">
        <v>1904.3650793650793</v>
      </c>
      <c r="IT50" s="157">
        <f t="shared" si="177"/>
        <v>23507.142857142859</v>
      </c>
      <c r="IU50" s="161"/>
      <c r="IV50" s="163">
        <v>13747.222222222223</v>
      </c>
      <c r="IW50" s="164">
        <v>13747.222222222223</v>
      </c>
      <c r="IX50" s="154">
        <v>13747.222222222223</v>
      </c>
      <c r="IY50" s="154">
        <v>13747.222222222223</v>
      </c>
      <c r="IZ50" s="154">
        <v>13747.222222222223</v>
      </c>
      <c r="JA50" s="154">
        <v>13747.222222222223</v>
      </c>
      <c r="JB50" s="154">
        <v>13747.222222222223</v>
      </c>
      <c r="JC50" s="154">
        <v>13747.222222222223</v>
      </c>
      <c r="JD50" s="154">
        <v>13747.222222222223</v>
      </c>
      <c r="JE50" s="154">
        <v>13747.222222222223</v>
      </c>
      <c r="JF50" s="154">
        <v>13747.222222222223</v>
      </c>
      <c r="JG50" s="154">
        <v>13330.555555555555</v>
      </c>
      <c r="JH50" s="157">
        <f t="shared" si="178"/>
        <v>164550</v>
      </c>
      <c r="JI50" s="161"/>
      <c r="JJ50" s="163">
        <v>21602.777777777777</v>
      </c>
      <c r="JK50" s="164">
        <v>21602.777777777777</v>
      </c>
      <c r="JL50" s="154">
        <v>21602.777777777777</v>
      </c>
      <c r="JM50" s="154">
        <v>21602.777777777777</v>
      </c>
      <c r="JN50" s="154">
        <v>21602.777777777777</v>
      </c>
      <c r="JO50" s="154">
        <v>21602.777777777777</v>
      </c>
      <c r="JP50" s="154">
        <v>21602.777777777777</v>
      </c>
      <c r="JQ50" s="154">
        <v>21602.777777777777</v>
      </c>
      <c r="JR50" s="154">
        <v>21602.777777777777</v>
      </c>
      <c r="JS50" s="154">
        <v>21602.777777777777</v>
      </c>
      <c r="JT50" s="154">
        <v>21602.777777777777</v>
      </c>
      <c r="JU50" s="154">
        <v>20948.015873015873</v>
      </c>
      <c r="JV50" s="157">
        <f t="shared" si="179"/>
        <v>258578.57142857142</v>
      </c>
      <c r="JW50" s="161"/>
      <c r="JX50" s="163">
        <v>9819.4444444444453</v>
      </c>
      <c r="JY50" s="164">
        <v>9819.4444444444453</v>
      </c>
      <c r="JZ50" s="154">
        <v>9819.4444444444453</v>
      </c>
      <c r="KA50" s="154">
        <v>9819.4444444444453</v>
      </c>
      <c r="KB50" s="154">
        <v>9819.4444444444453</v>
      </c>
      <c r="KC50" s="154">
        <v>9819.4444444444453</v>
      </c>
      <c r="KD50" s="154">
        <v>9819.4444444444453</v>
      </c>
      <c r="KE50" s="154">
        <v>9819.4444444444453</v>
      </c>
      <c r="KF50" s="154">
        <v>9819.4444444444453</v>
      </c>
      <c r="KG50" s="154">
        <v>9819.4444444444453</v>
      </c>
      <c r="KH50" s="154">
        <v>9819.4444444444453</v>
      </c>
      <c r="KI50" s="154">
        <v>9521.8253968253957</v>
      </c>
      <c r="KJ50" s="157">
        <f t="shared" si="180"/>
        <v>117535.71428571428</v>
      </c>
      <c r="KK50" s="161"/>
      <c r="KL50" s="163">
        <v>3927.7777777777778</v>
      </c>
      <c r="KM50" s="164">
        <v>3927.7777777777778</v>
      </c>
      <c r="KN50" s="154">
        <v>3927.7777777777778</v>
      </c>
      <c r="KO50" s="154">
        <v>3927.7777777777778</v>
      </c>
      <c r="KP50" s="154">
        <v>3927.7777777777778</v>
      </c>
      <c r="KQ50" s="154">
        <v>3927.7777777777778</v>
      </c>
      <c r="KR50" s="154">
        <v>3927.7777777777778</v>
      </c>
      <c r="KS50" s="154">
        <v>3927.7777777777778</v>
      </c>
      <c r="KT50" s="154">
        <v>3927.7777777777778</v>
      </c>
      <c r="KU50" s="154">
        <v>3927.7777777777778</v>
      </c>
      <c r="KV50" s="154">
        <v>3927.7777777777778</v>
      </c>
      <c r="KW50" s="154">
        <v>3808.7301587301586</v>
      </c>
      <c r="KX50" s="157">
        <f t="shared" si="181"/>
        <v>47014.285714285717</v>
      </c>
      <c r="KY50" s="161"/>
      <c r="KZ50" s="163">
        <v>1963.8888888888889</v>
      </c>
      <c r="LA50" s="164">
        <v>1963.8888888888889</v>
      </c>
      <c r="LB50" s="154">
        <v>1963.8888888888889</v>
      </c>
      <c r="LC50" s="154">
        <v>1963.8888888888889</v>
      </c>
      <c r="LD50" s="154">
        <v>1963.8888888888889</v>
      </c>
      <c r="LE50" s="154">
        <v>1963.8888888888889</v>
      </c>
      <c r="LF50" s="154">
        <v>1963.8888888888889</v>
      </c>
      <c r="LG50" s="154">
        <v>1963.8888888888889</v>
      </c>
      <c r="LH50" s="154">
        <v>1963.8888888888889</v>
      </c>
      <c r="LI50" s="154">
        <v>1963.8888888888889</v>
      </c>
      <c r="LJ50" s="154">
        <v>1963.8888888888889</v>
      </c>
      <c r="LK50" s="154">
        <v>1904.3650793650793</v>
      </c>
      <c r="LL50" s="157">
        <f t="shared" si="182"/>
        <v>23507.142857142859</v>
      </c>
      <c r="LM50" s="161"/>
      <c r="LN50" s="163">
        <v>0</v>
      </c>
      <c r="LO50" s="164">
        <v>0</v>
      </c>
      <c r="LP50" s="154">
        <v>0</v>
      </c>
      <c r="LQ50" s="154">
        <v>0</v>
      </c>
      <c r="LR50" s="154">
        <v>0</v>
      </c>
      <c r="LS50" s="154">
        <v>0</v>
      </c>
      <c r="LT50" s="154">
        <v>0</v>
      </c>
      <c r="LU50" s="154">
        <v>0</v>
      </c>
      <c r="LV50" s="154">
        <v>0</v>
      </c>
      <c r="LW50" s="154">
        <v>0</v>
      </c>
      <c r="LX50" s="154">
        <v>0</v>
      </c>
      <c r="LY50" s="154">
        <v>0</v>
      </c>
      <c r="LZ50" s="157">
        <f t="shared" si="183"/>
        <v>0</v>
      </c>
      <c r="MA50" s="161"/>
      <c r="MB50" s="157">
        <f t="shared" si="184"/>
        <v>322077.77777777769</v>
      </c>
      <c r="MC50" s="157">
        <f t="shared" si="184"/>
        <v>322077.77777777769</v>
      </c>
      <c r="MD50" s="157">
        <f t="shared" si="184"/>
        <v>725077.77777777764</v>
      </c>
      <c r="ME50" s="157">
        <f t="shared" si="184"/>
        <v>725077.77777777764</v>
      </c>
      <c r="MF50" s="157">
        <f t="shared" si="184"/>
        <v>725077.77777777764</v>
      </c>
      <c r="MG50" s="157">
        <f t="shared" si="184"/>
        <v>725077.77777777764</v>
      </c>
      <c r="MH50" s="157">
        <f t="shared" si="184"/>
        <v>725077.77777777764</v>
      </c>
      <c r="MI50" s="157">
        <f t="shared" si="184"/>
        <v>725077.77777777764</v>
      </c>
      <c r="MJ50" s="157">
        <f t="shared" si="184"/>
        <v>725077.77777777764</v>
      </c>
      <c r="MK50" s="157">
        <f t="shared" si="184"/>
        <v>725077.77777777764</v>
      </c>
      <c r="ML50" s="157">
        <f t="shared" si="184"/>
        <v>725077.77777777764</v>
      </c>
      <c r="MM50" s="157">
        <f t="shared" si="184"/>
        <v>715315.87301587313</v>
      </c>
      <c r="MN50" s="157">
        <f t="shared" si="185"/>
        <v>7885171.4285714282</v>
      </c>
    </row>
    <row r="51" spans="1:352" s="180" customFormat="1" x14ac:dyDescent="0.25">
      <c r="A51" s="98"/>
      <c r="B51" s="182" t="s">
        <v>68</v>
      </c>
      <c r="C51" s="98"/>
      <c r="D51" s="163">
        <v>17722.222222222223</v>
      </c>
      <c r="E51" s="164">
        <v>17722.222222222223</v>
      </c>
      <c r="F51" s="164">
        <v>17722.222222222223</v>
      </c>
      <c r="G51" s="164">
        <v>17722.222222222223</v>
      </c>
      <c r="H51" s="164">
        <v>17722.222222222223</v>
      </c>
      <c r="I51" s="164">
        <v>17722.222222222223</v>
      </c>
      <c r="J51" s="164">
        <v>17722.222222222223</v>
      </c>
      <c r="K51" s="164">
        <v>17722.222222222223</v>
      </c>
      <c r="L51" s="164">
        <v>17722.222222222223</v>
      </c>
      <c r="M51" s="164">
        <v>17722.222222222223</v>
      </c>
      <c r="N51" s="164">
        <v>17722.222222222223</v>
      </c>
      <c r="O51" s="164">
        <v>17722.222222222223</v>
      </c>
      <c r="P51" s="157">
        <f t="shared" si="161"/>
        <v>212666.66666666666</v>
      </c>
      <c r="Q51" s="161"/>
      <c r="R51" s="163">
        <v>1833.3333333333333</v>
      </c>
      <c r="S51" s="164">
        <v>1833.3333333333333</v>
      </c>
      <c r="T51" s="164">
        <v>1833.3333333333333</v>
      </c>
      <c r="U51" s="164">
        <v>1833.3333333333333</v>
      </c>
      <c r="V51" s="164">
        <v>1833.3333333333333</v>
      </c>
      <c r="W51" s="164">
        <v>1833.3333333333333</v>
      </c>
      <c r="X51" s="164">
        <v>1833.3333333333333</v>
      </c>
      <c r="Y51" s="164">
        <v>1833.3333333333333</v>
      </c>
      <c r="Z51" s="164">
        <v>1833.3333333333333</v>
      </c>
      <c r="AA51" s="164">
        <v>1833.3333333333333</v>
      </c>
      <c r="AB51" s="164">
        <v>1833.3333333333333</v>
      </c>
      <c r="AC51" s="164">
        <v>1833.3333333333333</v>
      </c>
      <c r="AD51" s="157">
        <f t="shared" si="162"/>
        <v>21999.999999999996</v>
      </c>
      <c r="AE51" s="161"/>
      <c r="AF51" s="163">
        <v>1833.3333333333333</v>
      </c>
      <c r="AG51" s="164">
        <v>1833.3333333333333</v>
      </c>
      <c r="AH51" s="164">
        <v>1833.3333333333333</v>
      </c>
      <c r="AI51" s="164">
        <v>1833.3333333333333</v>
      </c>
      <c r="AJ51" s="164">
        <v>1833.3333333333333</v>
      </c>
      <c r="AK51" s="164">
        <v>1833.3333333333333</v>
      </c>
      <c r="AL51" s="164">
        <v>1833.3333333333333</v>
      </c>
      <c r="AM51" s="164">
        <v>1833.3333333333333</v>
      </c>
      <c r="AN51" s="164">
        <v>1833.3333333333333</v>
      </c>
      <c r="AO51" s="164">
        <v>1833.3333333333333</v>
      </c>
      <c r="AP51" s="164">
        <v>1833.3333333333333</v>
      </c>
      <c r="AQ51" s="164">
        <v>1833.3333333333333</v>
      </c>
      <c r="AR51" s="157">
        <f t="shared" si="163"/>
        <v>21999.999999999996</v>
      </c>
      <c r="AS51" s="161"/>
      <c r="AT51" s="163">
        <v>1222.2222222222222</v>
      </c>
      <c r="AU51" s="164">
        <v>1222.2222222222222</v>
      </c>
      <c r="AV51" s="164">
        <v>1222.2222222222222</v>
      </c>
      <c r="AW51" s="164">
        <v>1222.2222222222222</v>
      </c>
      <c r="AX51" s="164">
        <v>1222.2222222222222</v>
      </c>
      <c r="AY51" s="164">
        <v>1222.2222222222222</v>
      </c>
      <c r="AZ51" s="164">
        <v>1222.2222222222222</v>
      </c>
      <c r="BA51" s="164">
        <v>1222.2222222222222</v>
      </c>
      <c r="BB51" s="154">
        <v>1222.2222222222222</v>
      </c>
      <c r="BC51" s="154">
        <v>1222.2222222222222</v>
      </c>
      <c r="BD51" s="154">
        <v>1222.2222222222222</v>
      </c>
      <c r="BE51" s="154">
        <v>1222.2222222222222</v>
      </c>
      <c r="BF51" s="157">
        <f t="shared" si="164"/>
        <v>14666.66666666667</v>
      </c>
      <c r="BG51" s="176"/>
      <c r="BH51" s="163">
        <v>9166.6666666666661</v>
      </c>
      <c r="BI51" s="164">
        <v>9166.6666666666661</v>
      </c>
      <c r="BJ51" s="154">
        <v>9166.6666666666661</v>
      </c>
      <c r="BK51" s="154">
        <v>9166.6666666666661</v>
      </c>
      <c r="BL51" s="154">
        <v>9166.6666666666661</v>
      </c>
      <c r="BM51" s="154">
        <v>9166.6666666666661</v>
      </c>
      <c r="BN51" s="154">
        <v>9166.6666666666661</v>
      </c>
      <c r="BO51" s="154">
        <v>9166.6666666666661</v>
      </c>
      <c r="BP51" s="154">
        <v>9166.6666666666661</v>
      </c>
      <c r="BQ51" s="154">
        <v>9166.6666666666661</v>
      </c>
      <c r="BR51" s="154">
        <v>9166.6666666666661</v>
      </c>
      <c r="BS51" s="154">
        <v>9166.6666666666661</v>
      </c>
      <c r="BT51" s="157">
        <f t="shared" si="165"/>
        <v>110000.00000000001</v>
      </c>
      <c r="BU51" s="161"/>
      <c r="BV51" s="163">
        <v>611.11111111111109</v>
      </c>
      <c r="BW51" s="164">
        <v>611.11111111111109</v>
      </c>
      <c r="BX51" s="154">
        <v>611.11111111111109</v>
      </c>
      <c r="BY51" s="154">
        <v>611.11111111111109</v>
      </c>
      <c r="BZ51" s="154">
        <v>611.11111111111109</v>
      </c>
      <c r="CA51" s="154">
        <v>611.11111111111109</v>
      </c>
      <c r="CB51" s="154">
        <v>611.11111111111109</v>
      </c>
      <c r="CC51" s="154">
        <v>611.11111111111109</v>
      </c>
      <c r="CD51" s="154">
        <v>611.11111111111109</v>
      </c>
      <c r="CE51" s="154">
        <v>611.11111111111109</v>
      </c>
      <c r="CF51" s="154">
        <v>611.11111111111109</v>
      </c>
      <c r="CG51" s="154">
        <v>611.11111111111109</v>
      </c>
      <c r="CH51" s="157">
        <f t="shared" si="166"/>
        <v>7333.3333333333348</v>
      </c>
      <c r="CI51" s="161"/>
      <c r="CJ51" s="163">
        <v>6722.2222222222217</v>
      </c>
      <c r="CK51" s="164">
        <v>6722.2222222222217</v>
      </c>
      <c r="CL51" s="154">
        <v>6722.2222222222217</v>
      </c>
      <c r="CM51" s="154">
        <v>6722.2222222222217</v>
      </c>
      <c r="CN51" s="154">
        <v>6722.2222222222217</v>
      </c>
      <c r="CO51" s="154">
        <v>6722.2222222222217</v>
      </c>
      <c r="CP51" s="154">
        <v>6722.2222222222217</v>
      </c>
      <c r="CQ51" s="154">
        <v>6722.2222222222217</v>
      </c>
      <c r="CR51" s="154">
        <v>6722.2222222222217</v>
      </c>
      <c r="CS51" s="154">
        <v>6722.2222222222217</v>
      </c>
      <c r="CT51" s="154">
        <v>6722.2222222222217</v>
      </c>
      <c r="CU51" s="154">
        <v>6722.2222222222217</v>
      </c>
      <c r="CV51" s="157">
        <f t="shared" si="167"/>
        <v>80666.666666666642</v>
      </c>
      <c r="CW51" s="161"/>
      <c r="CX51" s="163">
        <v>17111.111111111109</v>
      </c>
      <c r="CY51" s="164">
        <v>17111.111111111109</v>
      </c>
      <c r="CZ51" s="154">
        <v>17111.111111111109</v>
      </c>
      <c r="DA51" s="154">
        <v>17111.111111111109</v>
      </c>
      <c r="DB51" s="154">
        <v>17111.111111111109</v>
      </c>
      <c r="DC51" s="154">
        <v>17111.111111111109</v>
      </c>
      <c r="DD51" s="154">
        <v>17111.111111111109</v>
      </c>
      <c r="DE51" s="154">
        <v>17111.111111111109</v>
      </c>
      <c r="DF51" s="154">
        <v>17111.111111111109</v>
      </c>
      <c r="DG51" s="154">
        <v>17111.111111111109</v>
      </c>
      <c r="DH51" s="154">
        <v>17111.111111111109</v>
      </c>
      <c r="DI51" s="154">
        <v>17111.111111111109</v>
      </c>
      <c r="DJ51" s="157">
        <f t="shared" si="168"/>
        <v>205333.33333333337</v>
      </c>
      <c r="DK51" s="161"/>
      <c r="DL51" s="163">
        <v>17111.111111111109</v>
      </c>
      <c r="DM51" s="164">
        <v>17111.111111111109</v>
      </c>
      <c r="DN51" s="154">
        <v>17111.111111111109</v>
      </c>
      <c r="DO51" s="154">
        <v>17111.111111111109</v>
      </c>
      <c r="DP51" s="154">
        <v>17111.111111111109</v>
      </c>
      <c r="DQ51" s="154">
        <v>17111.111111111109</v>
      </c>
      <c r="DR51" s="154">
        <v>17111.111111111109</v>
      </c>
      <c r="DS51" s="154">
        <v>17111.111111111109</v>
      </c>
      <c r="DT51" s="154">
        <v>17111.111111111109</v>
      </c>
      <c r="DU51" s="154">
        <v>17111.111111111109</v>
      </c>
      <c r="DV51" s="154">
        <v>17111.111111111109</v>
      </c>
      <c r="DW51" s="154">
        <v>17111.111111111109</v>
      </c>
      <c r="DX51" s="157">
        <f t="shared" si="169"/>
        <v>205333.33333333337</v>
      </c>
      <c r="DY51" s="161"/>
      <c r="DZ51" s="163">
        <v>611.11111111111109</v>
      </c>
      <c r="EA51" s="164">
        <v>611.11111111111109</v>
      </c>
      <c r="EB51" s="154">
        <v>611.11111111111109</v>
      </c>
      <c r="EC51" s="154">
        <v>611.11111111111109</v>
      </c>
      <c r="ED51" s="154">
        <v>611.11111111111109</v>
      </c>
      <c r="EE51" s="154">
        <v>611.11111111111109</v>
      </c>
      <c r="EF51" s="154">
        <v>611.11111111111109</v>
      </c>
      <c r="EG51" s="154">
        <v>611.11111111111109</v>
      </c>
      <c r="EH51" s="154">
        <v>611.11111111111109</v>
      </c>
      <c r="EI51" s="154">
        <v>611.11111111111109</v>
      </c>
      <c r="EJ51" s="154">
        <v>611.11111111111109</v>
      </c>
      <c r="EK51" s="154">
        <v>611.11111111111109</v>
      </c>
      <c r="EL51" s="157">
        <f t="shared" si="170"/>
        <v>7333.3333333333348</v>
      </c>
      <c r="EM51" s="161"/>
      <c r="EN51" s="163">
        <v>1222.2222222222222</v>
      </c>
      <c r="EO51" s="164">
        <v>1222.2222222222222</v>
      </c>
      <c r="EP51" s="154">
        <v>1222.2222222222222</v>
      </c>
      <c r="EQ51" s="154">
        <v>1222.2222222222222</v>
      </c>
      <c r="ER51" s="154">
        <v>1222.2222222222222</v>
      </c>
      <c r="ES51" s="154">
        <v>1222.2222222222222</v>
      </c>
      <c r="ET51" s="154">
        <v>1222.2222222222222</v>
      </c>
      <c r="EU51" s="154">
        <v>1222.2222222222222</v>
      </c>
      <c r="EV51" s="154">
        <v>1222.2222222222222</v>
      </c>
      <c r="EW51" s="154">
        <v>1222.2222222222222</v>
      </c>
      <c r="EX51" s="154">
        <v>1222.2222222222222</v>
      </c>
      <c r="EY51" s="154">
        <v>1222.2222222222222</v>
      </c>
      <c r="EZ51" s="157">
        <f t="shared" si="171"/>
        <v>14666.66666666667</v>
      </c>
      <c r="FA51" s="161"/>
      <c r="FB51" s="163">
        <v>611.11111111111109</v>
      </c>
      <c r="FC51" s="164">
        <v>611.11111111111109</v>
      </c>
      <c r="FD51" s="154">
        <v>611.11111111111109</v>
      </c>
      <c r="FE51" s="154">
        <v>611.11111111111109</v>
      </c>
      <c r="FF51" s="154">
        <v>611.11111111111109</v>
      </c>
      <c r="FG51" s="154">
        <v>611.11111111111109</v>
      </c>
      <c r="FH51" s="154">
        <v>611.11111111111109</v>
      </c>
      <c r="FI51" s="154">
        <v>611.11111111111109</v>
      </c>
      <c r="FJ51" s="154">
        <v>611.11111111111109</v>
      </c>
      <c r="FK51" s="154">
        <v>611.11111111111109</v>
      </c>
      <c r="FL51" s="154">
        <v>611.11111111111109</v>
      </c>
      <c r="FM51" s="154">
        <v>611.11111111111109</v>
      </c>
      <c r="FN51" s="157">
        <f t="shared" si="172"/>
        <v>7333.3333333333348</v>
      </c>
      <c r="FO51" s="161"/>
      <c r="FP51" s="163">
        <v>4277.7777777777774</v>
      </c>
      <c r="FQ51" s="164">
        <v>4277.7777777777774</v>
      </c>
      <c r="FR51" s="154">
        <v>4277.7777777777774</v>
      </c>
      <c r="FS51" s="154">
        <v>4277.7777777777774</v>
      </c>
      <c r="FT51" s="154">
        <v>4277.7777777777774</v>
      </c>
      <c r="FU51" s="154">
        <v>4277.7777777777774</v>
      </c>
      <c r="FV51" s="154">
        <v>4277.7777777777774</v>
      </c>
      <c r="FW51" s="154">
        <v>4277.7777777777774</v>
      </c>
      <c r="FX51" s="154">
        <v>4277.7777777777774</v>
      </c>
      <c r="FY51" s="154">
        <v>4277.7777777777774</v>
      </c>
      <c r="FZ51" s="154">
        <v>4277.7777777777774</v>
      </c>
      <c r="GA51" s="154">
        <v>4277.7777777777774</v>
      </c>
      <c r="GB51" s="157">
        <f t="shared" si="173"/>
        <v>51333.333333333343</v>
      </c>
      <c r="GC51" s="161"/>
      <c r="GD51" s="163">
        <v>611.11111111111109</v>
      </c>
      <c r="GE51" s="164">
        <v>611.11111111111109</v>
      </c>
      <c r="GF51" s="154">
        <v>611.11111111111109</v>
      </c>
      <c r="GG51" s="154">
        <v>611.11111111111109</v>
      </c>
      <c r="GH51" s="154">
        <v>611.11111111111109</v>
      </c>
      <c r="GI51" s="154">
        <v>611.11111111111109</v>
      </c>
      <c r="GJ51" s="154">
        <v>611.11111111111109</v>
      </c>
      <c r="GK51" s="154">
        <v>611.11111111111109</v>
      </c>
      <c r="GL51" s="154">
        <v>611.11111111111109</v>
      </c>
      <c r="GM51" s="154">
        <v>611.11111111111109</v>
      </c>
      <c r="GN51" s="154">
        <v>611.11111111111109</v>
      </c>
      <c r="GO51" s="154">
        <v>611.11111111111109</v>
      </c>
      <c r="GP51" s="157">
        <f t="shared" si="174"/>
        <v>7333.3333333333348</v>
      </c>
      <c r="GQ51" s="161"/>
      <c r="GR51" s="163">
        <v>0</v>
      </c>
      <c r="GS51" s="164">
        <v>0</v>
      </c>
      <c r="GT51" s="154">
        <v>92400</v>
      </c>
      <c r="GU51" s="154">
        <v>92400</v>
      </c>
      <c r="GV51" s="154">
        <v>92400</v>
      </c>
      <c r="GW51" s="154">
        <v>92400</v>
      </c>
      <c r="GX51" s="154">
        <v>92400</v>
      </c>
      <c r="GY51" s="154">
        <v>92400</v>
      </c>
      <c r="GZ51" s="154">
        <v>92400</v>
      </c>
      <c r="HA51" s="154">
        <v>92400</v>
      </c>
      <c r="HB51" s="154">
        <v>92400</v>
      </c>
      <c r="HC51" s="154">
        <v>92400</v>
      </c>
      <c r="HD51" s="157">
        <f t="shared" si="186"/>
        <v>0</v>
      </c>
      <c r="HE51" s="161"/>
      <c r="HF51" s="163">
        <v>2444.4444444444443</v>
      </c>
      <c r="HG51" s="164">
        <v>2444.4444444444443</v>
      </c>
      <c r="HH51" s="154">
        <v>2444.4444444444443</v>
      </c>
      <c r="HI51" s="154">
        <v>2444.4444444444443</v>
      </c>
      <c r="HJ51" s="154">
        <v>2444.4444444444443</v>
      </c>
      <c r="HK51" s="154">
        <v>2444.4444444444443</v>
      </c>
      <c r="HL51" s="154">
        <v>2444.4444444444443</v>
      </c>
      <c r="HM51" s="154">
        <v>2444.4444444444443</v>
      </c>
      <c r="HN51" s="154">
        <v>2444.4444444444443</v>
      </c>
      <c r="HO51" s="154">
        <v>2444.4444444444443</v>
      </c>
      <c r="HP51" s="154">
        <v>2444.4444444444443</v>
      </c>
      <c r="HQ51" s="154">
        <v>2444.4444444444443</v>
      </c>
      <c r="HR51" s="157">
        <f t="shared" si="175"/>
        <v>29333.333333333339</v>
      </c>
      <c r="HS51" s="161"/>
      <c r="HT51" s="163">
        <v>611.11111111111109</v>
      </c>
      <c r="HU51" s="164">
        <v>611.11111111111109</v>
      </c>
      <c r="HV51" s="154">
        <v>611.11111111111109</v>
      </c>
      <c r="HW51" s="154">
        <v>611.11111111111109</v>
      </c>
      <c r="HX51" s="154">
        <v>611.11111111111109</v>
      </c>
      <c r="HY51" s="154">
        <v>611.11111111111109</v>
      </c>
      <c r="HZ51" s="154">
        <v>611.11111111111109</v>
      </c>
      <c r="IA51" s="154">
        <v>611.11111111111109</v>
      </c>
      <c r="IB51" s="154">
        <v>611.11111111111109</v>
      </c>
      <c r="IC51" s="154">
        <v>611.11111111111109</v>
      </c>
      <c r="ID51" s="154">
        <v>611.11111111111109</v>
      </c>
      <c r="IE51" s="154">
        <v>611.11111111111109</v>
      </c>
      <c r="IF51" s="157">
        <f t="shared" si="176"/>
        <v>7333.3333333333348</v>
      </c>
      <c r="IG51" s="161"/>
      <c r="IH51" s="163">
        <v>611.11111111111109</v>
      </c>
      <c r="II51" s="164">
        <v>611.11111111111109</v>
      </c>
      <c r="IJ51" s="154">
        <v>611.11111111111109</v>
      </c>
      <c r="IK51" s="154">
        <v>611.11111111111109</v>
      </c>
      <c r="IL51" s="154">
        <v>611.11111111111109</v>
      </c>
      <c r="IM51" s="154">
        <v>611.11111111111109</v>
      </c>
      <c r="IN51" s="154">
        <v>611.11111111111109</v>
      </c>
      <c r="IO51" s="154">
        <v>611.11111111111109</v>
      </c>
      <c r="IP51" s="154">
        <v>611.11111111111109</v>
      </c>
      <c r="IQ51" s="154">
        <v>611.11111111111109</v>
      </c>
      <c r="IR51" s="154">
        <v>611.11111111111109</v>
      </c>
      <c r="IS51" s="154">
        <v>611.11111111111109</v>
      </c>
      <c r="IT51" s="157">
        <f t="shared" si="177"/>
        <v>7333.3333333333348</v>
      </c>
      <c r="IU51" s="161"/>
      <c r="IV51" s="163">
        <v>4277.7777777777774</v>
      </c>
      <c r="IW51" s="164">
        <v>4277.7777777777774</v>
      </c>
      <c r="IX51" s="154">
        <v>4277.7777777777774</v>
      </c>
      <c r="IY51" s="154">
        <v>4277.7777777777774</v>
      </c>
      <c r="IZ51" s="154">
        <v>4277.7777777777774</v>
      </c>
      <c r="JA51" s="154">
        <v>4277.7777777777774</v>
      </c>
      <c r="JB51" s="154">
        <v>4277.7777777777774</v>
      </c>
      <c r="JC51" s="154">
        <v>4277.7777777777774</v>
      </c>
      <c r="JD51" s="154">
        <v>4277.7777777777774</v>
      </c>
      <c r="JE51" s="154">
        <v>4277.7777777777774</v>
      </c>
      <c r="JF51" s="154">
        <v>4277.7777777777774</v>
      </c>
      <c r="JG51" s="154">
        <v>4277.7777777777774</v>
      </c>
      <c r="JH51" s="157">
        <f t="shared" si="178"/>
        <v>51333.333333333343</v>
      </c>
      <c r="JI51" s="161"/>
      <c r="JJ51" s="163">
        <v>6722.2222222222217</v>
      </c>
      <c r="JK51" s="164">
        <v>6722.2222222222217</v>
      </c>
      <c r="JL51" s="154">
        <v>6722.2222222222217</v>
      </c>
      <c r="JM51" s="154">
        <v>6722.2222222222217</v>
      </c>
      <c r="JN51" s="154">
        <v>6722.2222222222217</v>
      </c>
      <c r="JO51" s="154">
        <v>6722.2222222222217</v>
      </c>
      <c r="JP51" s="154">
        <v>6722.2222222222217</v>
      </c>
      <c r="JQ51" s="154">
        <v>6722.2222222222217</v>
      </c>
      <c r="JR51" s="154">
        <v>6722.2222222222217</v>
      </c>
      <c r="JS51" s="154">
        <v>6722.2222222222217</v>
      </c>
      <c r="JT51" s="154">
        <v>6722.2222222222217</v>
      </c>
      <c r="JU51" s="154">
        <v>6722.2222222222217</v>
      </c>
      <c r="JV51" s="157">
        <f t="shared" si="179"/>
        <v>80666.666666666642</v>
      </c>
      <c r="JW51" s="161"/>
      <c r="JX51" s="163">
        <v>3055.5555555555557</v>
      </c>
      <c r="JY51" s="164">
        <v>3055.5555555555557</v>
      </c>
      <c r="JZ51" s="154">
        <v>3055.5555555555557</v>
      </c>
      <c r="KA51" s="154">
        <v>3055.5555555555557</v>
      </c>
      <c r="KB51" s="154">
        <v>3055.5555555555557</v>
      </c>
      <c r="KC51" s="154">
        <v>3055.5555555555557</v>
      </c>
      <c r="KD51" s="154">
        <v>3055.5555555555557</v>
      </c>
      <c r="KE51" s="154">
        <v>3055.5555555555557</v>
      </c>
      <c r="KF51" s="154">
        <v>3055.5555555555557</v>
      </c>
      <c r="KG51" s="154">
        <v>3055.5555555555557</v>
      </c>
      <c r="KH51" s="154">
        <v>3055.5555555555557</v>
      </c>
      <c r="KI51" s="154">
        <v>3055.5555555555557</v>
      </c>
      <c r="KJ51" s="157">
        <f t="shared" si="180"/>
        <v>36666.666666666664</v>
      </c>
      <c r="KK51" s="161"/>
      <c r="KL51" s="163">
        <v>1222.2222222222222</v>
      </c>
      <c r="KM51" s="164">
        <v>1222.2222222222222</v>
      </c>
      <c r="KN51" s="154">
        <v>1222.2222222222222</v>
      </c>
      <c r="KO51" s="154">
        <v>1222.2222222222222</v>
      </c>
      <c r="KP51" s="154">
        <v>1222.2222222222222</v>
      </c>
      <c r="KQ51" s="154">
        <v>1222.2222222222222</v>
      </c>
      <c r="KR51" s="154">
        <v>1222.2222222222222</v>
      </c>
      <c r="KS51" s="154">
        <v>1222.2222222222222</v>
      </c>
      <c r="KT51" s="154">
        <v>1222.2222222222222</v>
      </c>
      <c r="KU51" s="154">
        <v>1222.2222222222222</v>
      </c>
      <c r="KV51" s="154">
        <v>1222.2222222222222</v>
      </c>
      <c r="KW51" s="154">
        <v>1222.2222222222222</v>
      </c>
      <c r="KX51" s="157">
        <f t="shared" si="181"/>
        <v>14666.66666666667</v>
      </c>
      <c r="KY51" s="161"/>
      <c r="KZ51" s="163">
        <v>611.11111111111109</v>
      </c>
      <c r="LA51" s="164">
        <v>611.11111111111109</v>
      </c>
      <c r="LB51" s="154">
        <v>611.11111111111109</v>
      </c>
      <c r="LC51" s="154">
        <v>611.11111111111109</v>
      </c>
      <c r="LD51" s="154">
        <v>611.11111111111109</v>
      </c>
      <c r="LE51" s="154">
        <v>611.11111111111109</v>
      </c>
      <c r="LF51" s="154">
        <v>611.11111111111109</v>
      </c>
      <c r="LG51" s="154">
        <v>611.11111111111109</v>
      </c>
      <c r="LH51" s="154">
        <v>611.11111111111109</v>
      </c>
      <c r="LI51" s="154">
        <v>611.11111111111109</v>
      </c>
      <c r="LJ51" s="154">
        <v>611.11111111111109</v>
      </c>
      <c r="LK51" s="154">
        <v>611.11111111111109</v>
      </c>
      <c r="LL51" s="157">
        <f t="shared" si="182"/>
        <v>7333.3333333333348</v>
      </c>
      <c r="LM51" s="161"/>
      <c r="LN51" s="163">
        <v>0</v>
      </c>
      <c r="LO51" s="164">
        <v>0</v>
      </c>
      <c r="LP51" s="154">
        <v>0</v>
      </c>
      <c r="LQ51" s="154">
        <v>0</v>
      </c>
      <c r="LR51" s="154">
        <v>0</v>
      </c>
      <c r="LS51" s="154">
        <v>0</v>
      </c>
      <c r="LT51" s="154">
        <v>0</v>
      </c>
      <c r="LU51" s="154">
        <v>0</v>
      </c>
      <c r="LV51" s="154">
        <v>0</v>
      </c>
      <c r="LW51" s="154">
        <v>0</v>
      </c>
      <c r="LX51" s="154">
        <v>0</v>
      </c>
      <c r="LY51" s="154">
        <v>0</v>
      </c>
      <c r="LZ51" s="157">
        <f t="shared" si="183"/>
        <v>0</v>
      </c>
      <c r="MA51" s="161"/>
      <c r="MB51" s="157">
        <f t="shared" si="184"/>
        <v>100222.22222222219</v>
      </c>
      <c r="MC51" s="157">
        <f t="shared" si="184"/>
        <v>100222.22222222219</v>
      </c>
      <c r="MD51" s="157">
        <f t="shared" si="184"/>
        <v>192622.22222222222</v>
      </c>
      <c r="ME51" s="157">
        <f t="shared" si="184"/>
        <v>192622.22222222222</v>
      </c>
      <c r="MF51" s="157">
        <f t="shared" si="184"/>
        <v>192622.22222222222</v>
      </c>
      <c r="MG51" s="157">
        <f t="shared" si="184"/>
        <v>192622.22222222222</v>
      </c>
      <c r="MH51" s="157">
        <f t="shared" si="184"/>
        <v>192622.22222222222</v>
      </c>
      <c r="MI51" s="157">
        <f t="shared" si="184"/>
        <v>192622.22222222222</v>
      </c>
      <c r="MJ51" s="157">
        <f t="shared" si="184"/>
        <v>192622.22222222222</v>
      </c>
      <c r="MK51" s="157">
        <f t="shared" si="184"/>
        <v>192622.22222222222</v>
      </c>
      <c r="ML51" s="157">
        <f t="shared" si="184"/>
        <v>192622.22222222222</v>
      </c>
      <c r="MM51" s="157">
        <f t="shared" si="184"/>
        <v>192622.22222222222</v>
      </c>
      <c r="MN51" s="157">
        <f t="shared" si="185"/>
        <v>2126666.6666666665</v>
      </c>
    </row>
    <row r="52" spans="1:352" s="180" customFormat="1" x14ac:dyDescent="0.25">
      <c r="A52" s="98"/>
      <c r="B52" s="64" t="s">
        <v>69</v>
      </c>
      <c r="C52" s="98"/>
      <c r="D52" s="163">
        <v>22641.865079365081</v>
      </c>
      <c r="E52" s="164">
        <v>22641.865079365081</v>
      </c>
      <c r="F52" s="164">
        <v>22641.865079365081</v>
      </c>
      <c r="G52" s="164">
        <v>22641.865079365081</v>
      </c>
      <c r="H52" s="164">
        <v>22641.865079365081</v>
      </c>
      <c r="I52" s="164">
        <v>22641.865079365081</v>
      </c>
      <c r="J52" s="164">
        <v>22641.865079365081</v>
      </c>
      <c r="K52" s="164">
        <v>22641.865079365081</v>
      </c>
      <c r="L52" s="164">
        <v>22641.865079365081</v>
      </c>
      <c r="M52" s="164">
        <v>22641.865079365081</v>
      </c>
      <c r="N52" s="164">
        <v>22641.865079365081</v>
      </c>
      <c r="O52" s="164">
        <v>22641.865079365081</v>
      </c>
      <c r="P52" s="157">
        <f t="shared" si="161"/>
        <v>271702.38095238101</v>
      </c>
      <c r="Q52" s="161"/>
      <c r="R52" s="163">
        <v>2342.261904761905</v>
      </c>
      <c r="S52" s="164">
        <v>2342.261904761905</v>
      </c>
      <c r="T52" s="164">
        <v>2342.261904761905</v>
      </c>
      <c r="U52" s="164">
        <v>2342.261904761905</v>
      </c>
      <c r="V52" s="164">
        <v>2342.261904761905</v>
      </c>
      <c r="W52" s="164">
        <v>2342.261904761905</v>
      </c>
      <c r="X52" s="164">
        <v>2342.261904761905</v>
      </c>
      <c r="Y52" s="164">
        <v>2342.261904761905</v>
      </c>
      <c r="Z52" s="164">
        <v>2342.261904761905</v>
      </c>
      <c r="AA52" s="164">
        <v>2342.261904761905</v>
      </c>
      <c r="AB52" s="164">
        <v>2342.261904761905</v>
      </c>
      <c r="AC52" s="164">
        <v>2342.261904761905</v>
      </c>
      <c r="AD52" s="157">
        <f t="shared" si="162"/>
        <v>28107.142857142859</v>
      </c>
      <c r="AE52" s="161"/>
      <c r="AF52" s="163">
        <v>2342.261904761905</v>
      </c>
      <c r="AG52" s="164">
        <v>2342.261904761905</v>
      </c>
      <c r="AH52" s="164">
        <v>2342.261904761905</v>
      </c>
      <c r="AI52" s="164">
        <v>2342.261904761905</v>
      </c>
      <c r="AJ52" s="164">
        <v>2342.261904761905</v>
      </c>
      <c r="AK52" s="164">
        <v>2342.261904761905</v>
      </c>
      <c r="AL52" s="164">
        <v>2342.261904761905</v>
      </c>
      <c r="AM52" s="164">
        <v>2342.261904761905</v>
      </c>
      <c r="AN52" s="164">
        <v>2342.261904761905</v>
      </c>
      <c r="AO52" s="164">
        <v>2342.261904761905</v>
      </c>
      <c r="AP52" s="164">
        <v>2342.261904761905</v>
      </c>
      <c r="AQ52" s="164">
        <v>2342.261904761905</v>
      </c>
      <c r="AR52" s="157">
        <f t="shared" si="163"/>
        <v>28107.142857142859</v>
      </c>
      <c r="AS52" s="161"/>
      <c r="AT52" s="163">
        <v>1561.5079365079366</v>
      </c>
      <c r="AU52" s="164">
        <v>1561.5079365079366</v>
      </c>
      <c r="AV52" s="164">
        <v>1561.5079365079366</v>
      </c>
      <c r="AW52" s="164">
        <v>1561.5079365079366</v>
      </c>
      <c r="AX52" s="164">
        <v>1561.5079365079366</v>
      </c>
      <c r="AY52" s="164">
        <v>1561.5079365079366</v>
      </c>
      <c r="AZ52" s="164">
        <v>1561.5079365079366</v>
      </c>
      <c r="BA52" s="164">
        <v>1561.5079365079366</v>
      </c>
      <c r="BB52" s="154">
        <v>1561.5079365079366</v>
      </c>
      <c r="BC52" s="154">
        <v>1561.5079365079366</v>
      </c>
      <c r="BD52" s="154">
        <v>1561.5079365079366</v>
      </c>
      <c r="BE52" s="154">
        <v>1561.5079365079366</v>
      </c>
      <c r="BF52" s="157">
        <f t="shared" si="164"/>
        <v>18738.09523809524</v>
      </c>
      <c r="BG52" s="176"/>
      <c r="BH52" s="163">
        <v>11711.309523809525</v>
      </c>
      <c r="BI52" s="164">
        <v>11711.309523809525</v>
      </c>
      <c r="BJ52" s="154">
        <v>11711.309523809525</v>
      </c>
      <c r="BK52" s="154">
        <v>11711.309523809525</v>
      </c>
      <c r="BL52" s="154">
        <v>11711.309523809525</v>
      </c>
      <c r="BM52" s="154">
        <v>11711.309523809525</v>
      </c>
      <c r="BN52" s="154">
        <v>11711.309523809525</v>
      </c>
      <c r="BO52" s="154">
        <v>11711.309523809525</v>
      </c>
      <c r="BP52" s="154">
        <v>11711.309523809525</v>
      </c>
      <c r="BQ52" s="154">
        <v>11711.309523809525</v>
      </c>
      <c r="BR52" s="154">
        <v>11711.309523809525</v>
      </c>
      <c r="BS52" s="154">
        <v>11711.309523809525</v>
      </c>
      <c r="BT52" s="157">
        <f t="shared" si="165"/>
        <v>140535.71428571429</v>
      </c>
      <c r="BU52" s="161"/>
      <c r="BV52" s="163">
        <v>780.75396825396831</v>
      </c>
      <c r="BW52" s="164">
        <v>780.75396825396831</v>
      </c>
      <c r="BX52" s="154">
        <v>780.75396825396831</v>
      </c>
      <c r="BY52" s="154">
        <v>780.75396825396831</v>
      </c>
      <c r="BZ52" s="154">
        <v>780.75396825396831</v>
      </c>
      <c r="CA52" s="154">
        <v>780.75396825396831</v>
      </c>
      <c r="CB52" s="154">
        <v>780.75396825396831</v>
      </c>
      <c r="CC52" s="154">
        <v>780.75396825396831</v>
      </c>
      <c r="CD52" s="154">
        <v>780.75396825396831</v>
      </c>
      <c r="CE52" s="154">
        <v>780.75396825396831</v>
      </c>
      <c r="CF52" s="154">
        <v>780.75396825396831</v>
      </c>
      <c r="CG52" s="154">
        <v>780.75396825396831</v>
      </c>
      <c r="CH52" s="157">
        <f t="shared" si="166"/>
        <v>9369.0476190476202</v>
      </c>
      <c r="CI52" s="161"/>
      <c r="CJ52" s="163">
        <v>8588.293650793652</v>
      </c>
      <c r="CK52" s="164">
        <v>8588.293650793652</v>
      </c>
      <c r="CL52" s="154">
        <v>8588.293650793652</v>
      </c>
      <c r="CM52" s="154">
        <v>8588.293650793652</v>
      </c>
      <c r="CN52" s="154">
        <v>8588.293650793652</v>
      </c>
      <c r="CO52" s="154">
        <v>8588.293650793652</v>
      </c>
      <c r="CP52" s="154">
        <v>8588.293650793652</v>
      </c>
      <c r="CQ52" s="154">
        <v>8588.293650793652</v>
      </c>
      <c r="CR52" s="154">
        <v>8588.293650793652</v>
      </c>
      <c r="CS52" s="154">
        <v>8588.293650793652</v>
      </c>
      <c r="CT52" s="154">
        <v>8588.293650793652</v>
      </c>
      <c r="CU52" s="154">
        <v>8588.293650793652</v>
      </c>
      <c r="CV52" s="157">
        <f t="shared" si="167"/>
        <v>103059.52380952383</v>
      </c>
      <c r="CW52" s="161"/>
      <c r="CX52" s="163">
        <v>21861.111111111113</v>
      </c>
      <c r="CY52" s="164">
        <v>21861.111111111113</v>
      </c>
      <c r="CZ52" s="154">
        <v>21861.111111111113</v>
      </c>
      <c r="DA52" s="154">
        <v>21861.111111111113</v>
      </c>
      <c r="DB52" s="154">
        <v>21861.111111111113</v>
      </c>
      <c r="DC52" s="154">
        <v>21861.111111111113</v>
      </c>
      <c r="DD52" s="154">
        <v>21861.111111111113</v>
      </c>
      <c r="DE52" s="154">
        <v>21861.111111111113</v>
      </c>
      <c r="DF52" s="154">
        <v>21861.111111111113</v>
      </c>
      <c r="DG52" s="154">
        <v>21861.111111111113</v>
      </c>
      <c r="DH52" s="154">
        <v>21861.111111111113</v>
      </c>
      <c r="DI52" s="154">
        <v>21861.111111111113</v>
      </c>
      <c r="DJ52" s="157">
        <f t="shared" si="168"/>
        <v>262333.33333333343</v>
      </c>
      <c r="DK52" s="161"/>
      <c r="DL52" s="163">
        <v>21861.111111111113</v>
      </c>
      <c r="DM52" s="164">
        <v>21861.111111111113</v>
      </c>
      <c r="DN52" s="154">
        <v>21861.111111111113</v>
      </c>
      <c r="DO52" s="154">
        <v>21861.111111111113</v>
      </c>
      <c r="DP52" s="154">
        <v>21861.111111111113</v>
      </c>
      <c r="DQ52" s="154">
        <v>21861.111111111113</v>
      </c>
      <c r="DR52" s="154">
        <v>21861.111111111113</v>
      </c>
      <c r="DS52" s="154">
        <v>21861.111111111113</v>
      </c>
      <c r="DT52" s="154">
        <v>21861.111111111113</v>
      </c>
      <c r="DU52" s="154">
        <v>21861.111111111113</v>
      </c>
      <c r="DV52" s="154">
        <v>21861.111111111113</v>
      </c>
      <c r="DW52" s="154">
        <v>21861.111111111113</v>
      </c>
      <c r="DX52" s="157">
        <f t="shared" si="169"/>
        <v>262333.33333333343</v>
      </c>
      <c r="DY52" s="161"/>
      <c r="DZ52" s="163">
        <v>780.75396825396831</v>
      </c>
      <c r="EA52" s="164">
        <v>780.75396825396831</v>
      </c>
      <c r="EB52" s="154">
        <v>780.75396825396831</v>
      </c>
      <c r="EC52" s="154">
        <v>780.75396825396831</v>
      </c>
      <c r="ED52" s="154">
        <v>780.75396825396831</v>
      </c>
      <c r="EE52" s="154">
        <v>780.75396825396831</v>
      </c>
      <c r="EF52" s="154">
        <v>780.75396825396831</v>
      </c>
      <c r="EG52" s="154">
        <v>780.75396825396831</v>
      </c>
      <c r="EH52" s="154">
        <v>780.75396825396831</v>
      </c>
      <c r="EI52" s="154">
        <v>780.75396825396831</v>
      </c>
      <c r="EJ52" s="154">
        <v>780.75396825396831</v>
      </c>
      <c r="EK52" s="154">
        <v>780.75396825396831</v>
      </c>
      <c r="EL52" s="157">
        <f t="shared" si="170"/>
        <v>9369.0476190476202</v>
      </c>
      <c r="EM52" s="161"/>
      <c r="EN52" s="163">
        <v>1561.5079365079366</v>
      </c>
      <c r="EO52" s="164">
        <v>1561.5079365079366</v>
      </c>
      <c r="EP52" s="154">
        <v>1561.5079365079366</v>
      </c>
      <c r="EQ52" s="154">
        <v>1561.5079365079366</v>
      </c>
      <c r="ER52" s="154">
        <v>1561.5079365079366</v>
      </c>
      <c r="ES52" s="154">
        <v>1561.5079365079366</v>
      </c>
      <c r="ET52" s="154">
        <v>1561.5079365079366</v>
      </c>
      <c r="EU52" s="154">
        <v>1561.5079365079366</v>
      </c>
      <c r="EV52" s="154">
        <v>1561.5079365079366</v>
      </c>
      <c r="EW52" s="154">
        <v>1561.5079365079366</v>
      </c>
      <c r="EX52" s="154">
        <v>1561.5079365079366</v>
      </c>
      <c r="EY52" s="154">
        <v>1561.5079365079366</v>
      </c>
      <c r="EZ52" s="157">
        <f t="shared" si="171"/>
        <v>18738.09523809524</v>
      </c>
      <c r="FA52" s="161"/>
      <c r="FB52" s="163">
        <v>780.75396825396831</v>
      </c>
      <c r="FC52" s="164">
        <v>780.75396825396831</v>
      </c>
      <c r="FD52" s="154">
        <v>780.75396825396831</v>
      </c>
      <c r="FE52" s="154">
        <v>780.75396825396831</v>
      </c>
      <c r="FF52" s="154">
        <v>780.75396825396831</v>
      </c>
      <c r="FG52" s="154">
        <v>780.75396825396831</v>
      </c>
      <c r="FH52" s="154">
        <v>780.75396825396831</v>
      </c>
      <c r="FI52" s="154">
        <v>780.75396825396831</v>
      </c>
      <c r="FJ52" s="154">
        <v>780.75396825396831</v>
      </c>
      <c r="FK52" s="154">
        <v>780.75396825396831</v>
      </c>
      <c r="FL52" s="154">
        <v>780.75396825396831</v>
      </c>
      <c r="FM52" s="154">
        <v>780.75396825396831</v>
      </c>
      <c r="FN52" s="157">
        <f t="shared" si="172"/>
        <v>9369.0476190476202</v>
      </c>
      <c r="FO52" s="161"/>
      <c r="FP52" s="163">
        <v>5465.2777777777783</v>
      </c>
      <c r="FQ52" s="164">
        <v>5465.2777777777783</v>
      </c>
      <c r="FR52" s="154">
        <v>5465.2777777777783</v>
      </c>
      <c r="FS52" s="154">
        <v>5465.2777777777783</v>
      </c>
      <c r="FT52" s="154">
        <v>5465.2777777777783</v>
      </c>
      <c r="FU52" s="154">
        <v>5465.2777777777783</v>
      </c>
      <c r="FV52" s="154">
        <v>5465.2777777777783</v>
      </c>
      <c r="FW52" s="154">
        <v>5465.2777777777783</v>
      </c>
      <c r="FX52" s="154">
        <v>5465.2777777777783</v>
      </c>
      <c r="FY52" s="154">
        <v>5465.2777777777783</v>
      </c>
      <c r="FZ52" s="154">
        <v>5465.2777777777783</v>
      </c>
      <c r="GA52" s="154">
        <v>5465.2777777777783</v>
      </c>
      <c r="GB52" s="157">
        <f t="shared" si="173"/>
        <v>65583.333333333358</v>
      </c>
      <c r="GC52" s="161"/>
      <c r="GD52" s="163">
        <v>780.75396825396831</v>
      </c>
      <c r="GE52" s="164">
        <v>780.75396825396831</v>
      </c>
      <c r="GF52" s="154">
        <v>780.75396825396831</v>
      </c>
      <c r="GG52" s="154">
        <v>780.75396825396831</v>
      </c>
      <c r="GH52" s="154">
        <v>780.75396825396831</v>
      </c>
      <c r="GI52" s="154">
        <v>780.75396825396831</v>
      </c>
      <c r="GJ52" s="154">
        <v>780.75396825396831</v>
      </c>
      <c r="GK52" s="154">
        <v>780.75396825396831</v>
      </c>
      <c r="GL52" s="154">
        <v>780.75396825396831</v>
      </c>
      <c r="GM52" s="154">
        <v>780.75396825396831</v>
      </c>
      <c r="GN52" s="154">
        <v>780.75396825396831</v>
      </c>
      <c r="GO52" s="154">
        <v>780.75396825396831</v>
      </c>
      <c r="GP52" s="157">
        <f t="shared" si="174"/>
        <v>9369.0476190476202</v>
      </c>
      <c r="GQ52" s="161"/>
      <c r="GR52" s="163">
        <v>0</v>
      </c>
      <c r="GS52" s="164">
        <v>0</v>
      </c>
      <c r="GT52" s="154">
        <v>161312.5</v>
      </c>
      <c r="GU52" s="154">
        <v>161312.5</v>
      </c>
      <c r="GV52" s="154">
        <v>161312.5</v>
      </c>
      <c r="GW52" s="154">
        <v>161312.5</v>
      </c>
      <c r="GX52" s="154">
        <v>161312.5</v>
      </c>
      <c r="GY52" s="154">
        <v>161312.5</v>
      </c>
      <c r="GZ52" s="154">
        <v>161312.5</v>
      </c>
      <c r="HA52" s="154">
        <v>161312.5</v>
      </c>
      <c r="HB52" s="154">
        <v>161312.5</v>
      </c>
      <c r="HC52" s="154">
        <v>161312.5</v>
      </c>
      <c r="HD52" s="157">
        <f t="shared" si="186"/>
        <v>0</v>
      </c>
      <c r="HE52" s="161"/>
      <c r="HF52" s="163">
        <v>3123.0158730158732</v>
      </c>
      <c r="HG52" s="164">
        <v>3123.0158730158732</v>
      </c>
      <c r="HH52" s="154">
        <v>3123.0158730158732</v>
      </c>
      <c r="HI52" s="154">
        <v>3123.0158730158732</v>
      </c>
      <c r="HJ52" s="154">
        <v>3123.0158730158732</v>
      </c>
      <c r="HK52" s="154">
        <v>3123.0158730158732</v>
      </c>
      <c r="HL52" s="154">
        <v>3123.0158730158732</v>
      </c>
      <c r="HM52" s="154">
        <v>3123.0158730158732</v>
      </c>
      <c r="HN52" s="154">
        <v>3123.0158730158732</v>
      </c>
      <c r="HO52" s="154">
        <v>3123.0158730158732</v>
      </c>
      <c r="HP52" s="154">
        <v>3123.0158730158732</v>
      </c>
      <c r="HQ52" s="154">
        <v>3123.0158730158732</v>
      </c>
      <c r="HR52" s="157">
        <f t="shared" si="175"/>
        <v>37476.190476190481</v>
      </c>
      <c r="HS52" s="161"/>
      <c r="HT52" s="163">
        <v>780.75396825396831</v>
      </c>
      <c r="HU52" s="164">
        <v>780.75396825396831</v>
      </c>
      <c r="HV52" s="154">
        <v>780.75396825396831</v>
      </c>
      <c r="HW52" s="154">
        <v>780.75396825396831</v>
      </c>
      <c r="HX52" s="154">
        <v>780.75396825396831</v>
      </c>
      <c r="HY52" s="154">
        <v>780.75396825396831</v>
      </c>
      <c r="HZ52" s="154">
        <v>780.75396825396831</v>
      </c>
      <c r="IA52" s="154">
        <v>780.75396825396831</v>
      </c>
      <c r="IB52" s="154">
        <v>780.75396825396831</v>
      </c>
      <c r="IC52" s="154">
        <v>780.75396825396831</v>
      </c>
      <c r="ID52" s="154">
        <v>780.75396825396831</v>
      </c>
      <c r="IE52" s="154">
        <v>780.75396825396831</v>
      </c>
      <c r="IF52" s="157">
        <f t="shared" si="176"/>
        <v>9369.0476190476202</v>
      </c>
      <c r="IG52" s="161"/>
      <c r="IH52" s="163">
        <v>780.75396825396831</v>
      </c>
      <c r="II52" s="164">
        <v>780.75396825396831</v>
      </c>
      <c r="IJ52" s="154">
        <v>780.75396825396831</v>
      </c>
      <c r="IK52" s="154">
        <v>780.75396825396831</v>
      </c>
      <c r="IL52" s="154">
        <v>780.75396825396831</v>
      </c>
      <c r="IM52" s="154">
        <v>780.75396825396831</v>
      </c>
      <c r="IN52" s="154">
        <v>780.75396825396831</v>
      </c>
      <c r="IO52" s="154">
        <v>780.75396825396831</v>
      </c>
      <c r="IP52" s="154">
        <v>780.75396825396831</v>
      </c>
      <c r="IQ52" s="154">
        <v>780.75396825396831</v>
      </c>
      <c r="IR52" s="154">
        <v>780.75396825396831</v>
      </c>
      <c r="IS52" s="154">
        <v>780.75396825396831</v>
      </c>
      <c r="IT52" s="157">
        <f t="shared" si="177"/>
        <v>9369.0476190476202</v>
      </c>
      <c r="IU52" s="161"/>
      <c r="IV52" s="163">
        <v>5465.2777777777783</v>
      </c>
      <c r="IW52" s="164">
        <v>5465.2777777777783</v>
      </c>
      <c r="IX52" s="154">
        <v>5465.2777777777783</v>
      </c>
      <c r="IY52" s="154">
        <v>5465.2777777777783</v>
      </c>
      <c r="IZ52" s="154">
        <v>5465.2777777777783</v>
      </c>
      <c r="JA52" s="154">
        <v>5465.2777777777783</v>
      </c>
      <c r="JB52" s="154">
        <v>5465.2777777777783</v>
      </c>
      <c r="JC52" s="154">
        <v>5465.2777777777783</v>
      </c>
      <c r="JD52" s="154">
        <v>5465.2777777777783</v>
      </c>
      <c r="JE52" s="154">
        <v>5465.2777777777783</v>
      </c>
      <c r="JF52" s="154">
        <v>5465.2777777777783</v>
      </c>
      <c r="JG52" s="154">
        <v>5465.2777777777783</v>
      </c>
      <c r="JH52" s="157">
        <f t="shared" si="178"/>
        <v>65583.333333333358</v>
      </c>
      <c r="JI52" s="161"/>
      <c r="JJ52" s="163">
        <v>8588.293650793652</v>
      </c>
      <c r="JK52" s="164">
        <v>8588.293650793652</v>
      </c>
      <c r="JL52" s="154">
        <v>8588.293650793652</v>
      </c>
      <c r="JM52" s="154">
        <v>8588.293650793652</v>
      </c>
      <c r="JN52" s="154">
        <v>8588.293650793652</v>
      </c>
      <c r="JO52" s="154">
        <v>8588.293650793652</v>
      </c>
      <c r="JP52" s="154">
        <v>8588.293650793652</v>
      </c>
      <c r="JQ52" s="154">
        <v>8588.293650793652</v>
      </c>
      <c r="JR52" s="154">
        <v>8588.293650793652</v>
      </c>
      <c r="JS52" s="154">
        <v>8588.293650793652</v>
      </c>
      <c r="JT52" s="154">
        <v>8588.293650793652</v>
      </c>
      <c r="JU52" s="154">
        <v>8588.293650793652</v>
      </c>
      <c r="JV52" s="157">
        <f t="shared" si="179"/>
        <v>103059.52380952383</v>
      </c>
      <c r="JW52" s="161"/>
      <c r="JX52" s="163">
        <v>3903.7698412698414</v>
      </c>
      <c r="JY52" s="164">
        <v>3903.7698412698414</v>
      </c>
      <c r="JZ52" s="154">
        <v>3903.7698412698414</v>
      </c>
      <c r="KA52" s="154">
        <v>3903.7698412698414</v>
      </c>
      <c r="KB52" s="154">
        <v>3903.7698412698414</v>
      </c>
      <c r="KC52" s="154">
        <v>3903.7698412698414</v>
      </c>
      <c r="KD52" s="154">
        <v>3903.7698412698414</v>
      </c>
      <c r="KE52" s="154">
        <v>3903.7698412698414</v>
      </c>
      <c r="KF52" s="154">
        <v>3903.7698412698414</v>
      </c>
      <c r="KG52" s="154">
        <v>3903.7698412698414</v>
      </c>
      <c r="KH52" s="154">
        <v>3903.7698412698414</v>
      </c>
      <c r="KI52" s="154">
        <v>3903.7698412698414</v>
      </c>
      <c r="KJ52" s="157">
        <f t="shared" si="180"/>
        <v>46845.238095238106</v>
      </c>
      <c r="KK52" s="161"/>
      <c r="KL52" s="163">
        <v>1561.5079365079366</v>
      </c>
      <c r="KM52" s="164">
        <v>1561.5079365079366</v>
      </c>
      <c r="KN52" s="154">
        <v>1561.5079365079366</v>
      </c>
      <c r="KO52" s="154">
        <v>1561.5079365079366</v>
      </c>
      <c r="KP52" s="154">
        <v>1561.5079365079366</v>
      </c>
      <c r="KQ52" s="154">
        <v>1561.5079365079366</v>
      </c>
      <c r="KR52" s="154">
        <v>1561.5079365079366</v>
      </c>
      <c r="KS52" s="154">
        <v>1561.5079365079366</v>
      </c>
      <c r="KT52" s="154">
        <v>1561.5079365079366</v>
      </c>
      <c r="KU52" s="154">
        <v>1561.5079365079366</v>
      </c>
      <c r="KV52" s="154">
        <v>1561.5079365079366</v>
      </c>
      <c r="KW52" s="154">
        <v>1561.5079365079366</v>
      </c>
      <c r="KX52" s="157">
        <f t="shared" si="181"/>
        <v>18738.09523809524</v>
      </c>
      <c r="KY52" s="161"/>
      <c r="KZ52" s="163">
        <v>780.75396825396831</v>
      </c>
      <c r="LA52" s="164">
        <v>780.75396825396831</v>
      </c>
      <c r="LB52" s="154">
        <v>780.75396825396831</v>
      </c>
      <c r="LC52" s="154">
        <v>780.75396825396831</v>
      </c>
      <c r="LD52" s="154">
        <v>780.75396825396831</v>
      </c>
      <c r="LE52" s="154">
        <v>780.75396825396831</v>
      </c>
      <c r="LF52" s="154">
        <v>780.75396825396831</v>
      </c>
      <c r="LG52" s="154">
        <v>780.75396825396831</v>
      </c>
      <c r="LH52" s="154">
        <v>780.75396825396831</v>
      </c>
      <c r="LI52" s="154">
        <v>780.75396825396831</v>
      </c>
      <c r="LJ52" s="154">
        <v>780.75396825396831</v>
      </c>
      <c r="LK52" s="154">
        <v>780.75396825396831</v>
      </c>
      <c r="LL52" s="157">
        <f t="shared" si="182"/>
        <v>9369.0476190476202</v>
      </c>
      <c r="LM52" s="161"/>
      <c r="LN52" s="163">
        <v>0</v>
      </c>
      <c r="LO52" s="164">
        <v>0</v>
      </c>
      <c r="LP52" s="154">
        <v>0</v>
      </c>
      <c r="LQ52" s="154">
        <v>0</v>
      </c>
      <c r="LR52" s="154">
        <v>0</v>
      </c>
      <c r="LS52" s="154">
        <v>0</v>
      </c>
      <c r="LT52" s="154">
        <v>0</v>
      </c>
      <c r="LU52" s="154">
        <v>0</v>
      </c>
      <c r="LV52" s="154">
        <v>0</v>
      </c>
      <c r="LW52" s="154">
        <v>0</v>
      </c>
      <c r="LX52" s="154">
        <v>0</v>
      </c>
      <c r="LY52" s="154">
        <v>0</v>
      </c>
      <c r="LZ52" s="157">
        <f t="shared" si="183"/>
        <v>0</v>
      </c>
      <c r="MA52" s="161"/>
      <c r="MB52" s="157">
        <f t="shared" si="184"/>
        <v>128043.6507936508</v>
      </c>
      <c r="MC52" s="157">
        <f t="shared" si="184"/>
        <v>128043.6507936508</v>
      </c>
      <c r="MD52" s="157">
        <f t="shared" si="184"/>
        <v>289356.15079365071</v>
      </c>
      <c r="ME52" s="157">
        <f t="shared" si="184"/>
        <v>289356.15079365071</v>
      </c>
      <c r="MF52" s="157">
        <f t="shared" si="184"/>
        <v>289356.15079365071</v>
      </c>
      <c r="MG52" s="157">
        <f t="shared" si="184"/>
        <v>289356.15079365071</v>
      </c>
      <c r="MH52" s="157">
        <f t="shared" si="184"/>
        <v>289356.15079365071</v>
      </c>
      <c r="MI52" s="157">
        <f t="shared" si="184"/>
        <v>289356.15079365071</v>
      </c>
      <c r="MJ52" s="157">
        <f t="shared" si="184"/>
        <v>289356.15079365071</v>
      </c>
      <c r="MK52" s="157">
        <f t="shared" si="184"/>
        <v>289356.15079365071</v>
      </c>
      <c r="ML52" s="157">
        <f t="shared" si="184"/>
        <v>289356.15079365071</v>
      </c>
      <c r="MM52" s="157">
        <f t="shared" si="184"/>
        <v>289356.15079365071</v>
      </c>
      <c r="MN52" s="157">
        <f t="shared" si="185"/>
        <v>3149648.8095238083</v>
      </c>
    </row>
    <row r="53" spans="1:352" x14ac:dyDescent="0.25">
      <c r="A53" s="98"/>
      <c r="B53" s="64" t="s">
        <v>70</v>
      </c>
      <c r="C53" s="98"/>
      <c r="D53" s="163">
        <v>469.17857142857139</v>
      </c>
      <c r="E53" s="164">
        <v>469.17857142857139</v>
      </c>
      <c r="F53" s="164">
        <v>469.17857142857139</v>
      </c>
      <c r="G53" s="164">
        <v>704.28571428571422</v>
      </c>
      <c r="H53" s="164">
        <v>704.28571428571422</v>
      </c>
      <c r="I53" s="164">
        <v>704.28571428571422</v>
      </c>
      <c r="J53" s="164">
        <v>704.28571428571422</v>
      </c>
      <c r="K53" s="164">
        <v>704.28571428571422</v>
      </c>
      <c r="L53" s="164">
        <v>704.28571428571422</v>
      </c>
      <c r="M53" s="164">
        <v>704.28571428571422</v>
      </c>
      <c r="N53" s="164">
        <v>704.28571428571422</v>
      </c>
      <c r="O53" s="164">
        <v>0</v>
      </c>
      <c r="P53" s="157">
        <f t="shared" si="161"/>
        <v>7041.8214285714257</v>
      </c>
      <c r="Q53" s="161"/>
      <c r="R53" s="163">
        <v>48.535714285714278</v>
      </c>
      <c r="S53" s="164">
        <v>48.535714285714278</v>
      </c>
      <c r="T53" s="164">
        <v>48.535714285714278</v>
      </c>
      <c r="U53" s="164">
        <v>72.857142857142861</v>
      </c>
      <c r="V53" s="164">
        <v>72.857142857142861</v>
      </c>
      <c r="W53" s="164">
        <v>72.857142857142861</v>
      </c>
      <c r="X53" s="164">
        <v>72.857142857142861</v>
      </c>
      <c r="Y53" s="164">
        <v>72.857142857142861</v>
      </c>
      <c r="Z53" s="164">
        <v>72.857142857142861</v>
      </c>
      <c r="AA53" s="164">
        <v>72.857142857142861</v>
      </c>
      <c r="AB53" s="164">
        <v>72.857142857142861</v>
      </c>
      <c r="AC53" s="164">
        <v>0</v>
      </c>
      <c r="AD53" s="157">
        <f t="shared" si="162"/>
        <v>728.46428571428589</v>
      </c>
      <c r="AE53" s="161"/>
      <c r="AF53" s="163">
        <v>48.535714285714278</v>
      </c>
      <c r="AG53" s="164">
        <v>48.535714285714278</v>
      </c>
      <c r="AH53" s="164">
        <v>48.535714285714278</v>
      </c>
      <c r="AI53" s="164">
        <v>72.857142857142861</v>
      </c>
      <c r="AJ53" s="164">
        <v>72.857142857142861</v>
      </c>
      <c r="AK53" s="164">
        <v>72.857142857142861</v>
      </c>
      <c r="AL53" s="164">
        <v>72.857142857142861</v>
      </c>
      <c r="AM53" s="164">
        <v>72.857142857142861</v>
      </c>
      <c r="AN53" s="164">
        <v>72.857142857142861</v>
      </c>
      <c r="AO53" s="164">
        <v>72.857142857142861</v>
      </c>
      <c r="AP53" s="164">
        <v>72.857142857142861</v>
      </c>
      <c r="AQ53" s="164">
        <v>0</v>
      </c>
      <c r="AR53" s="157">
        <f t="shared" si="163"/>
        <v>728.46428571428589</v>
      </c>
      <c r="AT53" s="163">
        <v>32.357142857142854</v>
      </c>
      <c r="AU53" s="164">
        <v>32.357142857142854</v>
      </c>
      <c r="AV53" s="164">
        <v>32.357142857142854</v>
      </c>
      <c r="AW53" s="164">
        <v>48.571428571428569</v>
      </c>
      <c r="AX53" s="164">
        <v>48.571428571428569</v>
      </c>
      <c r="AY53" s="164">
        <v>48.571428571428569</v>
      </c>
      <c r="AZ53" s="164">
        <v>48.571428571428569</v>
      </c>
      <c r="BA53" s="164">
        <v>48.571428571428569</v>
      </c>
      <c r="BB53" s="154">
        <v>48.571428571428569</v>
      </c>
      <c r="BC53" s="154">
        <v>48.571428571428569</v>
      </c>
      <c r="BD53" s="154">
        <v>48.571428571428569</v>
      </c>
      <c r="BE53" s="154">
        <v>0</v>
      </c>
      <c r="BF53" s="157">
        <f t="shared" si="164"/>
        <v>485.642857142857</v>
      </c>
      <c r="BH53" s="163">
        <v>242.67857142857142</v>
      </c>
      <c r="BI53" s="164">
        <v>242.67857142857142</v>
      </c>
      <c r="BJ53" s="154">
        <v>242.67857142857142</v>
      </c>
      <c r="BK53" s="154">
        <v>364.28571428571428</v>
      </c>
      <c r="BL53" s="154">
        <v>364.28571428571428</v>
      </c>
      <c r="BM53" s="154">
        <v>364.28571428571428</v>
      </c>
      <c r="BN53" s="154">
        <v>364.28571428571428</v>
      </c>
      <c r="BO53" s="154">
        <v>364.28571428571428</v>
      </c>
      <c r="BP53" s="154">
        <v>364.28571428571428</v>
      </c>
      <c r="BQ53" s="154">
        <v>364.28571428571428</v>
      </c>
      <c r="BR53" s="154">
        <v>364.28571428571428</v>
      </c>
      <c r="BS53" s="154">
        <v>0</v>
      </c>
      <c r="BT53" s="157">
        <f t="shared" si="165"/>
        <v>3642.321428571428</v>
      </c>
      <c r="BV53" s="163">
        <v>16.178571428571427</v>
      </c>
      <c r="BW53" s="164">
        <v>16.178571428571427</v>
      </c>
      <c r="BX53" s="154">
        <v>16.178571428571427</v>
      </c>
      <c r="BY53" s="154">
        <v>24.285714285714285</v>
      </c>
      <c r="BZ53" s="154">
        <v>24.285714285714285</v>
      </c>
      <c r="CA53" s="154">
        <v>24.285714285714285</v>
      </c>
      <c r="CB53" s="154">
        <v>24.285714285714285</v>
      </c>
      <c r="CC53" s="154">
        <v>24.285714285714285</v>
      </c>
      <c r="CD53" s="154">
        <v>24.285714285714285</v>
      </c>
      <c r="CE53" s="154">
        <v>24.285714285714285</v>
      </c>
      <c r="CF53" s="154">
        <v>24.285714285714285</v>
      </c>
      <c r="CG53" s="154">
        <v>0</v>
      </c>
      <c r="CH53" s="157">
        <f t="shared" si="166"/>
        <v>242.8214285714285</v>
      </c>
      <c r="CI53" s="161"/>
      <c r="CJ53" s="163">
        <v>177.96428571428569</v>
      </c>
      <c r="CK53" s="164">
        <v>177.96428571428569</v>
      </c>
      <c r="CL53" s="154">
        <v>177.96428571428569</v>
      </c>
      <c r="CM53" s="154">
        <v>267.14285714285711</v>
      </c>
      <c r="CN53" s="154">
        <v>267.14285714285711</v>
      </c>
      <c r="CO53" s="154">
        <v>267.14285714285711</v>
      </c>
      <c r="CP53" s="154">
        <v>267.14285714285711</v>
      </c>
      <c r="CQ53" s="154">
        <v>267.14285714285711</v>
      </c>
      <c r="CR53" s="154">
        <v>267.14285714285711</v>
      </c>
      <c r="CS53" s="154">
        <v>267.14285714285711</v>
      </c>
      <c r="CT53" s="154">
        <v>267.14285714285711</v>
      </c>
      <c r="CU53" s="154">
        <v>0</v>
      </c>
      <c r="CV53" s="157">
        <f t="shared" si="167"/>
        <v>2671.0357142857138</v>
      </c>
      <c r="CW53" s="161"/>
      <c r="CX53" s="163">
        <v>452.99999999999994</v>
      </c>
      <c r="CY53" s="164">
        <v>452.99999999999994</v>
      </c>
      <c r="CZ53" s="154">
        <v>452.99999999999994</v>
      </c>
      <c r="DA53" s="154">
        <v>680</v>
      </c>
      <c r="DB53" s="154">
        <v>680</v>
      </c>
      <c r="DC53" s="154">
        <v>680</v>
      </c>
      <c r="DD53" s="154">
        <v>680</v>
      </c>
      <c r="DE53" s="154">
        <v>680</v>
      </c>
      <c r="DF53" s="154">
        <v>680</v>
      </c>
      <c r="DG53" s="154">
        <v>680</v>
      </c>
      <c r="DH53" s="154">
        <v>680</v>
      </c>
      <c r="DI53" s="154">
        <v>0</v>
      </c>
      <c r="DJ53" s="157">
        <f t="shared" si="168"/>
        <v>6799</v>
      </c>
      <c r="DK53" s="161"/>
      <c r="DL53" s="163">
        <v>452.99999999999994</v>
      </c>
      <c r="DM53" s="164">
        <v>452.99999999999994</v>
      </c>
      <c r="DN53" s="154">
        <v>452.99999999999994</v>
      </c>
      <c r="DO53" s="154">
        <v>680</v>
      </c>
      <c r="DP53" s="154">
        <v>680</v>
      </c>
      <c r="DQ53" s="154">
        <v>680</v>
      </c>
      <c r="DR53" s="154">
        <v>680</v>
      </c>
      <c r="DS53" s="154">
        <v>680</v>
      </c>
      <c r="DT53" s="154">
        <v>680</v>
      </c>
      <c r="DU53" s="154">
        <v>680</v>
      </c>
      <c r="DV53" s="154">
        <v>680</v>
      </c>
      <c r="DW53" s="154">
        <v>0</v>
      </c>
      <c r="DX53" s="157">
        <f t="shared" si="169"/>
        <v>6799</v>
      </c>
      <c r="DY53" s="161"/>
      <c r="DZ53" s="163">
        <v>16.178571428571427</v>
      </c>
      <c r="EA53" s="164">
        <v>16.178571428571427</v>
      </c>
      <c r="EB53" s="154">
        <v>16.178571428571427</v>
      </c>
      <c r="EC53" s="154">
        <v>24.285714285714285</v>
      </c>
      <c r="ED53" s="154">
        <v>24.285714285714285</v>
      </c>
      <c r="EE53" s="154">
        <v>24.285714285714285</v>
      </c>
      <c r="EF53" s="154">
        <v>24.285714285714285</v>
      </c>
      <c r="EG53" s="154">
        <v>24.285714285714285</v>
      </c>
      <c r="EH53" s="154">
        <v>24.285714285714285</v>
      </c>
      <c r="EI53" s="154">
        <v>24.285714285714285</v>
      </c>
      <c r="EJ53" s="154">
        <v>24.285714285714285</v>
      </c>
      <c r="EK53" s="154">
        <v>0</v>
      </c>
      <c r="EL53" s="157">
        <f t="shared" si="170"/>
        <v>242.8214285714285</v>
      </c>
      <c r="EM53" s="161"/>
      <c r="EN53" s="163">
        <v>32.357142857142854</v>
      </c>
      <c r="EO53" s="164">
        <v>32.357142857142854</v>
      </c>
      <c r="EP53" s="154">
        <v>32.357142857142854</v>
      </c>
      <c r="EQ53" s="154">
        <v>48.571428571428569</v>
      </c>
      <c r="ER53" s="154">
        <v>48.571428571428569</v>
      </c>
      <c r="ES53" s="154">
        <v>48.571428571428569</v>
      </c>
      <c r="ET53" s="154">
        <v>48.571428571428569</v>
      </c>
      <c r="EU53" s="154">
        <v>48.571428571428569</v>
      </c>
      <c r="EV53" s="154">
        <v>48.571428571428569</v>
      </c>
      <c r="EW53" s="154">
        <v>48.571428571428569</v>
      </c>
      <c r="EX53" s="154">
        <v>48.571428571428569</v>
      </c>
      <c r="EY53" s="154">
        <v>0</v>
      </c>
      <c r="EZ53" s="157">
        <f t="shared" si="171"/>
        <v>485.642857142857</v>
      </c>
      <c r="FA53" s="161"/>
      <c r="FB53" s="163">
        <v>16.178571428571427</v>
      </c>
      <c r="FC53" s="164">
        <v>16.178571428571427</v>
      </c>
      <c r="FD53" s="154">
        <v>16.178571428571427</v>
      </c>
      <c r="FE53" s="154">
        <v>24.285714285714285</v>
      </c>
      <c r="FF53" s="154">
        <v>24.285714285714285</v>
      </c>
      <c r="FG53" s="154">
        <v>24.285714285714285</v>
      </c>
      <c r="FH53" s="154">
        <v>24.285714285714285</v>
      </c>
      <c r="FI53" s="154">
        <v>24.285714285714285</v>
      </c>
      <c r="FJ53" s="154">
        <v>24.285714285714285</v>
      </c>
      <c r="FK53" s="154">
        <v>24.285714285714285</v>
      </c>
      <c r="FL53" s="154">
        <v>24.285714285714285</v>
      </c>
      <c r="FM53" s="154">
        <v>0</v>
      </c>
      <c r="FN53" s="157">
        <f t="shared" si="172"/>
        <v>242.8214285714285</v>
      </c>
      <c r="FO53" s="161"/>
      <c r="FP53" s="163">
        <v>113.24999999999999</v>
      </c>
      <c r="FQ53" s="164">
        <v>113.24999999999999</v>
      </c>
      <c r="FR53" s="154">
        <v>113.24999999999999</v>
      </c>
      <c r="FS53" s="154">
        <v>170</v>
      </c>
      <c r="FT53" s="154">
        <v>170</v>
      </c>
      <c r="FU53" s="154">
        <v>170</v>
      </c>
      <c r="FV53" s="154">
        <v>170</v>
      </c>
      <c r="FW53" s="154">
        <v>170</v>
      </c>
      <c r="FX53" s="154">
        <v>170</v>
      </c>
      <c r="FY53" s="154">
        <v>170</v>
      </c>
      <c r="FZ53" s="154">
        <v>170</v>
      </c>
      <c r="GA53" s="154">
        <v>0</v>
      </c>
      <c r="GB53" s="157">
        <f t="shared" si="173"/>
        <v>1699.75</v>
      </c>
      <c r="GC53" s="161"/>
      <c r="GD53" s="163">
        <v>16.178571428571427</v>
      </c>
      <c r="GE53" s="164">
        <v>16.178571428571427</v>
      </c>
      <c r="GF53" s="154">
        <v>16.178571428571427</v>
      </c>
      <c r="GG53" s="154">
        <v>24.285714285714285</v>
      </c>
      <c r="GH53" s="154">
        <v>24.285714285714285</v>
      </c>
      <c r="GI53" s="154">
        <v>24.285714285714285</v>
      </c>
      <c r="GJ53" s="154">
        <v>24.285714285714285</v>
      </c>
      <c r="GK53" s="154">
        <v>24.285714285714285</v>
      </c>
      <c r="GL53" s="154">
        <v>24.285714285714285</v>
      </c>
      <c r="GM53" s="154">
        <v>24.285714285714285</v>
      </c>
      <c r="GN53" s="154">
        <v>24.285714285714285</v>
      </c>
      <c r="GO53" s="154">
        <v>0</v>
      </c>
      <c r="GP53" s="157">
        <f t="shared" si="174"/>
        <v>242.8214285714285</v>
      </c>
      <c r="GQ53" s="161"/>
      <c r="GR53" s="163">
        <v>0</v>
      </c>
      <c r="GS53" s="164">
        <v>0</v>
      </c>
      <c r="GT53" s="154">
        <v>0</v>
      </c>
      <c r="GU53" s="154">
        <v>0</v>
      </c>
      <c r="GV53" s="154">
        <v>0</v>
      </c>
      <c r="GW53" s="154">
        <v>0</v>
      </c>
      <c r="GX53" s="154">
        <v>0</v>
      </c>
      <c r="GY53" s="154">
        <v>0</v>
      </c>
      <c r="GZ53" s="154">
        <v>0</v>
      </c>
      <c r="HA53" s="154">
        <v>0</v>
      </c>
      <c r="HB53" s="154">
        <v>0</v>
      </c>
      <c r="HC53" s="154">
        <v>0</v>
      </c>
      <c r="HD53" s="157">
        <f t="shared" si="186"/>
        <v>0</v>
      </c>
      <c r="HE53" s="161"/>
      <c r="HF53" s="163">
        <v>64.714285714285708</v>
      </c>
      <c r="HG53" s="164">
        <v>64.714285714285708</v>
      </c>
      <c r="HH53" s="154">
        <v>64.714285714285708</v>
      </c>
      <c r="HI53" s="154">
        <v>97.142857142857139</v>
      </c>
      <c r="HJ53" s="154">
        <v>97.142857142857139</v>
      </c>
      <c r="HK53" s="154">
        <v>97.142857142857139</v>
      </c>
      <c r="HL53" s="154">
        <v>97.142857142857139</v>
      </c>
      <c r="HM53" s="154">
        <v>97.142857142857139</v>
      </c>
      <c r="HN53" s="154">
        <v>97.142857142857139</v>
      </c>
      <c r="HO53" s="154">
        <v>97.142857142857139</v>
      </c>
      <c r="HP53" s="154">
        <v>97.142857142857139</v>
      </c>
      <c r="HQ53" s="154">
        <v>0</v>
      </c>
      <c r="HR53" s="157">
        <f t="shared" si="175"/>
        <v>971.28571428571399</v>
      </c>
      <c r="HS53" s="161"/>
      <c r="HT53" s="163">
        <v>16.178571428571427</v>
      </c>
      <c r="HU53" s="164">
        <v>16.178571428571427</v>
      </c>
      <c r="HV53" s="154">
        <v>16.178571428571427</v>
      </c>
      <c r="HW53" s="154">
        <v>24.285714285714285</v>
      </c>
      <c r="HX53" s="154">
        <v>24.285714285714285</v>
      </c>
      <c r="HY53" s="154">
        <v>24.285714285714285</v>
      </c>
      <c r="HZ53" s="154">
        <v>24.285714285714285</v>
      </c>
      <c r="IA53" s="154">
        <v>24.285714285714285</v>
      </c>
      <c r="IB53" s="154">
        <v>24.285714285714285</v>
      </c>
      <c r="IC53" s="154">
        <v>24.285714285714285</v>
      </c>
      <c r="ID53" s="154">
        <v>24.285714285714285</v>
      </c>
      <c r="IE53" s="154">
        <v>0</v>
      </c>
      <c r="IF53" s="157">
        <f t="shared" si="176"/>
        <v>242.8214285714285</v>
      </c>
      <c r="IG53" s="161"/>
      <c r="IH53" s="163">
        <v>16.178571428571427</v>
      </c>
      <c r="II53" s="164">
        <v>16.178571428571427</v>
      </c>
      <c r="IJ53" s="154">
        <v>16.178571428571427</v>
      </c>
      <c r="IK53" s="154">
        <v>24.285714285714285</v>
      </c>
      <c r="IL53" s="154">
        <v>24.285714285714285</v>
      </c>
      <c r="IM53" s="154">
        <v>24.285714285714285</v>
      </c>
      <c r="IN53" s="154">
        <v>24.285714285714285</v>
      </c>
      <c r="IO53" s="154">
        <v>24.285714285714285</v>
      </c>
      <c r="IP53" s="154">
        <v>24.285714285714285</v>
      </c>
      <c r="IQ53" s="154">
        <v>24.285714285714285</v>
      </c>
      <c r="IR53" s="154">
        <v>24.285714285714285</v>
      </c>
      <c r="IS53" s="154">
        <v>0</v>
      </c>
      <c r="IT53" s="157">
        <f t="shared" si="177"/>
        <v>242.8214285714285</v>
      </c>
      <c r="IU53" s="161"/>
      <c r="IV53" s="163">
        <v>113.24999999999999</v>
      </c>
      <c r="IW53" s="164">
        <v>113.24999999999999</v>
      </c>
      <c r="IX53" s="154">
        <v>113.24999999999999</v>
      </c>
      <c r="IY53" s="154">
        <v>170</v>
      </c>
      <c r="IZ53" s="154">
        <v>170</v>
      </c>
      <c r="JA53" s="154">
        <v>170</v>
      </c>
      <c r="JB53" s="154">
        <v>170</v>
      </c>
      <c r="JC53" s="154">
        <v>170</v>
      </c>
      <c r="JD53" s="154">
        <v>170</v>
      </c>
      <c r="JE53" s="154">
        <v>170</v>
      </c>
      <c r="JF53" s="154">
        <v>170</v>
      </c>
      <c r="JG53" s="154">
        <v>0</v>
      </c>
      <c r="JH53" s="157">
        <f t="shared" si="178"/>
        <v>1699.75</v>
      </c>
      <c r="JI53" s="161"/>
      <c r="JJ53" s="163">
        <v>177.96428571428569</v>
      </c>
      <c r="JK53" s="164">
        <v>177.96428571428569</v>
      </c>
      <c r="JL53" s="154">
        <v>177.96428571428569</v>
      </c>
      <c r="JM53" s="154">
        <v>267.14285714285711</v>
      </c>
      <c r="JN53" s="154">
        <v>267.14285714285711</v>
      </c>
      <c r="JO53" s="154">
        <v>267.14285714285711</v>
      </c>
      <c r="JP53" s="154">
        <v>267.14285714285711</v>
      </c>
      <c r="JQ53" s="154">
        <v>267.14285714285711</v>
      </c>
      <c r="JR53" s="154">
        <v>267.14285714285711</v>
      </c>
      <c r="JS53" s="154">
        <v>267.14285714285711</v>
      </c>
      <c r="JT53" s="154">
        <v>267.14285714285711</v>
      </c>
      <c r="JU53" s="154">
        <v>0</v>
      </c>
      <c r="JV53" s="157">
        <f t="shared" si="179"/>
        <v>2671.0357142857138</v>
      </c>
      <c r="JW53" s="161"/>
      <c r="JX53" s="163">
        <v>80.892857142857139</v>
      </c>
      <c r="JY53" s="164">
        <v>80.892857142857139</v>
      </c>
      <c r="JZ53" s="154">
        <v>80.892857142857139</v>
      </c>
      <c r="KA53" s="154">
        <v>121.42857142857142</v>
      </c>
      <c r="KB53" s="154">
        <v>121.42857142857142</v>
      </c>
      <c r="KC53" s="154">
        <v>121.42857142857142</v>
      </c>
      <c r="KD53" s="154">
        <v>121.42857142857142</v>
      </c>
      <c r="KE53" s="154">
        <v>121.42857142857142</v>
      </c>
      <c r="KF53" s="154">
        <v>121.42857142857142</v>
      </c>
      <c r="KG53" s="154">
        <v>121.42857142857142</v>
      </c>
      <c r="KH53" s="154">
        <v>121.42857142857142</v>
      </c>
      <c r="KI53" s="154">
        <v>0</v>
      </c>
      <c r="KJ53" s="157">
        <f t="shared" si="180"/>
        <v>1214.1071428571427</v>
      </c>
      <c r="KK53" s="161"/>
      <c r="KL53" s="163">
        <v>32.357142857142854</v>
      </c>
      <c r="KM53" s="164">
        <v>32.357142857142854</v>
      </c>
      <c r="KN53" s="154">
        <v>32.357142857142854</v>
      </c>
      <c r="KO53" s="154">
        <v>48.571428571428569</v>
      </c>
      <c r="KP53" s="154">
        <v>48.571428571428569</v>
      </c>
      <c r="KQ53" s="154">
        <v>48.571428571428569</v>
      </c>
      <c r="KR53" s="154">
        <v>48.571428571428569</v>
      </c>
      <c r="KS53" s="154">
        <v>48.571428571428569</v>
      </c>
      <c r="KT53" s="154">
        <v>48.571428571428569</v>
      </c>
      <c r="KU53" s="154">
        <v>48.571428571428569</v>
      </c>
      <c r="KV53" s="154">
        <v>48.571428571428569</v>
      </c>
      <c r="KW53" s="154">
        <v>0</v>
      </c>
      <c r="KX53" s="157">
        <f t="shared" si="181"/>
        <v>485.642857142857</v>
      </c>
      <c r="KY53" s="161"/>
      <c r="KZ53" s="163">
        <v>16.178571428571427</v>
      </c>
      <c r="LA53" s="164">
        <v>16.178571428571427</v>
      </c>
      <c r="LB53" s="154">
        <v>16.178571428571427</v>
      </c>
      <c r="LC53" s="154">
        <v>24.285714285714285</v>
      </c>
      <c r="LD53" s="154">
        <v>24.285714285714285</v>
      </c>
      <c r="LE53" s="154">
        <v>24.285714285714285</v>
      </c>
      <c r="LF53" s="154">
        <v>24.285714285714285</v>
      </c>
      <c r="LG53" s="154">
        <v>24.285714285714285</v>
      </c>
      <c r="LH53" s="154">
        <v>24.285714285714285</v>
      </c>
      <c r="LI53" s="154">
        <v>24.285714285714285</v>
      </c>
      <c r="LJ53" s="154">
        <v>24.285714285714285</v>
      </c>
      <c r="LK53" s="154">
        <v>0</v>
      </c>
      <c r="LL53" s="157">
        <f t="shared" si="182"/>
        <v>242.8214285714285</v>
      </c>
      <c r="LM53" s="161"/>
      <c r="LN53" s="163">
        <v>0</v>
      </c>
      <c r="LO53" s="164">
        <v>0</v>
      </c>
      <c r="LP53" s="154">
        <v>0</v>
      </c>
      <c r="LQ53" s="154">
        <v>0</v>
      </c>
      <c r="LR53" s="154">
        <v>0</v>
      </c>
      <c r="LS53" s="154">
        <v>0</v>
      </c>
      <c r="LT53" s="154">
        <v>0</v>
      </c>
      <c r="LU53" s="154">
        <v>0</v>
      </c>
      <c r="LV53" s="154">
        <v>0</v>
      </c>
      <c r="LW53" s="154">
        <v>0</v>
      </c>
      <c r="LX53" s="154">
        <v>0</v>
      </c>
      <c r="LY53" s="154">
        <v>0</v>
      </c>
      <c r="LZ53" s="157">
        <f t="shared" si="183"/>
        <v>0</v>
      </c>
      <c r="MA53" s="161"/>
      <c r="MB53" s="157">
        <f t="shared" si="184"/>
        <v>2653.2857142857147</v>
      </c>
      <c r="MC53" s="157">
        <f t="shared" si="184"/>
        <v>2653.2857142857147</v>
      </c>
      <c r="MD53" s="157">
        <f t="shared" si="184"/>
        <v>2653.2857142857147</v>
      </c>
      <c r="ME53" s="157">
        <f t="shared" si="184"/>
        <v>3982.8571428571427</v>
      </c>
      <c r="MF53" s="157">
        <f t="shared" si="184"/>
        <v>3982.8571428571427</v>
      </c>
      <c r="MG53" s="157">
        <f t="shared" si="184"/>
        <v>3982.8571428571427</v>
      </c>
      <c r="MH53" s="157">
        <f t="shared" si="184"/>
        <v>3982.8571428571427</v>
      </c>
      <c r="MI53" s="157">
        <f t="shared" si="184"/>
        <v>3982.8571428571427</v>
      </c>
      <c r="MJ53" s="157">
        <f t="shared" si="184"/>
        <v>3982.8571428571427</v>
      </c>
      <c r="MK53" s="157">
        <f t="shared" si="184"/>
        <v>3982.8571428571427</v>
      </c>
      <c r="ML53" s="157">
        <f t="shared" si="184"/>
        <v>3982.8571428571427</v>
      </c>
      <c r="MM53" s="157">
        <f t="shared" si="184"/>
        <v>0</v>
      </c>
      <c r="MN53" s="157">
        <f t="shared" si="185"/>
        <v>39822.714285714283</v>
      </c>
    </row>
    <row r="54" spans="1:352" x14ac:dyDescent="0.25">
      <c r="A54" s="98"/>
      <c r="B54" s="64" t="s">
        <v>71</v>
      </c>
      <c r="C54" s="98"/>
      <c r="D54" s="163">
        <v>3931.916666666667</v>
      </c>
      <c r="E54" s="164">
        <v>3931.916666666667</v>
      </c>
      <c r="F54" s="164">
        <v>3931.916666666667</v>
      </c>
      <c r="G54" s="164">
        <v>3931.916666666667</v>
      </c>
      <c r="H54" s="164">
        <v>3931.916666666667</v>
      </c>
      <c r="I54" s="164">
        <v>3931.916666666667</v>
      </c>
      <c r="J54" s="164">
        <v>3931.916666666667</v>
      </c>
      <c r="K54" s="164">
        <v>3931.916666666667</v>
      </c>
      <c r="L54" s="164">
        <v>3931.916666666667</v>
      </c>
      <c r="M54" s="164">
        <v>3931.916666666667</v>
      </c>
      <c r="N54" s="164">
        <v>3931.916666666667</v>
      </c>
      <c r="O54" s="164">
        <v>3931.916666666667</v>
      </c>
      <c r="P54" s="157">
        <f t="shared" si="161"/>
        <v>47183</v>
      </c>
      <c r="Q54" s="161"/>
      <c r="R54" s="163">
        <v>406.75</v>
      </c>
      <c r="S54" s="164">
        <v>406.75</v>
      </c>
      <c r="T54" s="164">
        <v>406.75</v>
      </c>
      <c r="U54" s="164">
        <v>406.75</v>
      </c>
      <c r="V54" s="164">
        <v>406.75</v>
      </c>
      <c r="W54" s="164">
        <v>406.75</v>
      </c>
      <c r="X54" s="164">
        <v>406.75</v>
      </c>
      <c r="Y54" s="164">
        <v>406.75</v>
      </c>
      <c r="Z54" s="164">
        <v>406.75</v>
      </c>
      <c r="AA54" s="164">
        <v>406.75</v>
      </c>
      <c r="AB54" s="164">
        <v>406.75</v>
      </c>
      <c r="AC54" s="164">
        <v>406.75</v>
      </c>
      <c r="AD54" s="157">
        <f t="shared" si="162"/>
        <v>4881</v>
      </c>
      <c r="AE54" s="161"/>
      <c r="AF54" s="163">
        <v>406.75</v>
      </c>
      <c r="AG54" s="164">
        <v>406.75</v>
      </c>
      <c r="AH54" s="164">
        <v>406.75</v>
      </c>
      <c r="AI54" s="164">
        <v>406.75</v>
      </c>
      <c r="AJ54" s="164">
        <v>406.75</v>
      </c>
      <c r="AK54" s="164">
        <v>406.75</v>
      </c>
      <c r="AL54" s="164">
        <v>406.75</v>
      </c>
      <c r="AM54" s="164">
        <v>406.75</v>
      </c>
      <c r="AN54" s="164">
        <v>406.75</v>
      </c>
      <c r="AO54" s="164">
        <v>406.75</v>
      </c>
      <c r="AP54" s="164">
        <v>406.75</v>
      </c>
      <c r="AQ54" s="164">
        <v>406.75</v>
      </c>
      <c r="AR54" s="157">
        <f t="shared" si="163"/>
        <v>4881</v>
      </c>
      <c r="AT54" s="163">
        <v>271.16666666666669</v>
      </c>
      <c r="AU54" s="164">
        <v>271.16666666666669</v>
      </c>
      <c r="AV54" s="164">
        <v>271.16666666666669</v>
      </c>
      <c r="AW54" s="164">
        <v>271.16666666666669</v>
      </c>
      <c r="AX54" s="164">
        <v>271.16666666666669</v>
      </c>
      <c r="AY54" s="164">
        <v>271.16666666666669</v>
      </c>
      <c r="AZ54" s="164">
        <v>271.16666666666669</v>
      </c>
      <c r="BA54" s="164">
        <v>271.16666666666669</v>
      </c>
      <c r="BB54" s="154">
        <v>271.16666666666669</v>
      </c>
      <c r="BC54" s="154">
        <v>271.16666666666669</v>
      </c>
      <c r="BD54" s="154">
        <v>271.16666666666669</v>
      </c>
      <c r="BE54" s="154">
        <v>271.16666666666669</v>
      </c>
      <c r="BF54" s="157">
        <f t="shared" si="164"/>
        <v>3253.9999999999995</v>
      </c>
      <c r="BH54" s="163">
        <v>2033.7500000000002</v>
      </c>
      <c r="BI54" s="164">
        <v>2033.7500000000002</v>
      </c>
      <c r="BJ54" s="154">
        <v>2033.7500000000002</v>
      </c>
      <c r="BK54" s="154">
        <v>2033.7500000000002</v>
      </c>
      <c r="BL54" s="154">
        <v>2033.7500000000002</v>
      </c>
      <c r="BM54" s="154">
        <v>2033.7500000000002</v>
      </c>
      <c r="BN54" s="154">
        <v>2033.7500000000002</v>
      </c>
      <c r="BO54" s="154">
        <v>2033.7500000000002</v>
      </c>
      <c r="BP54" s="154">
        <v>2033.7500000000002</v>
      </c>
      <c r="BQ54" s="154">
        <v>2033.7500000000002</v>
      </c>
      <c r="BR54" s="154">
        <v>2033.7500000000002</v>
      </c>
      <c r="BS54" s="154">
        <v>2033.7500000000002</v>
      </c>
      <c r="BT54" s="157">
        <f t="shared" si="165"/>
        <v>24405.000000000004</v>
      </c>
      <c r="BV54" s="163">
        <v>135.58333333333334</v>
      </c>
      <c r="BW54" s="164">
        <v>135.58333333333334</v>
      </c>
      <c r="BX54" s="154">
        <v>135.58333333333334</v>
      </c>
      <c r="BY54" s="154">
        <v>135.58333333333334</v>
      </c>
      <c r="BZ54" s="154">
        <v>135.58333333333334</v>
      </c>
      <c r="CA54" s="154">
        <v>135.58333333333334</v>
      </c>
      <c r="CB54" s="154">
        <v>135.58333333333334</v>
      </c>
      <c r="CC54" s="154">
        <v>135.58333333333334</v>
      </c>
      <c r="CD54" s="154">
        <v>135.58333333333334</v>
      </c>
      <c r="CE54" s="154">
        <v>135.58333333333334</v>
      </c>
      <c r="CF54" s="154">
        <v>135.58333333333334</v>
      </c>
      <c r="CG54" s="154">
        <v>135.58333333333334</v>
      </c>
      <c r="CH54" s="157">
        <f t="shared" si="166"/>
        <v>1626.9999999999998</v>
      </c>
      <c r="CI54" s="161"/>
      <c r="CJ54" s="163">
        <v>1491.4166666666667</v>
      </c>
      <c r="CK54" s="164">
        <v>1491.4166666666667</v>
      </c>
      <c r="CL54" s="154">
        <v>1491.4166666666667</v>
      </c>
      <c r="CM54" s="154">
        <v>1491.4166666666667</v>
      </c>
      <c r="CN54" s="154">
        <v>1491.4166666666667</v>
      </c>
      <c r="CO54" s="154">
        <v>1491.4166666666667</v>
      </c>
      <c r="CP54" s="154">
        <v>1491.4166666666667</v>
      </c>
      <c r="CQ54" s="154">
        <v>1491.4166666666667</v>
      </c>
      <c r="CR54" s="154">
        <v>1491.4166666666667</v>
      </c>
      <c r="CS54" s="154">
        <v>1491.4166666666667</v>
      </c>
      <c r="CT54" s="154">
        <v>1491.4166666666667</v>
      </c>
      <c r="CU54" s="154">
        <v>1491.4166666666667</v>
      </c>
      <c r="CV54" s="157">
        <f t="shared" si="167"/>
        <v>17897</v>
      </c>
      <c r="CW54" s="161"/>
      <c r="CX54" s="163">
        <v>3796.3333333333335</v>
      </c>
      <c r="CY54" s="164">
        <v>3796.3333333333335</v>
      </c>
      <c r="CZ54" s="154">
        <v>3796.3333333333335</v>
      </c>
      <c r="DA54" s="154">
        <v>3796.3333333333335</v>
      </c>
      <c r="DB54" s="154">
        <v>3796.3333333333335</v>
      </c>
      <c r="DC54" s="154">
        <v>3796.3333333333335</v>
      </c>
      <c r="DD54" s="154">
        <v>3796.3333333333335</v>
      </c>
      <c r="DE54" s="154">
        <v>3796.3333333333335</v>
      </c>
      <c r="DF54" s="154">
        <v>3796.3333333333335</v>
      </c>
      <c r="DG54" s="154">
        <v>3796.3333333333335</v>
      </c>
      <c r="DH54" s="154">
        <v>3796.3333333333335</v>
      </c>
      <c r="DI54" s="154">
        <v>3796.3333333333335</v>
      </c>
      <c r="DJ54" s="157">
        <f t="shared" si="168"/>
        <v>45556.000000000007</v>
      </c>
      <c r="DK54" s="161"/>
      <c r="DL54" s="163">
        <v>3796.3333333333335</v>
      </c>
      <c r="DM54" s="164">
        <v>3796.3333333333335</v>
      </c>
      <c r="DN54" s="154">
        <v>3796.3333333333335</v>
      </c>
      <c r="DO54" s="154">
        <v>3796.3333333333335</v>
      </c>
      <c r="DP54" s="154">
        <v>3796.3333333333335</v>
      </c>
      <c r="DQ54" s="154">
        <v>3796.3333333333335</v>
      </c>
      <c r="DR54" s="154">
        <v>3796.3333333333335</v>
      </c>
      <c r="DS54" s="154">
        <v>3796.3333333333335</v>
      </c>
      <c r="DT54" s="154">
        <v>3796.3333333333335</v>
      </c>
      <c r="DU54" s="154">
        <v>3796.3333333333335</v>
      </c>
      <c r="DV54" s="154">
        <v>3796.3333333333335</v>
      </c>
      <c r="DW54" s="154">
        <v>3796.3333333333335</v>
      </c>
      <c r="DX54" s="157">
        <f t="shared" si="169"/>
        <v>45556.000000000007</v>
      </c>
      <c r="DY54" s="161"/>
      <c r="DZ54" s="163">
        <v>135.58333333333334</v>
      </c>
      <c r="EA54" s="164">
        <v>135.58333333333334</v>
      </c>
      <c r="EB54" s="154">
        <v>135.58333333333334</v>
      </c>
      <c r="EC54" s="154">
        <v>135.58333333333334</v>
      </c>
      <c r="ED54" s="154">
        <v>135.58333333333334</v>
      </c>
      <c r="EE54" s="154">
        <v>135.58333333333334</v>
      </c>
      <c r="EF54" s="154">
        <v>135.58333333333334</v>
      </c>
      <c r="EG54" s="154">
        <v>135.58333333333334</v>
      </c>
      <c r="EH54" s="154">
        <v>135.58333333333334</v>
      </c>
      <c r="EI54" s="154">
        <v>135.58333333333334</v>
      </c>
      <c r="EJ54" s="154">
        <v>135.58333333333334</v>
      </c>
      <c r="EK54" s="154">
        <v>135.58333333333334</v>
      </c>
      <c r="EL54" s="157">
        <f t="shared" si="170"/>
        <v>1626.9999999999998</v>
      </c>
      <c r="EM54" s="161"/>
      <c r="EN54" s="163">
        <v>271.16666666666669</v>
      </c>
      <c r="EO54" s="164">
        <v>271.16666666666669</v>
      </c>
      <c r="EP54" s="154">
        <v>271.16666666666669</v>
      </c>
      <c r="EQ54" s="154">
        <v>271.16666666666669</v>
      </c>
      <c r="ER54" s="154">
        <v>271.16666666666669</v>
      </c>
      <c r="ES54" s="154">
        <v>271.16666666666669</v>
      </c>
      <c r="ET54" s="154">
        <v>271.16666666666669</v>
      </c>
      <c r="EU54" s="154">
        <v>271.16666666666669</v>
      </c>
      <c r="EV54" s="154">
        <v>271.16666666666669</v>
      </c>
      <c r="EW54" s="154">
        <v>271.16666666666669</v>
      </c>
      <c r="EX54" s="154">
        <v>271.16666666666669</v>
      </c>
      <c r="EY54" s="154">
        <v>271.16666666666669</v>
      </c>
      <c r="EZ54" s="157">
        <f t="shared" si="171"/>
        <v>3253.9999999999995</v>
      </c>
      <c r="FA54" s="161"/>
      <c r="FB54" s="163">
        <v>135.58333333333334</v>
      </c>
      <c r="FC54" s="164">
        <v>135.58333333333334</v>
      </c>
      <c r="FD54" s="154">
        <v>135.58333333333334</v>
      </c>
      <c r="FE54" s="154">
        <v>135.58333333333334</v>
      </c>
      <c r="FF54" s="154">
        <v>135.58333333333334</v>
      </c>
      <c r="FG54" s="154">
        <v>135.58333333333334</v>
      </c>
      <c r="FH54" s="154">
        <v>135.58333333333334</v>
      </c>
      <c r="FI54" s="154">
        <v>135.58333333333334</v>
      </c>
      <c r="FJ54" s="154">
        <v>135.58333333333334</v>
      </c>
      <c r="FK54" s="154">
        <v>135.58333333333334</v>
      </c>
      <c r="FL54" s="154">
        <v>135.58333333333334</v>
      </c>
      <c r="FM54" s="154">
        <v>135.58333333333334</v>
      </c>
      <c r="FN54" s="157">
        <f t="shared" si="172"/>
        <v>1626.9999999999998</v>
      </c>
      <c r="FO54" s="161"/>
      <c r="FP54" s="163">
        <v>949.08333333333337</v>
      </c>
      <c r="FQ54" s="164">
        <v>949.08333333333337</v>
      </c>
      <c r="FR54" s="154">
        <v>949.08333333333337</v>
      </c>
      <c r="FS54" s="154">
        <v>949.08333333333337</v>
      </c>
      <c r="FT54" s="154">
        <v>949.08333333333337</v>
      </c>
      <c r="FU54" s="154">
        <v>949.08333333333337</v>
      </c>
      <c r="FV54" s="154">
        <v>949.08333333333337</v>
      </c>
      <c r="FW54" s="154">
        <v>949.08333333333337</v>
      </c>
      <c r="FX54" s="154">
        <v>949.08333333333337</v>
      </c>
      <c r="FY54" s="154">
        <v>949.08333333333337</v>
      </c>
      <c r="FZ54" s="154">
        <v>949.08333333333337</v>
      </c>
      <c r="GA54" s="154">
        <v>949.08333333333337</v>
      </c>
      <c r="GB54" s="157">
        <f t="shared" si="173"/>
        <v>11389.000000000002</v>
      </c>
      <c r="GC54" s="161"/>
      <c r="GD54" s="163">
        <v>135.58333333333334</v>
      </c>
      <c r="GE54" s="164">
        <v>135.58333333333334</v>
      </c>
      <c r="GF54" s="154">
        <v>135.58333333333334</v>
      </c>
      <c r="GG54" s="154">
        <v>135.58333333333334</v>
      </c>
      <c r="GH54" s="154">
        <v>135.58333333333334</v>
      </c>
      <c r="GI54" s="154">
        <v>135.58333333333334</v>
      </c>
      <c r="GJ54" s="154">
        <v>135.58333333333334</v>
      </c>
      <c r="GK54" s="154">
        <v>135.58333333333334</v>
      </c>
      <c r="GL54" s="154">
        <v>135.58333333333334</v>
      </c>
      <c r="GM54" s="154">
        <v>135.58333333333334</v>
      </c>
      <c r="GN54" s="154">
        <v>135.58333333333334</v>
      </c>
      <c r="GO54" s="154">
        <v>135.58333333333334</v>
      </c>
      <c r="GP54" s="157">
        <f t="shared" si="174"/>
        <v>1626.9999999999998</v>
      </c>
      <c r="GQ54" s="161"/>
      <c r="GR54" s="163">
        <v>0</v>
      </c>
      <c r="GS54" s="164">
        <v>0</v>
      </c>
      <c r="GT54" s="154">
        <v>4167</v>
      </c>
      <c r="GU54" s="154">
        <v>4167</v>
      </c>
      <c r="GV54" s="154">
        <v>4167</v>
      </c>
      <c r="GW54" s="154">
        <v>4167</v>
      </c>
      <c r="GX54" s="154">
        <v>4167</v>
      </c>
      <c r="GY54" s="154">
        <v>4167</v>
      </c>
      <c r="GZ54" s="154">
        <v>4167</v>
      </c>
      <c r="HA54" s="154">
        <v>4167</v>
      </c>
      <c r="HB54" s="154">
        <v>4167</v>
      </c>
      <c r="HC54" s="154">
        <v>4167</v>
      </c>
      <c r="HD54" s="157">
        <f t="shared" si="186"/>
        <v>0</v>
      </c>
      <c r="HE54" s="161"/>
      <c r="HF54" s="163">
        <v>542.33333333333337</v>
      </c>
      <c r="HG54" s="164">
        <v>542.33333333333337</v>
      </c>
      <c r="HH54" s="154">
        <v>542.33333333333337</v>
      </c>
      <c r="HI54" s="154">
        <v>542.33333333333337</v>
      </c>
      <c r="HJ54" s="154">
        <v>542.33333333333337</v>
      </c>
      <c r="HK54" s="154">
        <v>542.33333333333337</v>
      </c>
      <c r="HL54" s="154">
        <v>542.33333333333337</v>
      </c>
      <c r="HM54" s="154">
        <v>542.33333333333337</v>
      </c>
      <c r="HN54" s="154">
        <v>542.33333333333337</v>
      </c>
      <c r="HO54" s="154">
        <v>542.33333333333337</v>
      </c>
      <c r="HP54" s="154">
        <v>542.33333333333337</v>
      </c>
      <c r="HQ54" s="154">
        <v>542.33333333333337</v>
      </c>
      <c r="HR54" s="157">
        <f t="shared" si="175"/>
        <v>6507.9999999999991</v>
      </c>
      <c r="HS54" s="161"/>
      <c r="HT54" s="163">
        <v>135.58333333333334</v>
      </c>
      <c r="HU54" s="164">
        <v>135.58333333333334</v>
      </c>
      <c r="HV54" s="154">
        <v>135.58333333333334</v>
      </c>
      <c r="HW54" s="154">
        <v>135.58333333333334</v>
      </c>
      <c r="HX54" s="154">
        <v>135.58333333333334</v>
      </c>
      <c r="HY54" s="154">
        <v>135.58333333333334</v>
      </c>
      <c r="HZ54" s="154">
        <v>135.58333333333334</v>
      </c>
      <c r="IA54" s="154">
        <v>135.58333333333334</v>
      </c>
      <c r="IB54" s="154">
        <v>135.58333333333334</v>
      </c>
      <c r="IC54" s="154">
        <v>135.58333333333334</v>
      </c>
      <c r="ID54" s="154">
        <v>135.58333333333334</v>
      </c>
      <c r="IE54" s="154">
        <v>135.58333333333334</v>
      </c>
      <c r="IF54" s="157">
        <f t="shared" si="176"/>
        <v>1626.9999999999998</v>
      </c>
      <c r="IG54" s="161"/>
      <c r="IH54" s="163">
        <v>135.58333333333334</v>
      </c>
      <c r="II54" s="164">
        <v>135.58333333333334</v>
      </c>
      <c r="IJ54" s="154">
        <v>135.58333333333334</v>
      </c>
      <c r="IK54" s="154">
        <v>135.58333333333334</v>
      </c>
      <c r="IL54" s="154">
        <v>135.58333333333334</v>
      </c>
      <c r="IM54" s="154">
        <v>135.58333333333334</v>
      </c>
      <c r="IN54" s="154">
        <v>135.58333333333334</v>
      </c>
      <c r="IO54" s="154">
        <v>135.58333333333334</v>
      </c>
      <c r="IP54" s="154">
        <v>135.58333333333334</v>
      </c>
      <c r="IQ54" s="154">
        <v>135.58333333333334</v>
      </c>
      <c r="IR54" s="154">
        <v>135.58333333333334</v>
      </c>
      <c r="IS54" s="154">
        <v>135.58333333333334</v>
      </c>
      <c r="IT54" s="157">
        <f t="shared" si="177"/>
        <v>1626.9999999999998</v>
      </c>
      <c r="IU54" s="161"/>
      <c r="IV54" s="163">
        <v>949.08333333333337</v>
      </c>
      <c r="IW54" s="164">
        <v>949.08333333333337</v>
      </c>
      <c r="IX54" s="154">
        <v>949.08333333333337</v>
      </c>
      <c r="IY54" s="154">
        <v>949.08333333333337</v>
      </c>
      <c r="IZ54" s="154">
        <v>949.08333333333337</v>
      </c>
      <c r="JA54" s="154">
        <v>949.08333333333337</v>
      </c>
      <c r="JB54" s="154">
        <v>949.08333333333337</v>
      </c>
      <c r="JC54" s="154">
        <v>949.08333333333337</v>
      </c>
      <c r="JD54" s="154">
        <v>949.08333333333337</v>
      </c>
      <c r="JE54" s="154">
        <v>949.08333333333337</v>
      </c>
      <c r="JF54" s="154">
        <v>949.08333333333337</v>
      </c>
      <c r="JG54" s="154">
        <v>949.08333333333337</v>
      </c>
      <c r="JH54" s="157">
        <f t="shared" si="178"/>
        <v>11389.000000000002</v>
      </c>
      <c r="JI54" s="161"/>
      <c r="JJ54" s="163">
        <v>1491.4166666666667</v>
      </c>
      <c r="JK54" s="164">
        <v>1491.4166666666667</v>
      </c>
      <c r="JL54" s="154">
        <v>1491.4166666666667</v>
      </c>
      <c r="JM54" s="154">
        <v>1491.4166666666667</v>
      </c>
      <c r="JN54" s="154">
        <v>1491.4166666666667</v>
      </c>
      <c r="JO54" s="154">
        <v>1491.4166666666667</v>
      </c>
      <c r="JP54" s="154">
        <v>1491.4166666666667</v>
      </c>
      <c r="JQ54" s="154">
        <v>1491.4166666666667</v>
      </c>
      <c r="JR54" s="154">
        <v>1491.4166666666667</v>
      </c>
      <c r="JS54" s="154">
        <v>1491.4166666666667</v>
      </c>
      <c r="JT54" s="154">
        <v>1491.4166666666667</v>
      </c>
      <c r="JU54" s="154">
        <v>1491.4166666666667</v>
      </c>
      <c r="JV54" s="157">
        <f t="shared" si="179"/>
        <v>17897</v>
      </c>
      <c r="JW54" s="161"/>
      <c r="JX54" s="163">
        <v>677.91666666666674</v>
      </c>
      <c r="JY54" s="164">
        <v>677.91666666666674</v>
      </c>
      <c r="JZ54" s="154">
        <v>677.91666666666674</v>
      </c>
      <c r="KA54" s="154">
        <v>677.91666666666674</v>
      </c>
      <c r="KB54" s="154">
        <v>677.91666666666674</v>
      </c>
      <c r="KC54" s="154">
        <v>677.91666666666674</v>
      </c>
      <c r="KD54" s="154">
        <v>677.91666666666674</v>
      </c>
      <c r="KE54" s="154">
        <v>677.91666666666674</v>
      </c>
      <c r="KF54" s="154">
        <v>677.91666666666674</v>
      </c>
      <c r="KG54" s="154">
        <v>677.91666666666674</v>
      </c>
      <c r="KH54" s="154">
        <v>677.91666666666674</v>
      </c>
      <c r="KI54" s="154">
        <v>677.91666666666674</v>
      </c>
      <c r="KJ54" s="157">
        <f t="shared" si="180"/>
        <v>8135.0000000000027</v>
      </c>
      <c r="KK54" s="161"/>
      <c r="KL54" s="163">
        <v>271.16666666666669</v>
      </c>
      <c r="KM54" s="164">
        <v>271.16666666666669</v>
      </c>
      <c r="KN54" s="154">
        <v>271.16666666666669</v>
      </c>
      <c r="KO54" s="154">
        <v>271.16666666666669</v>
      </c>
      <c r="KP54" s="154">
        <v>271.16666666666669</v>
      </c>
      <c r="KQ54" s="154">
        <v>271.16666666666669</v>
      </c>
      <c r="KR54" s="154">
        <v>271.16666666666669</v>
      </c>
      <c r="KS54" s="154">
        <v>271.16666666666669</v>
      </c>
      <c r="KT54" s="154">
        <v>271.16666666666669</v>
      </c>
      <c r="KU54" s="154">
        <v>271.16666666666669</v>
      </c>
      <c r="KV54" s="154">
        <v>271.16666666666669</v>
      </c>
      <c r="KW54" s="154">
        <v>271.16666666666669</v>
      </c>
      <c r="KX54" s="157">
        <f t="shared" si="181"/>
        <v>3253.9999999999995</v>
      </c>
      <c r="KY54" s="161"/>
      <c r="KZ54" s="163">
        <v>135.58333333333334</v>
      </c>
      <c r="LA54" s="164">
        <v>135.58333333333334</v>
      </c>
      <c r="LB54" s="154">
        <v>135.58333333333334</v>
      </c>
      <c r="LC54" s="154">
        <v>135.58333333333334</v>
      </c>
      <c r="LD54" s="154">
        <v>135.58333333333334</v>
      </c>
      <c r="LE54" s="154">
        <v>135.58333333333334</v>
      </c>
      <c r="LF54" s="154">
        <v>135.58333333333334</v>
      </c>
      <c r="LG54" s="154">
        <v>135.58333333333334</v>
      </c>
      <c r="LH54" s="154">
        <v>135.58333333333334</v>
      </c>
      <c r="LI54" s="154">
        <v>135.58333333333334</v>
      </c>
      <c r="LJ54" s="154">
        <v>135.58333333333334</v>
      </c>
      <c r="LK54" s="154">
        <v>135.58333333333334</v>
      </c>
      <c r="LL54" s="157">
        <f t="shared" si="182"/>
        <v>1626.9999999999998</v>
      </c>
      <c r="LM54" s="161"/>
      <c r="LN54" s="163">
        <v>0</v>
      </c>
      <c r="LO54" s="164">
        <v>0</v>
      </c>
      <c r="LP54" s="154">
        <v>0</v>
      </c>
      <c r="LQ54" s="154">
        <v>0</v>
      </c>
      <c r="LR54" s="154">
        <v>0</v>
      </c>
      <c r="LS54" s="154">
        <v>0</v>
      </c>
      <c r="LT54" s="154">
        <v>0</v>
      </c>
      <c r="LU54" s="154">
        <v>0</v>
      </c>
      <c r="LV54" s="154">
        <v>0</v>
      </c>
      <c r="LW54" s="154">
        <v>0</v>
      </c>
      <c r="LX54" s="154">
        <v>0</v>
      </c>
      <c r="LY54" s="154">
        <v>0</v>
      </c>
      <c r="LZ54" s="157">
        <f t="shared" si="183"/>
        <v>0</v>
      </c>
      <c r="MA54" s="161"/>
      <c r="MB54" s="157">
        <f t="shared" si="184"/>
        <v>22235.666666666664</v>
      </c>
      <c r="MC54" s="157">
        <f t="shared" si="184"/>
        <v>22235.666666666664</v>
      </c>
      <c r="MD54" s="157">
        <f t="shared" si="184"/>
        <v>26402.666666666664</v>
      </c>
      <c r="ME54" s="157">
        <f t="shared" si="184"/>
        <v>26402.666666666664</v>
      </c>
      <c r="MF54" s="157">
        <f t="shared" si="184"/>
        <v>26402.666666666664</v>
      </c>
      <c r="MG54" s="157">
        <f t="shared" si="184"/>
        <v>26402.666666666664</v>
      </c>
      <c r="MH54" s="157">
        <f t="shared" si="184"/>
        <v>26402.666666666664</v>
      </c>
      <c r="MI54" s="157">
        <f t="shared" si="184"/>
        <v>26402.666666666664</v>
      </c>
      <c r="MJ54" s="157">
        <f t="shared" si="184"/>
        <v>26402.666666666664</v>
      </c>
      <c r="MK54" s="157">
        <f t="shared" si="184"/>
        <v>26402.666666666664</v>
      </c>
      <c r="ML54" s="157">
        <f t="shared" si="184"/>
        <v>26402.666666666664</v>
      </c>
      <c r="MM54" s="157">
        <f t="shared" si="184"/>
        <v>26402.666666666664</v>
      </c>
      <c r="MN54" s="157">
        <f t="shared" si="185"/>
        <v>308497.99999999994</v>
      </c>
    </row>
    <row r="55" spans="1:352" x14ac:dyDescent="0.25">
      <c r="A55" s="98"/>
      <c r="B55" s="64" t="s">
        <v>72</v>
      </c>
      <c r="C55" s="98"/>
      <c r="D55" s="163">
        <v>157335.12698412698</v>
      </c>
      <c r="E55" s="164">
        <v>157335.12698412698</v>
      </c>
      <c r="F55" s="164">
        <v>157335.12698412698</v>
      </c>
      <c r="G55" s="164">
        <v>157335.12698412698</v>
      </c>
      <c r="H55" s="164">
        <v>157335.12698412698</v>
      </c>
      <c r="I55" s="164">
        <v>157335.12698412698</v>
      </c>
      <c r="J55" s="164">
        <v>157335.12698412698</v>
      </c>
      <c r="K55" s="164">
        <v>157335.12698412698</v>
      </c>
      <c r="L55" s="164">
        <v>157335.12698412698</v>
      </c>
      <c r="M55" s="164">
        <v>157335.12698412698</v>
      </c>
      <c r="N55" s="164">
        <v>73323.39285714287</v>
      </c>
      <c r="O55" s="164">
        <v>-1265.8730158730161</v>
      </c>
      <c r="P55" s="157">
        <f t="shared" si="161"/>
        <v>1645408.7896825396</v>
      </c>
      <c r="Q55" s="161"/>
      <c r="R55" s="163">
        <v>16276.04761904762</v>
      </c>
      <c r="S55" s="164">
        <v>16276.04761904762</v>
      </c>
      <c r="T55" s="164">
        <v>16276.04761904762</v>
      </c>
      <c r="U55" s="164">
        <v>16276.04761904762</v>
      </c>
      <c r="V55" s="164">
        <v>16276.04761904762</v>
      </c>
      <c r="W55" s="164">
        <v>16276.04761904762</v>
      </c>
      <c r="X55" s="164">
        <v>16276.04761904762</v>
      </c>
      <c r="Y55" s="164">
        <v>16276.04761904762</v>
      </c>
      <c r="Z55" s="164">
        <v>16276.04761904762</v>
      </c>
      <c r="AA55" s="164">
        <v>16276.04761904762</v>
      </c>
      <c r="AB55" s="164">
        <v>7585.1785714285725</v>
      </c>
      <c r="AC55" s="164">
        <v>-130.95238095238096</v>
      </c>
      <c r="AD55" s="157">
        <f t="shared" si="162"/>
        <v>170214.70238095243</v>
      </c>
      <c r="AE55" s="161"/>
      <c r="AF55" s="163">
        <v>16276.04761904762</v>
      </c>
      <c r="AG55" s="164">
        <v>16276.04761904762</v>
      </c>
      <c r="AH55" s="164">
        <v>16276.04761904762</v>
      </c>
      <c r="AI55" s="164">
        <v>16276.04761904762</v>
      </c>
      <c r="AJ55" s="164">
        <v>16276.04761904762</v>
      </c>
      <c r="AK55" s="164">
        <v>16276.04761904762</v>
      </c>
      <c r="AL55" s="164">
        <v>16276.04761904762</v>
      </c>
      <c r="AM55" s="164">
        <v>16276.04761904762</v>
      </c>
      <c r="AN55" s="164">
        <v>16276.04761904762</v>
      </c>
      <c r="AO55" s="164">
        <v>16276.04761904762</v>
      </c>
      <c r="AP55" s="164">
        <v>7585.1785714285725</v>
      </c>
      <c r="AQ55" s="164">
        <v>-130.95238095238096</v>
      </c>
      <c r="AR55" s="157">
        <f t="shared" si="163"/>
        <v>170214.70238095243</v>
      </c>
      <c r="AT55" s="163">
        <v>10850.698412698413</v>
      </c>
      <c r="AU55" s="164">
        <v>10850.698412698413</v>
      </c>
      <c r="AV55" s="164">
        <v>10850.698412698413</v>
      </c>
      <c r="AW55" s="164">
        <v>10850.698412698413</v>
      </c>
      <c r="AX55" s="164">
        <v>10850.698412698413</v>
      </c>
      <c r="AY55" s="164">
        <v>10850.698412698413</v>
      </c>
      <c r="AZ55" s="164">
        <v>10850.698412698413</v>
      </c>
      <c r="BA55" s="164">
        <v>10850.698412698413</v>
      </c>
      <c r="BB55" s="154">
        <v>10850.698412698413</v>
      </c>
      <c r="BC55" s="154">
        <v>10850.698412698413</v>
      </c>
      <c r="BD55" s="154">
        <v>5056.7857142857147</v>
      </c>
      <c r="BE55" s="154">
        <v>-87.301587301587318</v>
      </c>
      <c r="BF55" s="157">
        <f t="shared" si="164"/>
        <v>113476.46825396828</v>
      </c>
      <c r="BH55" s="163">
        <v>81380.238095238106</v>
      </c>
      <c r="BI55" s="164">
        <v>81380.238095238106</v>
      </c>
      <c r="BJ55" s="154">
        <v>81380.238095238106</v>
      </c>
      <c r="BK55" s="154">
        <v>81380.238095238106</v>
      </c>
      <c r="BL55" s="154">
        <v>81380.238095238106</v>
      </c>
      <c r="BM55" s="154">
        <v>81380.238095238106</v>
      </c>
      <c r="BN55" s="154">
        <v>81380.238095238106</v>
      </c>
      <c r="BO55" s="154">
        <v>81380.238095238106</v>
      </c>
      <c r="BP55" s="154">
        <v>81380.238095238106</v>
      </c>
      <c r="BQ55" s="154">
        <v>81380.238095238106</v>
      </c>
      <c r="BR55" s="154">
        <v>37925.892857142862</v>
      </c>
      <c r="BS55" s="154">
        <v>-654.76190476190493</v>
      </c>
      <c r="BT55" s="157">
        <f t="shared" si="165"/>
        <v>851073.51190476201</v>
      </c>
      <c r="BV55" s="163">
        <v>5425.3492063492067</v>
      </c>
      <c r="BW55" s="164">
        <v>5425.3492063492067</v>
      </c>
      <c r="BX55" s="154">
        <v>5425.3492063492067</v>
      </c>
      <c r="BY55" s="154">
        <v>5425.3492063492067</v>
      </c>
      <c r="BZ55" s="154">
        <v>5425.3492063492067</v>
      </c>
      <c r="CA55" s="154">
        <v>5425.3492063492067</v>
      </c>
      <c r="CB55" s="154">
        <v>5425.3492063492067</v>
      </c>
      <c r="CC55" s="154">
        <v>5425.3492063492067</v>
      </c>
      <c r="CD55" s="154">
        <v>5425.3492063492067</v>
      </c>
      <c r="CE55" s="154">
        <v>5425.3492063492067</v>
      </c>
      <c r="CF55" s="154">
        <v>2528.3928571428573</v>
      </c>
      <c r="CG55" s="154">
        <v>-43.650793650793659</v>
      </c>
      <c r="CH55" s="157">
        <f t="shared" si="166"/>
        <v>56738.234126984142</v>
      </c>
      <c r="CI55" s="161"/>
      <c r="CJ55" s="163">
        <v>59678.841269841272</v>
      </c>
      <c r="CK55" s="164">
        <v>59678.841269841272</v>
      </c>
      <c r="CL55" s="154">
        <v>59678.841269841272</v>
      </c>
      <c r="CM55" s="154">
        <v>59678.841269841272</v>
      </c>
      <c r="CN55" s="154">
        <v>59678.841269841272</v>
      </c>
      <c r="CO55" s="154">
        <v>59678.841269841272</v>
      </c>
      <c r="CP55" s="154">
        <v>59678.841269841272</v>
      </c>
      <c r="CQ55" s="154">
        <v>59678.841269841272</v>
      </c>
      <c r="CR55" s="154">
        <v>59678.841269841272</v>
      </c>
      <c r="CS55" s="154">
        <v>59678.841269841272</v>
      </c>
      <c r="CT55" s="154">
        <v>27812.321428571431</v>
      </c>
      <c r="CU55" s="154">
        <v>-480.15873015873024</v>
      </c>
      <c r="CV55" s="157">
        <f t="shared" si="167"/>
        <v>624120.57539682568</v>
      </c>
      <c r="CW55" s="161"/>
      <c r="CX55" s="163">
        <v>151909.77777777778</v>
      </c>
      <c r="CY55" s="164">
        <v>151909.77777777778</v>
      </c>
      <c r="CZ55" s="154">
        <v>151909.77777777778</v>
      </c>
      <c r="DA55" s="154">
        <v>151909.77777777778</v>
      </c>
      <c r="DB55" s="154">
        <v>151909.77777777778</v>
      </c>
      <c r="DC55" s="154">
        <v>151909.77777777778</v>
      </c>
      <c r="DD55" s="154">
        <v>151909.77777777778</v>
      </c>
      <c r="DE55" s="154">
        <v>151909.77777777778</v>
      </c>
      <c r="DF55" s="154">
        <v>151909.77777777778</v>
      </c>
      <c r="DG55" s="154">
        <v>151909.77777777778</v>
      </c>
      <c r="DH55" s="154">
        <v>70795</v>
      </c>
      <c r="DI55" s="154">
        <v>-1222.2222222222224</v>
      </c>
      <c r="DJ55" s="157">
        <f t="shared" si="168"/>
        <v>1588670.5555555555</v>
      </c>
      <c r="DK55" s="161"/>
      <c r="DL55" s="163">
        <v>151909.77777777778</v>
      </c>
      <c r="DM55" s="164">
        <v>151909.77777777778</v>
      </c>
      <c r="DN55" s="154">
        <v>151909.77777777778</v>
      </c>
      <c r="DO55" s="154">
        <v>151909.77777777778</v>
      </c>
      <c r="DP55" s="154">
        <v>151909.77777777778</v>
      </c>
      <c r="DQ55" s="154">
        <v>151909.77777777778</v>
      </c>
      <c r="DR55" s="154">
        <v>151909.77777777778</v>
      </c>
      <c r="DS55" s="154">
        <v>151909.77777777778</v>
      </c>
      <c r="DT55" s="154">
        <v>151909.77777777778</v>
      </c>
      <c r="DU55" s="154">
        <v>151909.77777777778</v>
      </c>
      <c r="DV55" s="154">
        <v>70795</v>
      </c>
      <c r="DW55" s="154">
        <v>-1222.2222222222224</v>
      </c>
      <c r="DX55" s="157">
        <f t="shared" si="169"/>
        <v>1588670.5555555555</v>
      </c>
      <c r="DY55" s="161"/>
      <c r="DZ55" s="163">
        <v>5425.3492063492067</v>
      </c>
      <c r="EA55" s="164">
        <v>5425.3492063492067</v>
      </c>
      <c r="EB55" s="154">
        <v>5425.3492063492067</v>
      </c>
      <c r="EC55" s="154">
        <v>5425.3492063492067</v>
      </c>
      <c r="ED55" s="154">
        <v>5425.3492063492067</v>
      </c>
      <c r="EE55" s="154">
        <v>5425.3492063492067</v>
      </c>
      <c r="EF55" s="154">
        <v>5425.3492063492067</v>
      </c>
      <c r="EG55" s="154">
        <v>5425.3492063492067</v>
      </c>
      <c r="EH55" s="154">
        <v>5425.3492063492067</v>
      </c>
      <c r="EI55" s="154">
        <v>5425.3492063492067</v>
      </c>
      <c r="EJ55" s="154">
        <v>2528.3928571428573</v>
      </c>
      <c r="EK55" s="154">
        <v>-43.650793650793659</v>
      </c>
      <c r="EL55" s="157">
        <f t="shared" si="170"/>
        <v>56738.234126984142</v>
      </c>
      <c r="EM55" s="161"/>
      <c r="EN55" s="163">
        <v>10850.698412698413</v>
      </c>
      <c r="EO55" s="164">
        <v>10850.698412698413</v>
      </c>
      <c r="EP55" s="154">
        <v>10850.698412698413</v>
      </c>
      <c r="EQ55" s="154">
        <v>10850.698412698413</v>
      </c>
      <c r="ER55" s="154">
        <v>10850.698412698413</v>
      </c>
      <c r="ES55" s="154">
        <v>10850.698412698413</v>
      </c>
      <c r="ET55" s="154">
        <v>10850.698412698413</v>
      </c>
      <c r="EU55" s="154">
        <v>10850.698412698413</v>
      </c>
      <c r="EV55" s="154">
        <v>10850.698412698413</v>
      </c>
      <c r="EW55" s="154">
        <v>10850.698412698413</v>
      </c>
      <c r="EX55" s="154">
        <v>5056.7857142857147</v>
      </c>
      <c r="EY55" s="154">
        <v>-87.301587301587318</v>
      </c>
      <c r="EZ55" s="157">
        <f t="shared" si="171"/>
        <v>113476.46825396828</v>
      </c>
      <c r="FA55" s="161"/>
      <c r="FB55" s="163">
        <v>5425.3492063492067</v>
      </c>
      <c r="FC55" s="164">
        <v>5425.3492063492067</v>
      </c>
      <c r="FD55" s="154">
        <v>5425.3492063492067</v>
      </c>
      <c r="FE55" s="154">
        <v>5425.3492063492067</v>
      </c>
      <c r="FF55" s="154">
        <v>5425.3492063492067</v>
      </c>
      <c r="FG55" s="154">
        <v>5425.3492063492067</v>
      </c>
      <c r="FH55" s="154">
        <v>5425.3492063492067</v>
      </c>
      <c r="FI55" s="154">
        <v>5425.3492063492067</v>
      </c>
      <c r="FJ55" s="154">
        <v>5425.3492063492067</v>
      </c>
      <c r="FK55" s="154">
        <v>5425.3492063492067</v>
      </c>
      <c r="FL55" s="154">
        <v>2528.3928571428573</v>
      </c>
      <c r="FM55" s="154">
        <v>-43.650793650793659</v>
      </c>
      <c r="FN55" s="157">
        <f t="shared" si="172"/>
        <v>56738.234126984142</v>
      </c>
      <c r="FO55" s="161"/>
      <c r="FP55" s="163">
        <v>37977.444444444445</v>
      </c>
      <c r="FQ55" s="164">
        <v>37977.444444444445</v>
      </c>
      <c r="FR55" s="154">
        <v>37977.444444444445</v>
      </c>
      <c r="FS55" s="154">
        <v>37977.444444444445</v>
      </c>
      <c r="FT55" s="154">
        <v>37977.444444444445</v>
      </c>
      <c r="FU55" s="154">
        <v>37977.444444444445</v>
      </c>
      <c r="FV55" s="154">
        <v>37977.444444444445</v>
      </c>
      <c r="FW55" s="154">
        <v>37977.444444444445</v>
      </c>
      <c r="FX55" s="154">
        <v>37977.444444444445</v>
      </c>
      <c r="FY55" s="154">
        <v>37977.444444444445</v>
      </c>
      <c r="FZ55" s="154">
        <v>17698.75</v>
      </c>
      <c r="GA55" s="154">
        <v>-305.5555555555556</v>
      </c>
      <c r="GB55" s="157">
        <f t="shared" si="173"/>
        <v>397167.63888888888</v>
      </c>
      <c r="GC55" s="161"/>
      <c r="GD55" s="163">
        <v>5425.3492063492067</v>
      </c>
      <c r="GE55" s="164">
        <v>5425.3492063492067</v>
      </c>
      <c r="GF55" s="154">
        <v>5425.3492063492067</v>
      </c>
      <c r="GG55" s="154">
        <v>5425.3492063492067</v>
      </c>
      <c r="GH55" s="154">
        <v>5425.3492063492067</v>
      </c>
      <c r="GI55" s="154">
        <v>5425.3492063492067</v>
      </c>
      <c r="GJ55" s="154">
        <v>5425.3492063492067</v>
      </c>
      <c r="GK55" s="154">
        <v>5425.3492063492067</v>
      </c>
      <c r="GL55" s="154">
        <v>5425.3492063492067</v>
      </c>
      <c r="GM55" s="154">
        <v>5425.3492063492067</v>
      </c>
      <c r="GN55" s="154">
        <v>2528.3928571428573</v>
      </c>
      <c r="GO55" s="154">
        <v>-43.650793650793659</v>
      </c>
      <c r="GP55" s="157">
        <f t="shared" si="174"/>
        <v>56738.234126984142</v>
      </c>
      <c r="GQ55" s="161"/>
      <c r="GR55" s="163">
        <v>0</v>
      </c>
      <c r="GS55" s="164">
        <v>0</v>
      </c>
      <c r="GT55" s="154">
        <v>0</v>
      </c>
      <c r="GU55" s="154">
        <v>0</v>
      </c>
      <c r="GV55" s="154">
        <v>0</v>
      </c>
      <c r="GW55" s="154">
        <v>0</v>
      </c>
      <c r="GX55" s="154">
        <v>0</v>
      </c>
      <c r="GY55" s="154">
        <v>0</v>
      </c>
      <c r="GZ55" s="154">
        <v>0</v>
      </c>
      <c r="HA55" s="154">
        <v>0</v>
      </c>
      <c r="HB55" s="154">
        <v>0</v>
      </c>
      <c r="HC55" s="154">
        <v>0</v>
      </c>
      <c r="HD55" s="157">
        <f t="shared" si="186"/>
        <v>0</v>
      </c>
      <c r="HE55" s="161"/>
      <c r="HF55" s="163">
        <v>21701.396825396827</v>
      </c>
      <c r="HG55" s="164">
        <v>21701.396825396827</v>
      </c>
      <c r="HH55" s="154">
        <v>21701.396825396827</v>
      </c>
      <c r="HI55" s="154">
        <v>21701.396825396827</v>
      </c>
      <c r="HJ55" s="154">
        <v>21701.396825396827</v>
      </c>
      <c r="HK55" s="154">
        <v>21701.396825396827</v>
      </c>
      <c r="HL55" s="154">
        <v>21701.396825396827</v>
      </c>
      <c r="HM55" s="154">
        <v>21701.396825396827</v>
      </c>
      <c r="HN55" s="154">
        <v>21701.396825396827</v>
      </c>
      <c r="HO55" s="154">
        <v>21701.396825396827</v>
      </c>
      <c r="HP55" s="154">
        <v>10113.571428571429</v>
      </c>
      <c r="HQ55" s="154">
        <v>-174.60317460317464</v>
      </c>
      <c r="HR55" s="157">
        <f t="shared" si="175"/>
        <v>226952.93650793657</v>
      </c>
      <c r="HS55" s="161"/>
      <c r="HT55" s="163">
        <v>5425.3492063492067</v>
      </c>
      <c r="HU55" s="164">
        <v>5425.3492063492067</v>
      </c>
      <c r="HV55" s="154">
        <v>5425.3492063492067</v>
      </c>
      <c r="HW55" s="154">
        <v>5425.3492063492067</v>
      </c>
      <c r="HX55" s="154">
        <v>5425.3492063492067</v>
      </c>
      <c r="HY55" s="154">
        <v>5425.3492063492067</v>
      </c>
      <c r="HZ55" s="154">
        <v>5425.3492063492067</v>
      </c>
      <c r="IA55" s="154">
        <v>5425.3492063492067</v>
      </c>
      <c r="IB55" s="154">
        <v>5425.3492063492067</v>
      </c>
      <c r="IC55" s="154">
        <v>5425.3492063492067</v>
      </c>
      <c r="ID55" s="154">
        <v>2528.3928571428573</v>
      </c>
      <c r="IE55" s="154">
        <v>-43.650793650793659</v>
      </c>
      <c r="IF55" s="157">
        <f t="shared" si="176"/>
        <v>56738.234126984142</v>
      </c>
      <c r="IG55" s="161"/>
      <c r="IH55" s="163">
        <v>5425.3492063492067</v>
      </c>
      <c r="II55" s="164">
        <v>5425.3492063492067</v>
      </c>
      <c r="IJ55" s="154">
        <v>5425.3492063492067</v>
      </c>
      <c r="IK55" s="154">
        <v>5425.3492063492067</v>
      </c>
      <c r="IL55" s="154">
        <v>5425.3492063492067</v>
      </c>
      <c r="IM55" s="154">
        <v>5425.3492063492067</v>
      </c>
      <c r="IN55" s="154">
        <v>5425.3492063492067</v>
      </c>
      <c r="IO55" s="154">
        <v>5425.3492063492067</v>
      </c>
      <c r="IP55" s="154">
        <v>5425.3492063492067</v>
      </c>
      <c r="IQ55" s="154">
        <v>5425.3492063492067</v>
      </c>
      <c r="IR55" s="154">
        <v>2528.3928571428573</v>
      </c>
      <c r="IS55" s="154">
        <v>-43.650793650793659</v>
      </c>
      <c r="IT55" s="157">
        <f t="shared" si="177"/>
        <v>56738.234126984142</v>
      </c>
      <c r="IU55" s="161"/>
      <c r="IV55" s="163">
        <v>37977.444444444445</v>
      </c>
      <c r="IW55" s="164">
        <v>37977.444444444445</v>
      </c>
      <c r="IX55" s="154">
        <v>37977.444444444445</v>
      </c>
      <c r="IY55" s="154">
        <v>37977.444444444445</v>
      </c>
      <c r="IZ55" s="154">
        <v>37977.444444444445</v>
      </c>
      <c r="JA55" s="154">
        <v>37977.444444444445</v>
      </c>
      <c r="JB55" s="154">
        <v>37977.444444444445</v>
      </c>
      <c r="JC55" s="154">
        <v>37977.444444444445</v>
      </c>
      <c r="JD55" s="154">
        <v>37977.444444444445</v>
      </c>
      <c r="JE55" s="154">
        <v>37977.444444444445</v>
      </c>
      <c r="JF55" s="154">
        <v>17698.75</v>
      </c>
      <c r="JG55" s="154">
        <v>-305.5555555555556</v>
      </c>
      <c r="JH55" s="157">
        <f t="shared" si="178"/>
        <v>397167.63888888888</v>
      </c>
      <c r="JI55" s="161"/>
      <c r="JJ55" s="163">
        <v>59678.841269841272</v>
      </c>
      <c r="JK55" s="164">
        <v>59678.841269841272</v>
      </c>
      <c r="JL55" s="154">
        <v>59678.841269841272</v>
      </c>
      <c r="JM55" s="154">
        <v>59678.841269841272</v>
      </c>
      <c r="JN55" s="154">
        <v>59678.841269841272</v>
      </c>
      <c r="JO55" s="154">
        <v>59678.841269841272</v>
      </c>
      <c r="JP55" s="154">
        <v>59678.841269841272</v>
      </c>
      <c r="JQ55" s="154">
        <v>59678.841269841272</v>
      </c>
      <c r="JR55" s="154">
        <v>59678.841269841272</v>
      </c>
      <c r="JS55" s="154">
        <v>59678.841269841272</v>
      </c>
      <c r="JT55" s="154">
        <v>27812.321428571431</v>
      </c>
      <c r="JU55" s="154">
        <v>-480.15873015873024</v>
      </c>
      <c r="JV55" s="157">
        <f t="shared" si="179"/>
        <v>624120.57539682568</v>
      </c>
      <c r="JW55" s="161"/>
      <c r="JX55" s="163">
        <v>27126.746031746035</v>
      </c>
      <c r="JY55" s="164">
        <v>27126.746031746035</v>
      </c>
      <c r="JZ55" s="154">
        <v>27126.746031746035</v>
      </c>
      <c r="KA55" s="154">
        <v>27126.746031746035</v>
      </c>
      <c r="KB55" s="154">
        <v>27126.746031746035</v>
      </c>
      <c r="KC55" s="154">
        <v>27126.746031746035</v>
      </c>
      <c r="KD55" s="154">
        <v>27126.746031746035</v>
      </c>
      <c r="KE55" s="154">
        <v>27126.746031746035</v>
      </c>
      <c r="KF55" s="154">
        <v>27126.746031746035</v>
      </c>
      <c r="KG55" s="154">
        <v>27126.746031746035</v>
      </c>
      <c r="KH55" s="154">
        <v>12641.964285714286</v>
      </c>
      <c r="KI55" s="154">
        <v>-218.25396825396831</v>
      </c>
      <c r="KJ55" s="157">
        <f t="shared" si="180"/>
        <v>283691.17063492065</v>
      </c>
      <c r="KK55" s="161"/>
      <c r="KL55" s="163">
        <v>10850.698412698413</v>
      </c>
      <c r="KM55" s="164">
        <v>10850.698412698413</v>
      </c>
      <c r="KN55" s="154">
        <v>10850.698412698413</v>
      </c>
      <c r="KO55" s="154">
        <v>10850.698412698413</v>
      </c>
      <c r="KP55" s="154">
        <v>10850.698412698413</v>
      </c>
      <c r="KQ55" s="154">
        <v>10850.698412698413</v>
      </c>
      <c r="KR55" s="154">
        <v>10850.698412698413</v>
      </c>
      <c r="KS55" s="154">
        <v>10850.698412698413</v>
      </c>
      <c r="KT55" s="154">
        <v>10850.698412698413</v>
      </c>
      <c r="KU55" s="154">
        <v>10850.698412698413</v>
      </c>
      <c r="KV55" s="154">
        <v>5056.7857142857147</v>
      </c>
      <c r="KW55" s="154">
        <v>-87.301587301587318</v>
      </c>
      <c r="KX55" s="157">
        <f t="shared" si="181"/>
        <v>113476.46825396828</v>
      </c>
      <c r="KY55" s="161"/>
      <c r="KZ55" s="163">
        <v>5425.3492063492067</v>
      </c>
      <c r="LA55" s="164">
        <v>5425.3492063492067</v>
      </c>
      <c r="LB55" s="154">
        <v>5425.3492063492067</v>
      </c>
      <c r="LC55" s="154">
        <v>5425.3492063492067</v>
      </c>
      <c r="LD55" s="154">
        <v>5425.3492063492067</v>
      </c>
      <c r="LE55" s="154">
        <v>5425.3492063492067</v>
      </c>
      <c r="LF55" s="154">
        <v>5425.3492063492067</v>
      </c>
      <c r="LG55" s="154">
        <v>5425.3492063492067</v>
      </c>
      <c r="LH55" s="154">
        <v>5425.3492063492067</v>
      </c>
      <c r="LI55" s="154">
        <v>5425.3492063492067</v>
      </c>
      <c r="LJ55" s="154">
        <v>2528.3928571428573</v>
      </c>
      <c r="LK55" s="154">
        <v>-43.650793650793659</v>
      </c>
      <c r="LL55" s="157">
        <f t="shared" si="182"/>
        <v>56738.234126984142</v>
      </c>
      <c r="LM55" s="161"/>
      <c r="LN55" s="163">
        <v>0</v>
      </c>
      <c r="LO55" s="164">
        <v>0</v>
      </c>
      <c r="LP55" s="154">
        <v>0</v>
      </c>
      <c r="LQ55" s="154">
        <v>0</v>
      </c>
      <c r="LR55" s="154">
        <v>0</v>
      </c>
      <c r="LS55" s="154">
        <v>0</v>
      </c>
      <c r="LT55" s="154">
        <v>0</v>
      </c>
      <c r="LU55" s="154">
        <v>0</v>
      </c>
      <c r="LV55" s="154">
        <v>0</v>
      </c>
      <c r="LW55" s="154">
        <v>0</v>
      </c>
      <c r="LX55" s="154">
        <v>0</v>
      </c>
      <c r="LY55" s="154">
        <v>0</v>
      </c>
      <c r="LZ55" s="157">
        <f t="shared" si="183"/>
        <v>0</v>
      </c>
      <c r="MA55" s="161"/>
      <c r="MB55" s="157">
        <f t="shared" si="184"/>
        <v>889757.26984127017</v>
      </c>
      <c r="MC55" s="157">
        <f t="shared" si="184"/>
        <v>889757.26984127017</v>
      </c>
      <c r="MD55" s="157">
        <f t="shared" si="184"/>
        <v>889757.26984127017</v>
      </c>
      <c r="ME55" s="157">
        <f t="shared" si="184"/>
        <v>889757.26984127017</v>
      </c>
      <c r="MF55" s="157">
        <f t="shared" si="184"/>
        <v>889757.26984127017</v>
      </c>
      <c r="MG55" s="157">
        <f t="shared" si="184"/>
        <v>889757.26984127017</v>
      </c>
      <c r="MH55" s="157">
        <f t="shared" si="184"/>
        <v>889757.26984127017</v>
      </c>
      <c r="MI55" s="157">
        <f t="shared" si="184"/>
        <v>889757.26984127017</v>
      </c>
      <c r="MJ55" s="157">
        <f t="shared" si="184"/>
        <v>889757.26984127017</v>
      </c>
      <c r="MK55" s="157">
        <f t="shared" si="184"/>
        <v>889757.26984127017</v>
      </c>
      <c r="ML55" s="157">
        <f t="shared" si="184"/>
        <v>414656.42857142852</v>
      </c>
      <c r="MM55" s="157">
        <f t="shared" si="184"/>
        <v>-7158.730158730159</v>
      </c>
      <c r="MN55" s="157">
        <f t="shared" si="185"/>
        <v>9305070.396825403</v>
      </c>
    </row>
    <row r="56" spans="1:352" ht="12" customHeight="1" x14ac:dyDescent="0.25">
      <c r="A56" s="98"/>
      <c r="B56" s="183"/>
      <c r="C56" s="98"/>
      <c r="D56" s="163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57"/>
      <c r="Q56" s="161"/>
      <c r="R56" s="163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57"/>
      <c r="AE56" s="161"/>
      <c r="AF56" s="163"/>
      <c r="AG56" s="179"/>
      <c r="AH56" s="179"/>
      <c r="AI56" s="179"/>
      <c r="AJ56" s="179"/>
      <c r="AK56" s="179"/>
      <c r="AL56" s="179"/>
      <c r="AM56" s="179"/>
      <c r="AN56" s="179"/>
      <c r="AO56" s="179"/>
      <c r="AP56" s="179"/>
      <c r="AQ56" s="179"/>
      <c r="AR56" s="157"/>
      <c r="AT56" s="163"/>
      <c r="AU56" s="179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57"/>
      <c r="BH56" s="163"/>
      <c r="BI56" s="179"/>
      <c r="BJ56" s="179"/>
      <c r="BK56" s="179"/>
      <c r="BL56" s="179"/>
      <c r="BM56" s="179"/>
      <c r="BN56" s="179"/>
      <c r="BO56" s="179"/>
      <c r="BP56" s="179"/>
      <c r="BQ56" s="179"/>
      <c r="BR56" s="179"/>
      <c r="BS56" s="179"/>
      <c r="BT56" s="157"/>
      <c r="BV56" s="163"/>
      <c r="BW56" s="179"/>
      <c r="BX56" s="179"/>
      <c r="BY56" s="179"/>
      <c r="BZ56" s="179"/>
      <c r="CA56" s="179"/>
      <c r="CB56" s="179"/>
      <c r="CC56" s="179"/>
      <c r="CD56" s="179"/>
      <c r="CE56" s="179"/>
      <c r="CF56" s="179"/>
      <c r="CG56" s="179"/>
      <c r="CH56" s="157"/>
      <c r="CI56" s="161"/>
      <c r="CJ56" s="163"/>
      <c r="CK56" s="179"/>
      <c r="CL56" s="179"/>
      <c r="CM56" s="179"/>
      <c r="CN56" s="179"/>
      <c r="CO56" s="179"/>
      <c r="CP56" s="179"/>
      <c r="CQ56" s="179"/>
      <c r="CR56" s="179"/>
      <c r="CS56" s="179"/>
      <c r="CT56" s="179"/>
      <c r="CU56" s="179"/>
      <c r="CV56" s="157"/>
      <c r="CW56" s="161"/>
      <c r="CX56" s="163"/>
      <c r="CY56" s="179"/>
      <c r="CZ56" s="179"/>
      <c r="DA56" s="179"/>
      <c r="DB56" s="179"/>
      <c r="DC56" s="179"/>
      <c r="DD56" s="179"/>
      <c r="DE56" s="179"/>
      <c r="DF56" s="179"/>
      <c r="DG56" s="179"/>
      <c r="DH56" s="179"/>
      <c r="DI56" s="179"/>
      <c r="DJ56" s="157"/>
      <c r="DK56" s="161"/>
      <c r="DL56" s="163"/>
      <c r="DM56" s="179"/>
      <c r="DN56" s="179"/>
      <c r="DO56" s="179"/>
      <c r="DP56" s="179"/>
      <c r="DQ56" s="179"/>
      <c r="DR56" s="179"/>
      <c r="DS56" s="179"/>
      <c r="DT56" s="179"/>
      <c r="DU56" s="179"/>
      <c r="DV56" s="179"/>
      <c r="DW56" s="179"/>
      <c r="DX56" s="157"/>
      <c r="DY56" s="161"/>
      <c r="DZ56" s="163"/>
      <c r="EA56" s="179"/>
      <c r="EB56" s="179"/>
      <c r="EC56" s="179"/>
      <c r="ED56" s="179"/>
      <c r="EE56" s="179"/>
      <c r="EF56" s="179"/>
      <c r="EG56" s="179"/>
      <c r="EH56" s="179"/>
      <c r="EI56" s="179"/>
      <c r="EJ56" s="179"/>
      <c r="EK56" s="179"/>
      <c r="EL56" s="157"/>
      <c r="EM56" s="161"/>
      <c r="EN56" s="163"/>
      <c r="EO56" s="179"/>
      <c r="EP56" s="179"/>
      <c r="EQ56" s="179"/>
      <c r="ER56" s="179"/>
      <c r="ES56" s="179"/>
      <c r="ET56" s="179"/>
      <c r="EU56" s="179"/>
      <c r="EV56" s="179"/>
      <c r="EW56" s="179"/>
      <c r="EX56" s="179"/>
      <c r="EY56" s="179"/>
      <c r="EZ56" s="157"/>
      <c r="FA56" s="161"/>
      <c r="FB56" s="163"/>
      <c r="FC56" s="179"/>
      <c r="FD56" s="179"/>
      <c r="FE56" s="179"/>
      <c r="FF56" s="179"/>
      <c r="FG56" s="179"/>
      <c r="FH56" s="179"/>
      <c r="FI56" s="179"/>
      <c r="FJ56" s="179"/>
      <c r="FK56" s="179"/>
      <c r="FL56" s="179"/>
      <c r="FM56" s="179"/>
      <c r="FN56" s="157"/>
      <c r="FO56" s="161"/>
      <c r="FP56" s="163"/>
      <c r="FQ56" s="179"/>
      <c r="FR56" s="179"/>
      <c r="FS56" s="179"/>
      <c r="FT56" s="179"/>
      <c r="FU56" s="179"/>
      <c r="FV56" s="179"/>
      <c r="FW56" s="179"/>
      <c r="FX56" s="179"/>
      <c r="FY56" s="179"/>
      <c r="FZ56" s="179"/>
      <c r="GA56" s="179"/>
      <c r="GB56" s="157"/>
      <c r="GC56" s="161"/>
      <c r="GD56" s="163"/>
      <c r="GE56" s="179"/>
      <c r="GF56" s="179"/>
      <c r="GG56" s="179"/>
      <c r="GH56" s="179"/>
      <c r="GI56" s="179"/>
      <c r="GJ56" s="179"/>
      <c r="GK56" s="179"/>
      <c r="GL56" s="179"/>
      <c r="GM56" s="179"/>
      <c r="GN56" s="179"/>
      <c r="GO56" s="179"/>
      <c r="GP56" s="157"/>
      <c r="GQ56" s="161"/>
      <c r="GR56" s="163"/>
      <c r="GS56" s="179"/>
      <c r="GT56" s="179"/>
      <c r="GU56" s="179"/>
      <c r="GV56" s="179"/>
      <c r="GW56" s="179"/>
      <c r="GX56" s="179"/>
      <c r="GY56" s="179"/>
      <c r="GZ56" s="179"/>
      <c r="HA56" s="179"/>
      <c r="HB56" s="179"/>
      <c r="HC56" s="179"/>
      <c r="HD56" s="157"/>
      <c r="HE56" s="161"/>
      <c r="HF56" s="163"/>
      <c r="HG56" s="179"/>
      <c r="HH56" s="179"/>
      <c r="HI56" s="179"/>
      <c r="HJ56" s="179"/>
      <c r="HK56" s="179"/>
      <c r="HL56" s="179"/>
      <c r="HM56" s="179"/>
      <c r="HN56" s="179"/>
      <c r="HO56" s="179"/>
      <c r="HP56" s="179"/>
      <c r="HQ56" s="179"/>
      <c r="HR56" s="157"/>
      <c r="HS56" s="161"/>
      <c r="HT56" s="163"/>
      <c r="HU56" s="179"/>
      <c r="HV56" s="179"/>
      <c r="HW56" s="179"/>
      <c r="HX56" s="179"/>
      <c r="HY56" s="179"/>
      <c r="HZ56" s="179"/>
      <c r="IA56" s="179"/>
      <c r="IB56" s="179"/>
      <c r="IC56" s="179"/>
      <c r="ID56" s="179"/>
      <c r="IE56" s="179"/>
      <c r="IF56" s="157"/>
      <c r="IG56" s="161"/>
      <c r="IH56" s="163"/>
      <c r="II56" s="179"/>
      <c r="IJ56" s="179"/>
      <c r="IK56" s="179"/>
      <c r="IL56" s="179"/>
      <c r="IM56" s="179"/>
      <c r="IN56" s="179"/>
      <c r="IO56" s="179"/>
      <c r="IP56" s="179"/>
      <c r="IQ56" s="179"/>
      <c r="IR56" s="179"/>
      <c r="IS56" s="179"/>
      <c r="IT56" s="157"/>
      <c r="IU56" s="161"/>
      <c r="IV56" s="163"/>
      <c r="IW56" s="179"/>
      <c r="IX56" s="179"/>
      <c r="IY56" s="179"/>
      <c r="IZ56" s="179"/>
      <c r="JA56" s="179"/>
      <c r="JB56" s="179"/>
      <c r="JC56" s="179"/>
      <c r="JD56" s="179"/>
      <c r="JE56" s="179"/>
      <c r="JF56" s="179"/>
      <c r="JG56" s="179"/>
      <c r="JH56" s="157"/>
      <c r="JI56" s="161"/>
      <c r="JJ56" s="163"/>
      <c r="JK56" s="179"/>
      <c r="JL56" s="179"/>
      <c r="JM56" s="179"/>
      <c r="JN56" s="179"/>
      <c r="JO56" s="179"/>
      <c r="JP56" s="179"/>
      <c r="JQ56" s="179"/>
      <c r="JR56" s="179"/>
      <c r="JS56" s="179"/>
      <c r="JT56" s="179"/>
      <c r="JU56" s="179"/>
      <c r="JV56" s="157"/>
      <c r="JW56" s="161"/>
      <c r="JX56" s="163"/>
      <c r="JY56" s="179"/>
      <c r="JZ56" s="179"/>
      <c r="KA56" s="179"/>
      <c r="KB56" s="179"/>
      <c r="KC56" s="179"/>
      <c r="KD56" s="179"/>
      <c r="KE56" s="179"/>
      <c r="KF56" s="179"/>
      <c r="KG56" s="179"/>
      <c r="KH56" s="179"/>
      <c r="KI56" s="179"/>
      <c r="KJ56" s="157"/>
      <c r="KK56" s="161"/>
      <c r="KL56" s="163"/>
      <c r="KM56" s="179"/>
      <c r="KN56" s="179"/>
      <c r="KO56" s="179"/>
      <c r="KP56" s="179"/>
      <c r="KQ56" s="179"/>
      <c r="KR56" s="179"/>
      <c r="KS56" s="179"/>
      <c r="KT56" s="179"/>
      <c r="KU56" s="179"/>
      <c r="KV56" s="179"/>
      <c r="KW56" s="179"/>
      <c r="KX56" s="157"/>
      <c r="KY56" s="161"/>
      <c r="KZ56" s="163"/>
      <c r="LA56" s="179"/>
      <c r="LB56" s="179"/>
      <c r="LC56" s="179"/>
      <c r="LD56" s="179"/>
      <c r="LE56" s="179"/>
      <c r="LF56" s="179"/>
      <c r="LG56" s="179"/>
      <c r="LH56" s="179"/>
      <c r="LI56" s="179"/>
      <c r="LJ56" s="179"/>
      <c r="LK56" s="179"/>
      <c r="LL56" s="157"/>
      <c r="LM56" s="161"/>
      <c r="LN56" s="163"/>
      <c r="LO56" s="179"/>
      <c r="LP56" s="179"/>
      <c r="LQ56" s="179"/>
      <c r="LR56" s="179"/>
      <c r="LS56" s="179"/>
      <c r="LT56" s="179"/>
      <c r="LU56" s="179"/>
      <c r="LV56" s="179"/>
      <c r="LW56" s="179"/>
      <c r="LX56" s="179"/>
      <c r="LY56" s="179"/>
      <c r="LZ56" s="157"/>
      <c r="MA56" s="161"/>
      <c r="MB56" s="157"/>
      <c r="MC56" s="157"/>
      <c r="MD56" s="157"/>
      <c r="ME56" s="157"/>
      <c r="MF56" s="157"/>
      <c r="MG56" s="157"/>
      <c r="MH56" s="157"/>
      <c r="MI56" s="157"/>
      <c r="MJ56" s="157"/>
      <c r="MK56" s="157"/>
      <c r="ML56" s="157"/>
      <c r="MM56" s="157"/>
      <c r="MN56" s="157"/>
    </row>
    <row r="57" spans="1:352" s="180" customFormat="1" x14ac:dyDescent="0.3">
      <c r="A57" s="98"/>
      <c r="B57" s="187" t="s">
        <v>211</v>
      </c>
      <c r="C57" s="98"/>
      <c r="D57" s="189">
        <f>SUM(D48:D56)</f>
        <v>368609.53126984125</v>
      </c>
      <c r="E57" s="190">
        <f t="shared" ref="E57:O57" si="187">SUM(E48:E56)</f>
        <v>367961.59646825399</v>
      </c>
      <c r="F57" s="190">
        <f t="shared" si="187"/>
        <v>367309.41178571427</v>
      </c>
      <c r="G57" s="190">
        <f t="shared" si="187"/>
        <v>366888.05789682537</v>
      </c>
      <c r="H57" s="190">
        <f t="shared" si="187"/>
        <v>366227.29174603173</v>
      </c>
      <c r="I57" s="190">
        <f t="shared" si="187"/>
        <v>365562.19285714289</v>
      </c>
      <c r="J57" s="190">
        <f t="shared" si="187"/>
        <v>364892.73246031743</v>
      </c>
      <c r="K57" s="190">
        <f t="shared" si="187"/>
        <v>364218.8817857143</v>
      </c>
      <c r="L57" s="190">
        <f t="shared" si="187"/>
        <v>363540.61321428569</v>
      </c>
      <c r="M57" s="190">
        <f t="shared" si="187"/>
        <v>362857.89567460318</v>
      </c>
      <c r="N57" s="190">
        <f t="shared" si="187"/>
        <v>278158.96742063493</v>
      </c>
      <c r="O57" s="190">
        <f t="shared" si="187"/>
        <v>200353.34607142856</v>
      </c>
      <c r="P57" s="169">
        <f>+SUBTOTAL(9,D57:O57)</f>
        <v>4136580.518650793</v>
      </c>
      <c r="Q57" s="161"/>
      <c r="R57" s="189">
        <f>SUM(R48:R56)</f>
        <v>38132.020476190475</v>
      </c>
      <c r="S57" s="190">
        <f t="shared" ref="S57:AC57" si="188">SUM(S48:S56)</f>
        <v>38064.992738095236</v>
      </c>
      <c r="T57" s="190">
        <f t="shared" si="188"/>
        <v>37997.525357142855</v>
      </c>
      <c r="U57" s="190">
        <f t="shared" si="188"/>
        <v>37953.937023809522</v>
      </c>
      <c r="V57" s="190">
        <f t="shared" si="188"/>
        <v>37885.581904761901</v>
      </c>
      <c r="W57" s="190">
        <f t="shared" si="188"/>
        <v>37816.778571428571</v>
      </c>
      <c r="X57" s="190">
        <f t="shared" si="188"/>
        <v>37747.524047619045</v>
      </c>
      <c r="Y57" s="190">
        <f t="shared" si="188"/>
        <v>37677.815357142856</v>
      </c>
      <c r="Z57" s="190">
        <f t="shared" si="188"/>
        <v>37607.649642857141</v>
      </c>
      <c r="AA57" s="190">
        <f t="shared" si="188"/>
        <v>37537.023690476191</v>
      </c>
      <c r="AB57" s="190">
        <f t="shared" si="188"/>
        <v>28775.065595238095</v>
      </c>
      <c r="AC57" s="190">
        <f t="shared" si="188"/>
        <v>20726.208214285711</v>
      </c>
      <c r="AD57" s="169">
        <f>+SUBTOTAL(9,R57:AC57)</f>
        <v>427922.12261904759</v>
      </c>
      <c r="AE57" s="161"/>
      <c r="AF57" s="189">
        <f>SUM(AF48:AF56)</f>
        <v>38132.020476190475</v>
      </c>
      <c r="AG57" s="190">
        <f t="shared" ref="AG57:AQ57" si="189">SUM(AG48:AG56)</f>
        <v>38064.992738095236</v>
      </c>
      <c r="AH57" s="190">
        <f t="shared" si="189"/>
        <v>37997.525357142855</v>
      </c>
      <c r="AI57" s="190">
        <f t="shared" si="189"/>
        <v>37953.937023809522</v>
      </c>
      <c r="AJ57" s="190">
        <f t="shared" si="189"/>
        <v>37885.581904761901</v>
      </c>
      <c r="AK57" s="190">
        <f t="shared" si="189"/>
        <v>37816.778571428571</v>
      </c>
      <c r="AL57" s="190">
        <f t="shared" si="189"/>
        <v>37747.524047619045</v>
      </c>
      <c r="AM57" s="190">
        <f t="shared" si="189"/>
        <v>37677.815357142856</v>
      </c>
      <c r="AN57" s="190">
        <f t="shared" si="189"/>
        <v>37607.649642857141</v>
      </c>
      <c r="AO57" s="190">
        <f t="shared" si="189"/>
        <v>37537.023690476191</v>
      </c>
      <c r="AP57" s="190">
        <f t="shared" si="189"/>
        <v>28775.065595238095</v>
      </c>
      <c r="AQ57" s="190">
        <f t="shared" si="189"/>
        <v>20726.208214285711</v>
      </c>
      <c r="AR57" s="169">
        <f>+SUBTOTAL(9,AF57:AQ57)</f>
        <v>427922.12261904759</v>
      </c>
      <c r="AS57" s="161"/>
      <c r="AT57" s="189">
        <f>SUM(AT48:AT56)</f>
        <v>25421.346984126983</v>
      </c>
      <c r="AU57" s="190">
        <f t="shared" ref="AU57:BE57" si="190">SUM(AU48:AU56)</f>
        <v>25376.661825396826</v>
      </c>
      <c r="AV57" s="190">
        <f t="shared" si="190"/>
        <v>25331.68357142857</v>
      </c>
      <c r="AW57" s="190">
        <f t="shared" si="190"/>
        <v>25302.624682539681</v>
      </c>
      <c r="AX57" s="190">
        <f t="shared" si="190"/>
        <v>25257.054603174605</v>
      </c>
      <c r="AY57" s="190">
        <f t="shared" si="190"/>
        <v>25211.185714285715</v>
      </c>
      <c r="AZ57" s="190">
        <f t="shared" si="190"/>
        <v>25165.016031746032</v>
      </c>
      <c r="BA57" s="190">
        <f t="shared" si="190"/>
        <v>25118.54357142857</v>
      </c>
      <c r="BB57" s="190">
        <f t="shared" si="190"/>
        <v>25071.766428571427</v>
      </c>
      <c r="BC57" s="190">
        <f t="shared" si="190"/>
        <v>25024.682460317461</v>
      </c>
      <c r="BD57" s="190">
        <f t="shared" si="190"/>
        <v>19183.377063492066</v>
      </c>
      <c r="BE57" s="190">
        <f t="shared" si="190"/>
        <v>13817.472142857143</v>
      </c>
      <c r="BF57" s="169">
        <f>+SUBTOTAL(9,AT57:BE57)</f>
        <v>285281.41507936508</v>
      </c>
      <c r="BG57" s="176"/>
      <c r="BH57" s="189">
        <f>SUM(BH48:BH56)</f>
        <v>190660.10238095239</v>
      </c>
      <c r="BI57" s="190">
        <f t="shared" ref="BI57:BS57" si="191">SUM(BI48:BI56)</f>
        <v>190324.9636904762</v>
      </c>
      <c r="BJ57" s="190">
        <f t="shared" si="191"/>
        <v>189987.6267857143</v>
      </c>
      <c r="BK57" s="190">
        <f t="shared" si="191"/>
        <v>189769.68511904764</v>
      </c>
      <c r="BL57" s="190">
        <f t="shared" si="191"/>
        <v>189427.90952380953</v>
      </c>
      <c r="BM57" s="190">
        <f t="shared" si="191"/>
        <v>189083.89285714287</v>
      </c>
      <c r="BN57" s="190">
        <f t="shared" si="191"/>
        <v>188737.62023809523</v>
      </c>
      <c r="BO57" s="190">
        <f t="shared" si="191"/>
        <v>188389.07678571431</v>
      </c>
      <c r="BP57" s="190">
        <f t="shared" si="191"/>
        <v>188038.24821428573</v>
      </c>
      <c r="BQ57" s="190">
        <f t="shared" si="191"/>
        <v>187685.11845238096</v>
      </c>
      <c r="BR57" s="190">
        <f t="shared" si="191"/>
        <v>143875.32797619049</v>
      </c>
      <c r="BS57" s="190">
        <f t="shared" si="191"/>
        <v>103631.04107142857</v>
      </c>
      <c r="BT57" s="169">
        <f>+SUBTOTAL(9,BH57:BS57)</f>
        <v>2139610.6130952383</v>
      </c>
      <c r="BU57" s="161"/>
      <c r="BV57" s="189">
        <f>SUM(BV48:BV56)</f>
        <v>12710.673492063492</v>
      </c>
      <c r="BW57" s="190">
        <f t="shared" ref="BW57:CG57" si="192">SUM(BW48:BW56)</f>
        <v>12688.330912698413</v>
      </c>
      <c r="BX57" s="190">
        <f t="shared" si="192"/>
        <v>12665.841785714285</v>
      </c>
      <c r="BY57" s="190">
        <f t="shared" si="192"/>
        <v>12651.312341269841</v>
      </c>
      <c r="BZ57" s="190">
        <f t="shared" si="192"/>
        <v>12628.527301587303</v>
      </c>
      <c r="CA57" s="190">
        <f t="shared" si="192"/>
        <v>12605.592857142858</v>
      </c>
      <c r="CB57" s="190">
        <f t="shared" si="192"/>
        <v>12582.508015873016</v>
      </c>
      <c r="CC57" s="190">
        <f t="shared" si="192"/>
        <v>12559.271785714285</v>
      </c>
      <c r="CD57" s="190">
        <f t="shared" si="192"/>
        <v>12535.883214285714</v>
      </c>
      <c r="CE57" s="190">
        <f t="shared" si="192"/>
        <v>12512.34123015873</v>
      </c>
      <c r="CF57" s="190">
        <f t="shared" si="192"/>
        <v>9591.6885317460328</v>
      </c>
      <c r="CG57" s="190">
        <f t="shared" si="192"/>
        <v>6908.7360714285714</v>
      </c>
      <c r="CH57" s="169">
        <f>+SUBTOTAL(9,BV57:CG57)</f>
        <v>142640.70753968254</v>
      </c>
      <c r="CI57" s="161"/>
      <c r="CJ57" s="189">
        <f>SUM(CJ48:CJ56)</f>
        <v>139817.40841269842</v>
      </c>
      <c r="CK57" s="190">
        <f t="shared" ref="CK57:CU57" si="193">SUM(CK48:CK56)</f>
        <v>139571.64003968256</v>
      </c>
      <c r="CL57" s="190">
        <f t="shared" si="193"/>
        <v>139324.25964285716</v>
      </c>
      <c r="CM57" s="190">
        <f t="shared" si="193"/>
        <v>139164.43575396825</v>
      </c>
      <c r="CN57" s="190">
        <f t="shared" si="193"/>
        <v>138913.80031746032</v>
      </c>
      <c r="CO57" s="190">
        <f t="shared" si="193"/>
        <v>138661.52142857143</v>
      </c>
      <c r="CP57" s="190">
        <f t="shared" si="193"/>
        <v>138407.58817460318</v>
      </c>
      <c r="CQ57" s="190">
        <f t="shared" si="193"/>
        <v>138151.98964285717</v>
      </c>
      <c r="CR57" s="190">
        <f t="shared" si="193"/>
        <v>137894.71535714285</v>
      </c>
      <c r="CS57" s="190">
        <f t="shared" si="193"/>
        <v>137635.75353174604</v>
      </c>
      <c r="CT57" s="190">
        <f t="shared" si="193"/>
        <v>105508.57384920635</v>
      </c>
      <c r="CU57" s="190">
        <f t="shared" si="193"/>
        <v>75996.096785714297</v>
      </c>
      <c r="CV57" s="169">
        <f>+SUBTOTAL(9,CJ57:CU57)</f>
        <v>1569047.7829365083</v>
      </c>
      <c r="CW57" s="161"/>
      <c r="CX57" s="189">
        <f>SUM(CX48:CX56)</f>
        <v>355898.85777777783</v>
      </c>
      <c r="CY57" s="190">
        <f t="shared" ref="CY57:DI57" si="194">SUM(CY48:CY56)</f>
        <v>355273.26555555558</v>
      </c>
      <c r="CZ57" s="190">
        <f t="shared" si="194"/>
        <v>354643.57000000007</v>
      </c>
      <c r="DA57" s="190">
        <f t="shared" si="194"/>
        <v>354236.74555555562</v>
      </c>
      <c r="DB57" s="190">
        <f t="shared" si="194"/>
        <v>353598.7644444445</v>
      </c>
      <c r="DC57" s="190">
        <f t="shared" si="194"/>
        <v>352956.60000000003</v>
      </c>
      <c r="DD57" s="190">
        <f t="shared" si="194"/>
        <v>352310.22444444447</v>
      </c>
      <c r="DE57" s="190">
        <f t="shared" si="194"/>
        <v>351659.61000000004</v>
      </c>
      <c r="DF57" s="190">
        <f t="shared" si="194"/>
        <v>351004.73000000004</v>
      </c>
      <c r="DG57" s="190">
        <f t="shared" si="194"/>
        <v>350345.55444444448</v>
      </c>
      <c r="DH57" s="190">
        <f t="shared" si="194"/>
        <v>268567.27888888889</v>
      </c>
      <c r="DI57" s="190">
        <f t="shared" si="194"/>
        <v>193444.61000000004</v>
      </c>
      <c r="DJ57" s="169">
        <f>+SUBTOTAL(9,CX57:DI57)</f>
        <v>3993939.8111111107</v>
      </c>
      <c r="DK57" s="161"/>
      <c r="DL57" s="189">
        <f>SUM(DL48:DL56)</f>
        <v>355898.85777777783</v>
      </c>
      <c r="DM57" s="190">
        <f t="shared" ref="DM57:DW57" si="195">SUM(DM48:DM56)</f>
        <v>355273.26555555558</v>
      </c>
      <c r="DN57" s="190">
        <f t="shared" si="195"/>
        <v>354643.57000000007</v>
      </c>
      <c r="DO57" s="190">
        <f t="shared" si="195"/>
        <v>354236.74555555562</v>
      </c>
      <c r="DP57" s="190">
        <f t="shared" si="195"/>
        <v>353598.7644444445</v>
      </c>
      <c r="DQ57" s="190">
        <f t="shared" si="195"/>
        <v>352956.60000000003</v>
      </c>
      <c r="DR57" s="190">
        <f t="shared" si="195"/>
        <v>352310.22444444447</v>
      </c>
      <c r="DS57" s="190">
        <f t="shared" si="195"/>
        <v>351659.61000000004</v>
      </c>
      <c r="DT57" s="190">
        <f t="shared" si="195"/>
        <v>351004.73000000004</v>
      </c>
      <c r="DU57" s="190">
        <f t="shared" si="195"/>
        <v>350345.55444444448</v>
      </c>
      <c r="DV57" s="190">
        <f t="shared" si="195"/>
        <v>268567.27888888889</v>
      </c>
      <c r="DW57" s="190">
        <f t="shared" si="195"/>
        <v>193444.61000000004</v>
      </c>
      <c r="DX57" s="169">
        <f>+SUBTOTAL(9,DL57:DW57)</f>
        <v>3993939.8111111107</v>
      </c>
      <c r="DY57" s="161"/>
      <c r="DZ57" s="189">
        <f>SUM(DZ48:DZ56)</f>
        <v>12710.673492063492</v>
      </c>
      <c r="EA57" s="190">
        <f t="shared" ref="EA57:EK57" si="196">SUM(EA48:EA56)</f>
        <v>12688.330912698413</v>
      </c>
      <c r="EB57" s="190">
        <f t="shared" si="196"/>
        <v>12665.841785714285</v>
      </c>
      <c r="EC57" s="190">
        <f t="shared" si="196"/>
        <v>12651.312341269841</v>
      </c>
      <c r="ED57" s="190">
        <f t="shared" si="196"/>
        <v>12628.527301587303</v>
      </c>
      <c r="EE57" s="190">
        <f t="shared" si="196"/>
        <v>12605.592857142858</v>
      </c>
      <c r="EF57" s="190">
        <f t="shared" si="196"/>
        <v>12582.508015873016</v>
      </c>
      <c r="EG57" s="190">
        <f t="shared" si="196"/>
        <v>12559.271785714285</v>
      </c>
      <c r="EH57" s="190">
        <f t="shared" si="196"/>
        <v>12535.883214285714</v>
      </c>
      <c r="EI57" s="190">
        <f t="shared" si="196"/>
        <v>12512.34123015873</v>
      </c>
      <c r="EJ57" s="190">
        <f t="shared" si="196"/>
        <v>9591.6885317460328</v>
      </c>
      <c r="EK57" s="190">
        <f t="shared" si="196"/>
        <v>6908.7360714285714</v>
      </c>
      <c r="EL57" s="169">
        <f>+SUBTOTAL(9,DZ57:EK57)</f>
        <v>142640.70753968254</v>
      </c>
      <c r="EM57" s="161"/>
      <c r="EN57" s="189">
        <f>SUM(EN48:EN56)</f>
        <v>25421.346984126983</v>
      </c>
      <c r="EO57" s="190">
        <f t="shared" ref="EO57:EY57" si="197">SUM(EO48:EO56)</f>
        <v>25376.661825396826</v>
      </c>
      <c r="EP57" s="190">
        <f t="shared" si="197"/>
        <v>25331.68357142857</v>
      </c>
      <c r="EQ57" s="190">
        <f t="shared" si="197"/>
        <v>25302.624682539681</v>
      </c>
      <c r="ER57" s="190">
        <f t="shared" si="197"/>
        <v>25257.054603174605</v>
      </c>
      <c r="ES57" s="190">
        <f t="shared" si="197"/>
        <v>25211.185714285715</v>
      </c>
      <c r="ET57" s="190">
        <f t="shared" si="197"/>
        <v>25165.016031746032</v>
      </c>
      <c r="EU57" s="190">
        <f t="shared" si="197"/>
        <v>25118.54357142857</v>
      </c>
      <c r="EV57" s="190">
        <f t="shared" si="197"/>
        <v>25071.766428571427</v>
      </c>
      <c r="EW57" s="190">
        <f t="shared" si="197"/>
        <v>25024.682460317461</v>
      </c>
      <c r="EX57" s="190">
        <f t="shared" si="197"/>
        <v>19183.377063492066</v>
      </c>
      <c r="EY57" s="190">
        <f t="shared" si="197"/>
        <v>13817.472142857143</v>
      </c>
      <c r="EZ57" s="169">
        <f>+SUBTOTAL(9,EN57:EY57)</f>
        <v>285281.41507936508</v>
      </c>
      <c r="FA57" s="161"/>
      <c r="FB57" s="189">
        <f>SUM(FB48:FB56)</f>
        <v>12710.673492063492</v>
      </c>
      <c r="FC57" s="190">
        <f t="shared" ref="FC57:FM57" si="198">SUM(FC48:FC56)</f>
        <v>12688.330912698413</v>
      </c>
      <c r="FD57" s="190">
        <f t="shared" si="198"/>
        <v>12665.841785714285</v>
      </c>
      <c r="FE57" s="190">
        <f t="shared" si="198"/>
        <v>12651.312341269841</v>
      </c>
      <c r="FF57" s="190">
        <f t="shared" si="198"/>
        <v>12628.527301587303</v>
      </c>
      <c r="FG57" s="190">
        <f t="shared" si="198"/>
        <v>12605.592857142858</v>
      </c>
      <c r="FH57" s="190">
        <f t="shared" si="198"/>
        <v>12582.508015873016</v>
      </c>
      <c r="FI57" s="190">
        <f t="shared" si="198"/>
        <v>12559.271785714285</v>
      </c>
      <c r="FJ57" s="190">
        <f t="shared" si="198"/>
        <v>12535.883214285714</v>
      </c>
      <c r="FK57" s="190">
        <f t="shared" si="198"/>
        <v>12512.34123015873</v>
      </c>
      <c r="FL57" s="190">
        <f t="shared" si="198"/>
        <v>9591.6885317460328</v>
      </c>
      <c r="FM57" s="190">
        <f t="shared" si="198"/>
        <v>6908.7360714285714</v>
      </c>
      <c r="FN57" s="169">
        <f>+SUBTOTAL(9,FB57:FM57)</f>
        <v>142640.70753968254</v>
      </c>
      <c r="FO57" s="161"/>
      <c r="FP57" s="189">
        <f>SUM(FP48:FP56)</f>
        <v>88974.714444444457</v>
      </c>
      <c r="FQ57" s="190">
        <f t="shared" ref="FQ57:GA57" si="199">SUM(FQ48:FQ56)</f>
        <v>88818.316388888896</v>
      </c>
      <c r="FR57" s="190">
        <f t="shared" si="199"/>
        <v>88660.892500000016</v>
      </c>
      <c r="FS57" s="190">
        <f t="shared" si="199"/>
        <v>88559.186388888906</v>
      </c>
      <c r="FT57" s="190">
        <f t="shared" si="199"/>
        <v>88399.691111111126</v>
      </c>
      <c r="FU57" s="190">
        <f t="shared" si="199"/>
        <v>88239.150000000009</v>
      </c>
      <c r="FV57" s="190">
        <f t="shared" si="199"/>
        <v>88077.556111111116</v>
      </c>
      <c r="FW57" s="190">
        <f t="shared" si="199"/>
        <v>87914.902500000011</v>
      </c>
      <c r="FX57" s="190">
        <f t="shared" si="199"/>
        <v>87751.18250000001</v>
      </c>
      <c r="FY57" s="190">
        <f t="shared" si="199"/>
        <v>87586.388611111121</v>
      </c>
      <c r="FZ57" s="190">
        <f t="shared" si="199"/>
        <v>67141.819722222222</v>
      </c>
      <c r="GA57" s="190">
        <f t="shared" si="199"/>
        <v>48361.152500000011</v>
      </c>
      <c r="GB57" s="169">
        <f>+SUBTOTAL(9,FP57:GA57)</f>
        <v>998484.95277777768</v>
      </c>
      <c r="GC57" s="161"/>
      <c r="GD57" s="189">
        <f>SUM(GD48:GD56)</f>
        <v>12710.673492063492</v>
      </c>
      <c r="GE57" s="190">
        <f t="shared" ref="GE57:GO57" si="200">SUM(GE48:GE56)</f>
        <v>12688.330912698413</v>
      </c>
      <c r="GF57" s="190">
        <f t="shared" si="200"/>
        <v>12665.841785714285</v>
      </c>
      <c r="GG57" s="190">
        <f t="shared" si="200"/>
        <v>12651.312341269841</v>
      </c>
      <c r="GH57" s="190">
        <f t="shared" si="200"/>
        <v>12628.527301587303</v>
      </c>
      <c r="GI57" s="190">
        <f t="shared" si="200"/>
        <v>12605.592857142858</v>
      </c>
      <c r="GJ57" s="190">
        <f t="shared" si="200"/>
        <v>12582.508015873016</v>
      </c>
      <c r="GK57" s="190">
        <f t="shared" si="200"/>
        <v>12559.271785714285</v>
      </c>
      <c r="GL57" s="190">
        <f t="shared" si="200"/>
        <v>12535.883214285714</v>
      </c>
      <c r="GM57" s="190">
        <f t="shared" si="200"/>
        <v>12512.34123015873</v>
      </c>
      <c r="GN57" s="190">
        <f t="shared" si="200"/>
        <v>9591.6885317460328</v>
      </c>
      <c r="GO57" s="190">
        <f t="shared" si="200"/>
        <v>6908.7360714285714</v>
      </c>
      <c r="GP57" s="169">
        <f>+SUBTOTAL(9,GD57:GO57)</f>
        <v>142640.70753968254</v>
      </c>
      <c r="GQ57" s="161"/>
      <c r="GR57" s="189">
        <f>SUM(GR48:GR56)</f>
        <v>1430456.03</v>
      </c>
      <c r="GS57" s="190">
        <f t="shared" ref="GS57:HC57" si="201">SUM(GS48:GS56)</f>
        <v>1424070.32</v>
      </c>
      <c r="GT57" s="190">
        <f t="shared" si="201"/>
        <v>2078519.59</v>
      </c>
      <c r="GU57" s="190">
        <f t="shared" si="201"/>
        <v>2072044.54</v>
      </c>
      <c r="GV57" s="190">
        <f t="shared" si="201"/>
        <v>2065524.34</v>
      </c>
      <c r="GW57" s="190">
        <f t="shared" si="201"/>
        <v>2058958.6800000002</v>
      </c>
      <c r="GX57" s="190">
        <f t="shared" si="201"/>
        <v>2052347.25</v>
      </c>
      <c r="GY57" s="190">
        <f t="shared" si="201"/>
        <v>2045689.73</v>
      </c>
      <c r="GZ57" s="190">
        <f t="shared" si="201"/>
        <v>2038985.8</v>
      </c>
      <c r="HA57" s="190">
        <f t="shared" si="201"/>
        <v>2032235.12</v>
      </c>
      <c r="HB57" s="190">
        <f t="shared" si="201"/>
        <v>2025437.3900000001</v>
      </c>
      <c r="HC57" s="190">
        <f t="shared" si="201"/>
        <v>2018592.26</v>
      </c>
      <c r="HD57" s="169">
        <f>+SUBTOTAL(9,GR57:HC57)*0</f>
        <v>0</v>
      </c>
      <c r="HE57" s="161"/>
      <c r="HF57" s="189">
        <f>SUM(HF48:HF56)</f>
        <v>50842.693968253967</v>
      </c>
      <c r="HG57" s="190">
        <f t="shared" ref="HG57:HQ57" si="202">SUM(HG48:HG56)</f>
        <v>50753.323650793653</v>
      </c>
      <c r="HH57" s="190">
        <f t="shared" si="202"/>
        <v>50663.36714285714</v>
      </c>
      <c r="HI57" s="190">
        <f t="shared" si="202"/>
        <v>50605.249365079362</v>
      </c>
      <c r="HJ57" s="190">
        <f t="shared" si="202"/>
        <v>50514.109206349211</v>
      </c>
      <c r="HK57" s="190">
        <f t="shared" si="202"/>
        <v>50422.37142857143</v>
      </c>
      <c r="HL57" s="190">
        <f t="shared" si="202"/>
        <v>50330.032063492064</v>
      </c>
      <c r="HM57" s="190">
        <f t="shared" si="202"/>
        <v>50237.087142857141</v>
      </c>
      <c r="HN57" s="190">
        <f t="shared" si="202"/>
        <v>50143.532857142854</v>
      </c>
      <c r="HO57" s="190">
        <f t="shared" si="202"/>
        <v>50049.364920634922</v>
      </c>
      <c r="HP57" s="190">
        <f t="shared" si="202"/>
        <v>38366.754126984131</v>
      </c>
      <c r="HQ57" s="190">
        <f t="shared" si="202"/>
        <v>27634.944285714286</v>
      </c>
      <c r="HR57" s="169">
        <f>+SUBTOTAL(9,HF57:HQ57)</f>
        <v>570562.83015873015</v>
      </c>
      <c r="HS57" s="161"/>
      <c r="HT57" s="189">
        <f>SUM(HT48:HT56)</f>
        <v>12710.673492063492</v>
      </c>
      <c r="HU57" s="190">
        <f t="shared" ref="HU57:IE57" si="203">SUM(HU48:HU56)</f>
        <v>12688.330912698413</v>
      </c>
      <c r="HV57" s="190">
        <f t="shared" si="203"/>
        <v>12665.841785714285</v>
      </c>
      <c r="HW57" s="190">
        <f t="shared" si="203"/>
        <v>12651.312341269841</v>
      </c>
      <c r="HX57" s="190">
        <f t="shared" si="203"/>
        <v>12628.527301587303</v>
      </c>
      <c r="HY57" s="190">
        <f t="shared" si="203"/>
        <v>12605.592857142858</v>
      </c>
      <c r="HZ57" s="190">
        <f t="shared" si="203"/>
        <v>12582.508015873016</v>
      </c>
      <c r="IA57" s="190">
        <f t="shared" si="203"/>
        <v>12559.271785714285</v>
      </c>
      <c r="IB57" s="190">
        <f t="shared" si="203"/>
        <v>12535.883214285714</v>
      </c>
      <c r="IC57" s="190">
        <f t="shared" si="203"/>
        <v>12512.34123015873</v>
      </c>
      <c r="ID57" s="190">
        <f t="shared" si="203"/>
        <v>9591.6885317460328</v>
      </c>
      <c r="IE57" s="190">
        <f t="shared" si="203"/>
        <v>6908.7360714285714</v>
      </c>
      <c r="IF57" s="169">
        <f>+SUBTOTAL(9,HT57:IE57)</f>
        <v>142640.70753968254</v>
      </c>
      <c r="IG57" s="161"/>
      <c r="IH57" s="189">
        <f>SUM(IH48:IH56)</f>
        <v>12710.673492063492</v>
      </c>
      <c r="II57" s="190">
        <f t="shared" ref="II57:IS57" si="204">SUM(II48:II56)</f>
        <v>12688.330912698413</v>
      </c>
      <c r="IJ57" s="190">
        <f t="shared" si="204"/>
        <v>12665.841785714285</v>
      </c>
      <c r="IK57" s="190">
        <f t="shared" si="204"/>
        <v>12651.312341269841</v>
      </c>
      <c r="IL57" s="190">
        <f t="shared" si="204"/>
        <v>12628.527301587303</v>
      </c>
      <c r="IM57" s="190">
        <f t="shared" si="204"/>
        <v>12605.592857142858</v>
      </c>
      <c r="IN57" s="190">
        <f t="shared" si="204"/>
        <v>12582.508015873016</v>
      </c>
      <c r="IO57" s="190">
        <f t="shared" si="204"/>
        <v>12559.271785714285</v>
      </c>
      <c r="IP57" s="190">
        <f t="shared" si="204"/>
        <v>12535.883214285714</v>
      </c>
      <c r="IQ57" s="190">
        <f t="shared" si="204"/>
        <v>12512.34123015873</v>
      </c>
      <c r="IR57" s="190">
        <f t="shared" si="204"/>
        <v>9591.6885317460328</v>
      </c>
      <c r="IS57" s="190">
        <f t="shared" si="204"/>
        <v>6908.7360714285714</v>
      </c>
      <c r="IT57" s="169">
        <f>+SUBTOTAL(9,IH57:IS57)</f>
        <v>142640.70753968254</v>
      </c>
      <c r="IU57" s="161"/>
      <c r="IV57" s="189">
        <f>SUM(IV48:IV56)</f>
        <v>88974.714444444457</v>
      </c>
      <c r="IW57" s="190">
        <f t="shared" ref="IW57:JG57" si="205">SUM(IW48:IW56)</f>
        <v>88818.316388888896</v>
      </c>
      <c r="IX57" s="190">
        <f t="shared" si="205"/>
        <v>88660.892500000016</v>
      </c>
      <c r="IY57" s="190">
        <f t="shared" si="205"/>
        <v>88559.186388888906</v>
      </c>
      <c r="IZ57" s="190">
        <f t="shared" si="205"/>
        <v>88399.691111111126</v>
      </c>
      <c r="JA57" s="190">
        <f t="shared" si="205"/>
        <v>88239.150000000009</v>
      </c>
      <c r="JB57" s="190">
        <f t="shared" si="205"/>
        <v>88077.556111111116</v>
      </c>
      <c r="JC57" s="190">
        <f t="shared" si="205"/>
        <v>87914.902500000011</v>
      </c>
      <c r="JD57" s="190">
        <f t="shared" si="205"/>
        <v>87751.18250000001</v>
      </c>
      <c r="JE57" s="190">
        <f t="shared" si="205"/>
        <v>87586.388611111121</v>
      </c>
      <c r="JF57" s="190">
        <f t="shared" si="205"/>
        <v>67141.819722222222</v>
      </c>
      <c r="JG57" s="190">
        <f t="shared" si="205"/>
        <v>48361.152500000011</v>
      </c>
      <c r="JH57" s="169">
        <f>+SUBTOTAL(9,IV57:JG57)</f>
        <v>998484.95277777768</v>
      </c>
      <c r="JI57" s="161"/>
      <c r="JJ57" s="189">
        <f>SUM(JJ48:JJ56)</f>
        <v>139817.40841269842</v>
      </c>
      <c r="JK57" s="190">
        <f t="shared" ref="JK57:JU57" si="206">SUM(JK48:JK56)</f>
        <v>139571.64003968256</v>
      </c>
      <c r="JL57" s="190">
        <f t="shared" si="206"/>
        <v>139324.25964285716</v>
      </c>
      <c r="JM57" s="190">
        <f t="shared" si="206"/>
        <v>139164.43575396825</v>
      </c>
      <c r="JN57" s="190">
        <f t="shared" si="206"/>
        <v>138913.80031746032</v>
      </c>
      <c r="JO57" s="190">
        <f t="shared" si="206"/>
        <v>138661.52142857143</v>
      </c>
      <c r="JP57" s="190">
        <f t="shared" si="206"/>
        <v>138407.58817460318</v>
      </c>
      <c r="JQ57" s="190">
        <f t="shared" si="206"/>
        <v>138151.98964285717</v>
      </c>
      <c r="JR57" s="190">
        <f t="shared" si="206"/>
        <v>137894.71535714285</v>
      </c>
      <c r="JS57" s="190">
        <f t="shared" si="206"/>
        <v>137635.75353174604</v>
      </c>
      <c r="JT57" s="190">
        <f t="shared" si="206"/>
        <v>105508.57384920635</v>
      </c>
      <c r="JU57" s="190">
        <f t="shared" si="206"/>
        <v>75996.096785714297</v>
      </c>
      <c r="JV57" s="169">
        <f>+SUBTOTAL(9,JJ57:JU57)</f>
        <v>1569047.7829365083</v>
      </c>
      <c r="JW57" s="161"/>
      <c r="JX57" s="189">
        <f>SUM(JX48:JX56)</f>
        <v>63553.367460317459</v>
      </c>
      <c r="JY57" s="190">
        <f t="shared" ref="JY57:KI57" si="207">SUM(JY48:JY56)</f>
        <v>63441.654563492062</v>
      </c>
      <c r="JZ57" s="190">
        <f t="shared" si="207"/>
        <v>63329.208928571432</v>
      </c>
      <c r="KA57" s="190">
        <f t="shared" si="207"/>
        <v>63256.56170634921</v>
      </c>
      <c r="KB57" s="190">
        <f t="shared" si="207"/>
        <v>63142.636507936513</v>
      </c>
      <c r="KC57" s="190">
        <f t="shared" si="207"/>
        <v>63027.96428571429</v>
      </c>
      <c r="KD57" s="190">
        <f t="shared" si="207"/>
        <v>62912.540079365084</v>
      </c>
      <c r="KE57" s="190">
        <f t="shared" si="207"/>
        <v>62796.358928571433</v>
      </c>
      <c r="KF57" s="190">
        <f t="shared" si="207"/>
        <v>62679.416071428575</v>
      </c>
      <c r="KG57" s="190">
        <f t="shared" si="207"/>
        <v>62561.706150793652</v>
      </c>
      <c r="KH57" s="190">
        <f t="shared" si="207"/>
        <v>47958.442658730157</v>
      </c>
      <c r="KI57" s="190">
        <f t="shared" si="207"/>
        <v>34543.680357142854</v>
      </c>
      <c r="KJ57" s="169">
        <f>+SUBTOTAL(9,JX57:KI57)</f>
        <v>713203.5376984129</v>
      </c>
      <c r="KK57" s="161"/>
      <c r="KL57" s="189">
        <f>SUM(KL48:KL56)</f>
        <v>25421.346984126983</v>
      </c>
      <c r="KM57" s="190">
        <f t="shared" ref="KM57:KW57" si="208">SUM(KM48:KM56)</f>
        <v>25376.661825396826</v>
      </c>
      <c r="KN57" s="190">
        <f t="shared" si="208"/>
        <v>25331.68357142857</v>
      </c>
      <c r="KO57" s="190">
        <f t="shared" si="208"/>
        <v>25302.624682539681</v>
      </c>
      <c r="KP57" s="190">
        <f t="shared" si="208"/>
        <v>25257.054603174605</v>
      </c>
      <c r="KQ57" s="190">
        <f t="shared" si="208"/>
        <v>25211.185714285715</v>
      </c>
      <c r="KR57" s="190">
        <f t="shared" si="208"/>
        <v>25165.016031746032</v>
      </c>
      <c r="KS57" s="190">
        <f t="shared" si="208"/>
        <v>25118.54357142857</v>
      </c>
      <c r="KT57" s="190">
        <f t="shared" si="208"/>
        <v>25071.766428571427</v>
      </c>
      <c r="KU57" s="190">
        <f t="shared" si="208"/>
        <v>25024.682460317461</v>
      </c>
      <c r="KV57" s="190">
        <f t="shared" si="208"/>
        <v>19183.377063492066</v>
      </c>
      <c r="KW57" s="190">
        <f t="shared" si="208"/>
        <v>13817.472142857143</v>
      </c>
      <c r="KX57" s="169">
        <f>+SUBTOTAL(9,KL57:KW57)</f>
        <v>285281.41507936508</v>
      </c>
      <c r="KY57" s="161"/>
      <c r="KZ57" s="189">
        <f>SUM(KZ48:KZ56)</f>
        <v>12710.673492063492</v>
      </c>
      <c r="LA57" s="190">
        <f t="shared" ref="LA57:LK57" si="209">SUM(LA48:LA56)</f>
        <v>12688.330912698413</v>
      </c>
      <c r="LB57" s="190">
        <f t="shared" si="209"/>
        <v>12665.841785714285</v>
      </c>
      <c r="LC57" s="190">
        <f t="shared" si="209"/>
        <v>12651.312341269841</v>
      </c>
      <c r="LD57" s="190">
        <f t="shared" si="209"/>
        <v>12628.527301587303</v>
      </c>
      <c r="LE57" s="190">
        <f t="shared" si="209"/>
        <v>12605.592857142858</v>
      </c>
      <c r="LF57" s="190">
        <f t="shared" si="209"/>
        <v>12582.508015873016</v>
      </c>
      <c r="LG57" s="190">
        <f t="shared" si="209"/>
        <v>12559.271785714285</v>
      </c>
      <c r="LH57" s="190">
        <f t="shared" si="209"/>
        <v>12535.883214285714</v>
      </c>
      <c r="LI57" s="190">
        <f t="shared" si="209"/>
        <v>12512.34123015873</v>
      </c>
      <c r="LJ57" s="190">
        <f t="shared" si="209"/>
        <v>9591.6885317460328</v>
      </c>
      <c r="LK57" s="190">
        <f t="shared" si="209"/>
        <v>6908.7360714285714</v>
      </c>
      <c r="LL57" s="169">
        <f>+SUBTOTAL(9,KZ57:LK57)</f>
        <v>142640.70753968254</v>
      </c>
      <c r="LM57" s="161"/>
      <c r="LN57" s="189">
        <f>SUM(LN48:LN56)</f>
        <v>0</v>
      </c>
      <c r="LO57" s="190">
        <f t="shared" ref="LO57:LY57" si="210">SUM(LO48:LO56)</f>
        <v>0</v>
      </c>
      <c r="LP57" s="190">
        <f t="shared" si="210"/>
        <v>0</v>
      </c>
      <c r="LQ57" s="190">
        <f t="shared" si="210"/>
        <v>0</v>
      </c>
      <c r="LR57" s="190">
        <f t="shared" si="210"/>
        <v>0</v>
      </c>
      <c r="LS57" s="190">
        <f t="shared" si="210"/>
        <v>0</v>
      </c>
      <c r="LT57" s="190">
        <f t="shared" si="210"/>
        <v>0</v>
      </c>
      <c r="LU57" s="190">
        <f t="shared" si="210"/>
        <v>0</v>
      </c>
      <c r="LV57" s="190">
        <f t="shared" si="210"/>
        <v>0</v>
      </c>
      <c r="LW57" s="190">
        <f t="shared" si="210"/>
        <v>0</v>
      </c>
      <c r="LX57" s="190">
        <f t="shared" si="210"/>
        <v>0</v>
      </c>
      <c r="LY57" s="190">
        <f t="shared" si="210"/>
        <v>0</v>
      </c>
      <c r="LZ57" s="169">
        <f>+SUBTOTAL(9,LN57:LY57)</f>
        <v>0</v>
      </c>
      <c r="MA57" s="161"/>
      <c r="MB57" s="169">
        <f t="shared" ref="MB57:MC57" si="211">SUM(MB48:MB56)</f>
        <v>3515006.4826984126</v>
      </c>
      <c r="MC57" s="169">
        <f t="shared" si="211"/>
        <v>3504956.5896825395</v>
      </c>
      <c r="MD57" s="169">
        <f t="shared" ref="MD57:MN57" si="212">SUM(MD48:MD56)</f>
        <v>4155717.6428571427</v>
      </c>
      <c r="ME57" s="169">
        <f t="shared" si="212"/>
        <v>4146859.7639682535</v>
      </c>
      <c r="MF57" s="169">
        <f t="shared" si="212"/>
        <v>4136602.8174603172</v>
      </c>
      <c r="MG57" s="169">
        <f t="shared" si="212"/>
        <v>4126275.9085714282</v>
      </c>
      <c r="MH57" s="169">
        <f t="shared" si="212"/>
        <v>4115878.5646031741</v>
      </c>
      <c r="MI57" s="169">
        <f t="shared" si="212"/>
        <v>4105410.3028571424</v>
      </c>
      <c r="MJ57" s="169">
        <f t="shared" si="212"/>
        <v>4094870.6471428568</v>
      </c>
      <c r="MK57" s="169">
        <f t="shared" si="212"/>
        <v>4084259.0817460315</v>
      </c>
      <c r="ML57" s="169">
        <f t="shared" si="212"/>
        <v>3598474.3092063488</v>
      </c>
      <c r="MM57" s="169">
        <f t="shared" si="212"/>
        <v>3151624.9757142854</v>
      </c>
      <c r="MN57" s="169">
        <f t="shared" si="212"/>
        <v>46735937.086507939</v>
      </c>
    </row>
    <row r="58" spans="1:352" x14ac:dyDescent="0.25">
      <c r="A58" s="98"/>
      <c r="B58" s="183"/>
      <c r="C58" s="98"/>
      <c r="D58" s="163"/>
      <c r="E58" s="164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93"/>
      <c r="Q58" s="194"/>
      <c r="R58" s="163"/>
      <c r="S58" s="164"/>
      <c r="T58" s="179"/>
      <c r="U58" s="179"/>
      <c r="V58" s="179"/>
      <c r="W58" s="179"/>
      <c r="X58" s="179"/>
      <c r="Y58" s="179"/>
      <c r="Z58" s="179"/>
      <c r="AA58" s="179"/>
      <c r="AB58" s="179"/>
      <c r="AC58" s="179"/>
      <c r="AD58" s="193"/>
      <c r="AE58" s="194"/>
      <c r="AF58" s="163"/>
      <c r="AG58" s="164"/>
      <c r="AH58" s="179"/>
      <c r="AI58" s="179"/>
      <c r="AJ58" s="179"/>
      <c r="AK58" s="179"/>
      <c r="AL58" s="179"/>
      <c r="AM58" s="179"/>
      <c r="AN58" s="179"/>
      <c r="AO58" s="179"/>
      <c r="AP58" s="179"/>
      <c r="AQ58" s="179"/>
      <c r="AR58" s="193"/>
      <c r="AT58" s="163"/>
      <c r="AU58" s="16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93"/>
      <c r="BH58" s="163"/>
      <c r="BI58" s="164"/>
      <c r="BJ58" s="179"/>
      <c r="BK58" s="179"/>
      <c r="BL58" s="179"/>
      <c r="BM58" s="179"/>
      <c r="BN58" s="179"/>
      <c r="BO58" s="179"/>
      <c r="BP58" s="179"/>
      <c r="BQ58" s="179"/>
      <c r="BR58" s="179"/>
      <c r="BS58" s="179"/>
      <c r="BT58" s="193"/>
      <c r="BV58" s="163"/>
      <c r="BW58" s="164"/>
      <c r="BX58" s="179"/>
      <c r="BY58" s="179"/>
      <c r="BZ58" s="179"/>
      <c r="CA58" s="179"/>
      <c r="CB58" s="179"/>
      <c r="CC58" s="179"/>
      <c r="CD58" s="179"/>
      <c r="CE58" s="179"/>
      <c r="CF58" s="179"/>
      <c r="CG58" s="179"/>
      <c r="CH58" s="193"/>
      <c r="CI58" s="194"/>
      <c r="CJ58" s="163"/>
      <c r="CK58" s="164"/>
      <c r="CL58" s="179"/>
      <c r="CM58" s="179"/>
      <c r="CN58" s="179"/>
      <c r="CO58" s="179"/>
      <c r="CP58" s="179"/>
      <c r="CQ58" s="179"/>
      <c r="CR58" s="179"/>
      <c r="CS58" s="179"/>
      <c r="CT58" s="179"/>
      <c r="CU58" s="179"/>
      <c r="CV58" s="193"/>
      <c r="CW58" s="194"/>
      <c r="CX58" s="163"/>
      <c r="CY58" s="164"/>
      <c r="CZ58" s="179"/>
      <c r="DA58" s="179"/>
      <c r="DB58" s="179"/>
      <c r="DC58" s="179"/>
      <c r="DD58" s="179"/>
      <c r="DE58" s="179"/>
      <c r="DF58" s="179"/>
      <c r="DG58" s="179"/>
      <c r="DH58" s="179"/>
      <c r="DI58" s="179"/>
      <c r="DJ58" s="193"/>
      <c r="DK58" s="194"/>
      <c r="DL58" s="163"/>
      <c r="DM58" s="164"/>
      <c r="DN58" s="179"/>
      <c r="DO58" s="179"/>
      <c r="DP58" s="179"/>
      <c r="DQ58" s="179"/>
      <c r="DR58" s="179"/>
      <c r="DS58" s="179"/>
      <c r="DT58" s="179"/>
      <c r="DU58" s="179"/>
      <c r="DV58" s="179"/>
      <c r="DW58" s="179"/>
      <c r="DX58" s="193"/>
      <c r="DY58" s="194"/>
      <c r="DZ58" s="163"/>
      <c r="EA58" s="164"/>
      <c r="EB58" s="179"/>
      <c r="EC58" s="179"/>
      <c r="ED58" s="179"/>
      <c r="EE58" s="179"/>
      <c r="EF58" s="179"/>
      <c r="EG58" s="179"/>
      <c r="EH58" s="179"/>
      <c r="EI58" s="179"/>
      <c r="EJ58" s="179"/>
      <c r="EK58" s="179"/>
      <c r="EL58" s="193"/>
      <c r="EM58" s="194"/>
      <c r="EN58" s="163"/>
      <c r="EO58" s="164"/>
      <c r="EP58" s="179"/>
      <c r="EQ58" s="179"/>
      <c r="ER58" s="179"/>
      <c r="ES58" s="179"/>
      <c r="ET58" s="179"/>
      <c r="EU58" s="179"/>
      <c r="EV58" s="179"/>
      <c r="EW58" s="179"/>
      <c r="EX58" s="179"/>
      <c r="EY58" s="179"/>
      <c r="EZ58" s="193"/>
      <c r="FA58" s="194"/>
      <c r="FB58" s="163"/>
      <c r="FC58" s="164"/>
      <c r="FD58" s="179"/>
      <c r="FE58" s="179"/>
      <c r="FF58" s="179"/>
      <c r="FG58" s="179"/>
      <c r="FH58" s="179"/>
      <c r="FI58" s="179"/>
      <c r="FJ58" s="179"/>
      <c r="FK58" s="179"/>
      <c r="FL58" s="179"/>
      <c r="FM58" s="179"/>
      <c r="FN58" s="193"/>
      <c r="FO58" s="194"/>
      <c r="FP58" s="163"/>
      <c r="FQ58" s="164"/>
      <c r="FR58" s="179"/>
      <c r="FS58" s="179"/>
      <c r="FT58" s="179"/>
      <c r="FU58" s="179"/>
      <c r="FV58" s="179"/>
      <c r="FW58" s="179"/>
      <c r="FX58" s="179"/>
      <c r="FY58" s="179"/>
      <c r="FZ58" s="179"/>
      <c r="GA58" s="179"/>
      <c r="GB58" s="193"/>
      <c r="GC58" s="194"/>
      <c r="GD58" s="203">
        <f>+GD57+GR57</f>
        <v>1443166.7034920636</v>
      </c>
      <c r="GE58" s="177">
        <f>+GD58/83.92</f>
        <v>17196.934026359195</v>
      </c>
      <c r="GF58" s="179">
        <f>+GE58-'[1]Actual YTD feb'!KL66</f>
        <v>-3578.5328568330115</v>
      </c>
      <c r="GG58" s="179"/>
      <c r="GH58" s="179"/>
      <c r="GI58" s="179"/>
      <c r="GJ58" s="179"/>
      <c r="GK58" s="179"/>
      <c r="GL58" s="179"/>
      <c r="GM58" s="179"/>
      <c r="GN58" s="179"/>
      <c r="GO58" s="179"/>
      <c r="GP58" s="193"/>
      <c r="GQ58" s="194"/>
      <c r="GR58" s="163"/>
      <c r="GS58" s="164"/>
      <c r="GT58" s="179"/>
      <c r="GU58" s="179"/>
      <c r="GV58" s="179"/>
      <c r="GW58" s="179"/>
      <c r="GX58" s="179"/>
      <c r="GY58" s="179"/>
      <c r="GZ58" s="179"/>
      <c r="HA58" s="179"/>
      <c r="HB58" s="179"/>
      <c r="HC58" s="179"/>
      <c r="HD58" s="193"/>
      <c r="HE58" s="194"/>
      <c r="HF58" s="163"/>
      <c r="HG58" s="164"/>
      <c r="HH58" s="179"/>
      <c r="HI58" s="179"/>
      <c r="HJ58" s="179"/>
      <c r="HK58" s="179"/>
      <c r="HL58" s="179"/>
      <c r="HM58" s="179"/>
      <c r="HN58" s="179"/>
      <c r="HO58" s="179"/>
      <c r="HP58" s="179"/>
      <c r="HQ58" s="179"/>
      <c r="HR58" s="193"/>
      <c r="HS58" s="194"/>
      <c r="HT58" s="163"/>
      <c r="HU58" s="164"/>
      <c r="HV58" s="179"/>
      <c r="HW58" s="179"/>
      <c r="HX58" s="179"/>
      <c r="HY58" s="179"/>
      <c r="HZ58" s="179"/>
      <c r="IA58" s="179"/>
      <c r="IB58" s="179"/>
      <c r="IC58" s="179"/>
      <c r="ID58" s="179"/>
      <c r="IE58" s="179"/>
      <c r="IF58" s="193"/>
      <c r="IG58" s="194"/>
      <c r="IH58" s="163"/>
      <c r="II58" s="164"/>
      <c r="IJ58" s="179"/>
      <c r="IK58" s="179"/>
      <c r="IL58" s="179"/>
      <c r="IM58" s="179"/>
      <c r="IN58" s="179"/>
      <c r="IO58" s="179"/>
      <c r="IP58" s="179"/>
      <c r="IQ58" s="179"/>
      <c r="IR58" s="179"/>
      <c r="IS58" s="179"/>
      <c r="IT58" s="193"/>
      <c r="IU58" s="194"/>
      <c r="IV58" s="163"/>
      <c r="IW58" s="164"/>
      <c r="IX58" s="179"/>
      <c r="IY58" s="179"/>
      <c r="IZ58" s="179"/>
      <c r="JA58" s="179"/>
      <c r="JB58" s="179"/>
      <c r="JC58" s="179"/>
      <c r="JD58" s="179"/>
      <c r="JE58" s="179"/>
      <c r="JF58" s="179"/>
      <c r="JG58" s="179"/>
      <c r="JH58" s="193"/>
      <c r="JI58" s="194"/>
      <c r="JJ58" s="163"/>
      <c r="JK58" s="164"/>
      <c r="JL58" s="179"/>
      <c r="JM58" s="179"/>
      <c r="JN58" s="179"/>
      <c r="JO58" s="179"/>
      <c r="JP58" s="179"/>
      <c r="JQ58" s="179"/>
      <c r="JR58" s="179"/>
      <c r="JS58" s="179"/>
      <c r="JT58" s="179"/>
      <c r="JU58" s="179"/>
      <c r="JV58" s="193"/>
      <c r="JW58" s="194"/>
      <c r="JX58" s="163"/>
      <c r="JY58" s="164"/>
      <c r="JZ58" s="179"/>
      <c r="KA58" s="179"/>
      <c r="KB58" s="179"/>
      <c r="KC58" s="179"/>
      <c r="KD58" s="179"/>
      <c r="KE58" s="179"/>
      <c r="KF58" s="179"/>
      <c r="KG58" s="179"/>
      <c r="KH58" s="179"/>
      <c r="KI58" s="179"/>
      <c r="KJ58" s="193"/>
      <c r="KK58" s="194"/>
      <c r="KL58" s="163"/>
      <c r="KM58" s="164"/>
      <c r="KN58" s="179"/>
      <c r="KO58" s="179"/>
      <c r="KP58" s="179"/>
      <c r="KQ58" s="179"/>
      <c r="KR58" s="179"/>
      <c r="KS58" s="179"/>
      <c r="KT58" s="179"/>
      <c r="KU58" s="179"/>
      <c r="KV58" s="179"/>
      <c r="KW58" s="179"/>
      <c r="KX58" s="193"/>
      <c r="KY58" s="194"/>
      <c r="KZ58" s="163"/>
      <c r="LA58" s="164"/>
      <c r="LB58" s="179"/>
      <c r="LC58" s="179"/>
      <c r="LD58" s="179"/>
      <c r="LE58" s="179"/>
      <c r="LF58" s="179"/>
      <c r="LG58" s="179"/>
      <c r="LH58" s="179"/>
      <c r="LI58" s="179"/>
      <c r="LJ58" s="179"/>
      <c r="LK58" s="179"/>
      <c r="LL58" s="193"/>
      <c r="LM58" s="194"/>
      <c r="LN58" s="163"/>
      <c r="LO58" s="164"/>
      <c r="LP58" s="179"/>
      <c r="LQ58" s="179"/>
      <c r="LR58" s="179"/>
      <c r="LS58" s="179"/>
      <c r="LT58" s="179"/>
      <c r="LU58" s="179"/>
      <c r="LV58" s="179"/>
      <c r="LW58" s="179"/>
      <c r="LX58" s="179"/>
      <c r="LY58" s="179"/>
      <c r="LZ58" s="193"/>
      <c r="MA58" s="194"/>
      <c r="MB58" s="193"/>
      <c r="MC58" s="193">
        <f>+MC57/83.92</f>
        <v>41765.450306035978</v>
      </c>
      <c r="MD58" s="193"/>
      <c r="ME58" s="193"/>
      <c r="MF58" s="193"/>
      <c r="MG58" s="193"/>
      <c r="MH58" s="193"/>
      <c r="MI58" s="193"/>
      <c r="MJ58" s="193"/>
      <c r="MK58" s="193"/>
      <c r="ML58" s="193"/>
      <c r="MM58" s="193"/>
      <c r="MN58" s="193"/>
    </row>
    <row r="59" spans="1:352" x14ac:dyDescent="0.3">
      <c r="A59" s="98"/>
      <c r="B59" s="206" t="s">
        <v>74</v>
      </c>
      <c r="C59" s="98"/>
      <c r="D59" s="163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204"/>
      <c r="Q59" s="205"/>
      <c r="R59" s="163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204"/>
      <c r="AE59" s="205"/>
      <c r="AF59" s="163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204"/>
      <c r="AT59" s="163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204"/>
      <c r="BH59" s="163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204"/>
      <c r="BV59" s="163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204"/>
      <c r="CI59" s="205"/>
      <c r="CJ59" s="163"/>
      <c r="CK59" s="164"/>
      <c r="CL59" s="164"/>
      <c r="CM59" s="164"/>
      <c r="CN59" s="164"/>
      <c r="CO59" s="164"/>
      <c r="CP59" s="164"/>
      <c r="CQ59" s="164"/>
      <c r="CR59" s="164"/>
      <c r="CS59" s="164"/>
      <c r="CT59" s="164"/>
      <c r="CU59" s="164"/>
      <c r="CV59" s="204"/>
      <c r="CW59" s="205"/>
      <c r="CX59" s="163"/>
      <c r="CY59" s="164"/>
      <c r="CZ59" s="164"/>
      <c r="DA59" s="164"/>
      <c r="DB59" s="164"/>
      <c r="DC59" s="164"/>
      <c r="DD59" s="164"/>
      <c r="DE59" s="164"/>
      <c r="DF59" s="164"/>
      <c r="DG59" s="164"/>
      <c r="DH59" s="164"/>
      <c r="DI59" s="164"/>
      <c r="DJ59" s="204"/>
      <c r="DK59" s="205"/>
      <c r="DL59" s="163"/>
      <c r="DM59" s="164"/>
      <c r="DN59" s="164"/>
      <c r="DO59" s="164"/>
      <c r="DP59" s="164"/>
      <c r="DQ59" s="164"/>
      <c r="DR59" s="164"/>
      <c r="DS59" s="164"/>
      <c r="DT59" s="164"/>
      <c r="DU59" s="164"/>
      <c r="DV59" s="164"/>
      <c r="DW59" s="164"/>
      <c r="DX59" s="204"/>
      <c r="DY59" s="205"/>
      <c r="DZ59" s="163"/>
      <c r="EA59" s="164"/>
      <c r="EB59" s="164"/>
      <c r="EC59" s="164"/>
      <c r="ED59" s="164"/>
      <c r="EE59" s="164"/>
      <c r="EF59" s="164"/>
      <c r="EG59" s="164"/>
      <c r="EH59" s="164"/>
      <c r="EI59" s="164"/>
      <c r="EJ59" s="164"/>
      <c r="EK59" s="164"/>
      <c r="EL59" s="204"/>
      <c r="EM59" s="205"/>
      <c r="EN59" s="163"/>
      <c r="EO59" s="164"/>
      <c r="EP59" s="164"/>
      <c r="EQ59" s="164"/>
      <c r="ER59" s="164"/>
      <c r="ES59" s="164"/>
      <c r="ET59" s="164"/>
      <c r="EU59" s="164"/>
      <c r="EV59" s="164"/>
      <c r="EW59" s="164"/>
      <c r="EX59" s="164"/>
      <c r="EY59" s="164"/>
      <c r="EZ59" s="204"/>
      <c r="FA59" s="205"/>
      <c r="FB59" s="163"/>
      <c r="FC59" s="164"/>
      <c r="FD59" s="164"/>
      <c r="FE59" s="164"/>
      <c r="FF59" s="164"/>
      <c r="FG59" s="164"/>
      <c r="FH59" s="164"/>
      <c r="FI59" s="164"/>
      <c r="FJ59" s="164"/>
      <c r="FK59" s="164"/>
      <c r="FL59" s="164"/>
      <c r="FM59" s="164"/>
      <c r="FN59" s="204"/>
      <c r="FO59" s="205"/>
      <c r="FP59" s="163"/>
      <c r="FQ59" s="164"/>
      <c r="FR59" s="164"/>
      <c r="FS59" s="164"/>
      <c r="FT59" s="164"/>
      <c r="FU59" s="164"/>
      <c r="FV59" s="164"/>
      <c r="FW59" s="164"/>
      <c r="FX59" s="164"/>
      <c r="FY59" s="164"/>
      <c r="FZ59" s="164"/>
      <c r="GA59" s="164"/>
      <c r="GB59" s="204"/>
      <c r="GC59" s="205"/>
      <c r="GD59" s="163"/>
      <c r="GE59" s="164"/>
      <c r="GF59" s="164"/>
      <c r="GG59" s="164"/>
      <c r="GH59" s="164"/>
      <c r="GI59" s="164"/>
      <c r="GJ59" s="164"/>
      <c r="GK59" s="164"/>
      <c r="GL59" s="164"/>
      <c r="GM59" s="164"/>
      <c r="GN59" s="164"/>
      <c r="GO59" s="164"/>
      <c r="GP59" s="204"/>
      <c r="GQ59" s="205"/>
      <c r="GR59" s="163"/>
      <c r="GS59" s="164"/>
      <c r="GT59" s="164"/>
      <c r="GU59" s="164"/>
      <c r="GV59" s="164"/>
      <c r="GW59" s="164"/>
      <c r="GX59" s="164"/>
      <c r="GY59" s="164"/>
      <c r="GZ59" s="164"/>
      <c r="HA59" s="164"/>
      <c r="HB59" s="164"/>
      <c r="HC59" s="164"/>
      <c r="HD59" s="204"/>
      <c r="HE59" s="205"/>
      <c r="HF59" s="163"/>
      <c r="HG59" s="164"/>
      <c r="HH59" s="164"/>
      <c r="HI59" s="164"/>
      <c r="HJ59" s="164"/>
      <c r="HK59" s="164"/>
      <c r="HL59" s="164"/>
      <c r="HM59" s="164"/>
      <c r="HN59" s="164"/>
      <c r="HO59" s="164"/>
      <c r="HP59" s="164"/>
      <c r="HQ59" s="164"/>
      <c r="HR59" s="204"/>
      <c r="HS59" s="205"/>
      <c r="HT59" s="163"/>
      <c r="HU59" s="164"/>
      <c r="HV59" s="164"/>
      <c r="HW59" s="164"/>
      <c r="HX59" s="164"/>
      <c r="HY59" s="164"/>
      <c r="HZ59" s="164"/>
      <c r="IA59" s="164"/>
      <c r="IB59" s="164"/>
      <c r="IC59" s="164"/>
      <c r="ID59" s="164"/>
      <c r="IE59" s="164"/>
      <c r="IF59" s="204"/>
      <c r="IG59" s="205"/>
      <c r="IH59" s="163"/>
      <c r="II59" s="164"/>
      <c r="IJ59" s="164"/>
      <c r="IK59" s="164"/>
      <c r="IL59" s="164"/>
      <c r="IM59" s="164"/>
      <c r="IN59" s="164"/>
      <c r="IO59" s="164"/>
      <c r="IP59" s="164"/>
      <c r="IQ59" s="164"/>
      <c r="IR59" s="164"/>
      <c r="IS59" s="164"/>
      <c r="IT59" s="204"/>
      <c r="IU59" s="205"/>
      <c r="IV59" s="163"/>
      <c r="IW59" s="164"/>
      <c r="IX59" s="164"/>
      <c r="IY59" s="164"/>
      <c r="IZ59" s="164"/>
      <c r="JA59" s="164"/>
      <c r="JB59" s="164"/>
      <c r="JC59" s="164"/>
      <c r="JD59" s="164"/>
      <c r="JE59" s="164"/>
      <c r="JF59" s="164"/>
      <c r="JG59" s="164"/>
      <c r="JH59" s="204"/>
      <c r="JI59" s="205"/>
      <c r="JJ59" s="163"/>
      <c r="JK59" s="164"/>
      <c r="JL59" s="164"/>
      <c r="JM59" s="164"/>
      <c r="JN59" s="164"/>
      <c r="JO59" s="164"/>
      <c r="JP59" s="164"/>
      <c r="JQ59" s="164"/>
      <c r="JR59" s="164"/>
      <c r="JS59" s="164"/>
      <c r="JT59" s="164"/>
      <c r="JU59" s="164"/>
      <c r="JV59" s="204"/>
      <c r="JW59" s="205"/>
      <c r="JX59" s="163"/>
      <c r="JY59" s="164"/>
      <c r="JZ59" s="164"/>
      <c r="KA59" s="164"/>
      <c r="KB59" s="164"/>
      <c r="KC59" s="164"/>
      <c r="KD59" s="164"/>
      <c r="KE59" s="164"/>
      <c r="KF59" s="164"/>
      <c r="KG59" s="164"/>
      <c r="KH59" s="164"/>
      <c r="KI59" s="164"/>
      <c r="KJ59" s="204"/>
      <c r="KK59" s="205"/>
      <c r="KL59" s="163"/>
      <c r="KM59" s="164"/>
      <c r="KN59" s="164"/>
      <c r="KO59" s="164"/>
      <c r="KP59" s="164"/>
      <c r="KQ59" s="164"/>
      <c r="KR59" s="164"/>
      <c r="KS59" s="164"/>
      <c r="KT59" s="164"/>
      <c r="KU59" s="164"/>
      <c r="KV59" s="164"/>
      <c r="KW59" s="164"/>
      <c r="KX59" s="204"/>
      <c r="KY59" s="205"/>
      <c r="KZ59" s="163"/>
      <c r="LA59" s="164"/>
      <c r="LB59" s="164"/>
      <c r="LC59" s="164"/>
      <c r="LD59" s="164"/>
      <c r="LE59" s="164"/>
      <c r="LF59" s="164"/>
      <c r="LG59" s="164"/>
      <c r="LH59" s="164"/>
      <c r="LI59" s="164"/>
      <c r="LJ59" s="164"/>
      <c r="LK59" s="164"/>
      <c r="LL59" s="204"/>
      <c r="LM59" s="205"/>
      <c r="LN59" s="163"/>
      <c r="LO59" s="164"/>
      <c r="LP59" s="164"/>
      <c r="LQ59" s="164"/>
      <c r="LR59" s="164"/>
      <c r="LS59" s="164"/>
      <c r="LT59" s="164"/>
      <c r="LU59" s="164"/>
      <c r="LV59" s="164"/>
      <c r="LW59" s="164"/>
      <c r="LX59" s="164"/>
      <c r="LY59" s="164"/>
      <c r="LZ59" s="204"/>
      <c r="MA59" s="205"/>
      <c r="MB59" s="204"/>
      <c r="MC59" s="204"/>
      <c r="MD59" s="204"/>
      <c r="ME59" s="204"/>
      <c r="MF59" s="204"/>
      <c r="MG59" s="204"/>
      <c r="MH59" s="204"/>
      <c r="MI59" s="204"/>
      <c r="MJ59" s="204"/>
      <c r="MK59" s="204"/>
      <c r="ML59" s="204"/>
      <c r="MM59" s="204"/>
      <c r="MN59" s="204"/>
    </row>
    <row r="60" spans="1:352" s="180" customFormat="1" x14ac:dyDescent="0.25">
      <c r="A60" s="98"/>
      <c r="B60" s="64" t="s">
        <v>75</v>
      </c>
      <c r="C60" s="98"/>
      <c r="D60" s="163">
        <v>0</v>
      </c>
      <c r="E60" s="164">
        <v>0</v>
      </c>
      <c r="F60" s="164">
        <v>0</v>
      </c>
      <c r="G60" s="164">
        <v>0</v>
      </c>
      <c r="H60" s="164">
        <v>0</v>
      </c>
      <c r="I60" s="164">
        <v>0</v>
      </c>
      <c r="J60" s="164">
        <v>0</v>
      </c>
      <c r="K60" s="164">
        <v>0</v>
      </c>
      <c r="L60" s="164">
        <v>0</v>
      </c>
      <c r="M60" s="164">
        <v>0</v>
      </c>
      <c r="N60" s="164">
        <v>0</v>
      </c>
      <c r="O60" s="164">
        <v>0</v>
      </c>
      <c r="P60" s="157">
        <f t="shared" ref="P60:P80" si="213">+SUBTOTAL(9,D60:O60)</f>
        <v>0</v>
      </c>
      <c r="Q60" s="161"/>
      <c r="R60" s="163">
        <v>0</v>
      </c>
      <c r="S60" s="164">
        <v>0</v>
      </c>
      <c r="T60" s="164">
        <v>0</v>
      </c>
      <c r="U60" s="164">
        <v>0</v>
      </c>
      <c r="V60" s="164">
        <v>0</v>
      </c>
      <c r="W60" s="164">
        <v>0</v>
      </c>
      <c r="X60" s="164">
        <v>0</v>
      </c>
      <c r="Y60" s="164">
        <v>0</v>
      </c>
      <c r="Z60" s="164">
        <v>0</v>
      </c>
      <c r="AA60" s="164">
        <v>0</v>
      </c>
      <c r="AB60" s="164">
        <v>0</v>
      </c>
      <c r="AC60" s="164">
        <v>0</v>
      </c>
      <c r="AD60" s="157">
        <f t="shared" ref="AD60:AD80" si="214">+SUBTOTAL(9,R60:AC60)</f>
        <v>0</v>
      </c>
      <c r="AE60" s="161"/>
      <c r="AF60" s="163">
        <v>0</v>
      </c>
      <c r="AG60" s="164">
        <v>0</v>
      </c>
      <c r="AH60" s="164">
        <v>0</v>
      </c>
      <c r="AI60" s="164">
        <v>0</v>
      </c>
      <c r="AJ60" s="164">
        <v>0</v>
      </c>
      <c r="AK60" s="164">
        <v>0</v>
      </c>
      <c r="AL60" s="164">
        <v>0</v>
      </c>
      <c r="AM60" s="164">
        <v>0</v>
      </c>
      <c r="AN60" s="164">
        <v>0</v>
      </c>
      <c r="AO60" s="164">
        <v>0</v>
      </c>
      <c r="AP60" s="164">
        <v>0</v>
      </c>
      <c r="AQ60" s="164">
        <v>0</v>
      </c>
      <c r="AR60" s="157">
        <f t="shared" ref="AR60:AR80" si="215">+SUBTOTAL(9,AF60:AQ60)</f>
        <v>0</v>
      </c>
      <c r="AS60" s="161"/>
      <c r="AT60" s="163">
        <v>0</v>
      </c>
      <c r="AU60" s="164">
        <v>0</v>
      </c>
      <c r="AV60" s="164">
        <v>0</v>
      </c>
      <c r="AW60" s="164">
        <v>0</v>
      </c>
      <c r="AX60" s="164">
        <v>0</v>
      </c>
      <c r="AY60" s="164">
        <v>0</v>
      </c>
      <c r="AZ60" s="164">
        <v>0</v>
      </c>
      <c r="BA60" s="164">
        <v>0</v>
      </c>
      <c r="BB60" s="154">
        <v>0</v>
      </c>
      <c r="BC60" s="154">
        <v>0</v>
      </c>
      <c r="BD60" s="154">
        <v>0</v>
      </c>
      <c r="BE60" s="154">
        <v>0</v>
      </c>
      <c r="BF60" s="157">
        <f t="shared" ref="BF60:BF80" si="216">+SUBTOTAL(9,AT60:BE60)</f>
        <v>0</v>
      </c>
      <c r="BG60" s="176"/>
      <c r="BH60" s="163">
        <v>0</v>
      </c>
      <c r="BI60" s="164">
        <v>0</v>
      </c>
      <c r="BJ60" s="154">
        <v>0</v>
      </c>
      <c r="BK60" s="154">
        <v>0</v>
      </c>
      <c r="BL60" s="154">
        <v>0</v>
      </c>
      <c r="BM60" s="154">
        <v>0</v>
      </c>
      <c r="BN60" s="154">
        <v>0</v>
      </c>
      <c r="BO60" s="154">
        <v>0</v>
      </c>
      <c r="BP60" s="154">
        <v>0</v>
      </c>
      <c r="BQ60" s="154">
        <v>0</v>
      </c>
      <c r="BR60" s="154">
        <v>0</v>
      </c>
      <c r="BS60" s="154">
        <v>0</v>
      </c>
      <c r="BT60" s="157">
        <f t="shared" ref="BT60:BT80" si="217">+SUBTOTAL(9,BH60:BS60)</f>
        <v>0</v>
      </c>
      <c r="BU60" s="161"/>
      <c r="BV60" s="163">
        <v>0</v>
      </c>
      <c r="BW60" s="164">
        <v>0</v>
      </c>
      <c r="BX60" s="154">
        <v>0</v>
      </c>
      <c r="BY60" s="154">
        <v>0</v>
      </c>
      <c r="BZ60" s="154">
        <v>0</v>
      </c>
      <c r="CA60" s="154">
        <v>0</v>
      </c>
      <c r="CB60" s="154">
        <v>0</v>
      </c>
      <c r="CC60" s="154">
        <v>0</v>
      </c>
      <c r="CD60" s="154">
        <v>0</v>
      </c>
      <c r="CE60" s="154">
        <v>0</v>
      </c>
      <c r="CF60" s="154">
        <v>0</v>
      </c>
      <c r="CG60" s="154">
        <v>0</v>
      </c>
      <c r="CH60" s="157">
        <f t="shared" ref="CH60:CH80" si="218">+SUBTOTAL(9,BV60:CG60)</f>
        <v>0</v>
      </c>
      <c r="CI60" s="161"/>
      <c r="CJ60" s="163">
        <v>0</v>
      </c>
      <c r="CK60" s="164">
        <v>0</v>
      </c>
      <c r="CL60" s="154">
        <v>0</v>
      </c>
      <c r="CM60" s="154">
        <v>0</v>
      </c>
      <c r="CN60" s="154">
        <v>0</v>
      </c>
      <c r="CO60" s="154">
        <v>0</v>
      </c>
      <c r="CP60" s="154">
        <v>0</v>
      </c>
      <c r="CQ60" s="154">
        <v>0</v>
      </c>
      <c r="CR60" s="154">
        <v>0</v>
      </c>
      <c r="CS60" s="154">
        <v>0</v>
      </c>
      <c r="CT60" s="154">
        <v>0</v>
      </c>
      <c r="CU60" s="154">
        <v>0</v>
      </c>
      <c r="CV60" s="157">
        <f t="shared" ref="CV60:CV80" si="219">+SUBTOTAL(9,CJ60:CU60)</f>
        <v>0</v>
      </c>
      <c r="CW60" s="161"/>
      <c r="CX60" s="163">
        <v>0</v>
      </c>
      <c r="CY60" s="164">
        <v>0</v>
      </c>
      <c r="CZ60" s="154">
        <v>0</v>
      </c>
      <c r="DA60" s="154">
        <v>0</v>
      </c>
      <c r="DB60" s="154">
        <v>0</v>
      </c>
      <c r="DC60" s="154">
        <v>0</v>
      </c>
      <c r="DD60" s="154">
        <v>0</v>
      </c>
      <c r="DE60" s="154">
        <v>0</v>
      </c>
      <c r="DF60" s="154">
        <v>0</v>
      </c>
      <c r="DG60" s="154">
        <v>0</v>
      </c>
      <c r="DH60" s="154">
        <v>0</v>
      </c>
      <c r="DI60" s="154">
        <v>0</v>
      </c>
      <c r="DJ60" s="157">
        <f t="shared" ref="DJ60:DJ80" si="220">+SUBTOTAL(9,CX60:DI60)</f>
        <v>0</v>
      </c>
      <c r="DK60" s="161"/>
      <c r="DL60" s="163">
        <v>0</v>
      </c>
      <c r="DM60" s="164">
        <v>0</v>
      </c>
      <c r="DN60" s="154">
        <v>0</v>
      </c>
      <c r="DO60" s="154">
        <v>0</v>
      </c>
      <c r="DP60" s="154">
        <v>0</v>
      </c>
      <c r="DQ60" s="154">
        <v>0</v>
      </c>
      <c r="DR60" s="154">
        <v>0</v>
      </c>
      <c r="DS60" s="154">
        <v>0</v>
      </c>
      <c r="DT60" s="154">
        <v>0</v>
      </c>
      <c r="DU60" s="154">
        <v>0</v>
      </c>
      <c r="DV60" s="154">
        <v>0</v>
      </c>
      <c r="DW60" s="154">
        <v>0</v>
      </c>
      <c r="DX60" s="157">
        <f t="shared" ref="DX60:DX80" si="221">+SUBTOTAL(9,DL60:DW60)</f>
        <v>0</v>
      </c>
      <c r="DY60" s="161"/>
      <c r="DZ60" s="163">
        <v>0</v>
      </c>
      <c r="EA60" s="164">
        <v>0</v>
      </c>
      <c r="EB60" s="154">
        <v>0</v>
      </c>
      <c r="EC60" s="154">
        <v>0</v>
      </c>
      <c r="ED60" s="154">
        <v>0</v>
      </c>
      <c r="EE60" s="154">
        <v>0</v>
      </c>
      <c r="EF60" s="154">
        <v>0</v>
      </c>
      <c r="EG60" s="154">
        <v>0</v>
      </c>
      <c r="EH60" s="154">
        <v>0</v>
      </c>
      <c r="EI60" s="154">
        <v>0</v>
      </c>
      <c r="EJ60" s="154">
        <v>0</v>
      </c>
      <c r="EK60" s="154">
        <v>0</v>
      </c>
      <c r="EL60" s="157">
        <f t="shared" ref="EL60:EL80" si="222">+SUBTOTAL(9,DZ60:EK60)</f>
        <v>0</v>
      </c>
      <c r="EM60" s="161"/>
      <c r="EN60" s="163">
        <v>0</v>
      </c>
      <c r="EO60" s="164">
        <v>0</v>
      </c>
      <c r="EP60" s="154">
        <v>0</v>
      </c>
      <c r="EQ60" s="154">
        <v>0</v>
      </c>
      <c r="ER60" s="154">
        <v>0</v>
      </c>
      <c r="ES60" s="154">
        <v>0</v>
      </c>
      <c r="ET60" s="154">
        <v>0</v>
      </c>
      <c r="EU60" s="154">
        <v>0</v>
      </c>
      <c r="EV60" s="154">
        <v>0</v>
      </c>
      <c r="EW60" s="154">
        <v>0</v>
      </c>
      <c r="EX60" s="154">
        <v>0</v>
      </c>
      <c r="EY60" s="154">
        <v>0</v>
      </c>
      <c r="EZ60" s="157">
        <f t="shared" ref="EZ60:EZ80" si="223">+SUBTOTAL(9,EN60:EY60)</f>
        <v>0</v>
      </c>
      <c r="FA60" s="161"/>
      <c r="FB60" s="163">
        <v>0</v>
      </c>
      <c r="FC60" s="164">
        <v>0</v>
      </c>
      <c r="FD60" s="154">
        <v>0</v>
      </c>
      <c r="FE60" s="154">
        <v>0</v>
      </c>
      <c r="FF60" s="154">
        <v>0</v>
      </c>
      <c r="FG60" s="154">
        <v>0</v>
      </c>
      <c r="FH60" s="154">
        <v>0</v>
      </c>
      <c r="FI60" s="154">
        <v>0</v>
      </c>
      <c r="FJ60" s="154">
        <v>0</v>
      </c>
      <c r="FK60" s="154">
        <v>0</v>
      </c>
      <c r="FL60" s="154">
        <v>0</v>
      </c>
      <c r="FM60" s="154">
        <v>0</v>
      </c>
      <c r="FN60" s="157">
        <f t="shared" ref="FN60:FN80" si="224">+SUBTOTAL(9,FB60:FM60)</f>
        <v>0</v>
      </c>
      <c r="FO60" s="161"/>
      <c r="FP60" s="163">
        <v>0</v>
      </c>
      <c r="FQ60" s="164">
        <v>0</v>
      </c>
      <c r="FR60" s="154">
        <v>0</v>
      </c>
      <c r="FS60" s="154">
        <v>0</v>
      </c>
      <c r="FT60" s="154">
        <v>0</v>
      </c>
      <c r="FU60" s="154">
        <v>0</v>
      </c>
      <c r="FV60" s="154">
        <v>0</v>
      </c>
      <c r="FW60" s="154">
        <v>0</v>
      </c>
      <c r="FX60" s="154">
        <v>0</v>
      </c>
      <c r="FY60" s="154">
        <v>0</v>
      </c>
      <c r="FZ60" s="154">
        <v>0</v>
      </c>
      <c r="GA60" s="154">
        <v>0</v>
      </c>
      <c r="GB60" s="157">
        <f t="shared" ref="GB60:GB80" si="225">+SUBTOTAL(9,FP60:GA60)</f>
        <v>0</v>
      </c>
      <c r="GC60" s="161"/>
      <c r="GD60" s="163">
        <v>0</v>
      </c>
      <c r="GE60" s="164">
        <v>0</v>
      </c>
      <c r="GF60" s="154">
        <v>0</v>
      </c>
      <c r="GG60" s="154">
        <v>0</v>
      </c>
      <c r="GH60" s="154">
        <v>0</v>
      </c>
      <c r="GI60" s="154">
        <v>0</v>
      </c>
      <c r="GJ60" s="154">
        <v>0</v>
      </c>
      <c r="GK60" s="154">
        <v>0</v>
      </c>
      <c r="GL60" s="154">
        <v>0</v>
      </c>
      <c r="GM60" s="154">
        <v>0</v>
      </c>
      <c r="GN60" s="154">
        <v>0</v>
      </c>
      <c r="GO60" s="154">
        <v>0</v>
      </c>
      <c r="GP60" s="157">
        <f t="shared" ref="GP60:GP80" si="226">+SUBTOTAL(9,GD60:GO60)</f>
        <v>0</v>
      </c>
      <c r="GQ60" s="161"/>
      <c r="GR60" s="163">
        <v>0</v>
      </c>
      <c r="GS60" s="164">
        <v>0</v>
      </c>
      <c r="GT60" s="154">
        <v>0</v>
      </c>
      <c r="GU60" s="154">
        <v>0</v>
      </c>
      <c r="GV60" s="154">
        <v>0</v>
      </c>
      <c r="GW60" s="154">
        <v>0</v>
      </c>
      <c r="GX60" s="154">
        <v>0</v>
      </c>
      <c r="GY60" s="154">
        <v>0</v>
      </c>
      <c r="GZ60" s="154">
        <v>0</v>
      </c>
      <c r="HA60" s="154">
        <v>0</v>
      </c>
      <c r="HB60" s="154">
        <v>0</v>
      </c>
      <c r="HC60" s="154">
        <v>0</v>
      </c>
      <c r="HD60" s="157">
        <f>+SUBTOTAL(9,GR60:HC60)*0</f>
        <v>0</v>
      </c>
      <c r="HE60" s="161"/>
      <c r="HF60" s="163">
        <v>0</v>
      </c>
      <c r="HG60" s="164">
        <v>0</v>
      </c>
      <c r="HH60" s="154">
        <v>0</v>
      </c>
      <c r="HI60" s="154">
        <v>0</v>
      </c>
      <c r="HJ60" s="154">
        <v>0</v>
      </c>
      <c r="HK60" s="154">
        <v>0</v>
      </c>
      <c r="HL60" s="154">
        <v>0</v>
      </c>
      <c r="HM60" s="154">
        <v>0</v>
      </c>
      <c r="HN60" s="154">
        <v>0</v>
      </c>
      <c r="HO60" s="154">
        <v>0</v>
      </c>
      <c r="HP60" s="154">
        <v>0</v>
      </c>
      <c r="HQ60" s="154">
        <v>0</v>
      </c>
      <c r="HR60" s="157">
        <f t="shared" ref="HR60:HR80" si="227">+SUBTOTAL(9,HF60:HQ60)</f>
        <v>0</v>
      </c>
      <c r="HS60" s="161"/>
      <c r="HT60" s="163">
        <v>0</v>
      </c>
      <c r="HU60" s="164">
        <v>0</v>
      </c>
      <c r="HV60" s="154">
        <v>0</v>
      </c>
      <c r="HW60" s="154">
        <v>0</v>
      </c>
      <c r="HX60" s="154">
        <v>0</v>
      </c>
      <c r="HY60" s="154">
        <v>0</v>
      </c>
      <c r="HZ60" s="154">
        <v>0</v>
      </c>
      <c r="IA60" s="154">
        <v>0</v>
      </c>
      <c r="IB60" s="154">
        <v>0</v>
      </c>
      <c r="IC60" s="154">
        <v>0</v>
      </c>
      <c r="ID60" s="154">
        <v>0</v>
      </c>
      <c r="IE60" s="154">
        <v>0</v>
      </c>
      <c r="IF60" s="157">
        <f t="shared" ref="IF60:IF80" si="228">+SUBTOTAL(9,HT60:IE60)</f>
        <v>0</v>
      </c>
      <c r="IG60" s="161"/>
      <c r="IH60" s="163">
        <v>0</v>
      </c>
      <c r="II60" s="164">
        <v>0</v>
      </c>
      <c r="IJ60" s="154">
        <v>0</v>
      </c>
      <c r="IK60" s="154">
        <v>0</v>
      </c>
      <c r="IL60" s="154">
        <v>0</v>
      </c>
      <c r="IM60" s="154">
        <v>0</v>
      </c>
      <c r="IN60" s="154">
        <v>0</v>
      </c>
      <c r="IO60" s="154">
        <v>0</v>
      </c>
      <c r="IP60" s="154">
        <v>0</v>
      </c>
      <c r="IQ60" s="154">
        <v>0</v>
      </c>
      <c r="IR60" s="154">
        <v>0</v>
      </c>
      <c r="IS60" s="154">
        <v>0</v>
      </c>
      <c r="IT60" s="157">
        <f t="shared" ref="IT60:IT80" si="229">+SUBTOTAL(9,IH60:IS60)</f>
        <v>0</v>
      </c>
      <c r="IU60" s="161"/>
      <c r="IV60" s="163">
        <v>0</v>
      </c>
      <c r="IW60" s="164">
        <v>0</v>
      </c>
      <c r="IX60" s="154">
        <v>0</v>
      </c>
      <c r="IY60" s="154">
        <v>0</v>
      </c>
      <c r="IZ60" s="154">
        <v>0</v>
      </c>
      <c r="JA60" s="154">
        <v>0</v>
      </c>
      <c r="JB60" s="154">
        <v>0</v>
      </c>
      <c r="JC60" s="154">
        <v>0</v>
      </c>
      <c r="JD60" s="154">
        <v>0</v>
      </c>
      <c r="JE60" s="154">
        <v>0</v>
      </c>
      <c r="JF60" s="154">
        <v>0</v>
      </c>
      <c r="JG60" s="154">
        <v>0</v>
      </c>
      <c r="JH60" s="157">
        <f t="shared" ref="JH60:JH80" si="230">+SUBTOTAL(9,IV60:JG60)</f>
        <v>0</v>
      </c>
      <c r="JI60" s="161"/>
      <c r="JJ60" s="163">
        <v>0</v>
      </c>
      <c r="JK60" s="164">
        <v>0</v>
      </c>
      <c r="JL60" s="154">
        <v>0</v>
      </c>
      <c r="JM60" s="154">
        <v>0</v>
      </c>
      <c r="JN60" s="154">
        <v>0</v>
      </c>
      <c r="JO60" s="154">
        <v>0</v>
      </c>
      <c r="JP60" s="154">
        <v>0</v>
      </c>
      <c r="JQ60" s="154">
        <v>0</v>
      </c>
      <c r="JR60" s="154">
        <v>0</v>
      </c>
      <c r="JS60" s="154">
        <v>0</v>
      </c>
      <c r="JT60" s="154">
        <v>0</v>
      </c>
      <c r="JU60" s="154">
        <v>0</v>
      </c>
      <c r="JV60" s="157">
        <f t="shared" ref="JV60:JV80" si="231">+SUBTOTAL(9,JJ60:JU60)</f>
        <v>0</v>
      </c>
      <c r="JW60" s="161"/>
      <c r="JX60" s="163">
        <v>0</v>
      </c>
      <c r="JY60" s="164">
        <v>0</v>
      </c>
      <c r="JZ60" s="154">
        <v>0</v>
      </c>
      <c r="KA60" s="154">
        <v>0</v>
      </c>
      <c r="KB60" s="154">
        <v>0</v>
      </c>
      <c r="KC60" s="154">
        <v>0</v>
      </c>
      <c r="KD60" s="154">
        <v>0</v>
      </c>
      <c r="KE60" s="154">
        <v>0</v>
      </c>
      <c r="KF60" s="154">
        <v>0</v>
      </c>
      <c r="KG60" s="154">
        <v>0</v>
      </c>
      <c r="KH60" s="154">
        <v>0</v>
      </c>
      <c r="KI60" s="154">
        <v>0</v>
      </c>
      <c r="KJ60" s="157">
        <f t="shared" ref="KJ60:KJ80" si="232">+SUBTOTAL(9,JX60:KI60)</f>
        <v>0</v>
      </c>
      <c r="KK60" s="161"/>
      <c r="KL60" s="163">
        <v>0</v>
      </c>
      <c r="KM60" s="164">
        <v>0</v>
      </c>
      <c r="KN60" s="154">
        <v>0</v>
      </c>
      <c r="KO60" s="154">
        <v>0</v>
      </c>
      <c r="KP60" s="154">
        <v>0</v>
      </c>
      <c r="KQ60" s="154">
        <v>0</v>
      </c>
      <c r="KR60" s="154">
        <v>0</v>
      </c>
      <c r="KS60" s="154">
        <v>0</v>
      </c>
      <c r="KT60" s="154">
        <v>0</v>
      </c>
      <c r="KU60" s="154">
        <v>0</v>
      </c>
      <c r="KV60" s="154">
        <v>0</v>
      </c>
      <c r="KW60" s="154">
        <v>0</v>
      </c>
      <c r="KX60" s="157">
        <f t="shared" ref="KX60:KX80" si="233">+SUBTOTAL(9,KL60:KW60)</f>
        <v>0</v>
      </c>
      <c r="KY60" s="161"/>
      <c r="KZ60" s="163">
        <v>0</v>
      </c>
      <c r="LA60" s="164">
        <v>0</v>
      </c>
      <c r="LB60" s="154">
        <v>0</v>
      </c>
      <c r="LC60" s="154">
        <v>0</v>
      </c>
      <c r="LD60" s="154">
        <v>0</v>
      </c>
      <c r="LE60" s="154">
        <v>0</v>
      </c>
      <c r="LF60" s="154">
        <v>0</v>
      </c>
      <c r="LG60" s="154">
        <v>0</v>
      </c>
      <c r="LH60" s="154">
        <v>0</v>
      </c>
      <c r="LI60" s="154">
        <v>0</v>
      </c>
      <c r="LJ60" s="154">
        <v>0</v>
      </c>
      <c r="LK60" s="154">
        <v>0</v>
      </c>
      <c r="LL60" s="157">
        <f t="shared" ref="LL60:LL80" si="234">+SUBTOTAL(9,KZ60:LK60)</f>
        <v>0</v>
      </c>
      <c r="LM60" s="161"/>
      <c r="LN60" s="163">
        <v>0</v>
      </c>
      <c r="LO60" s="164">
        <v>0</v>
      </c>
      <c r="LP60" s="154">
        <v>0</v>
      </c>
      <c r="LQ60" s="154">
        <v>0</v>
      </c>
      <c r="LR60" s="154">
        <v>0</v>
      </c>
      <c r="LS60" s="154">
        <v>0</v>
      </c>
      <c r="LT60" s="154">
        <v>0</v>
      </c>
      <c r="LU60" s="154">
        <v>0</v>
      </c>
      <c r="LV60" s="154">
        <v>0</v>
      </c>
      <c r="LW60" s="154">
        <v>0</v>
      </c>
      <c r="LX60" s="154">
        <v>0</v>
      </c>
      <c r="LY60" s="154">
        <v>0</v>
      </c>
      <c r="LZ60" s="157">
        <f t="shared" ref="LZ60:LZ80" si="235">+SUBTOTAL(9,LN60:LY60)</f>
        <v>0</v>
      </c>
      <c r="MA60" s="161"/>
      <c r="MB60" s="157">
        <f t="shared" ref="MB60:MM75" si="236">SUMIF($D$6:$LY$6,MB$3,$D60:$LY60)</f>
        <v>0</v>
      </c>
      <c r="MC60" s="157">
        <f t="shared" si="236"/>
        <v>0</v>
      </c>
      <c r="MD60" s="157">
        <f t="shared" si="236"/>
        <v>0</v>
      </c>
      <c r="ME60" s="157">
        <f t="shared" si="236"/>
        <v>0</v>
      </c>
      <c r="MF60" s="157">
        <f t="shared" si="236"/>
        <v>0</v>
      </c>
      <c r="MG60" s="157">
        <f t="shared" si="236"/>
        <v>0</v>
      </c>
      <c r="MH60" s="157">
        <f t="shared" si="236"/>
        <v>0</v>
      </c>
      <c r="MI60" s="157">
        <f t="shared" si="236"/>
        <v>0</v>
      </c>
      <c r="MJ60" s="157">
        <f t="shared" si="236"/>
        <v>0</v>
      </c>
      <c r="MK60" s="157">
        <f t="shared" si="236"/>
        <v>0</v>
      </c>
      <c r="ML60" s="157">
        <f t="shared" si="236"/>
        <v>0</v>
      </c>
      <c r="MM60" s="157">
        <f t="shared" si="236"/>
        <v>0</v>
      </c>
      <c r="MN60" s="157">
        <f t="shared" ref="MN60" si="237">SUM(MB60:MM60)</f>
        <v>0</v>
      </c>
    </row>
    <row r="61" spans="1:352" s="180" customFormat="1" x14ac:dyDescent="0.25">
      <c r="A61" s="98"/>
      <c r="B61" s="64" t="s">
        <v>76</v>
      </c>
      <c r="C61" s="98"/>
      <c r="D61" s="163">
        <v>54327.817460317463</v>
      </c>
      <c r="E61" s="179">
        <v>54327.817460317463</v>
      </c>
      <c r="F61" s="179">
        <v>54327.817460317463</v>
      </c>
      <c r="G61" s="179">
        <v>54327.817460317463</v>
      </c>
      <c r="H61" s="179">
        <v>54327.817460317463</v>
      </c>
      <c r="I61" s="179">
        <v>54327.817460317463</v>
      </c>
      <c r="J61" s="179">
        <v>54327.817460317463</v>
      </c>
      <c r="K61" s="179">
        <v>54327.817460317463</v>
      </c>
      <c r="L61" s="179">
        <v>54327.817460317463</v>
      </c>
      <c r="M61" s="179">
        <v>54327.817460317463</v>
      </c>
      <c r="N61" s="179">
        <v>54327.817460317463</v>
      </c>
      <c r="O61" s="179">
        <v>50875.436507936509</v>
      </c>
      <c r="P61" s="157">
        <f t="shared" si="213"/>
        <v>648481.42857142864</v>
      </c>
      <c r="Q61" s="161"/>
      <c r="R61" s="163">
        <v>5620.1190476190477</v>
      </c>
      <c r="S61" s="179">
        <v>5620.1190476190477</v>
      </c>
      <c r="T61" s="179">
        <v>5620.1190476190477</v>
      </c>
      <c r="U61" s="179">
        <v>5620.1190476190477</v>
      </c>
      <c r="V61" s="179">
        <v>5620.1190476190477</v>
      </c>
      <c r="W61" s="179">
        <v>5620.1190476190477</v>
      </c>
      <c r="X61" s="179">
        <v>5620.1190476190477</v>
      </c>
      <c r="Y61" s="179">
        <v>5620.1190476190477</v>
      </c>
      <c r="Z61" s="179">
        <v>5620.1190476190477</v>
      </c>
      <c r="AA61" s="179">
        <v>5620.1190476190477</v>
      </c>
      <c r="AB61" s="179">
        <v>5620.1190476190477</v>
      </c>
      <c r="AC61" s="179">
        <v>5262.9761904761908</v>
      </c>
      <c r="AD61" s="157">
        <f t="shared" si="214"/>
        <v>67084.28571428571</v>
      </c>
      <c r="AE61" s="161"/>
      <c r="AF61" s="163">
        <v>5620.1190476190477</v>
      </c>
      <c r="AG61" s="179">
        <v>5620.1190476190477</v>
      </c>
      <c r="AH61" s="179">
        <v>5620.1190476190477</v>
      </c>
      <c r="AI61" s="179">
        <v>5620.1190476190477</v>
      </c>
      <c r="AJ61" s="179">
        <v>5620.1190476190477</v>
      </c>
      <c r="AK61" s="179">
        <v>5620.1190476190477</v>
      </c>
      <c r="AL61" s="179">
        <v>5620.1190476190477</v>
      </c>
      <c r="AM61" s="179">
        <v>5620.1190476190477</v>
      </c>
      <c r="AN61" s="179">
        <v>5620.1190476190477</v>
      </c>
      <c r="AO61" s="179">
        <v>5620.1190476190477</v>
      </c>
      <c r="AP61" s="179">
        <v>5620.1190476190477</v>
      </c>
      <c r="AQ61" s="179">
        <v>5262.9761904761908</v>
      </c>
      <c r="AR61" s="157">
        <f t="shared" si="215"/>
        <v>67084.28571428571</v>
      </c>
      <c r="AS61" s="161"/>
      <c r="AT61" s="163">
        <v>3746.7460317460318</v>
      </c>
      <c r="AU61" s="179">
        <v>3746.7460317460318</v>
      </c>
      <c r="AV61" s="179">
        <v>3746.7460317460318</v>
      </c>
      <c r="AW61" s="179">
        <v>3746.7460317460318</v>
      </c>
      <c r="AX61" s="179">
        <v>3746.7460317460318</v>
      </c>
      <c r="AY61" s="179">
        <v>3746.7460317460318</v>
      </c>
      <c r="AZ61" s="179">
        <v>3746.7460317460318</v>
      </c>
      <c r="BA61" s="179">
        <v>3746.7460317460318</v>
      </c>
      <c r="BB61" s="179">
        <v>3746.7460317460318</v>
      </c>
      <c r="BC61" s="179">
        <v>3746.7460317460318</v>
      </c>
      <c r="BD61" s="179">
        <v>3746.7460317460318</v>
      </c>
      <c r="BE61" s="179">
        <v>3508.6507936507937</v>
      </c>
      <c r="BF61" s="157">
        <f t="shared" si="216"/>
        <v>44722.857142857152</v>
      </c>
      <c r="BG61" s="176"/>
      <c r="BH61" s="163">
        <v>28100.595238095237</v>
      </c>
      <c r="BI61" s="164">
        <v>28100.595238095237</v>
      </c>
      <c r="BJ61" s="154">
        <v>28100.595238095237</v>
      </c>
      <c r="BK61" s="154">
        <v>28100.595238095237</v>
      </c>
      <c r="BL61" s="154">
        <v>28100.595238095237</v>
      </c>
      <c r="BM61" s="154">
        <v>28100.595238095237</v>
      </c>
      <c r="BN61" s="154">
        <v>28100.595238095237</v>
      </c>
      <c r="BO61" s="154">
        <v>28100.595238095237</v>
      </c>
      <c r="BP61" s="154">
        <v>28100.595238095237</v>
      </c>
      <c r="BQ61" s="154">
        <v>28100.595238095237</v>
      </c>
      <c r="BR61" s="154">
        <v>28100.595238095237</v>
      </c>
      <c r="BS61" s="154">
        <v>26314.880952380954</v>
      </c>
      <c r="BT61" s="157">
        <f t="shared" si="217"/>
        <v>335421.42857142852</v>
      </c>
      <c r="BU61" s="161"/>
      <c r="BV61" s="163">
        <v>1873.3730158730159</v>
      </c>
      <c r="BW61" s="164">
        <v>1873.3730158730159</v>
      </c>
      <c r="BX61" s="154">
        <v>1873.3730158730159</v>
      </c>
      <c r="BY61" s="154">
        <v>1873.3730158730159</v>
      </c>
      <c r="BZ61" s="154">
        <v>1873.3730158730159</v>
      </c>
      <c r="CA61" s="154">
        <v>1873.3730158730159</v>
      </c>
      <c r="CB61" s="154">
        <v>1873.3730158730159</v>
      </c>
      <c r="CC61" s="154">
        <v>1873.3730158730159</v>
      </c>
      <c r="CD61" s="154">
        <v>1873.3730158730159</v>
      </c>
      <c r="CE61" s="154">
        <v>1873.3730158730159</v>
      </c>
      <c r="CF61" s="154">
        <v>1873.3730158730159</v>
      </c>
      <c r="CG61" s="154">
        <v>1754.3253968253969</v>
      </c>
      <c r="CH61" s="157">
        <f t="shared" si="218"/>
        <v>22361.428571428576</v>
      </c>
      <c r="CI61" s="161"/>
      <c r="CJ61" s="163">
        <v>20607.103174603173</v>
      </c>
      <c r="CK61" s="164">
        <v>20607.103174603173</v>
      </c>
      <c r="CL61" s="154">
        <v>20607.103174603173</v>
      </c>
      <c r="CM61" s="154">
        <v>20607.103174603173</v>
      </c>
      <c r="CN61" s="154">
        <v>20607.103174603173</v>
      </c>
      <c r="CO61" s="154">
        <v>20607.103174603173</v>
      </c>
      <c r="CP61" s="154">
        <v>20607.103174603173</v>
      </c>
      <c r="CQ61" s="154">
        <v>20607.103174603173</v>
      </c>
      <c r="CR61" s="154">
        <v>20607.103174603173</v>
      </c>
      <c r="CS61" s="154">
        <v>20607.103174603173</v>
      </c>
      <c r="CT61" s="154">
        <v>20607.103174603173</v>
      </c>
      <c r="CU61" s="154">
        <v>19297.579365079364</v>
      </c>
      <c r="CV61" s="157">
        <f t="shared" si="219"/>
        <v>245975.7142857142</v>
      </c>
      <c r="CW61" s="161"/>
      <c r="CX61" s="163">
        <v>52454.444444444445</v>
      </c>
      <c r="CY61" s="164">
        <v>52454.444444444445</v>
      </c>
      <c r="CZ61" s="154">
        <v>52454.444444444445</v>
      </c>
      <c r="DA61" s="154">
        <v>52454.444444444445</v>
      </c>
      <c r="DB61" s="154">
        <v>52454.444444444445</v>
      </c>
      <c r="DC61" s="154">
        <v>52454.444444444445</v>
      </c>
      <c r="DD61" s="154">
        <v>52454.444444444445</v>
      </c>
      <c r="DE61" s="154">
        <v>52454.444444444445</v>
      </c>
      <c r="DF61" s="154">
        <v>52454.444444444445</v>
      </c>
      <c r="DG61" s="154">
        <v>52454.444444444445</v>
      </c>
      <c r="DH61" s="154">
        <v>52454.444444444445</v>
      </c>
      <c r="DI61" s="154">
        <v>49121.111111111109</v>
      </c>
      <c r="DJ61" s="157">
        <f t="shared" si="220"/>
        <v>626120.00000000012</v>
      </c>
      <c r="DK61" s="161"/>
      <c r="DL61" s="163">
        <v>52454.444444444445</v>
      </c>
      <c r="DM61" s="164">
        <v>52454.444444444445</v>
      </c>
      <c r="DN61" s="154">
        <v>52454.444444444445</v>
      </c>
      <c r="DO61" s="154">
        <v>52454.444444444445</v>
      </c>
      <c r="DP61" s="154">
        <v>52454.444444444445</v>
      </c>
      <c r="DQ61" s="154">
        <v>52454.444444444445</v>
      </c>
      <c r="DR61" s="154">
        <v>52454.444444444445</v>
      </c>
      <c r="DS61" s="154">
        <v>52454.444444444445</v>
      </c>
      <c r="DT61" s="154">
        <v>52454.444444444445</v>
      </c>
      <c r="DU61" s="154">
        <v>52454.444444444445</v>
      </c>
      <c r="DV61" s="154">
        <v>52454.444444444445</v>
      </c>
      <c r="DW61" s="154">
        <v>49121.111111111109</v>
      </c>
      <c r="DX61" s="157">
        <f t="shared" si="221"/>
        <v>626120.00000000012</v>
      </c>
      <c r="DY61" s="161"/>
      <c r="DZ61" s="163">
        <v>1873.3730158730159</v>
      </c>
      <c r="EA61" s="164">
        <v>1873.3730158730159</v>
      </c>
      <c r="EB61" s="154">
        <v>1873.3730158730159</v>
      </c>
      <c r="EC61" s="154">
        <v>1873.3730158730159</v>
      </c>
      <c r="ED61" s="154">
        <v>1873.3730158730159</v>
      </c>
      <c r="EE61" s="154">
        <v>1873.3730158730159</v>
      </c>
      <c r="EF61" s="154">
        <v>1873.3730158730159</v>
      </c>
      <c r="EG61" s="154">
        <v>1873.3730158730159</v>
      </c>
      <c r="EH61" s="154">
        <v>1873.3730158730159</v>
      </c>
      <c r="EI61" s="154">
        <v>1873.3730158730159</v>
      </c>
      <c r="EJ61" s="154">
        <v>1873.3730158730159</v>
      </c>
      <c r="EK61" s="154">
        <v>1754.3253968253969</v>
      </c>
      <c r="EL61" s="157">
        <f t="shared" si="222"/>
        <v>22361.428571428576</v>
      </c>
      <c r="EM61" s="161"/>
      <c r="EN61" s="163">
        <v>3746.7460317460318</v>
      </c>
      <c r="EO61" s="164">
        <v>3746.7460317460318</v>
      </c>
      <c r="EP61" s="154">
        <v>3746.7460317460318</v>
      </c>
      <c r="EQ61" s="154">
        <v>3746.7460317460318</v>
      </c>
      <c r="ER61" s="154">
        <v>3746.7460317460318</v>
      </c>
      <c r="ES61" s="154">
        <v>3746.7460317460318</v>
      </c>
      <c r="ET61" s="154">
        <v>3746.7460317460318</v>
      </c>
      <c r="EU61" s="154">
        <v>3746.7460317460318</v>
      </c>
      <c r="EV61" s="154">
        <v>3746.7460317460318</v>
      </c>
      <c r="EW61" s="154">
        <v>3746.7460317460318</v>
      </c>
      <c r="EX61" s="154">
        <v>3746.7460317460318</v>
      </c>
      <c r="EY61" s="154">
        <v>3508.6507936507937</v>
      </c>
      <c r="EZ61" s="157">
        <f t="shared" si="223"/>
        <v>44722.857142857152</v>
      </c>
      <c r="FA61" s="161"/>
      <c r="FB61" s="163">
        <v>1873.3730158730159</v>
      </c>
      <c r="FC61" s="164">
        <v>1873.3730158730159</v>
      </c>
      <c r="FD61" s="154">
        <v>1873.3730158730159</v>
      </c>
      <c r="FE61" s="154">
        <v>1873.3730158730159</v>
      </c>
      <c r="FF61" s="154">
        <v>1873.3730158730159</v>
      </c>
      <c r="FG61" s="154">
        <v>1873.3730158730159</v>
      </c>
      <c r="FH61" s="154">
        <v>1873.3730158730159</v>
      </c>
      <c r="FI61" s="154">
        <v>1873.3730158730159</v>
      </c>
      <c r="FJ61" s="154">
        <v>1873.3730158730159</v>
      </c>
      <c r="FK61" s="154">
        <v>1873.3730158730159</v>
      </c>
      <c r="FL61" s="154">
        <v>1873.3730158730159</v>
      </c>
      <c r="FM61" s="154">
        <v>1754.3253968253969</v>
      </c>
      <c r="FN61" s="157">
        <f t="shared" si="224"/>
        <v>22361.428571428576</v>
      </c>
      <c r="FO61" s="161"/>
      <c r="FP61" s="163">
        <v>13113.611111111111</v>
      </c>
      <c r="FQ61" s="164">
        <v>13113.611111111111</v>
      </c>
      <c r="FR61" s="154">
        <v>13113.611111111111</v>
      </c>
      <c r="FS61" s="154">
        <v>13113.611111111111</v>
      </c>
      <c r="FT61" s="154">
        <v>13113.611111111111</v>
      </c>
      <c r="FU61" s="154">
        <v>13113.611111111111</v>
      </c>
      <c r="FV61" s="154">
        <v>13113.611111111111</v>
      </c>
      <c r="FW61" s="154">
        <v>13113.611111111111</v>
      </c>
      <c r="FX61" s="154">
        <v>13113.611111111111</v>
      </c>
      <c r="FY61" s="154">
        <v>13113.611111111111</v>
      </c>
      <c r="FZ61" s="154">
        <v>13113.611111111111</v>
      </c>
      <c r="GA61" s="154">
        <v>12280.277777777777</v>
      </c>
      <c r="GB61" s="157">
        <f t="shared" si="225"/>
        <v>156530.00000000003</v>
      </c>
      <c r="GC61" s="161"/>
      <c r="GD61" s="163">
        <v>1873.3730158730159</v>
      </c>
      <c r="GE61" s="164">
        <v>1873.3730158730159</v>
      </c>
      <c r="GF61" s="154">
        <v>1873.3730158730159</v>
      </c>
      <c r="GG61" s="154">
        <v>1873.3730158730159</v>
      </c>
      <c r="GH61" s="154">
        <v>1873.3730158730159</v>
      </c>
      <c r="GI61" s="154">
        <v>1873.3730158730159</v>
      </c>
      <c r="GJ61" s="154">
        <v>1873.3730158730159</v>
      </c>
      <c r="GK61" s="154">
        <v>1873.3730158730159</v>
      </c>
      <c r="GL61" s="154">
        <v>1873.3730158730159</v>
      </c>
      <c r="GM61" s="154">
        <v>1873.3730158730159</v>
      </c>
      <c r="GN61" s="154">
        <v>1873.3730158730159</v>
      </c>
      <c r="GO61" s="154">
        <v>1754.3253968253969</v>
      </c>
      <c r="GP61" s="157">
        <f t="shared" si="226"/>
        <v>22361.428571428576</v>
      </c>
      <c r="GQ61" s="161"/>
      <c r="GR61" s="163">
        <v>-37418.473553579555</v>
      </c>
      <c r="GS61" s="164">
        <v>-37418.473553579555</v>
      </c>
      <c r="GT61" s="154">
        <v>282581.52644642047</v>
      </c>
      <c r="GU61" s="154">
        <v>282581.52644642047</v>
      </c>
      <c r="GV61" s="154">
        <v>282581.52644642047</v>
      </c>
      <c r="GW61" s="154">
        <v>282581.52644642047</v>
      </c>
      <c r="GX61" s="154">
        <v>282581.52644642047</v>
      </c>
      <c r="GY61" s="154">
        <v>282581.52644642047</v>
      </c>
      <c r="GZ61" s="154">
        <v>282581.52644642047</v>
      </c>
      <c r="HA61" s="154">
        <v>282581.52644642047</v>
      </c>
      <c r="HB61" s="154">
        <v>282581.52644642047</v>
      </c>
      <c r="HC61" s="154">
        <v>282581.52644642047</v>
      </c>
      <c r="HD61" s="157">
        <f t="shared" ref="HD61:HD80" si="238">+SUBTOTAL(9,GR61:HC61)*0</f>
        <v>0</v>
      </c>
      <c r="HE61" s="161"/>
      <c r="HF61" s="163">
        <v>7493.4920634920636</v>
      </c>
      <c r="HG61" s="164">
        <v>7493.4920634920636</v>
      </c>
      <c r="HH61" s="154">
        <v>7493.4920634920636</v>
      </c>
      <c r="HI61" s="154">
        <v>7493.4920634920636</v>
      </c>
      <c r="HJ61" s="154">
        <v>7493.4920634920636</v>
      </c>
      <c r="HK61" s="154">
        <v>7493.4920634920636</v>
      </c>
      <c r="HL61" s="154">
        <v>7493.4920634920636</v>
      </c>
      <c r="HM61" s="154">
        <v>7493.4920634920636</v>
      </c>
      <c r="HN61" s="154">
        <v>7493.4920634920636</v>
      </c>
      <c r="HO61" s="154">
        <v>7493.4920634920636</v>
      </c>
      <c r="HP61" s="154">
        <v>7493.4920634920636</v>
      </c>
      <c r="HQ61" s="154">
        <v>7017.3015873015875</v>
      </c>
      <c r="HR61" s="157">
        <f t="shared" si="227"/>
        <v>89445.714285714304</v>
      </c>
      <c r="HS61" s="161"/>
      <c r="HT61" s="163">
        <v>1873.3730158730159</v>
      </c>
      <c r="HU61" s="164">
        <v>1873.3730158730159</v>
      </c>
      <c r="HV61" s="154">
        <v>1873.3730158730159</v>
      </c>
      <c r="HW61" s="154">
        <v>1873.3730158730159</v>
      </c>
      <c r="HX61" s="154">
        <v>1873.3730158730159</v>
      </c>
      <c r="HY61" s="154">
        <v>1873.3730158730159</v>
      </c>
      <c r="HZ61" s="154">
        <v>1873.3730158730159</v>
      </c>
      <c r="IA61" s="154">
        <v>1873.3730158730159</v>
      </c>
      <c r="IB61" s="154">
        <v>1873.3730158730159</v>
      </c>
      <c r="IC61" s="154">
        <v>1873.3730158730159</v>
      </c>
      <c r="ID61" s="154">
        <v>1873.3730158730159</v>
      </c>
      <c r="IE61" s="154">
        <v>1754.3253968253969</v>
      </c>
      <c r="IF61" s="157">
        <f t="shared" si="228"/>
        <v>22361.428571428576</v>
      </c>
      <c r="IG61" s="161"/>
      <c r="IH61" s="163">
        <v>1873.3730158730159</v>
      </c>
      <c r="II61" s="164">
        <v>1873.3730158730159</v>
      </c>
      <c r="IJ61" s="154">
        <v>1873.3730158730159</v>
      </c>
      <c r="IK61" s="154">
        <v>1873.3730158730159</v>
      </c>
      <c r="IL61" s="154">
        <v>1873.3730158730159</v>
      </c>
      <c r="IM61" s="154">
        <v>1873.3730158730159</v>
      </c>
      <c r="IN61" s="154">
        <v>1873.3730158730159</v>
      </c>
      <c r="IO61" s="154">
        <v>1873.3730158730159</v>
      </c>
      <c r="IP61" s="154">
        <v>1873.3730158730159</v>
      </c>
      <c r="IQ61" s="154">
        <v>1873.3730158730159</v>
      </c>
      <c r="IR61" s="154">
        <v>1873.3730158730159</v>
      </c>
      <c r="IS61" s="154">
        <v>1754.3253968253969</v>
      </c>
      <c r="IT61" s="157">
        <f t="shared" si="229"/>
        <v>22361.428571428576</v>
      </c>
      <c r="IU61" s="161"/>
      <c r="IV61" s="163">
        <v>13113.611111111111</v>
      </c>
      <c r="IW61" s="164">
        <v>13113.611111111111</v>
      </c>
      <c r="IX61" s="154">
        <v>13113.611111111111</v>
      </c>
      <c r="IY61" s="154">
        <v>13113.611111111111</v>
      </c>
      <c r="IZ61" s="154">
        <v>13113.611111111111</v>
      </c>
      <c r="JA61" s="154">
        <v>13113.611111111111</v>
      </c>
      <c r="JB61" s="154">
        <v>13113.611111111111</v>
      </c>
      <c r="JC61" s="154">
        <v>13113.611111111111</v>
      </c>
      <c r="JD61" s="154">
        <v>13113.611111111111</v>
      </c>
      <c r="JE61" s="154">
        <v>13113.611111111111</v>
      </c>
      <c r="JF61" s="154">
        <v>13113.611111111111</v>
      </c>
      <c r="JG61" s="154">
        <v>12280.277777777777</v>
      </c>
      <c r="JH61" s="157">
        <f t="shared" si="230"/>
        <v>156530.00000000003</v>
      </c>
      <c r="JI61" s="161"/>
      <c r="JJ61" s="163">
        <v>20607.103174603173</v>
      </c>
      <c r="JK61" s="164">
        <v>20607.103174603173</v>
      </c>
      <c r="JL61" s="154">
        <v>20607.103174603173</v>
      </c>
      <c r="JM61" s="154">
        <v>20607.103174603173</v>
      </c>
      <c r="JN61" s="154">
        <v>20607.103174603173</v>
      </c>
      <c r="JO61" s="154">
        <v>20607.103174603173</v>
      </c>
      <c r="JP61" s="154">
        <v>20607.103174603173</v>
      </c>
      <c r="JQ61" s="154">
        <v>20607.103174603173</v>
      </c>
      <c r="JR61" s="154">
        <v>20607.103174603173</v>
      </c>
      <c r="JS61" s="154">
        <v>20607.103174603173</v>
      </c>
      <c r="JT61" s="154">
        <v>20607.103174603173</v>
      </c>
      <c r="JU61" s="154">
        <v>19297.579365079364</v>
      </c>
      <c r="JV61" s="157">
        <f t="shared" si="231"/>
        <v>245975.7142857142</v>
      </c>
      <c r="JW61" s="161"/>
      <c r="JX61" s="163">
        <v>9366.8650793650795</v>
      </c>
      <c r="JY61" s="164">
        <v>9366.8650793650795</v>
      </c>
      <c r="JZ61" s="154">
        <v>9366.8650793650795</v>
      </c>
      <c r="KA61" s="154">
        <v>9366.8650793650795</v>
      </c>
      <c r="KB61" s="154">
        <v>9366.8650793650795</v>
      </c>
      <c r="KC61" s="154">
        <v>9366.8650793650795</v>
      </c>
      <c r="KD61" s="154">
        <v>9366.8650793650795</v>
      </c>
      <c r="KE61" s="154">
        <v>9366.8650793650795</v>
      </c>
      <c r="KF61" s="154">
        <v>9366.8650793650795</v>
      </c>
      <c r="KG61" s="154">
        <v>9366.8650793650795</v>
      </c>
      <c r="KH61" s="154">
        <v>9366.8650793650795</v>
      </c>
      <c r="KI61" s="154">
        <v>8771.6269841269841</v>
      </c>
      <c r="KJ61" s="157">
        <f t="shared" si="232"/>
        <v>111807.14285714284</v>
      </c>
      <c r="KK61" s="161"/>
      <c r="KL61" s="163">
        <v>3746.7460317460318</v>
      </c>
      <c r="KM61" s="164">
        <v>3746.7460317460318</v>
      </c>
      <c r="KN61" s="154">
        <v>3746.7460317460318</v>
      </c>
      <c r="KO61" s="154">
        <v>3746.7460317460318</v>
      </c>
      <c r="KP61" s="154">
        <v>3746.7460317460318</v>
      </c>
      <c r="KQ61" s="154">
        <v>3746.7460317460318</v>
      </c>
      <c r="KR61" s="154">
        <v>3746.7460317460318</v>
      </c>
      <c r="KS61" s="154">
        <v>3746.7460317460318</v>
      </c>
      <c r="KT61" s="154">
        <v>3746.7460317460318</v>
      </c>
      <c r="KU61" s="154">
        <v>3746.7460317460318</v>
      </c>
      <c r="KV61" s="154">
        <v>3746.7460317460318</v>
      </c>
      <c r="KW61" s="154">
        <v>3508.6507936507937</v>
      </c>
      <c r="KX61" s="157">
        <f t="shared" si="233"/>
        <v>44722.857142857152</v>
      </c>
      <c r="KY61" s="161"/>
      <c r="KZ61" s="163">
        <v>1873.3730158730159</v>
      </c>
      <c r="LA61" s="164">
        <v>1873.3730158730159</v>
      </c>
      <c r="LB61" s="154">
        <v>1873.3730158730159</v>
      </c>
      <c r="LC61" s="154">
        <v>1873.3730158730159</v>
      </c>
      <c r="LD61" s="154">
        <v>1873.3730158730159</v>
      </c>
      <c r="LE61" s="154">
        <v>1873.3730158730159</v>
      </c>
      <c r="LF61" s="154">
        <v>1873.3730158730159</v>
      </c>
      <c r="LG61" s="154">
        <v>1873.3730158730159</v>
      </c>
      <c r="LH61" s="154">
        <v>1873.3730158730159</v>
      </c>
      <c r="LI61" s="154">
        <v>1873.3730158730159</v>
      </c>
      <c r="LJ61" s="154">
        <v>1873.3730158730159</v>
      </c>
      <c r="LK61" s="154">
        <v>1754.3253968253969</v>
      </c>
      <c r="LL61" s="157">
        <f t="shared" si="234"/>
        <v>22361.428571428576</v>
      </c>
      <c r="LM61" s="161"/>
      <c r="LN61" s="163">
        <v>0</v>
      </c>
      <c r="LO61" s="164">
        <v>0</v>
      </c>
      <c r="LP61" s="154">
        <v>0</v>
      </c>
      <c r="LQ61" s="154">
        <v>0</v>
      </c>
      <c r="LR61" s="154">
        <v>0</v>
      </c>
      <c r="LS61" s="154">
        <v>0</v>
      </c>
      <c r="LT61" s="154">
        <v>0</v>
      </c>
      <c r="LU61" s="154">
        <v>0</v>
      </c>
      <c r="LV61" s="154">
        <v>0</v>
      </c>
      <c r="LW61" s="154">
        <v>0</v>
      </c>
      <c r="LX61" s="154">
        <v>0</v>
      </c>
      <c r="LY61" s="154">
        <v>0</v>
      </c>
      <c r="LZ61" s="157">
        <f t="shared" si="235"/>
        <v>0</v>
      </c>
      <c r="MA61" s="161"/>
      <c r="MB61" s="157">
        <f t="shared" si="236"/>
        <v>269814.70104959508</v>
      </c>
      <c r="MC61" s="157">
        <f t="shared" si="236"/>
        <v>269814.70104959508</v>
      </c>
      <c r="MD61" s="157">
        <f t="shared" si="236"/>
        <v>589814.70104959514</v>
      </c>
      <c r="ME61" s="157">
        <f t="shared" si="236"/>
        <v>589814.70104959514</v>
      </c>
      <c r="MF61" s="157">
        <f t="shared" si="236"/>
        <v>589814.70104959514</v>
      </c>
      <c r="MG61" s="157">
        <f t="shared" si="236"/>
        <v>589814.70104959514</v>
      </c>
      <c r="MH61" s="157">
        <f t="shared" si="236"/>
        <v>589814.70104959514</v>
      </c>
      <c r="MI61" s="157">
        <f t="shared" si="236"/>
        <v>589814.70104959514</v>
      </c>
      <c r="MJ61" s="157">
        <f t="shared" si="236"/>
        <v>589814.70104959514</v>
      </c>
      <c r="MK61" s="157">
        <f t="shared" si="236"/>
        <v>589814.70104959514</v>
      </c>
      <c r="ML61" s="157">
        <f t="shared" si="236"/>
        <v>589814.70104959514</v>
      </c>
      <c r="MM61" s="157">
        <f t="shared" si="236"/>
        <v>570290.89152578556</v>
      </c>
      <c r="MN61" s="157">
        <f t="shared" ref="MN61:MN80" si="239">SUM(MB61:MM61)</f>
        <v>6418252.603071332</v>
      </c>
    </row>
    <row r="62" spans="1:352" x14ac:dyDescent="0.25">
      <c r="A62" s="207" t="s">
        <v>212</v>
      </c>
      <c r="B62" s="64" t="s">
        <v>77</v>
      </c>
      <c r="C62" s="98"/>
      <c r="D62" s="163">
        <v>19751.570105820108</v>
      </c>
      <c r="E62" s="179">
        <v>19319.907407407409</v>
      </c>
      <c r="F62" s="179">
        <v>23338.862433862436</v>
      </c>
      <c r="G62" s="179">
        <v>23338.862433862436</v>
      </c>
      <c r="H62" s="179">
        <v>23338.862433862436</v>
      </c>
      <c r="I62" s="179">
        <v>23338.862433862436</v>
      </c>
      <c r="J62" s="179">
        <v>23338.862433862436</v>
      </c>
      <c r="K62" s="179">
        <v>23338.862433862436</v>
      </c>
      <c r="L62" s="179">
        <v>23338.862433862436</v>
      </c>
      <c r="M62" s="179">
        <v>23338.862433862436</v>
      </c>
      <c r="N62" s="179">
        <v>23338.862433862436</v>
      </c>
      <c r="O62" s="179">
        <v>23338.862433862436</v>
      </c>
      <c r="P62" s="157">
        <f t="shared" si="213"/>
        <v>272460.10185185191</v>
      </c>
      <c r="Q62" s="161"/>
      <c r="R62" s="163">
        <v>2043.2658730158732</v>
      </c>
      <c r="S62" s="179">
        <v>1998.6111111111111</v>
      </c>
      <c r="T62" s="179">
        <v>2414.3650793650795</v>
      </c>
      <c r="U62" s="179">
        <v>2414.3650793650795</v>
      </c>
      <c r="V62" s="179">
        <v>2414.3650793650795</v>
      </c>
      <c r="W62" s="179">
        <v>2414.3650793650795</v>
      </c>
      <c r="X62" s="179">
        <v>2414.3650793650795</v>
      </c>
      <c r="Y62" s="179">
        <v>2414.3650793650795</v>
      </c>
      <c r="Z62" s="179">
        <v>2414.3650793650795</v>
      </c>
      <c r="AA62" s="179">
        <v>2414.3650793650795</v>
      </c>
      <c r="AB62" s="179">
        <v>2414.3650793650795</v>
      </c>
      <c r="AC62" s="179">
        <v>2414.3650793650795</v>
      </c>
      <c r="AD62" s="157">
        <f t="shared" si="214"/>
        <v>28185.527777777788</v>
      </c>
      <c r="AE62" s="161"/>
      <c r="AF62" s="163">
        <v>2043.2658730158732</v>
      </c>
      <c r="AG62" s="179">
        <v>1998.6111111111111</v>
      </c>
      <c r="AH62" s="179">
        <v>2414.3650793650795</v>
      </c>
      <c r="AI62" s="179">
        <v>2414.3650793650795</v>
      </c>
      <c r="AJ62" s="179">
        <v>2414.3650793650795</v>
      </c>
      <c r="AK62" s="179">
        <v>2414.3650793650795</v>
      </c>
      <c r="AL62" s="179">
        <v>2414.3650793650795</v>
      </c>
      <c r="AM62" s="179">
        <v>2414.3650793650795</v>
      </c>
      <c r="AN62" s="179">
        <v>2414.3650793650795</v>
      </c>
      <c r="AO62" s="179">
        <v>2414.3650793650795</v>
      </c>
      <c r="AP62" s="179">
        <v>2414.3650793650795</v>
      </c>
      <c r="AQ62" s="179">
        <v>2414.3650793650795</v>
      </c>
      <c r="AR62" s="157">
        <f t="shared" si="215"/>
        <v>28185.527777777788</v>
      </c>
      <c r="AT62" s="163">
        <v>1362.1772486772488</v>
      </c>
      <c r="AU62" s="179">
        <v>1332.4074074074074</v>
      </c>
      <c r="AV62" s="179">
        <v>1609.5767195767198</v>
      </c>
      <c r="AW62" s="179">
        <v>1609.5767195767198</v>
      </c>
      <c r="AX62" s="179">
        <v>1609.5767195767198</v>
      </c>
      <c r="AY62" s="179">
        <v>1609.5767195767198</v>
      </c>
      <c r="AZ62" s="179">
        <v>1609.5767195767198</v>
      </c>
      <c r="BA62" s="179">
        <v>1609.5767195767198</v>
      </c>
      <c r="BB62" s="179">
        <v>1609.5767195767198</v>
      </c>
      <c r="BC62" s="179">
        <v>1609.5767195767198</v>
      </c>
      <c r="BD62" s="179">
        <v>1609.5767195767198</v>
      </c>
      <c r="BE62" s="179">
        <v>1609.5767195767198</v>
      </c>
      <c r="BF62" s="157">
        <f t="shared" si="216"/>
        <v>18790.351851851854</v>
      </c>
      <c r="BH62" s="163">
        <v>10216.329365079366</v>
      </c>
      <c r="BI62" s="164">
        <v>9993.0555555555547</v>
      </c>
      <c r="BJ62" s="154">
        <v>12071.825396825399</v>
      </c>
      <c r="BK62" s="154">
        <v>12071.825396825399</v>
      </c>
      <c r="BL62" s="154">
        <v>12071.825396825399</v>
      </c>
      <c r="BM62" s="154">
        <v>12071.825396825399</v>
      </c>
      <c r="BN62" s="154">
        <v>12071.825396825399</v>
      </c>
      <c r="BO62" s="154">
        <v>12071.825396825399</v>
      </c>
      <c r="BP62" s="154">
        <v>12071.825396825399</v>
      </c>
      <c r="BQ62" s="154">
        <v>12071.825396825399</v>
      </c>
      <c r="BR62" s="154">
        <v>12071.825396825399</v>
      </c>
      <c r="BS62" s="154">
        <v>12071.825396825399</v>
      </c>
      <c r="BT62" s="157">
        <f t="shared" si="217"/>
        <v>140927.63888888891</v>
      </c>
      <c r="BV62" s="163">
        <v>681.08862433862441</v>
      </c>
      <c r="BW62" s="164">
        <v>666.2037037037037</v>
      </c>
      <c r="BX62" s="154">
        <v>804.78835978835991</v>
      </c>
      <c r="BY62" s="154">
        <v>804.78835978835991</v>
      </c>
      <c r="BZ62" s="154">
        <v>804.78835978835991</v>
      </c>
      <c r="CA62" s="154">
        <v>804.78835978835991</v>
      </c>
      <c r="CB62" s="154">
        <v>804.78835978835991</v>
      </c>
      <c r="CC62" s="154">
        <v>804.78835978835991</v>
      </c>
      <c r="CD62" s="154">
        <v>804.78835978835991</v>
      </c>
      <c r="CE62" s="154">
        <v>804.78835978835991</v>
      </c>
      <c r="CF62" s="154">
        <v>804.78835978835991</v>
      </c>
      <c r="CG62" s="154">
        <v>804.78835978835991</v>
      </c>
      <c r="CH62" s="157">
        <f t="shared" si="218"/>
        <v>9395.175925925927</v>
      </c>
      <c r="CI62" s="161"/>
      <c r="CJ62" s="163">
        <v>7491.9748677248681</v>
      </c>
      <c r="CK62" s="164">
        <v>7328.2407407407409</v>
      </c>
      <c r="CL62" s="154">
        <v>8852.6719576719588</v>
      </c>
      <c r="CM62" s="154">
        <v>8852.6719576719588</v>
      </c>
      <c r="CN62" s="154">
        <v>8852.6719576719588</v>
      </c>
      <c r="CO62" s="154">
        <v>8852.6719576719588</v>
      </c>
      <c r="CP62" s="154">
        <v>8852.6719576719588</v>
      </c>
      <c r="CQ62" s="154">
        <v>8852.6719576719588</v>
      </c>
      <c r="CR62" s="154">
        <v>8852.6719576719588</v>
      </c>
      <c r="CS62" s="154">
        <v>8852.6719576719588</v>
      </c>
      <c r="CT62" s="154">
        <v>8852.6719576719588</v>
      </c>
      <c r="CU62" s="154">
        <v>8852.6719576719588</v>
      </c>
      <c r="CV62" s="157">
        <f t="shared" si="219"/>
        <v>103346.93518518523</v>
      </c>
      <c r="CW62" s="161"/>
      <c r="CX62" s="163">
        <v>19070.481481481482</v>
      </c>
      <c r="CY62" s="164">
        <v>18653.703703703704</v>
      </c>
      <c r="CZ62" s="154">
        <v>22534.074074074077</v>
      </c>
      <c r="DA62" s="154">
        <v>22534.074074074077</v>
      </c>
      <c r="DB62" s="154">
        <v>22534.074074074077</v>
      </c>
      <c r="DC62" s="154">
        <v>22534.074074074077</v>
      </c>
      <c r="DD62" s="154">
        <v>22534.074074074077</v>
      </c>
      <c r="DE62" s="154">
        <v>22534.074074074077</v>
      </c>
      <c r="DF62" s="154">
        <v>22534.074074074077</v>
      </c>
      <c r="DG62" s="154">
        <v>22534.074074074077</v>
      </c>
      <c r="DH62" s="154">
        <v>22534.074074074077</v>
      </c>
      <c r="DI62" s="154">
        <v>22534.074074074077</v>
      </c>
      <c r="DJ62" s="157">
        <f t="shared" si="220"/>
        <v>263064.92592592596</v>
      </c>
      <c r="DK62" s="161"/>
      <c r="DL62" s="163">
        <v>19070.481481481482</v>
      </c>
      <c r="DM62" s="164">
        <v>18653.703703703704</v>
      </c>
      <c r="DN62" s="154">
        <v>22534.074074074077</v>
      </c>
      <c r="DO62" s="154">
        <v>22534.074074074077</v>
      </c>
      <c r="DP62" s="154">
        <v>22534.074074074077</v>
      </c>
      <c r="DQ62" s="154">
        <v>22534.074074074077</v>
      </c>
      <c r="DR62" s="154">
        <v>22534.074074074077</v>
      </c>
      <c r="DS62" s="154">
        <v>22534.074074074077</v>
      </c>
      <c r="DT62" s="154">
        <v>22534.074074074077</v>
      </c>
      <c r="DU62" s="154">
        <v>22534.074074074077</v>
      </c>
      <c r="DV62" s="154">
        <v>22534.074074074077</v>
      </c>
      <c r="DW62" s="154">
        <v>22534.074074074077</v>
      </c>
      <c r="DX62" s="157">
        <f t="shared" si="221"/>
        <v>263064.92592592596</v>
      </c>
      <c r="DY62" s="161"/>
      <c r="DZ62" s="163">
        <v>681.08862433862441</v>
      </c>
      <c r="EA62" s="164">
        <v>666.2037037037037</v>
      </c>
      <c r="EB62" s="154">
        <v>804.78835978835991</v>
      </c>
      <c r="EC62" s="154">
        <v>804.78835978835991</v>
      </c>
      <c r="ED62" s="154">
        <v>804.78835978835991</v>
      </c>
      <c r="EE62" s="154">
        <v>804.78835978835991</v>
      </c>
      <c r="EF62" s="154">
        <v>804.78835978835991</v>
      </c>
      <c r="EG62" s="154">
        <v>804.78835978835991</v>
      </c>
      <c r="EH62" s="154">
        <v>804.78835978835991</v>
      </c>
      <c r="EI62" s="154">
        <v>804.78835978835991</v>
      </c>
      <c r="EJ62" s="154">
        <v>804.78835978835991</v>
      </c>
      <c r="EK62" s="154">
        <v>804.78835978835991</v>
      </c>
      <c r="EL62" s="157">
        <f t="shared" si="222"/>
        <v>9395.175925925927</v>
      </c>
      <c r="EM62" s="161"/>
      <c r="EN62" s="163">
        <v>1362.1772486772488</v>
      </c>
      <c r="EO62" s="164">
        <v>1332.4074074074074</v>
      </c>
      <c r="EP62" s="154">
        <v>1609.5767195767198</v>
      </c>
      <c r="EQ62" s="154">
        <v>1609.5767195767198</v>
      </c>
      <c r="ER62" s="154">
        <v>1609.5767195767198</v>
      </c>
      <c r="ES62" s="154">
        <v>1609.5767195767198</v>
      </c>
      <c r="ET62" s="154">
        <v>1609.5767195767198</v>
      </c>
      <c r="EU62" s="154">
        <v>1609.5767195767198</v>
      </c>
      <c r="EV62" s="154">
        <v>1609.5767195767198</v>
      </c>
      <c r="EW62" s="154">
        <v>1609.5767195767198</v>
      </c>
      <c r="EX62" s="154">
        <v>1609.5767195767198</v>
      </c>
      <c r="EY62" s="154">
        <v>1609.5767195767198</v>
      </c>
      <c r="EZ62" s="157">
        <f t="shared" si="223"/>
        <v>18790.351851851854</v>
      </c>
      <c r="FA62" s="161"/>
      <c r="FB62" s="163">
        <v>681.08862433862441</v>
      </c>
      <c r="FC62" s="164">
        <v>666.2037037037037</v>
      </c>
      <c r="FD62" s="154">
        <v>804.78835978835991</v>
      </c>
      <c r="FE62" s="154">
        <v>804.78835978835991</v>
      </c>
      <c r="FF62" s="154">
        <v>804.78835978835991</v>
      </c>
      <c r="FG62" s="154">
        <v>804.78835978835991</v>
      </c>
      <c r="FH62" s="154">
        <v>804.78835978835991</v>
      </c>
      <c r="FI62" s="154">
        <v>804.78835978835991</v>
      </c>
      <c r="FJ62" s="154">
        <v>804.78835978835991</v>
      </c>
      <c r="FK62" s="154">
        <v>804.78835978835991</v>
      </c>
      <c r="FL62" s="154">
        <v>804.78835978835991</v>
      </c>
      <c r="FM62" s="154">
        <v>804.78835978835991</v>
      </c>
      <c r="FN62" s="157">
        <f t="shared" si="224"/>
        <v>9395.175925925927</v>
      </c>
      <c r="FO62" s="161"/>
      <c r="FP62" s="163">
        <v>4767.6203703703704</v>
      </c>
      <c r="FQ62" s="164">
        <v>4663.4259259259261</v>
      </c>
      <c r="FR62" s="154">
        <v>5633.5185185185192</v>
      </c>
      <c r="FS62" s="154">
        <v>5633.5185185185192</v>
      </c>
      <c r="FT62" s="154">
        <v>5633.5185185185192</v>
      </c>
      <c r="FU62" s="154">
        <v>5633.5185185185192</v>
      </c>
      <c r="FV62" s="154">
        <v>5633.5185185185192</v>
      </c>
      <c r="FW62" s="154">
        <v>5633.5185185185192</v>
      </c>
      <c r="FX62" s="154">
        <v>5633.5185185185192</v>
      </c>
      <c r="FY62" s="154">
        <v>5633.5185185185192</v>
      </c>
      <c r="FZ62" s="154">
        <v>5633.5185185185192</v>
      </c>
      <c r="GA62" s="154">
        <v>5633.5185185185192</v>
      </c>
      <c r="GB62" s="157">
        <f t="shared" si="225"/>
        <v>65766.231481481489</v>
      </c>
      <c r="GC62" s="161"/>
      <c r="GD62" s="163">
        <v>681.08862433862441</v>
      </c>
      <c r="GE62" s="164">
        <v>666.2037037037037</v>
      </c>
      <c r="GF62" s="154">
        <v>804.78835978835991</v>
      </c>
      <c r="GG62" s="154">
        <v>804.78835978835991</v>
      </c>
      <c r="GH62" s="154">
        <v>804.78835978835991</v>
      </c>
      <c r="GI62" s="154">
        <v>804.78835978835991</v>
      </c>
      <c r="GJ62" s="154">
        <v>804.78835978835991</v>
      </c>
      <c r="GK62" s="154">
        <v>804.78835978835991</v>
      </c>
      <c r="GL62" s="154">
        <v>804.78835978835991</v>
      </c>
      <c r="GM62" s="154">
        <v>804.78835978835991</v>
      </c>
      <c r="GN62" s="154">
        <v>804.78835978835991</v>
      </c>
      <c r="GO62" s="154">
        <v>804.78835978835991</v>
      </c>
      <c r="GP62" s="157">
        <f t="shared" si="226"/>
        <v>9395.175925925927</v>
      </c>
      <c r="GQ62" s="161"/>
      <c r="GR62" s="163">
        <v>-10027.231418697125</v>
      </c>
      <c r="GS62" s="164">
        <v>-10027.231418697125</v>
      </c>
      <c r="GT62" s="154">
        <v>-10027.231418697125</v>
      </c>
      <c r="GU62" s="154">
        <v>-10027.231418697125</v>
      </c>
      <c r="GV62" s="154">
        <v>-10027.231418697125</v>
      </c>
      <c r="GW62" s="154">
        <v>-10027.231418697125</v>
      </c>
      <c r="GX62" s="154">
        <v>-10027.231418697125</v>
      </c>
      <c r="GY62" s="154">
        <v>-10027.231418697125</v>
      </c>
      <c r="GZ62" s="154">
        <v>-10027.231418697125</v>
      </c>
      <c r="HA62" s="154">
        <v>-10027.231418697125</v>
      </c>
      <c r="HB62" s="154">
        <v>-10027.231418697125</v>
      </c>
      <c r="HC62" s="154">
        <v>-10027.231418697125</v>
      </c>
      <c r="HD62" s="157">
        <f t="shared" si="238"/>
        <v>0</v>
      </c>
      <c r="HE62" s="161"/>
      <c r="HF62" s="163">
        <v>2724.3544973544977</v>
      </c>
      <c r="HG62" s="164">
        <v>2664.8148148148148</v>
      </c>
      <c r="HH62" s="154">
        <v>3219.1534391534396</v>
      </c>
      <c r="HI62" s="154">
        <v>3219.1534391534396</v>
      </c>
      <c r="HJ62" s="154">
        <v>3219.1534391534396</v>
      </c>
      <c r="HK62" s="154">
        <v>3219.1534391534396</v>
      </c>
      <c r="HL62" s="154">
        <v>3219.1534391534396</v>
      </c>
      <c r="HM62" s="154">
        <v>3219.1534391534396</v>
      </c>
      <c r="HN62" s="154">
        <v>3219.1534391534396</v>
      </c>
      <c r="HO62" s="154">
        <v>3219.1534391534396</v>
      </c>
      <c r="HP62" s="154">
        <v>3219.1534391534396</v>
      </c>
      <c r="HQ62" s="154">
        <v>3219.1534391534396</v>
      </c>
      <c r="HR62" s="157">
        <f t="shared" si="227"/>
        <v>37580.703703703708</v>
      </c>
      <c r="HS62" s="161"/>
      <c r="HT62" s="163">
        <v>681.08862433862441</v>
      </c>
      <c r="HU62" s="164">
        <v>666.2037037037037</v>
      </c>
      <c r="HV62" s="154">
        <v>804.78835978835991</v>
      </c>
      <c r="HW62" s="154">
        <v>804.78835978835991</v>
      </c>
      <c r="HX62" s="154">
        <v>804.78835978835991</v>
      </c>
      <c r="HY62" s="154">
        <v>804.78835978835991</v>
      </c>
      <c r="HZ62" s="154">
        <v>804.78835978835991</v>
      </c>
      <c r="IA62" s="154">
        <v>804.78835978835991</v>
      </c>
      <c r="IB62" s="154">
        <v>804.78835978835991</v>
      </c>
      <c r="IC62" s="154">
        <v>804.78835978835991</v>
      </c>
      <c r="ID62" s="154">
        <v>804.78835978835991</v>
      </c>
      <c r="IE62" s="154">
        <v>804.78835978835991</v>
      </c>
      <c r="IF62" s="157">
        <f t="shared" si="228"/>
        <v>9395.175925925927</v>
      </c>
      <c r="IG62" s="161"/>
      <c r="IH62" s="163">
        <v>681.08862433862441</v>
      </c>
      <c r="II62" s="164">
        <v>666.2037037037037</v>
      </c>
      <c r="IJ62" s="154">
        <v>804.78835978835991</v>
      </c>
      <c r="IK62" s="154">
        <v>804.78835978835991</v>
      </c>
      <c r="IL62" s="154">
        <v>804.78835978835991</v>
      </c>
      <c r="IM62" s="154">
        <v>804.78835978835991</v>
      </c>
      <c r="IN62" s="154">
        <v>804.78835978835991</v>
      </c>
      <c r="IO62" s="154">
        <v>804.78835978835991</v>
      </c>
      <c r="IP62" s="154">
        <v>804.78835978835991</v>
      </c>
      <c r="IQ62" s="154">
        <v>804.78835978835991</v>
      </c>
      <c r="IR62" s="154">
        <v>804.78835978835991</v>
      </c>
      <c r="IS62" s="154">
        <v>804.78835978835991</v>
      </c>
      <c r="IT62" s="157">
        <f t="shared" si="229"/>
        <v>9395.175925925927</v>
      </c>
      <c r="IU62" s="161"/>
      <c r="IV62" s="163">
        <v>4767.6203703703704</v>
      </c>
      <c r="IW62" s="164">
        <v>4663.4259259259261</v>
      </c>
      <c r="IX62" s="154">
        <v>5633.5185185185192</v>
      </c>
      <c r="IY62" s="154">
        <v>5633.5185185185192</v>
      </c>
      <c r="IZ62" s="154">
        <v>5633.5185185185192</v>
      </c>
      <c r="JA62" s="154">
        <v>5633.5185185185192</v>
      </c>
      <c r="JB62" s="154">
        <v>5633.5185185185192</v>
      </c>
      <c r="JC62" s="154">
        <v>5633.5185185185192</v>
      </c>
      <c r="JD62" s="154">
        <v>5633.5185185185192</v>
      </c>
      <c r="JE62" s="154">
        <v>5633.5185185185192</v>
      </c>
      <c r="JF62" s="154">
        <v>5633.5185185185192</v>
      </c>
      <c r="JG62" s="154">
        <v>5633.5185185185192</v>
      </c>
      <c r="JH62" s="157">
        <f t="shared" si="230"/>
        <v>65766.231481481489</v>
      </c>
      <c r="JI62" s="161"/>
      <c r="JJ62" s="163">
        <v>7491.9748677248681</v>
      </c>
      <c r="JK62" s="164">
        <v>7328.2407407407409</v>
      </c>
      <c r="JL62" s="154">
        <v>8852.6719576719588</v>
      </c>
      <c r="JM62" s="154">
        <v>8852.6719576719588</v>
      </c>
      <c r="JN62" s="154">
        <v>8852.6719576719588</v>
      </c>
      <c r="JO62" s="154">
        <v>8852.6719576719588</v>
      </c>
      <c r="JP62" s="154">
        <v>8852.6719576719588</v>
      </c>
      <c r="JQ62" s="154">
        <v>8852.6719576719588</v>
      </c>
      <c r="JR62" s="154">
        <v>8852.6719576719588</v>
      </c>
      <c r="JS62" s="154">
        <v>8852.6719576719588</v>
      </c>
      <c r="JT62" s="154">
        <v>8852.6719576719588</v>
      </c>
      <c r="JU62" s="154">
        <v>8852.6719576719588</v>
      </c>
      <c r="JV62" s="157">
        <f t="shared" si="231"/>
        <v>103346.93518518523</v>
      </c>
      <c r="JW62" s="161"/>
      <c r="JX62" s="163">
        <v>3405.4431216931221</v>
      </c>
      <c r="JY62" s="164">
        <v>3331.0185185185182</v>
      </c>
      <c r="JZ62" s="154">
        <v>4023.9417989417998</v>
      </c>
      <c r="KA62" s="154">
        <v>4023.9417989417998</v>
      </c>
      <c r="KB62" s="154">
        <v>4023.9417989417998</v>
      </c>
      <c r="KC62" s="154">
        <v>4023.9417989417998</v>
      </c>
      <c r="KD62" s="154">
        <v>4023.9417989417998</v>
      </c>
      <c r="KE62" s="154">
        <v>4023.9417989417998</v>
      </c>
      <c r="KF62" s="154">
        <v>4023.9417989417998</v>
      </c>
      <c r="KG62" s="154">
        <v>4023.9417989417998</v>
      </c>
      <c r="KH62" s="154">
        <v>4023.9417989417998</v>
      </c>
      <c r="KI62" s="154">
        <v>4023.9417989417998</v>
      </c>
      <c r="KJ62" s="157">
        <f t="shared" si="232"/>
        <v>46975.879629629635</v>
      </c>
      <c r="KK62" s="161"/>
      <c r="KL62" s="163">
        <v>1362.1772486772488</v>
      </c>
      <c r="KM62" s="164">
        <v>1332.4074074074074</v>
      </c>
      <c r="KN62" s="154">
        <v>1609.5767195767198</v>
      </c>
      <c r="KO62" s="154">
        <v>1609.5767195767198</v>
      </c>
      <c r="KP62" s="154">
        <v>1609.5767195767198</v>
      </c>
      <c r="KQ62" s="154">
        <v>1609.5767195767198</v>
      </c>
      <c r="KR62" s="154">
        <v>1609.5767195767198</v>
      </c>
      <c r="KS62" s="154">
        <v>1609.5767195767198</v>
      </c>
      <c r="KT62" s="154">
        <v>1609.5767195767198</v>
      </c>
      <c r="KU62" s="154">
        <v>1609.5767195767198</v>
      </c>
      <c r="KV62" s="154">
        <v>1609.5767195767198</v>
      </c>
      <c r="KW62" s="154">
        <v>1609.5767195767198</v>
      </c>
      <c r="KX62" s="157">
        <f t="shared" si="233"/>
        <v>18790.351851851854</v>
      </c>
      <c r="KY62" s="161"/>
      <c r="KZ62" s="163">
        <v>681.08862433862441</v>
      </c>
      <c r="LA62" s="164">
        <v>666.2037037037037</v>
      </c>
      <c r="LB62" s="154">
        <v>804.78835978835991</v>
      </c>
      <c r="LC62" s="154">
        <v>804.78835978835991</v>
      </c>
      <c r="LD62" s="154">
        <v>804.78835978835991</v>
      </c>
      <c r="LE62" s="154">
        <v>804.78835978835991</v>
      </c>
      <c r="LF62" s="154">
        <v>804.78835978835991</v>
      </c>
      <c r="LG62" s="154">
        <v>804.78835978835991</v>
      </c>
      <c r="LH62" s="154">
        <v>804.78835978835991</v>
      </c>
      <c r="LI62" s="154">
        <v>804.78835978835991</v>
      </c>
      <c r="LJ62" s="154">
        <v>804.78835978835991</v>
      </c>
      <c r="LK62" s="154">
        <v>804.78835978835991</v>
      </c>
      <c r="LL62" s="157">
        <f t="shared" si="234"/>
        <v>9395.175925925927</v>
      </c>
      <c r="LM62" s="161"/>
      <c r="LN62" s="163">
        <v>0</v>
      </c>
      <c r="LO62" s="164">
        <v>0</v>
      </c>
      <c r="LP62" s="154">
        <v>0</v>
      </c>
      <c r="LQ62" s="154">
        <v>0</v>
      </c>
      <c r="LR62" s="154">
        <v>0</v>
      </c>
      <c r="LS62" s="154">
        <v>0</v>
      </c>
      <c r="LT62" s="154">
        <v>0</v>
      </c>
      <c r="LU62" s="154">
        <v>0</v>
      </c>
      <c r="LV62" s="154">
        <v>0</v>
      </c>
      <c r="LW62" s="154">
        <v>0</v>
      </c>
      <c r="LX62" s="154">
        <v>0</v>
      </c>
      <c r="LY62" s="154">
        <v>0</v>
      </c>
      <c r="LZ62" s="157">
        <f t="shared" si="235"/>
        <v>0</v>
      </c>
      <c r="MA62" s="161"/>
      <c r="MB62" s="157">
        <f t="shared" si="236"/>
        <v>101671.30297283725</v>
      </c>
      <c r="MC62" s="157">
        <f t="shared" si="236"/>
        <v>99230.175988710325</v>
      </c>
      <c r="MD62" s="157">
        <f t="shared" si="236"/>
        <v>121958.05958659394</v>
      </c>
      <c r="ME62" s="157">
        <f t="shared" si="236"/>
        <v>121958.05958659394</v>
      </c>
      <c r="MF62" s="157">
        <f t="shared" si="236"/>
        <v>121958.05958659394</v>
      </c>
      <c r="MG62" s="157">
        <f t="shared" si="236"/>
        <v>121958.05958659394</v>
      </c>
      <c r="MH62" s="157">
        <f t="shared" si="236"/>
        <v>121958.05958659394</v>
      </c>
      <c r="MI62" s="157">
        <f t="shared" si="236"/>
        <v>121958.05958659394</v>
      </c>
      <c r="MJ62" s="157">
        <f t="shared" si="236"/>
        <v>121958.05958659394</v>
      </c>
      <c r="MK62" s="157">
        <f t="shared" si="236"/>
        <v>121958.05958659394</v>
      </c>
      <c r="ML62" s="157">
        <f t="shared" si="236"/>
        <v>121958.05958659394</v>
      </c>
      <c r="MM62" s="157">
        <f t="shared" si="236"/>
        <v>121958.05958659394</v>
      </c>
      <c r="MN62" s="157">
        <f t="shared" si="239"/>
        <v>1420482.0748274866</v>
      </c>
    </row>
    <row r="63" spans="1:352" x14ac:dyDescent="0.25">
      <c r="A63" s="207" t="s">
        <v>213</v>
      </c>
      <c r="B63" s="64" t="s">
        <v>78</v>
      </c>
      <c r="C63" s="98"/>
      <c r="D63" s="163">
        <v>0</v>
      </c>
      <c r="E63" s="179">
        <v>0</v>
      </c>
      <c r="F63" s="179">
        <v>0</v>
      </c>
      <c r="G63" s="179">
        <v>0</v>
      </c>
      <c r="H63" s="179">
        <v>0</v>
      </c>
      <c r="I63" s="179">
        <v>0</v>
      </c>
      <c r="J63" s="179">
        <v>0</v>
      </c>
      <c r="K63" s="179">
        <v>0</v>
      </c>
      <c r="L63" s="179">
        <v>0</v>
      </c>
      <c r="M63" s="179">
        <v>0</v>
      </c>
      <c r="N63" s="179">
        <v>0</v>
      </c>
      <c r="O63" s="179">
        <v>0</v>
      </c>
      <c r="P63" s="157">
        <f t="shared" si="213"/>
        <v>0</v>
      </c>
      <c r="Q63" s="161"/>
      <c r="R63" s="163">
        <v>0</v>
      </c>
      <c r="S63" s="179">
        <v>0</v>
      </c>
      <c r="T63" s="179">
        <v>0</v>
      </c>
      <c r="U63" s="179">
        <v>0</v>
      </c>
      <c r="V63" s="179">
        <v>0</v>
      </c>
      <c r="W63" s="179">
        <v>0</v>
      </c>
      <c r="X63" s="179">
        <v>0</v>
      </c>
      <c r="Y63" s="179">
        <v>0</v>
      </c>
      <c r="Z63" s="179">
        <v>0</v>
      </c>
      <c r="AA63" s="179">
        <v>0</v>
      </c>
      <c r="AB63" s="179">
        <v>0</v>
      </c>
      <c r="AC63" s="179">
        <v>0</v>
      </c>
      <c r="AD63" s="157">
        <f t="shared" si="214"/>
        <v>0</v>
      </c>
      <c r="AE63" s="161"/>
      <c r="AF63" s="163">
        <v>0</v>
      </c>
      <c r="AG63" s="179">
        <v>0</v>
      </c>
      <c r="AH63" s="179">
        <v>0</v>
      </c>
      <c r="AI63" s="179">
        <v>0</v>
      </c>
      <c r="AJ63" s="179">
        <v>0</v>
      </c>
      <c r="AK63" s="179">
        <v>0</v>
      </c>
      <c r="AL63" s="179">
        <v>0</v>
      </c>
      <c r="AM63" s="179">
        <v>0</v>
      </c>
      <c r="AN63" s="179">
        <v>0</v>
      </c>
      <c r="AO63" s="179">
        <v>0</v>
      </c>
      <c r="AP63" s="179">
        <v>0</v>
      </c>
      <c r="AQ63" s="179">
        <v>0</v>
      </c>
      <c r="AR63" s="157">
        <f t="shared" si="215"/>
        <v>0</v>
      </c>
      <c r="AT63" s="163">
        <v>0</v>
      </c>
      <c r="AU63" s="179">
        <v>0</v>
      </c>
      <c r="AV63" s="179">
        <v>0</v>
      </c>
      <c r="AW63" s="179">
        <v>0</v>
      </c>
      <c r="AX63" s="179">
        <v>0</v>
      </c>
      <c r="AY63" s="179">
        <v>0</v>
      </c>
      <c r="AZ63" s="179">
        <v>0</v>
      </c>
      <c r="BA63" s="179">
        <v>0</v>
      </c>
      <c r="BB63" s="179">
        <v>0</v>
      </c>
      <c r="BC63" s="179">
        <v>0</v>
      </c>
      <c r="BD63" s="179">
        <v>0</v>
      </c>
      <c r="BE63" s="179">
        <v>0</v>
      </c>
      <c r="BF63" s="157">
        <f t="shared" si="216"/>
        <v>0</v>
      </c>
      <c r="BH63" s="163">
        <v>0</v>
      </c>
      <c r="BI63" s="164">
        <v>0</v>
      </c>
      <c r="BJ63" s="154">
        <v>0</v>
      </c>
      <c r="BK63" s="154">
        <v>0</v>
      </c>
      <c r="BL63" s="154">
        <v>0</v>
      </c>
      <c r="BM63" s="154">
        <v>0</v>
      </c>
      <c r="BN63" s="154">
        <v>0</v>
      </c>
      <c r="BO63" s="154">
        <v>0</v>
      </c>
      <c r="BP63" s="154">
        <v>0</v>
      </c>
      <c r="BQ63" s="154">
        <v>0</v>
      </c>
      <c r="BR63" s="154">
        <v>0</v>
      </c>
      <c r="BS63" s="154">
        <v>0</v>
      </c>
      <c r="BT63" s="157">
        <f t="shared" si="217"/>
        <v>0</v>
      </c>
      <c r="BV63" s="163">
        <v>0</v>
      </c>
      <c r="BW63" s="164">
        <v>0</v>
      </c>
      <c r="BX63" s="154">
        <v>0</v>
      </c>
      <c r="BY63" s="154">
        <v>0</v>
      </c>
      <c r="BZ63" s="154">
        <v>0</v>
      </c>
      <c r="CA63" s="154">
        <v>0</v>
      </c>
      <c r="CB63" s="154">
        <v>0</v>
      </c>
      <c r="CC63" s="154">
        <v>0</v>
      </c>
      <c r="CD63" s="154">
        <v>0</v>
      </c>
      <c r="CE63" s="154">
        <v>0</v>
      </c>
      <c r="CF63" s="154">
        <v>0</v>
      </c>
      <c r="CG63" s="154">
        <v>0</v>
      </c>
      <c r="CH63" s="157">
        <f t="shared" si="218"/>
        <v>0</v>
      </c>
      <c r="CI63" s="161"/>
      <c r="CJ63" s="163">
        <v>0</v>
      </c>
      <c r="CK63" s="164">
        <v>0</v>
      </c>
      <c r="CL63" s="154">
        <v>0</v>
      </c>
      <c r="CM63" s="154">
        <v>0</v>
      </c>
      <c r="CN63" s="154">
        <v>0</v>
      </c>
      <c r="CO63" s="154">
        <v>0</v>
      </c>
      <c r="CP63" s="154">
        <v>0</v>
      </c>
      <c r="CQ63" s="154">
        <v>0</v>
      </c>
      <c r="CR63" s="154">
        <v>0</v>
      </c>
      <c r="CS63" s="154">
        <v>0</v>
      </c>
      <c r="CT63" s="154">
        <v>0</v>
      </c>
      <c r="CU63" s="154">
        <v>0</v>
      </c>
      <c r="CV63" s="157">
        <f t="shared" si="219"/>
        <v>0</v>
      </c>
      <c r="CW63" s="161"/>
      <c r="CX63" s="163">
        <v>0</v>
      </c>
      <c r="CY63" s="164">
        <v>0</v>
      </c>
      <c r="CZ63" s="154">
        <v>0</v>
      </c>
      <c r="DA63" s="154">
        <v>0</v>
      </c>
      <c r="DB63" s="154">
        <v>0</v>
      </c>
      <c r="DC63" s="154">
        <v>0</v>
      </c>
      <c r="DD63" s="154">
        <v>0</v>
      </c>
      <c r="DE63" s="154">
        <v>0</v>
      </c>
      <c r="DF63" s="154">
        <v>0</v>
      </c>
      <c r="DG63" s="154">
        <v>0</v>
      </c>
      <c r="DH63" s="154">
        <v>0</v>
      </c>
      <c r="DI63" s="154">
        <v>0</v>
      </c>
      <c r="DJ63" s="157">
        <f t="shared" si="220"/>
        <v>0</v>
      </c>
      <c r="DK63" s="161"/>
      <c r="DL63" s="163">
        <v>0</v>
      </c>
      <c r="DM63" s="164">
        <v>0</v>
      </c>
      <c r="DN63" s="154">
        <v>0</v>
      </c>
      <c r="DO63" s="154">
        <v>0</v>
      </c>
      <c r="DP63" s="154">
        <v>0</v>
      </c>
      <c r="DQ63" s="154">
        <v>0</v>
      </c>
      <c r="DR63" s="154">
        <v>0</v>
      </c>
      <c r="DS63" s="154">
        <v>0</v>
      </c>
      <c r="DT63" s="154">
        <v>0</v>
      </c>
      <c r="DU63" s="154">
        <v>0</v>
      </c>
      <c r="DV63" s="154">
        <v>0</v>
      </c>
      <c r="DW63" s="154">
        <v>0</v>
      </c>
      <c r="DX63" s="157">
        <f t="shared" si="221"/>
        <v>0</v>
      </c>
      <c r="DY63" s="161"/>
      <c r="DZ63" s="163">
        <v>0</v>
      </c>
      <c r="EA63" s="164">
        <v>0</v>
      </c>
      <c r="EB63" s="154">
        <v>0</v>
      </c>
      <c r="EC63" s="154">
        <v>0</v>
      </c>
      <c r="ED63" s="154">
        <v>0</v>
      </c>
      <c r="EE63" s="154">
        <v>0</v>
      </c>
      <c r="EF63" s="154">
        <v>0</v>
      </c>
      <c r="EG63" s="154">
        <v>0</v>
      </c>
      <c r="EH63" s="154">
        <v>0</v>
      </c>
      <c r="EI63" s="154">
        <v>0</v>
      </c>
      <c r="EJ63" s="154">
        <v>0</v>
      </c>
      <c r="EK63" s="154">
        <v>0</v>
      </c>
      <c r="EL63" s="157">
        <f t="shared" si="222"/>
        <v>0</v>
      </c>
      <c r="EM63" s="161"/>
      <c r="EN63" s="163">
        <v>0</v>
      </c>
      <c r="EO63" s="164">
        <v>0</v>
      </c>
      <c r="EP63" s="154">
        <v>0</v>
      </c>
      <c r="EQ63" s="154">
        <v>0</v>
      </c>
      <c r="ER63" s="154">
        <v>0</v>
      </c>
      <c r="ES63" s="154">
        <v>0</v>
      </c>
      <c r="ET63" s="154">
        <v>0</v>
      </c>
      <c r="EU63" s="154">
        <v>0</v>
      </c>
      <c r="EV63" s="154">
        <v>0</v>
      </c>
      <c r="EW63" s="154">
        <v>0</v>
      </c>
      <c r="EX63" s="154">
        <v>0</v>
      </c>
      <c r="EY63" s="154">
        <v>0</v>
      </c>
      <c r="EZ63" s="157">
        <f t="shared" si="223"/>
        <v>0</v>
      </c>
      <c r="FA63" s="161"/>
      <c r="FB63" s="163">
        <v>0</v>
      </c>
      <c r="FC63" s="164">
        <v>0</v>
      </c>
      <c r="FD63" s="154">
        <v>0</v>
      </c>
      <c r="FE63" s="154">
        <v>0</v>
      </c>
      <c r="FF63" s="154">
        <v>0</v>
      </c>
      <c r="FG63" s="154">
        <v>0</v>
      </c>
      <c r="FH63" s="154">
        <v>0</v>
      </c>
      <c r="FI63" s="154">
        <v>0</v>
      </c>
      <c r="FJ63" s="154">
        <v>0</v>
      </c>
      <c r="FK63" s="154">
        <v>0</v>
      </c>
      <c r="FL63" s="154">
        <v>0</v>
      </c>
      <c r="FM63" s="154">
        <v>0</v>
      </c>
      <c r="FN63" s="157">
        <f t="shared" si="224"/>
        <v>0</v>
      </c>
      <c r="FO63" s="161"/>
      <c r="FP63" s="163">
        <v>0</v>
      </c>
      <c r="FQ63" s="164">
        <v>0</v>
      </c>
      <c r="FR63" s="154">
        <v>0</v>
      </c>
      <c r="FS63" s="154">
        <v>0</v>
      </c>
      <c r="FT63" s="154">
        <v>0</v>
      </c>
      <c r="FU63" s="154">
        <v>0</v>
      </c>
      <c r="FV63" s="154">
        <v>0</v>
      </c>
      <c r="FW63" s="154">
        <v>0</v>
      </c>
      <c r="FX63" s="154">
        <v>0</v>
      </c>
      <c r="FY63" s="154">
        <v>0</v>
      </c>
      <c r="FZ63" s="154">
        <v>0</v>
      </c>
      <c r="GA63" s="154">
        <v>0</v>
      </c>
      <c r="GB63" s="157">
        <f t="shared" si="225"/>
        <v>0</v>
      </c>
      <c r="GC63" s="161"/>
      <c r="GD63" s="163">
        <v>0</v>
      </c>
      <c r="GE63" s="164">
        <v>0</v>
      </c>
      <c r="GF63" s="154">
        <v>0</v>
      </c>
      <c r="GG63" s="154">
        <v>0</v>
      </c>
      <c r="GH63" s="154">
        <v>0</v>
      </c>
      <c r="GI63" s="154">
        <v>0</v>
      </c>
      <c r="GJ63" s="154">
        <v>0</v>
      </c>
      <c r="GK63" s="154">
        <v>0</v>
      </c>
      <c r="GL63" s="154">
        <v>0</v>
      </c>
      <c r="GM63" s="154">
        <v>0</v>
      </c>
      <c r="GN63" s="154">
        <v>0</v>
      </c>
      <c r="GO63" s="154">
        <v>0</v>
      </c>
      <c r="GP63" s="157">
        <f t="shared" si="226"/>
        <v>0</v>
      </c>
      <c r="GQ63" s="161"/>
      <c r="GR63" s="163">
        <v>0</v>
      </c>
      <c r="GS63" s="164">
        <v>0</v>
      </c>
      <c r="GT63" s="154">
        <v>0</v>
      </c>
      <c r="GU63" s="154">
        <v>0</v>
      </c>
      <c r="GV63" s="154">
        <v>0</v>
      </c>
      <c r="GW63" s="154">
        <v>0</v>
      </c>
      <c r="GX63" s="154">
        <v>0</v>
      </c>
      <c r="GY63" s="154">
        <v>0</v>
      </c>
      <c r="GZ63" s="154">
        <v>0</v>
      </c>
      <c r="HA63" s="154">
        <v>0</v>
      </c>
      <c r="HB63" s="154">
        <v>0</v>
      </c>
      <c r="HC63" s="154">
        <v>0</v>
      </c>
      <c r="HD63" s="157">
        <f t="shared" si="238"/>
        <v>0</v>
      </c>
      <c r="HE63" s="161"/>
      <c r="HF63" s="163">
        <v>0</v>
      </c>
      <c r="HG63" s="164">
        <v>0</v>
      </c>
      <c r="HH63" s="154">
        <v>0</v>
      </c>
      <c r="HI63" s="154">
        <v>0</v>
      </c>
      <c r="HJ63" s="154">
        <v>0</v>
      </c>
      <c r="HK63" s="154">
        <v>0</v>
      </c>
      <c r="HL63" s="154">
        <v>0</v>
      </c>
      <c r="HM63" s="154">
        <v>0</v>
      </c>
      <c r="HN63" s="154">
        <v>0</v>
      </c>
      <c r="HO63" s="154">
        <v>0</v>
      </c>
      <c r="HP63" s="154">
        <v>0</v>
      </c>
      <c r="HQ63" s="154">
        <v>0</v>
      </c>
      <c r="HR63" s="157">
        <f t="shared" si="227"/>
        <v>0</v>
      </c>
      <c r="HS63" s="161"/>
      <c r="HT63" s="163">
        <v>0</v>
      </c>
      <c r="HU63" s="164">
        <v>0</v>
      </c>
      <c r="HV63" s="154">
        <v>0</v>
      </c>
      <c r="HW63" s="154">
        <v>0</v>
      </c>
      <c r="HX63" s="154">
        <v>0</v>
      </c>
      <c r="HY63" s="154">
        <v>0</v>
      </c>
      <c r="HZ63" s="154">
        <v>0</v>
      </c>
      <c r="IA63" s="154">
        <v>0</v>
      </c>
      <c r="IB63" s="154">
        <v>0</v>
      </c>
      <c r="IC63" s="154">
        <v>0</v>
      </c>
      <c r="ID63" s="154">
        <v>0</v>
      </c>
      <c r="IE63" s="154">
        <v>0</v>
      </c>
      <c r="IF63" s="157">
        <f t="shared" si="228"/>
        <v>0</v>
      </c>
      <c r="IG63" s="161"/>
      <c r="IH63" s="163">
        <v>0</v>
      </c>
      <c r="II63" s="164">
        <v>0</v>
      </c>
      <c r="IJ63" s="154">
        <v>0</v>
      </c>
      <c r="IK63" s="154">
        <v>0</v>
      </c>
      <c r="IL63" s="154">
        <v>0</v>
      </c>
      <c r="IM63" s="154">
        <v>0</v>
      </c>
      <c r="IN63" s="154">
        <v>0</v>
      </c>
      <c r="IO63" s="154">
        <v>0</v>
      </c>
      <c r="IP63" s="154">
        <v>0</v>
      </c>
      <c r="IQ63" s="154">
        <v>0</v>
      </c>
      <c r="IR63" s="154">
        <v>0</v>
      </c>
      <c r="IS63" s="154">
        <v>0</v>
      </c>
      <c r="IT63" s="157">
        <f t="shared" si="229"/>
        <v>0</v>
      </c>
      <c r="IU63" s="161"/>
      <c r="IV63" s="163">
        <v>0</v>
      </c>
      <c r="IW63" s="164">
        <v>0</v>
      </c>
      <c r="IX63" s="154">
        <v>0</v>
      </c>
      <c r="IY63" s="154">
        <v>0</v>
      </c>
      <c r="IZ63" s="154">
        <v>0</v>
      </c>
      <c r="JA63" s="154">
        <v>0</v>
      </c>
      <c r="JB63" s="154">
        <v>0</v>
      </c>
      <c r="JC63" s="154">
        <v>0</v>
      </c>
      <c r="JD63" s="154">
        <v>0</v>
      </c>
      <c r="JE63" s="154">
        <v>0</v>
      </c>
      <c r="JF63" s="154">
        <v>0</v>
      </c>
      <c r="JG63" s="154">
        <v>0</v>
      </c>
      <c r="JH63" s="157">
        <f t="shared" si="230"/>
        <v>0</v>
      </c>
      <c r="JI63" s="161"/>
      <c r="JJ63" s="163">
        <v>0</v>
      </c>
      <c r="JK63" s="164">
        <v>0</v>
      </c>
      <c r="JL63" s="154">
        <v>0</v>
      </c>
      <c r="JM63" s="154">
        <v>0</v>
      </c>
      <c r="JN63" s="154">
        <v>0</v>
      </c>
      <c r="JO63" s="154">
        <v>0</v>
      </c>
      <c r="JP63" s="154">
        <v>0</v>
      </c>
      <c r="JQ63" s="154">
        <v>0</v>
      </c>
      <c r="JR63" s="154">
        <v>0</v>
      </c>
      <c r="JS63" s="154">
        <v>0</v>
      </c>
      <c r="JT63" s="154">
        <v>0</v>
      </c>
      <c r="JU63" s="154">
        <v>0</v>
      </c>
      <c r="JV63" s="157">
        <f t="shared" si="231"/>
        <v>0</v>
      </c>
      <c r="JW63" s="161"/>
      <c r="JX63" s="163">
        <v>0</v>
      </c>
      <c r="JY63" s="164">
        <v>0</v>
      </c>
      <c r="JZ63" s="154">
        <v>0</v>
      </c>
      <c r="KA63" s="154">
        <v>0</v>
      </c>
      <c r="KB63" s="154">
        <v>0</v>
      </c>
      <c r="KC63" s="154">
        <v>0</v>
      </c>
      <c r="KD63" s="154">
        <v>0</v>
      </c>
      <c r="KE63" s="154">
        <v>0</v>
      </c>
      <c r="KF63" s="154">
        <v>0</v>
      </c>
      <c r="KG63" s="154">
        <v>0</v>
      </c>
      <c r="KH63" s="154">
        <v>0</v>
      </c>
      <c r="KI63" s="154">
        <v>0</v>
      </c>
      <c r="KJ63" s="157">
        <f t="shared" si="232"/>
        <v>0</v>
      </c>
      <c r="KK63" s="161"/>
      <c r="KL63" s="163">
        <v>0</v>
      </c>
      <c r="KM63" s="164">
        <v>0</v>
      </c>
      <c r="KN63" s="154">
        <v>0</v>
      </c>
      <c r="KO63" s="154">
        <v>0</v>
      </c>
      <c r="KP63" s="154">
        <v>0</v>
      </c>
      <c r="KQ63" s="154">
        <v>0</v>
      </c>
      <c r="KR63" s="154">
        <v>0</v>
      </c>
      <c r="KS63" s="154">
        <v>0</v>
      </c>
      <c r="KT63" s="154">
        <v>0</v>
      </c>
      <c r="KU63" s="154">
        <v>0</v>
      </c>
      <c r="KV63" s="154">
        <v>0</v>
      </c>
      <c r="KW63" s="154">
        <v>0</v>
      </c>
      <c r="KX63" s="157">
        <f t="shared" si="233"/>
        <v>0</v>
      </c>
      <c r="KY63" s="161"/>
      <c r="KZ63" s="163">
        <v>0</v>
      </c>
      <c r="LA63" s="164">
        <v>0</v>
      </c>
      <c r="LB63" s="154">
        <v>0</v>
      </c>
      <c r="LC63" s="154">
        <v>0</v>
      </c>
      <c r="LD63" s="154">
        <v>0</v>
      </c>
      <c r="LE63" s="154">
        <v>0</v>
      </c>
      <c r="LF63" s="154">
        <v>0</v>
      </c>
      <c r="LG63" s="154">
        <v>0</v>
      </c>
      <c r="LH63" s="154">
        <v>0</v>
      </c>
      <c r="LI63" s="154">
        <v>0</v>
      </c>
      <c r="LJ63" s="154">
        <v>0</v>
      </c>
      <c r="LK63" s="154">
        <v>0</v>
      </c>
      <c r="LL63" s="157">
        <f t="shared" si="234"/>
        <v>0</v>
      </c>
      <c r="LM63" s="161"/>
      <c r="LN63" s="163">
        <v>0</v>
      </c>
      <c r="LO63" s="164">
        <v>0</v>
      </c>
      <c r="LP63" s="154">
        <v>0</v>
      </c>
      <c r="LQ63" s="154">
        <v>0</v>
      </c>
      <c r="LR63" s="154">
        <v>0</v>
      </c>
      <c r="LS63" s="154">
        <v>0</v>
      </c>
      <c r="LT63" s="154">
        <v>0</v>
      </c>
      <c r="LU63" s="154">
        <v>0</v>
      </c>
      <c r="LV63" s="154">
        <v>0</v>
      </c>
      <c r="LW63" s="154">
        <v>0</v>
      </c>
      <c r="LX63" s="154">
        <v>0</v>
      </c>
      <c r="LY63" s="154">
        <v>0</v>
      </c>
      <c r="LZ63" s="157">
        <f t="shared" si="235"/>
        <v>0</v>
      </c>
      <c r="MA63" s="161"/>
      <c r="MB63" s="157">
        <f t="shared" si="236"/>
        <v>0</v>
      </c>
      <c r="MC63" s="157">
        <f t="shared" si="236"/>
        <v>0</v>
      </c>
      <c r="MD63" s="157">
        <f t="shared" si="236"/>
        <v>0</v>
      </c>
      <c r="ME63" s="157">
        <f t="shared" si="236"/>
        <v>0</v>
      </c>
      <c r="MF63" s="157">
        <f t="shared" si="236"/>
        <v>0</v>
      </c>
      <c r="MG63" s="157">
        <f t="shared" si="236"/>
        <v>0</v>
      </c>
      <c r="MH63" s="157">
        <f t="shared" si="236"/>
        <v>0</v>
      </c>
      <c r="MI63" s="157">
        <f t="shared" si="236"/>
        <v>0</v>
      </c>
      <c r="MJ63" s="157">
        <f t="shared" si="236"/>
        <v>0</v>
      </c>
      <c r="MK63" s="157">
        <f t="shared" si="236"/>
        <v>0</v>
      </c>
      <c r="ML63" s="157">
        <f t="shared" si="236"/>
        <v>0</v>
      </c>
      <c r="MM63" s="157">
        <f t="shared" si="236"/>
        <v>0</v>
      </c>
      <c r="MN63" s="157">
        <f t="shared" si="239"/>
        <v>0</v>
      </c>
    </row>
    <row r="64" spans="1:352" s="201" customFormat="1" x14ac:dyDescent="0.25">
      <c r="A64" s="98"/>
      <c r="B64" s="64" t="s">
        <v>79</v>
      </c>
      <c r="C64" s="98"/>
      <c r="D64" s="163">
        <v>2071.4285714285716</v>
      </c>
      <c r="E64" s="208">
        <v>2071.4285714285716</v>
      </c>
      <c r="F64" s="208">
        <v>2071.4285714285716</v>
      </c>
      <c r="G64" s="208">
        <v>2071.4285714285716</v>
      </c>
      <c r="H64" s="208">
        <v>2071.4285714285716</v>
      </c>
      <c r="I64" s="208">
        <v>2071.4285714285716</v>
      </c>
      <c r="J64" s="208">
        <v>2071.4285714285716</v>
      </c>
      <c r="K64" s="208">
        <v>2071.4285714285716</v>
      </c>
      <c r="L64" s="208">
        <v>2071.4285714285716</v>
      </c>
      <c r="M64" s="208">
        <v>2071.4285714285716</v>
      </c>
      <c r="N64" s="208">
        <v>2071.4285714285716</v>
      </c>
      <c r="O64" s="208">
        <v>1611.1111111111111</v>
      </c>
      <c r="P64" s="200">
        <f t="shared" si="213"/>
        <v>24396.825396825403</v>
      </c>
      <c r="Q64" s="161"/>
      <c r="R64" s="163">
        <v>214.28571428571428</v>
      </c>
      <c r="S64" s="208">
        <v>214.28571428571428</v>
      </c>
      <c r="T64" s="208">
        <v>214.28571428571428</v>
      </c>
      <c r="U64" s="208">
        <v>214.28571428571428</v>
      </c>
      <c r="V64" s="208">
        <v>214.28571428571428</v>
      </c>
      <c r="W64" s="208">
        <v>214.28571428571428</v>
      </c>
      <c r="X64" s="208">
        <v>214.28571428571428</v>
      </c>
      <c r="Y64" s="208">
        <v>214.28571428571428</v>
      </c>
      <c r="Z64" s="208">
        <v>214.28571428571428</v>
      </c>
      <c r="AA64" s="208">
        <v>214.28571428571428</v>
      </c>
      <c r="AB64" s="208">
        <v>214.28571428571428</v>
      </c>
      <c r="AC64" s="208">
        <v>166.66666666666669</v>
      </c>
      <c r="AD64" s="200">
        <f t="shared" si="214"/>
        <v>2523.8095238095234</v>
      </c>
      <c r="AE64" s="209"/>
      <c r="AF64" s="163">
        <v>214.28571428571428</v>
      </c>
      <c r="AG64" s="208">
        <v>214.28571428571428</v>
      </c>
      <c r="AH64" s="208">
        <v>214.28571428571428</v>
      </c>
      <c r="AI64" s="208">
        <v>214.28571428571428</v>
      </c>
      <c r="AJ64" s="208">
        <v>214.28571428571428</v>
      </c>
      <c r="AK64" s="208">
        <v>214.28571428571428</v>
      </c>
      <c r="AL64" s="208">
        <v>214.28571428571428</v>
      </c>
      <c r="AM64" s="208">
        <v>214.28571428571428</v>
      </c>
      <c r="AN64" s="208">
        <v>214.28571428571428</v>
      </c>
      <c r="AO64" s="208">
        <v>214.28571428571428</v>
      </c>
      <c r="AP64" s="208">
        <v>214.28571428571428</v>
      </c>
      <c r="AQ64" s="208">
        <v>166.66666666666669</v>
      </c>
      <c r="AR64" s="200">
        <f t="shared" si="215"/>
        <v>2523.8095238095234</v>
      </c>
      <c r="AS64" s="161"/>
      <c r="AT64" s="163">
        <v>142.85714285714286</v>
      </c>
      <c r="AU64" s="208">
        <v>142.85714285714286</v>
      </c>
      <c r="AV64" s="208">
        <v>142.85714285714286</v>
      </c>
      <c r="AW64" s="208">
        <v>142.85714285714286</v>
      </c>
      <c r="AX64" s="208">
        <v>142.85714285714286</v>
      </c>
      <c r="AY64" s="208">
        <v>142.85714285714286</v>
      </c>
      <c r="AZ64" s="208">
        <v>142.85714285714286</v>
      </c>
      <c r="BA64" s="208">
        <v>142.85714285714286</v>
      </c>
      <c r="BB64" s="208">
        <v>142.85714285714286</v>
      </c>
      <c r="BC64" s="208">
        <v>142.85714285714286</v>
      </c>
      <c r="BD64" s="208">
        <v>142.85714285714286</v>
      </c>
      <c r="BE64" s="208">
        <v>111.11111111111111</v>
      </c>
      <c r="BF64" s="200">
        <f t="shared" si="216"/>
        <v>1682.5396825396826</v>
      </c>
      <c r="BG64" s="176"/>
      <c r="BH64" s="163">
        <v>1071.4285714285716</v>
      </c>
      <c r="BI64" s="164">
        <v>1071.4285714285716</v>
      </c>
      <c r="BJ64" s="154">
        <v>1071.4285714285716</v>
      </c>
      <c r="BK64" s="154">
        <v>1071.4285714285716</v>
      </c>
      <c r="BL64" s="154">
        <v>1071.4285714285716</v>
      </c>
      <c r="BM64" s="154">
        <v>1071.4285714285716</v>
      </c>
      <c r="BN64" s="154">
        <v>1071.4285714285716</v>
      </c>
      <c r="BO64" s="154">
        <v>1071.4285714285716</v>
      </c>
      <c r="BP64" s="154">
        <v>1071.4285714285716</v>
      </c>
      <c r="BQ64" s="154">
        <v>1071.4285714285716</v>
      </c>
      <c r="BR64" s="154">
        <v>1071.4285714285716</v>
      </c>
      <c r="BS64" s="154">
        <v>833.33333333333337</v>
      </c>
      <c r="BT64" s="200">
        <f t="shared" si="217"/>
        <v>12619.047619047624</v>
      </c>
      <c r="BU64" s="161"/>
      <c r="BV64" s="163">
        <v>71.428571428571431</v>
      </c>
      <c r="BW64" s="164">
        <v>71.428571428571431</v>
      </c>
      <c r="BX64" s="154">
        <v>71.428571428571431</v>
      </c>
      <c r="BY64" s="154">
        <v>71.428571428571431</v>
      </c>
      <c r="BZ64" s="154">
        <v>71.428571428571431</v>
      </c>
      <c r="CA64" s="154">
        <v>71.428571428571431</v>
      </c>
      <c r="CB64" s="154">
        <v>71.428571428571431</v>
      </c>
      <c r="CC64" s="154">
        <v>71.428571428571431</v>
      </c>
      <c r="CD64" s="154">
        <v>71.428571428571431</v>
      </c>
      <c r="CE64" s="154">
        <v>71.428571428571431</v>
      </c>
      <c r="CF64" s="154">
        <v>71.428571428571431</v>
      </c>
      <c r="CG64" s="154">
        <v>55.555555555555557</v>
      </c>
      <c r="CH64" s="200">
        <f t="shared" si="218"/>
        <v>841.26984126984132</v>
      </c>
      <c r="CI64" s="209"/>
      <c r="CJ64" s="163">
        <v>785.71428571428578</v>
      </c>
      <c r="CK64" s="164">
        <v>785.71428571428578</v>
      </c>
      <c r="CL64" s="154">
        <v>785.71428571428578</v>
      </c>
      <c r="CM64" s="154">
        <v>785.71428571428578</v>
      </c>
      <c r="CN64" s="154">
        <v>785.71428571428578</v>
      </c>
      <c r="CO64" s="154">
        <v>785.71428571428578</v>
      </c>
      <c r="CP64" s="154">
        <v>785.71428571428578</v>
      </c>
      <c r="CQ64" s="154">
        <v>785.71428571428578</v>
      </c>
      <c r="CR64" s="154">
        <v>785.71428571428578</v>
      </c>
      <c r="CS64" s="154">
        <v>785.71428571428578</v>
      </c>
      <c r="CT64" s="154">
        <v>785.71428571428578</v>
      </c>
      <c r="CU64" s="154">
        <v>611.11111111111109</v>
      </c>
      <c r="CV64" s="200">
        <f t="shared" si="219"/>
        <v>9253.9682539682562</v>
      </c>
      <c r="CW64" s="209"/>
      <c r="CX64" s="163">
        <v>2000</v>
      </c>
      <c r="CY64" s="164">
        <v>2000</v>
      </c>
      <c r="CZ64" s="154">
        <v>2000</v>
      </c>
      <c r="DA64" s="154">
        <v>2000</v>
      </c>
      <c r="DB64" s="154">
        <v>2000</v>
      </c>
      <c r="DC64" s="154">
        <v>2000</v>
      </c>
      <c r="DD64" s="154">
        <v>2000</v>
      </c>
      <c r="DE64" s="154">
        <v>2000</v>
      </c>
      <c r="DF64" s="154">
        <v>2000</v>
      </c>
      <c r="DG64" s="154">
        <v>2000</v>
      </c>
      <c r="DH64" s="154">
        <v>2000</v>
      </c>
      <c r="DI64" s="154">
        <v>1555.5555555555557</v>
      </c>
      <c r="DJ64" s="200">
        <f t="shared" si="220"/>
        <v>23555.555555555555</v>
      </c>
      <c r="DK64" s="161"/>
      <c r="DL64" s="163">
        <v>2000</v>
      </c>
      <c r="DM64" s="164">
        <v>2000</v>
      </c>
      <c r="DN64" s="154">
        <v>2000</v>
      </c>
      <c r="DO64" s="154">
        <v>2000</v>
      </c>
      <c r="DP64" s="154">
        <v>2000</v>
      </c>
      <c r="DQ64" s="154">
        <v>2000</v>
      </c>
      <c r="DR64" s="154">
        <v>2000</v>
      </c>
      <c r="DS64" s="154">
        <v>2000</v>
      </c>
      <c r="DT64" s="154">
        <v>2000</v>
      </c>
      <c r="DU64" s="154">
        <v>2000</v>
      </c>
      <c r="DV64" s="154">
        <v>2000</v>
      </c>
      <c r="DW64" s="154">
        <v>1555.5555555555557</v>
      </c>
      <c r="DX64" s="200">
        <f t="shared" si="221"/>
        <v>23555.555555555555</v>
      </c>
      <c r="DY64" s="161"/>
      <c r="DZ64" s="163">
        <v>71.428571428571431</v>
      </c>
      <c r="EA64" s="164">
        <v>71.428571428571431</v>
      </c>
      <c r="EB64" s="154">
        <v>71.428571428571431</v>
      </c>
      <c r="EC64" s="154">
        <v>71.428571428571431</v>
      </c>
      <c r="ED64" s="154">
        <v>71.428571428571431</v>
      </c>
      <c r="EE64" s="154">
        <v>71.428571428571431</v>
      </c>
      <c r="EF64" s="154">
        <v>71.428571428571431</v>
      </c>
      <c r="EG64" s="154">
        <v>71.428571428571431</v>
      </c>
      <c r="EH64" s="154">
        <v>71.428571428571431</v>
      </c>
      <c r="EI64" s="154">
        <v>71.428571428571431</v>
      </c>
      <c r="EJ64" s="154">
        <v>71.428571428571431</v>
      </c>
      <c r="EK64" s="154">
        <v>55.555555555555557</v>
      </c>
      <c r="EL64" s="200">
        <f t="shared" si="222"/>
        <v>841.26984126984132</v>
      </c>
      <c r="EM64" s="161"/>
      <c r="EN64" s="163">
        <v>142.85714285714286</v>
      </c>
      <c r="EO64" s="164">
        <v>142.85714285714286</v>
      </c>
      <c r="EP64" s="154">
        <v>142.85714285714286</v>
      </c>
      <c r="EQ64" s="154">
        <v>142.85714285714286</v>
      </c>
      <c r="ER64" s="154">
        <v>142.85714285714286</v>
      </c>
      <c r="ES64" s="154">
        <v>142.85714285714286</v>
      </c>
      <c r="ET64" s="154">
        <v>142.85714285714286</v>
      </c>
      <c r="EU64" s="154">
        <v>142.85714285714286</v>
      </c>
      <c r="EV64" s="154">
        <v>142.85714285714286</v>
      </c>
      <c r="EW64" s="154">
        <v>142.85714285714286</v>
      </c>
      <c r="EX64" s="154">
        <v>142.85714285714286</v>
      </c>
      <c r="EY64" s="154">
        <v>111.11111111111111</v>
      </c>
      <c r="EZ64" s="200">
        <f t="shared" si="223"/>
        <v>1682.5396825396826</v>
      </c>
      <c r="FA64" s="161"/>
      <c r="FB64" s="163">
        <v>71.428571428571431</v>
      </c>
      <c r="FC64" s="164">
        <v>71.428571428571431</v>
      </c>
      <c r="FD64" s="154">
        <v>71.428571428571431</v>
      </c>
      <c r="FE64" s="154">
        <v>71.428571428571431</v>
      </c>
      <c r="FF64" s="154">
        <v>71.428571428571431</v>
      </c>
      <c r="FG64" s="154">
        <v>71.428571428571431</v>
      </c>
      <c r="FH64" s="154">
        <v>71.428571428571431</v>
      </c>
      <c r="FI64" s="154">
        <v>71.428571428571431</v>
      </c>
      <c r="FJ64" s="154">
        <v>71.428571428571431</v>
      </c>
      <c r="FK64" s="154">
        <v>71.428571428571431</v>
      </c>
      <c r="FL64" s="154">
        <v>71.428571428571431</v>
      </c>
      <c r="FM64" s="154">
        <v>55.555555555555557</v>
      </c>
      <c r="FN64" s="200">
        <f t="shared" si="224"/>
        <v>841.26984126984132</v>
      </c>
      <c r="FO64" s="161"/>
      <c r="FP64" s="163">
        <v>500</v>
      </c>
      <c r="FQ64" s="164">
        <v>500</v>
      </c>
      <c r="FR64" s="154">
        <v>500</v>
      </c>
      <c r="FS64" s="154">
        <v>500</v>
      </c>
      <c r="FT64" s="154">
        <v>500</v>
      </c>
      <c r="FU64" s="154">
        <v>500</v>
      </c>
      <c r="FV64" s="154">
        <v>500</v>
      </c>
      <c r="FW64" s="154">
        <v>500</v>
      </c>
      <c r="FX64" s="154">
        <v>500</v>
      </c>
      <c r="FY64" s="154">
        <v>500</v>
      </c>
      <c r="FZ64" s="154">
        <v>500</v>
      </c>
      <c r="GA64" s="154">
        <v>388.88888888888891</v>
      </c>
      <c r="GB64" s="200">
        <f t="shared" si="225"/>
        <v>5888.8888888888887</v>
      </c>
      <c r="GC64" s="161"/>
      <c r="GD64" s="163">
        <v>71.428571428571431</v>
      </c>
      <c r="GE64" s="164">
        <v>71.428571428571431</v>
      </c>
      <c r="GF64" s="154">
        <v>71.428571428571431</v>
      </c>
      <c r="GG64" s="154">
        <v>71.428571428571431</v>
      </c>
      <c r="GH64" s="154">
        <v>71.428571428571431</v>
      </c>
      <c r="GI64" s="154">
        <v>71.428571428571431</v>
      </c>
      <c r="GJ64" s="154">
        <v>71.428571428571431</v>
      </c>
      <c r="GK64" s="154">
        <v>71.428571428571431</v>
      </c>
      <c r="GL64" s="154">
        <v>71.428571428571431</v>
      </c>
      <c r="GM64" s="154">
        <v>71.428571428571431</v>
      </c>
      <c r="GN64" s="154">
        <v>71.428571428571431</v>
      </c>
      <c r="GO64" s="154">
        <v>55.555555555555557</v>
      </c>
      <c r="GP64" s="200">
        <f t="shared" si="226"/>
        <v>841.26984126984132</v>
      </c>
      <c r="GQ64" s="161"/>
      <c r="GR64" s="163">
        <v>0</v>
      </c>
      <c r="GS64" s="164">
        <v>0</v>
      </c>
      <c r="GT64" s="154">
        <v>4000</v>
      </c>
      <c r="GU64" s="154">
        <v>4000</v>
      </c>
      <c r="GV64" s="154">
        <v>4000</v>
      </c>
      <c r="GW64" s="154">
        <v>4000</v>
      </c>
      <c r="GX64" s="154">
        <v>4000</v>
      </c>
      <c r="GY64" s="154">
        <v>4000</v>
      </c>
      <c r="GZ64" s="154">
        <v>4000</v>
      </c>
      <c r="HA64" s="154">
        <v>4000</v>
      </c>
      <c r="HB64" s="154">
        <v>4000</v>
      </c>
      <c r="HC64" s="154">
        <v>4000</v>
      </c>
      <c r="HD64" s="200">
        <f t="shared" si="238"/>
        <v>0</v>
      </c>
      <c r="HE64" s="161"/>
      <c r="HF64" s="163">
        <v>285.71428571428572</v>
      </c>
      <c r="HG64" s="164">
        <v>285.71428571428572</v>
      </c>
      <c r="HH64" s="154">
        <v>285.71428571428572</v>
      </c>
      <c r="HI64" s="154">
        <v>285.71428571428572</v>
      </c>
      <c r="HJ64" s="154">
        <v>285.71428571428572</v>
      </c>
      <c r="HK64" s="154">
        <v>285.71428571428572</v>
      </c>
      <c r="HL64" s="154">
        <v>285.71428571428572</v>
      </c>
      <c r="HM64" s="154">
        <v>285.71428571428572</v>
      </c>
      <c r="HN64" s="154">
        <v>285.71428571428572</v>
      </c>
      <c r="HO64" s="154">
        <v>285.71428571428572</v>
      </c>
      <c r="HP64" s="154">
        <v>285.71428571428572</v>
      </c>
      <c r="HQ64" s="154">
        <v>222.22222222222223</v>
      </c>
      <c r="HR64" s="200">
        <f t="shared" si="227"/>
        <v>3365.0793650793653</v>
      </c>
      <c r="HS64" s="161"/>
      <c r="HT64" s="163">
        <v>71.428571428571431</v>
      </c>
      <c r="HU64" s="164">
        <v>71.428571428571431</v>
      </c>
      <c r="HV64" s="154">
        <v>71.428571428571431</v>
      </c>
      <c r="HW64" s="154">
        <v>71.428571428571431</v>
      </c>
      <c r="HX64" s="154">
        <v>71.428571428571431</v>
      </c>
      <c r="HY64" s="154">
        <v>71.428571428571431</v>
      </c>
      <c r="HZ64" s="154">
        <v>71.428571428571431</v>
      </c>
      <c r="IA64" s="154">
        <v>71.428571428571431</v>
      </c>
      <c r="IB64" s="154">
        <v>71.428571428571431</v>
      </c>
      <c r="IC64" s="154">
        <v>71.428571428571431</v>
      </c>
      <c r="ID64" s="154">
        <v>71.428571428571431</v>
      </c>
      <c r="IE64" s="154">
        <v>55.555555555555557</v>
      </c>
      <c r="IF64" s="200">
        <f t="shared" si="228"/>
        <v>841.26984126984132</v>
      </c>
      <c r="IG64" s="161"/>
      <c r="IH64" s="163">
        <v>71.428571428571431</v>
      </c>
      <c r="II64" s="164">
        <v>71.428571428571431</v>
      </c>
      <c r="IJ64" s="154">
        <v>71.428571428571431</v>
      </c>
      <c r="IK64" s="154">
        <v>71.428571428571431</v>
      </c>
      <c r="IL64" s="154">
        <v>71.428571428571431</v>
      </c>
      <c r="IM64" s="154">
        <v>71.428571428571431</v>
      </c>
      <c r="IN64" s="154">
        <v>71.428571428571431</v>
      </c>
      <c r="IO64" s="154">
        <v>71.428571428571431</v>
      </c>
      <c r="IP64" s="154">
        <v>71.428571428571431</v>
      </c>
      <c r="IQ64" s="154">
        <v>71.428571428571431</v>
      </c>
      <c r="IR64" s="154">
        <v>71.428571428571431</v>
      </c>
      <c r="IS64" s="154">
        <v>55.555555555555557</v>
      </c>
      <c r="IT64" s="200">
        <f t="shared" si="229"/>
        <v>841.26984126984132</v>
      </c>
      <c r="IU64" s="161"/>
      <c r="IV64" s="163">
        <v>500</v>
      </c>
      <c r="IW64" s="164">
        <v>500</v>
      </c>
      <c r="IX64" s="154">
        <v>500</v>
      </c>
      <c r="IY64" s="154">
        <v>500</v>
      </c>
      <c r="IZ64" s="154">
        <v>500</v>
      </c>
      <c r="JA64" s="154">
        <v>500</v>
      </c>
      <c r="JB64" s="154">
        <v>500</v>
      </c>
      <c r="JC64" s="154">
        <v>500</v>
      </c>
      <c r="JD64" s="154">
        <v>500</v>
      </c>
      <c r="JE64" s="154">
        <v>500</v>
      </c>
      <c r="JF64" s="154">
        <v>500</v>
      </c>
      <c r="JG64" s="154">
        <v>388.88888888888891</v>
      </c>
      <c r="JH64" s="200">
        <f t="shared" si="230"/>
        <v>5888.8888888888887</v>
      </c>
      <c r="JI64" s="161"/>
      <c r="JJ64" s="163">
        <v>785.71428571428578</v>
      </c>
      <c r="JK64" s="164">
        <v>785.71428571428578</v>
      </c>
      <c r="JL64" s="154">
        <v>785.71428571428578</v>
      </c>
      <c r="JM64" s="154">
        <v>785.71428571428578</v>
      </c>
      <c r="JN64" s="154">
        <v>785.71428571428578</v>
      </c>
      <c r="JO64" s="154">
        <v>785.71428571428578</v>
      </c>
      <c r="JP64" s="154">
        <v>785.71428571428578</v>
      </c>
      <c r="JQ64" s="154">
        <v>785.71428571428578</v>
      </c>
      <c r="JR64" s="154">
        <v>785.71428571428578</v>
      </c>
      <c r="JS64" s="154">
        <v>785.71428571428578</v>
      </c>
      <c r="JT64" s="154">
        <v>785.71428571428578</v>
      </c>
      <c r="JU64" s="154">
        <v>611.11111111111109</v>
      </c>
      <c r="JV64" s="200">
        <f t="shared" si="231"/>
        <v>9253.9682539682562</v>
      </c>
      <c r="JW64" s="161"/>
      <c r="JX64" s="163">
        <v>357.14285714285717</v>
      </c>
      <c r="JY64" s="164">
        <v>357.14285714285717</v>
      </c>
      <c r="JZ64" s="154">
        <v>357.14285714285717</v>
      </c>
      <c r="KA64" s="154">
        <v>357.14285714285717</v>
      </c>
      <c r="KB64" s="154">
        <v>357.14285714285717</v>
      </c>
      <c r="KC64" s="154">
        <v>357.14285714285717</v>
      </c>
      <c r="KD64" s="154">
        <v>357.14285714285717</v>
      </c>
      <c r="KE64" s="154">
        <v>357.14285714285717</v>
      </c>
      <c r="KF64" s="154">
        <v>357.14285714285717</v>
      </c>
      <c r="KG64" s="154">
        <v>357.14285714285717</v>
      </c>
      <c r="KH64" s="154">
        <v>357.14285714285717</v>
      </c>
      <c r="KI64" s="154">
        <v>277.77777777777777</v>
      </c>
      <c r="KJ64" s="200">
        <f t="shared" si="232"/>
        <v>4206.3492063492076</v>
      </c>
      <c r="KK64" s="161"/>
      <c r="KL64" s="163">
        <v>-2106.1428571428573</v>
      </c>
      <c r="KM64" s="164">
        <v>-2271.1428571428573</v>
      </c>
      <c r="KN64" s="154">
        <v>-2271.1428571428573</v>
      </c>
      <c r="KO64" s="154">
        <v>-2271.1428571428573</v>
      </c>
      <c r="KP64" s="154">
        <v>-2271.1428571428573</v>
      </c>
      <c r="KQ64" s="154">
        <v>-2271.1428571428573</v>
      </c>
      <c r="KR64" s="154">
        <v>-2554.1428571428573</v>
      </c>
      <c r="KS64" s="154">
        <v>-2554.1428571428573</v>
      </c>
      <c r="KT64" s="154">
        <v>-2554.1428571428573</v>
      </c>
      <c r="KU64" s="154">
        <v>-2554.1428571428573</v>
      </c>
      <c r="KV64" s="154">
        <v>-2554.1428571428573</v>
      </c>
      <c r="KW64" s="154">
        <v>-2585.8888888888887</v>
      </c>
      <c r="KX64" s="200">
        <f t="shared" si="233"/>
        <v>-28818.460317460325</v>
      </c>
      <c r="KY64" s="161"/>
      <c r="KZ64" s="163">
        <v>2320.4285714285716</v>
      </c>
      <c r="LA64" s="164">
        <v>2485.4285714285716</v>
      </c>
      <c r="LB64" s="154">
        <v>2485.4285714285716</v>
      </c>
      <c r="LC64" s="154">
        <v>2485.4285714285716</v>
      </c>
      <c r="LD64" s="154">
        <v>2485.4285714285716</v>
      </c>
      <c r="LE64" s="154">
        <v>2485.4285714285716</v>
      </c>
      <c r="LF64" s="154">
        <v>2768.4285714285716</v>
      </c>
      <c r="LG64" s="154">
        <v>2768.4285714285716</v>
      </c>
      <c r="LH64" s="154">
        <v>2768.4285714285716</v>
      </c>
      <c r="LI64" s="154">
        <v>2768.4285714285716</v>
      </c>
      <c r="LJ64" s="154">
        <v>2768.4285714285716</v>
      </c>
      <c r="LK64" s="154">
        <v>2752.5555555555557</v>
      </c>
      <c r="LL64" s="200">
        <f t="shared" si="234"/>
        <v>31342.269841269848</v>
      </c>
      <c r="LM64" s="161"/>
      <c r="LN64" s="163">
        <v>0</v>
      </c>
      <c r="LO64" s="164">
        <v>0</v>
      </c>
      <c r="LP64" s="154">
        <v>0</v>
      </c>
      <c r="LQ64" s="154">
        <v>0</v>
      </c>
      <c r="LR64" s="154">
        <v>0</v>
      </c>
      <c r="LS64" s="154">
        <v>0</v>
      </c>
      <c r="LT64" s="154">
        <v>0</v>
      </c>
      <c r="LU64" s="154">
        <v>0</v>
      </c>
      <c r="LV64" s="154">
        <v>0</v>
      </c>
      <c r="LW64" s="154">
        <v>0</v>
      </c>
      <c r="LX64" s="154">
        <v>0</v>
      </c>
      <c r="LY64" s="154">
        <v>0</v>
      </c>
      <c r="LZ64" s="200">
        <f t="shared" si="235"/>
        <v>0</v>
      </c>
      <c r="MA64" s="161"/>
      <c r="MB64" s="200">
        <f t="shared" si="236"/>
        <v>11714.285714285714</v>
      </c>
      <c r="MC64" s="200">
        <f t="shared" si="236"/>
        <v>11714.285714285714</v>
      </c>
      <c r="MD64" s="200">
        <f t="shared" si="236"/>
        <v>15714.285714285714</v>
      </c>
      <c r="ME64" s="200">
        <f t="shared" si="236"/>
        <v>15714.285714285714</v>
      </c>
      <c r="MF64" s="200">
        <f t="shared" si="236"/>
        <v>15714.285714285714</v>
      </c>
      <c r="MG64" s="200">
        <f t="shared" si="236"/>
        <v>15714.285714285714</v>
      </c>
      <c r="MH64" s="200">
        <f t="shared" si="236"/>
        <v>15714.285714285714</v>
      </c>
      <c r="MI64" s="200">
        <f t="shared" si="236"/>
        <v>15714.285714285714</v>
      </c>
      <c r="MJ64" s="200">
        <f t="shared" si="236"/>
        <v>15714.285714285714</v>
      </c>
      <c r="MK64" s="200">
        <f t="shared" si="236"/>
        <v>15714.285714285714</v>
      </c>
      <c r="ML64" s="200">
        <f t="shared" si="236"/>
        <v>15714.285714285714</v>
      </c>
      <c r="MM64" s="200">
        <f t="shared" si="236"/>
        <v>13111.111111111109</v>
      </c>
      <c r="MN64" s="200">
        <f t="shared" si="239"/>
        <v>177968.25396825396</v>
      </c>
    </row>
    <row r="65" spans="1:352" x14ac:dyDescent="0.25">
      <c r="A65" s="98"/>
      <c r="B65" s="64" t="s">
        <v>80</v>
      </c>
      <c r="C65" s="98"/>
      <c r="D65" s="163">
        <v>1726.1904761904761</v>
      </c>
      <c r="E65" s="179">
        <v>1726.1904761904761</v>
      </c>
      <c r="F65" s="179">
        <v>1726.1904761904761</v>
      </c>
      <c r="G65" s="179">
        <v>1726.1904761904761</v>
      </c>
      <c r="H65" s="179">
        <v>1726.1904761904761</v>
      </c>
      <c r="I65" s="179">
        <v>1726.1904761904761</v>
      </c>
      <c r="J65" s="179">
        <v>1726.1904761904761</v>
      </c>
      <c r="K65" s="179">
        <v>1726.1904761904761</v>
      </c>
      <c r="L65" s="179">
        <v>1726.1904761904761</v>
      </c>
      <c r="M65" s="179">
        <v>1726.1904761904761</v>
      </c>
      <c r="N65" s="179">
        <v>1726.1904761904761</v>
      </c>
      <c r="O65" s="179">
        <v>1726.1904761904761</v>
      </c>
      <c r="P65" s="157">
        <f t="shared" si="213"/>
        <v>20714.285714285721</v>
      </c>
      <c r="Q65" s="161"/>
      <c r="R65" s="163">
        <v>178.57142857142858</v>
      </c>
      <c r="S65" s="179">
        <v>178.57142857142858</v>
      </c>
      <c r="T65" s="179">
        <v>178.57142857142858</v>
      </c>
      <c r="U65" s="179">
        <v>178.57142857142858</v>
      </c>
      <c r="V65" s="179">
        <v>178.57142857142858</v>
      </c>
      <c r="W65" s="179">
        <v>178.57142857142858</v>
      </c>
      <c r="X65" s="179">
        <v>178.57142857142858</v>
      </c>
      <c r="Y65" s="179">
        <v>178.57142857142858</v>
      </c>
      <c r="Z65" s="179">
        <v>178.57142857142858</v>
      </c>
      <c r="AA65" s="179">
        <v>178.57142857142858</v>
      </c>
      <c r="AB65" s="179">
        <v>178.57142857142858</v>
      </c>
      <c r="AC65" s="179">
        <v>178.57142857142858</v>
      </c>
      <c r="AD65" s="157">
        <f t="shared" si="214"/>
        <v>2142.8571428571436</v>
      </c>
      <c r="AE65" s="161"/>
      <c r="AF65" s="163">
        <v>178.57142857142858</v>
      </c>
      <c r="AG65" s="179">
        <v>178.57142857142858</v>
      </c>
      <c r="AH65" s="179">
        <v>178.57142857142858</v>
      </c>
      <c r="AI65" s="179">
        <v>178.57142857142858</v>
      </c>
      <c r="AJ65" s="179">
        <v>178.57142857142858</v>
      </c>
      <c r="AK65" s="179">
        <v>178.57142857142858</v>
      </c>
      <c r="AL65" s="179">
        <v>178.57142857142858</v>
      </c>
      <c r="AM65" s="179">
        <v>178.57142857142858</v>
      </c>
      <c r="AN65" s="179">
        <v>178.57142857142858</v>
      </c>
      <c r="AO65" s="179">
        <v>178.57142857142858</v>
      </c>
      <c r="AP65" s="179">
        <v>178.57142857142858</v>
      </c>
      <c r="AQ65" s="179">
        <v>178.57142857142858</v>
      </c>
      <c r="AR65" s="157">
        <f t="shared" si="215"/>
        <v>2142.8571428571436</v>
      </c>
      <c r="AT65" s="163">
        <v>119.04761904761905</v>
      </c>
      <c r="AU65" s="179">
        <v>119.04761904761905</v>
      </c>
      <c r="AV65" s="179">
        <v>119.04761904761905</v>
      </c>
      <c r="AW65" s="179">
        <v>119.04761904761905</v>
      </c>
      <c r="AX65" s="179">
        <v>119.04761904761905</v>
      </c>
      <c r="AY65" s="179">
        <v>119.04761904761905</v>
      </c>
      <c r="AZ65" s="179">
        <v>119.04761904761905</v>
      </c>
      <c r="BA65" s="179">
        <v>119.04761904761905</v>
      </c>
      <c r="BB65" s="179">
        <v>119.04761904761905</v>
      </c>
      <c r="BC65" s="179">
        <v>119.04761904761905</v>
      </c>
      <c r="BD65" s="179">
        <v>119.04761904761905</v>
      </c>
      <c r="BE65" s="179">
        <v>119.04761904761905</v>
      </c>
      <c r="BF65" s="157">
        <f t="shared" si="216"/>
        <v>1428.5714285714287</v>
      </c>
      <c r="BH65" s="163">
        <v>892.85714285714289</v>
      </c>
      <c r="BI65" s="164">
        <v>892.85714285714289</v>
      </c>
      <c r="BJ65" s="154">
        <v>892.85714285714289</v>
      </c>
      <c r="BK65" s="154">
        <v>892.85714285714289</v>
      </c>
      <c r="BL65" s="154">
        <v>892.85714285714289</v>
      </c>
      <c r="BM65" s="154">
        <v>892.85714285714289</v>
      </c>
      <c r="BN65" s="154">
        <v>892.85714285714289</v>
      </c>
      <c r="BO65" s="154">
        <v>892.85714285714289</v>
      </c>
      <c r="BP65" s="154">
        <v>892.85714285714289</v>
      </c>
      <c r="BQ65" s="154">
        <v>892.85714285714289</v>
      </c>
      <c r="BR65" s="154">
        <v>892.85714285714289</v>
      </c>
      <c r="BS65" s="154">
        <v>892.85714285714289</v>
      </c>
      <c r="BT65" s="157">
        <f t="shared" si="217"/>
        <v>10714.285714285716</v>
      </c>
      <c r="BV65" s="163">
        <v>59.523809523809526</v>
      </c>
      <c r="BW65" s="164">
        <v>59.523809523809526</v>
      </c>
      <c r="BX65" s="154">
        <v>59.523809523809526</v>
      </c>
      <c r="BY65" s="154">
        <v>59.523809523809526</v>
      </c>
      <c r="BZ65" s="154">
        <v>59.523809523809526</v>
      </c>
      <c r="CA65" s="154">
        <v>59.523809523809526</v>
      </c>
      <c r="CB65" s="154">
        <v>59.523809523809526</v>
      </c>
      <c r="CC65" s="154">
        <v>59.523809523809526</v>
      </c>
      <c r="CD65" s="154">
        <v>59.523809523809526</v>
      </c>
      <c r="CE65" s="154">
        <v>59.523809523809526</v>
      </c>
      <c r="CF65" s="154">
        <v>59.523809523809526</v>
      </c>
      <c r="CG65" s="154">
        <v>59.523809523809526</v>
      </c>
      <c r="CH65" s="157">
        <f t="shared" si="218"/>
        <v>714.28571428571433</v>
      </c>
      <c r="CI65" s="161"/>
      <c r="CJ65" s="163">
        <v>654.76190476190482</v>
      </c>
      <c r="CK65" s="164">
        <v>654.76190476190482</v>
      </c>
      <c r="CL65" s="154">
        <v>654.76190476190482</v>
      </c>
      <c r="CM65" s="154">
        <v>654.76190476190482</v>
      </c>
      <c r="CN65" s="154">
        <v>654.76190476190482</v>
      </c>
      <c r="CO65" s="154">
        <v>654.76190476190482</v>
      </c>
      <c r="CP65" s="154">
        <v>654.76190476190482</v>
      </c>
      <c r="CQ65" s="154">
        <v>654.76190476190482</v>
      </c>
      <c r="CR65" s="154">
        <v>654.76190476190482</v>
      </c>
      <c r="CS65" s="154">
        <v>654.76190476190482</v>
      </c>
      <c r="CT65" s="154">
        <v>654.76190476190482</v>
      </c>
      <c r="CU65" s="154">
        <v>654.76190476190482</v>
      </c>
      <c r="CV65" s="157">
        <f t="shared" si="219"/>
        <v>7857.142857142856</v>
      </c>
      <c r="CW65" s="161"/>
      <c r="CX65" s="163">
        <v>1666.6666666666667</v>
      </c>
      <c r="CY65" s="164">
        <v>1666.6666666666667</v>
      </c>
      <c r="CZ65" s="154">
        <v>1666.6666666666667</v>
      </c>
      <c r="DA65" s="154">
        <v>1666.6666666666667</v>
      </c>
      <c r="DB65" s="154">
        <v>1666.6666666666667</v>
      </c>
      <c r="DC65" s="154">
        <v>1666.6666666666667</v>
      </c>
      <c r="DD65" s="154">
        <v>1666.6666666666667</v>
      </c>
      <c r="DE65" s="154">
        <v>1666.6666666666667</v>
      </c>
      <c r="DF65" s="154">
        <v>1666.6666666666667</v>
      </c>
      <c r="DG65" s="154">
        <v>1666.6666666666667</v>
      </c>
      <c r="DH65" s="154">
        <v>1666.6666666666667</v>
      </c>
      <c r="DI65" s="154">
        <v>1666.6666666666667</v>
      </c>
      <c r="DJ65" s="157">
        <f t="shared" si="220"/>
        <v>20000</v>
      </c>
      <c r="DK65" s="161"/>
      <c r="DL65" s="163">
        <v>14254.666666666666</v>
      </c>
      <c r="DM65" s="164">
        <v>14254.666666666666</v>
      </c>
      <c r="DN65" s="154">
        <v>14254.666666666666</v>
      </c>
      <c r="DO65" s="154">
        <v>14254.666666666666</v>
      </c>
      <c r="DP65" s="154">
        <v>14254.666666666666</v>
      </c>
      <c r="DQ65" s="154">
        <v>14254.666666666666</v>
      </c>
      <c r="DR65" s="154">
        <v>14254.666666666666</v>
      </c>
      <c r="DS65" s="154">
        <v>14254.666666666666</v>
      </c>
      <c r="DT65" s="154">
        <v>14254.666666666666</v>
      </c>
      <c r="DU65" s="154">
        <v>14254.666666666666</v>
      </c>
      <c r="DV65" s="154">
        <v>14254.666666666666</v>
      </c>
      <c r="DW65" s="154">
        <v>14254.666666666666</v>
      </c>
      <c r="DX65" s="157">
        <f t="shared" si="221"/>
        <v>171056</v>
      </c>
      <c r="DY65" s="161"/>
      <c r="DZ65" s="163">
        <v>59.523809523809526</v>
      </c>
      <c r="EA65" s="164">
        <v>59.523809523809526</v>
      </c>
      <c r="EB65" s="154">
        <v>59.523809523809526</v>
      </c>
      <c r="EC65" s="154">
        <v>59.523809523809526</v>
      </c>
      <c r="ED65" s="154">
        <v>59.523809523809526</v>
      </c>
      <c r="EE65" s="154">
        <v>59.523809523809526</v>
      </c>
      <c r="EF65" s="154">
        <v>59.523809523809526</v>
      </c>
      <c r="EG65" s="154">
        <v>59.523809523809526</v>
      </c>
      <c r="EH65" s="154">
        <v>59.523809523809526</v>
      </c>
      <c r="EI65" s="154">
        <v>59.523809523809526</v>
      </c>
      <c r="EJ65" s="154">
        <v>59.523809523809526</v>
      </c>
      <c r="EK65" s="154">
        <v>59.523809523809526</v>
      </c>
      <c r="EL65" s="157">
        <f t="shared" si="222"/>
        <v>714.28571428571433</v>
      </c>
      <c r="EM65" s="161"/>
      <c r="EN65" s="163">
        <v>119.04761904761905</v>
      </c>
      <c r="EO65" s="164">
        <v>119.04761904761905</v>
      </c>
      <c r="EP65" s="154">
        <v>119.04761904761905</v>
      </c>
      <c r="EQ65" s="154">
        <v>119.04761904761905</v>
      </c>
      <c r="ER65" s="154">
        <v>119.04761904761905</v>
      </c>
      <c r="ES65" s="154">
        <v>119.04761904761905</v>
      </c>
      <c r="ET65" s="154">
        <v>119.04761904761905</v>
      </c>
      <c r="EU65" s="154">
        <v>119.04761904761905</v>
      </c>
      <c r="EV65" s="154">
        <v>119.04761904761905</v>
      </c>
      <c r="EW65" s="154">
        <v>119.04761904761905</v>
      </c>
      <c r="EX65" s="154">
        <v>119.04761904761905</v>
      </c>
      <c r="EY65" s="154">
        <v>119.04761904761905</v>
      </c>
      <c r="EZ65" s="157">
        <f t="shared" si="223"/>
        <v>1428.5714285714287</v>
      </c>
      <c r="FA65" s="161"/>
      <c r="FB65" s="163">
        <v>59.523809523809526</v>
      </c>
      <c r="FC65" s="164">
        <v>59.523809523809526</v>
      </c>
      <c r="FD65" s="154">
        <v>59.523809523809526</v>
      </c>
      <c r="FE65" s="154">
        <v>59.523809523809526</v>
      </c>
      <c r="FF65" s="154">
        <v>59.523809523809526</v>
      </c>
      <c r="FG65" s="154">
        <v>59.523809523809526</v>
      </c>
      <c r="FH65" s="154">
        <v>59.523809523809526</v>
      </c>
      <c r="FI65" s="154">
        <v>59.523809523809526</v>
      </c>
      <c r="FJ65" s="154">
        <v>59.523809523809526</v>
      </c>
      <c r="FK65" s="154">
        <v>59.523809523809526</v>
      </c>
      <c r="FL65" s="154">
        <v>59.523809523809526</v>
      </c>
      <c r="FM65" s="154">
        <v>59.523809523809526</v>
      </c>
      <c r="FN65" s="157">
        <f t="shared" si="224"/>
        <v>714.28571428571433</v>
      </c>
      <c r="FO65" s="161"/>
      <c r="FP65" s="163">
        <v>416.66666666666669</v>
      </c>
      <c r="FQ65" s="164">
        <v>416.66666666666669</v>
      </c>
      <c r="FR65" s="154">
        <v>416.66666666666669</v>
      </c>
      <c r="FS65" s="154">
        <v>416.66666666666669</v>
      </c>
      <c r="FT65" s="154">
        <v>416.66666666666669</v>
      </c>
      <c r="FU65" s="154">
        <v>416.66666666666669</v>
      </c>
      <c r="FV65" s="154">
        <v>416.66666666666669</v>
      </c>
      <c r="FW65" s="154">
        <v>416.66666666666669</v>
      </c>
      <c r="FX65" s="154">
        <v>416.66666666666669</v>
      </c>
      <c r="FY65" s="154">
        <v>416.66666666666669</v>
      </c>
      <c r="FZ65" s="154">
        <v>416.66666666666669</v>
      </c>
      <c r="GA65" s="154">
        <v>416.66666666666669</v>
      </c>
      <c r="GB65" s="157">
        <f t="shared" si="225"/>
        <v>5000</v>
      </c>
      <c r="GC65" s="161"/>
      <c r="GD65" s="163">
        <v>59.523809523809526</v>
      </c>
      <c r="GE65" s="164">
        <v>59.523809523809526</v>
      </c>
      <c r="GF65" s="154">
        <v>59.523809523809526</v>
      </c>
      <c r="GG65" s="154">
        <v>59.523809523809526</v>
      </c>
      <c r="GH65" s="154">
        <v>59.523809523809526</v>
      </c>
      <c r="GI65" s="154">
        <v>59.523809523809526</v>
      </c>
      <c r="GJ65" s="154">
        <v>59.523809523809526</v>
      </c>
      <c r="GK65" s="154">
        <v>59.523809523809526</v>
      </c>
      <c r="GL65" s="154">
        <v>59.523809523809526</v>
      </c>
      <c r="GM65" s="154">
        <v>59.523809523809526</v>
      </c>
      <c r="GN65" s="154">
        <v>59.523809523809526</v>
      </c>
      <c r="GO65" s="154">
        <v>59.523809523809526</v>
      </c>
      <c r="GP65" s="157">
        <f t="shared" si="226"/>
        <v>714.28571428571433</v>
      </c>
      <c r="GQ65" s="161"/>
      <c r="GR65" s="163">
        <v>0</v>
      </c>
      <c r="GS65" s="164">
        <v>0</v>
      </c>
      <c r="GT65" s="154">
        <v>0</v>
      </c>
      <c r="GU65" s="154">
        <v>0</v>
      </c>
      <c r="GV65" s="154">
        <v>0</v>
      </c>
      <c r="GW65" s="154">
        <v>0</v>
      </c>
      <c r="GX65" s="154">
        <v>0</v>
      </c>
      <c r="GY65" s="154">
        <v>0</v>
      </c>
      <c r="GZ65" s="154">
        <v>0</v>
      </c>
      <c r="HA65" s="154">
        <v>0</v>
      </c>
      <c r="HB65" s="154">
        <v>0</v>
      </c>
      <c r="HC65" s="154">
        <v>0</v>
      </c>
      <c r="HD65" s="157">
        <f t="shared" si="238"/>
        <v>0</v>
      </c>
      <c r="HE65" s="161"/>
      <c r="HF65" s="163">
        <v>238.0952380952381</v>
      </c>
      <c r="HG65" s="164">
        <v>238.0952380952381</v>
      </c>
      <c r="HH65" s="154">
        <v>238.0952380952381</v>
      </c>
      <c r="HI65" s="154">
        <v>238.0952380952381</v>
      </c>
      <c r="HJ65" s="154">
        <v>238.0952380952381</v>
      </c>
      <c r="HK65" s="154">
        <v>238.0952380952381</v>
      </c>
      <c r="HL65" s="154">
        <v>238.0952380952381</v>
      </c>
      <c r="HM65" s="154">
        <v>238.0952380952381</v>
      </c>
      <c r="HN65" s="154">
        <v>238.0952380952381</v>
      </c>
      <c r="HO65" s="154">
        <v>238.0952380952381</v>
      </c>
      <c r="HP65" s="154">
        <v>238.0952380952381</v>
      </c>
      <c r="HQ65" s="154">
        <v>238.0952380952381</v>
      </c>
      <c r="HR65" s="157">
        <f t="shared" si="227"/>
        <v>2857.1428571428573</v>
      </c>
      <c r="HS65" s="161"/>
      <c r="HT65" s="163">
        <v>59.523809523809526</v>
      </c>
      <c r="HU65" s="164">
        <v>59.523809523809526</v>
      </c>
      <c r="HV65" s="154">
        <v>59.523809523809526</v>
      </c>
      <c r="HW65" s="154">
        <v>59.523809523809526</v>
      </c>
      <c r="HX65" s="154">
        <v>59.523809523809526</v>
      </c>
      <c r="HY65" s="154">
        <v>59.523809523809526</v>
      </c>
      <c r="HZ65" s="154">
        <v>59.523809523809526</v>
      </c>
      <c r="IA65" s="154">
        <v>59.523809523809526</v>
      </c>
      <c r="IB65" s="154">
        <v>59.523809523809526</v>
      </c>
      <c r="IC65" s="154">
        <v>59.523809523809526</v>
      </c>
      <c r="ID65" s="154">
        <v>59.523809523809526</v>
      </c>
      <c r="IE65" s="154">
        <v>59.523809523809526</v>
      </c>
      <c r="IF65" s="157">
        <f t="shared" si="228"/>
        <v>714.28571428571433</v>
      </c>
      <c r="IG65" s="161"/>
      <c r="IH65" s="163">
        <v>59.523809523809526</v>
      </c>
      <c r="II65" s="164">
        <v>59.523809523809526</v>
      </c>
      <c r="IJ65" s="154">
        <v>59.523809523809526</v>
      </c>
      <c r="IK65" s="154">
        <v>59.523809523809526</v>
      </c>
      <c r="IL65" s="154">
        <v>59.523809523809526</v>
      </c>
      <c r="IM65" s="154">
        <v>59.523809523809526</v>
      </c>
      <c r="IN65" s="154">
        <v>59.523809523809526</v>
      </c>
      <c r="IO65" s="154">
        <v>59.523809523809526</v>
      </c>
      <c r="IP65" s="154">
        <v>59.523809523809526</v>
      </c>
      <c r="IQ65" s="154">
        <v>59.523809523809526</v>
      </c>
      <c r="IR65" s="154">
        <v>59.523809523809526</v>
      </c>
      <c r="IS65" s="154">
        <v>59.523809523809526</v>
      </c>
      <c r="IT65" s="157">
        <f t="shared" si="229"/>
        <v>714.28571428571433</v>
      </c>
      <c r="IU65" s="161"/>
      <c r="IV65" s="163">
        <v>416.66666666666669</v>
      </c>
      <c r="IW65" s="164">
        <v>416.66666666666669</v>
      </c>
      <c r="IX65" s="154">
        <v>416.66666666666669</v>
      </c>
      <c r="IY65" s="154">
        <v>416.66666666666669</v>
      </c>
      <c r="IZ65" s="154">
        <v>416.66666666666669</v>
      </c>
      <c r="JA65" s="154">
        <v>416.66666666666669</v>
      </c>
      <c r="JB65" s="154">
        <v>416.66666666666669</v>
      </c>
      <c r="JC65" s="154">
        <v>416.66666666666669</v>
      </c>
      <c r="JD65" s="154">
        <v>416.66666666666669</v>
      </c>
      <c r="JE65" s="154">
        <v>416.66666666666669</v>
      </c>
      <c r="JF65" s="154">
        <v>416.66666666666669</v>
      </c>
      <c r="JG65" s="154">
        <v>416.66666666666669</v>
      </c>
      <c r="JH65" s="157">
        <f t="shared" si="230"/>
        <v>5000</v>
      </c>
      <c r="JI65" s="161"/>
      <c r="JJ65" s="163">
        <v>654.76190476190482</v>
      </c>
      <c r="JK65" s="164">
        <v>654.76190476190482</v>
      </c>
      <c r="JL65" s="154">
        <v>654.76190476190482</v>
      </c>
      <c r="JM65" s="154">
        <v>654.76190476190482</v>
      </c>
      <c r="JN65" s="154">
        <v>654.76190476190482</v>
      </c>
      <c r="JO65" s="154">
        <v>654.76190476190482</v>
      </c>
      <c r="JP65" s="154">
        <v>654.76190476190482</v>
      </c>
      <c r="JQ65" s="154">
        <v>654.76190476190482</v>
      </c>
      <c r="JR65" s="154">
        <v>654.76190476190482</v>
      </c>
      <c r="JS65" s="154">
        <v>654.76190476190482</v>
      </c>
      <c r="JT65" s="154">
        <v>654.76190476190482</v>
      </c>
      <c r="JU65" s="154">
        <v>654.76190476190482</v>
      </c>
      <c r="JV65" s="157">
        <f t="shared" si="231"/>
        <v>7857.142857142856</v>
      </c>
      <c r="JW65" s="161"/>
      <c r="JX65" s="163">
        <v>297.61904761904765</v>
      </c>
      <c r="JY65" s="164">
        <v>297.61904761904765</v>
      </c>
      <c r="JZ65" s="154">
        <v>297.61904761904765</v>
      </c>
      <c r="KA65" s="154">
        <v>297.61904761904765</v>
      </c>
      <c r="KB65" s="154">
        <v>297.61904761904765</v>
      </c>
      <c r="KC65" s="154">
        <v>297.61904761904765</v>
      </c>
      <c r="KD65" s="154">
        <v>297.61904761904765</v>
      </c>
      <c r="KE65" s="154">
        <v>297.61904761904765</v>
      </c>
      <c r="KF65" s="154">
        <v>297.61904761904765</v>
      </c>
      <c r="KG65" s="154">
        <v>297.61904761904765</v>
      </c>
      <c r="KH65" s="154">
        <v>297.61904761904765</v>
      </c>
      <c r="KI65" s="154">
        <v>297.61904761904765</v>
      </c>
      <c r="KJ65" s="157">
        <f t="shared" si="232"/>
        <v>3571.428571428572</v>
      </c>
      <c r="KK65" s="161"/>
      <c r="KL65" s="163">
        <v>119.04761904761905</v>
      </c>
      <c r="KM65" s="164">
        <v>119.04761904761905</v>
      </c>
      <c r="KN65" s="154">
        <v>119.04761904761905</v>
      </c>
      <c r="KO65" s="154">
        <v>119.04761904761905</v>
      </c>
      <c r="KP65" s="154">
        <v>119.04761904761905</v>
      </c>
      <c r="KQ65" s="154">
        <v>119.04761904761905</v>
      </c>
      <c r="KR65" s="154">
        <v>119.04761904761905</v>
      </c>
      <c r="KS65" s="154">
        <v>119.04761904761905</v>
      </c>
      <c r="KT65" s="154">
        <v>119.04761904761905</v>
      </c>
      <c r="KU65" s="154">
        <v>119.04761904761905</v>
      </c>
      <c r="KV65" s="154">
        <v>119.04761904761905</v>
      </c>
      <c r="KW65" s="154">
        <v>119.04761904761905</v>
      </c>
      <c r="KX65" s="157">
        <f t="shared" si="233"/>
        <v>1428.5714285714287</v>
      </c>
      <c r="KY65" s="161"/>
      <c r="KZ65" s="163">
        <v>59.523809523809526</v>
      </c>
      <c r="LA65" s="164">
        <v>59.523809523809526</v>
      </c>
      <c r="LB65" s="154">
        <v>59.523809523809526</v>
      </c>
      <c r="LC65" s="154">
        <v>59.523809523809526</v>
      </c>
      <c r="LD65" s="154">
        <v>59.523809523809526</v>
      </c>
      <c r="LE65" s="154">
        <v>59.523809523809526</v>
      </c>
      <c r="LF65" s="154">
        <v>59.523809523809526</v>
      </c>
      <c r="LG65" s="154">
        <v>59.523809523809526</v>
      </c>
      <c r="LH65" s="154">
        <v>59.523809523809526</v>
      </c>
      <c r="LI65" s="154">
        <v>59.523809523809526</v>
      </c>
      <c r="LJ65" s="154">
        <v>59.523809523809526</v>
      </c>
      <c r="LK65" s="154">
        <v>59.523809523809526</v>
      </c>
      <c r="LL65" s="157">
        <f t="shared" si="234"/>
        <v>714.28571428571433</v>
      </c>
      <c r="LM65" s="161"/>
      <c r="LN65" s="163">
        <v>0</v>
      </c>
      <c r="LO65" s="164">
        <v>0</v>
      </c>
      <c r="LP65" s="154">
        <v>0</v>
      </c>
      <c r="LQ65" s="154">
        <v>0</v>
      </c>
      <c r="LR65" s="154">
        <v>0</v>
      </c>
      <c r="LS65" s="154">
        <v>0</v>
      </c>
      <c r="LT65" s="154">
        <v>0</v>
      </c>
      <c r="LU65" s="154">
        <v>0</v>
      </c>
      <c r="LV65" s="154">
        <v>0</v>
      </c>
      <c r="LW65" s="154">
        <v>0</v>
      </c>
      <c r="LX65" s="154">
        <v>0</v>
      </c>
      <c r="LY65" s="154">
        <v>0</v>
      </c>
      <c r="LZ65" s="157">
        <f t="shared" si="235"/>
        <v>0</v>
      </c>
      <c r="MA65" s="161"/>
      <c r="MB65" s="157">
        <f t="shared" si="236"/>
        <v>22349.90476190476</v>
      </c>
      <c r="MC65" s="157">
        <f t="shared" si="236"/>
        <v>22349.90476190476</v>
      </c>
      <c r="MD65" s="157">
        <f t="shared" si="236"/>
        <v>22349.90476190476</v>
      </c>
      <c r="ME65" s="157">
        <f t="shared" si="236"/>
        <v>22349.90476190476</v>
      </c>
      <c r="MF65" s="157">
        <f t="shared" si="236"/>
        <v>22349.90476190476</v>
      </c>
      <c r="MG65" s="157">
        <f t="shared" si="236"/>
        <v>22349.90476190476</v>
      </c>
      <c r="MH65" s="157">
        <f t="shared" si="236"/>
        <v>22349.90476190476</v>
      </c>
      <c r="MI65" s="157">
        <f t="shared" si="236"/>
        <v>22349.90476190476</v>
      </c>
      <c r="MJ65" s="157">
        <f t="shared" si="236"/>
        <v>22349.90476190476</v>
      </c>
      <c r="MK65" s="157">
        <f t="shared" si="236"/>
        <v>22349.90476190476</v>
      </c>
      <c r="ML65" s="157">
        <f t="shared" si="236"/>
        <v>22349.90476190476</v>
      </c>
      <c r="MM65" s="157">
        <f t="shared" si="236"/>
        <v>22349.90476190476</v>
      </c>
      <c r="MN65" s="157">
        <f t="shared" si="239"/>
        <v>268198.8571428571</v>
      </c>
    </row>
    <row r="66" spans="1:352" s="211" customFormat="1" x14ac:dyDescent="0.25">
      <c r="A66" s="98"/>
      <c r="B66" s="64" t="s">
        <v>81</v>
      </c>
      <c r="C66" s="98"/>
      <c r="D66" s="163">
        <v>11853.174603174602</v>
      </c>
      <c r="E66" s="210">
        <v>11853.174603174602</v>
      </c>
      <c r="F66" s="210">
        <v>11853.174603174602</v>
      </c>
      <c r="G66" s="210">
        <v>11853.174603174602</v>
      </c>
      <c r="H66" s="210">
        <v>11853.174603174602</v>
      </c>
      <c r="I66" s="210">
        <v>11853.174603174602</v>
      </c>
      <c r="J66" s="210">
        <v>11853.174603174602</v>
      </c>
      <c r="K66" s="210">
        <v>11853.174603174602</v>
      </c>
      <c r="L66" s="210">
        <v>11853.174603174602</v>
      </c>
      <c r="M66" s="210">
        <v>11853.174603174602</v>
      </c>
      <c r="N66" s="210">
        <v>11853.174603174602</v>
      </c>
      <c r="O66" s="210">
        <v>11853.174603174602</v>
      </c>
      <c r="P66" s="157">
        <f t="shared" si="213"/>
        <v>142238.09523809524</v>
      </c>
      <c r="Q66" s="161"/>
      <c r="R66" s="163">
        <v>1226.1904761904761</v>
      </c>
      <c r="S66" s="210">
        <v>1226.1904761904761</v>
      </c>
      <c r="T66" s="210">
        <v>1226.1904761904761</v>
      </c>
      <c r="U66" s="210">
        <v>1226.1904761904761</v>
      </c>
      <c r="V66" s="210">
        <v>1226.1904761904761</v>
      </c>
      <c r="W66" s="210">
        <v>1226.1904761904761</v>
      </c>
      <c r="X66" s="210">
        <v>1226.1904761904761</v>
      </c>
      <c r="Y66" s="210">
        <v>1226.1904761904761</v>
      </c>
      <c r="Z66" s="210">
        <v>1226.1904761904761</v>
      </c>
      <c r="AA66" s="210">
        <v>1226.1904761904761</v>
      </c>
      <c r="AB66" s="210">
        <v>1226.1904761904761</v>
      </c>
      <c r="AC66" s="210">
        <v>1226.1904761904761</v>
      </c>
      <c r="AD66" s="157">
        <f t="shared" si="214"/>
        <v>14714.285714285717</v>
      </c>
      <c r="AE66" s="161"/>
      <c r="AF66" s="163">
        <v>1226.1904761904761</v>
      </c>
      <c r="AG66" s="210">
        <v>1226.1904761904761</v>
      </c>
      <c r="AH66" s="210">
        <v>1226.1904761904761</v>
      </c>
      <c r="AI66" s="210">
        <v>1226.1904761904761</v>
      </c>
      <c r="AJ66" s="210">
        <v>1226.1904761904761</v>
      </c>
      <c r="AK66" s="210">
        <v>1226.1904761904761</v>
      </c>
      <c r="AL66" s="210">
        <v>1226.1904761904761</v>
      </c>
      <c r="AM66" s="210">
        <v>1226.1904761904761</v>
      </c>
      <c r="AN66" s="210">
        <v>1226.1904761904761</v>
      </c>
      <c r="AO66" s="210">
        <v>1226.1904761904761</v>
      </c>
      <c r="AP66" s="210">
        <v>1226.1904761904761</v>
      </c>
      <c r="AQ66" s="210">
        <v>1226.1904761904761</v>
      </c>
      <c r="AR66" s="157">
        <f t="shared" si="215"/>
        <v>14714.285714285717</v>
      </c>
      <c r="AS66" s="161"/>
      <c r="AT66" s="163">
        <v>42777.460317460318</v>
      </c>
      <c r="AU66" s="210">
        <v>42777.460317460318</v>
      </c>
      <c r="AV66" s="210">
        <v>42777.460317460318</v>
      </c>
      <c r="AW66" s="210">
        <v>42777.460317460318</v>
      </c>
      <c r="AX66" s="210">
        <v>42777.460317460318</v>
      </c>
      <c r="AY66" s="210">
        <v>42777.460317460318</v>
      </c>
      <c r="AZ66" s="210">
        <v>42777.460317460318</v>
      </c>
      <c r="BA66" s="210">
        <v>42777.460317460318</v>
      </c>
      <c r="BB66" s="210">
        <v>42777.460317460318</v>
      </c>
      <c r="BC66" s="210">
        <v>42777.460317460318</v>
      </c>
      <c r="BD66" s="210">
        <v>42777.460317460318</v>
      </c>
      <c r="BE66" s="210">
        <v>42777.460317460318</v>
      </c>
      <c r="BF66" s="157">
        <f t="shared" si="216"/>
        <v>513329.52380952373</v>
      </c>
      <c r="BG66" s="176"/>
      <c r="BH66" s="163">
        <v>6130.9523809523807</v>
      </c>
      <c r="BI66" s="164">
        <v>6130.9523809523807</v>
      </c>
      <c r="BJ66" s="154">
        <v>6130.9523809523807</v>
      </c>
      <c r="BK66" s="154">
        <v>6130.9523809523807</v>
      </c>
      <c r="BL66" s="154">
        <v>6130.9523809523807</v>
      </c>
      <c r="BM66" s="154">
        <v>6130.9523809523807</v>
      </c>
      <c r="BN66" s="154">
        <v>6130.9523809523807</v>
      </c>
      <c r="BO66" s="154">
        <v>6130.9523809523807</v>
      </c>
      <c r="BP66" s="154">
        <v>6130.9523809523807</v>
      </c>
      <c r="BQ66" s="154">
        <v>6130.9523809523807</v>
      </c>
      <c r="BR66" s="154">
        <v>6130.9523809523807</v>
      </c>
      <c r="BS66" s="154">
        <v>6130.9523809523807</v>
      </c>
      <c r="BT66" s="157">
        <f t="shared" si="217"/>
        <v>73571.428571428565</v>
      </c>
      <c r="BU66" s="161"/>
      <c r="BV66" s="163">
        <v>150408.73015873015</v>
      </c>
      <c r="BW66" s="164">
        <v>150408.73015873015</v>
      </c>
      <c r="BX66" s="154">
        <v>150408.73015873015</v>
      </c>
      <c r="BY66" s="154">
        <v>150408.73015873015</v>
      </c>
      <c r="BZ66" s="154">
        <v>150408.73015873015</v>
      </c>
      <c r="CA66" s="154">
        <v>150408.73015873015</v>
      </c>
      <c r="CB66" s="154">
        <v>150408.73015873015</v>
      </c>
      <c r="CC66" s="154">
        <v>150408.73015873015</v>
      </c>
      <c r="CD66" s="154">
        <v>150408.73015873015</v>
      </c>
      <c r="CE66" s="154">
        <v>150408.73015873015</v>
      </c>
      <c r="CF66" s="154">
        <v>150408.73015873015</v>
      </c>
      <c r="CG66" s="154">
        <v>150408.73015873015</v>
      </c>
      <c r="CH66" s="157">
        <f t="shared" si="218"/>
        <v>1804904.7619047619</v>
      </c>
      <c r="CI66" s="161"/>
      <c r="CJ66" s="163">
        <v>4496.0317460317465</v>
      </c>
      <c r="CK66" s="164">
        <v>4496.0317460317465</v>
      </c>
      <c r="CL66" s="154">
        <v>4496.0317460317465</v>
      </c>
      <c r="CM66" s="154">
        <v>4496.0317460317465</v>
      </c>
      <c r="CN66" s="154">
        <v>4496.0317460317465</v>
      </c>
      <c r="CO66" s="154">
        <v>4496.0317460317465</v>
      </c>
      <c r="CP66" s="154">
        <v>4496.0317460317465</v>
      </c>
      <c r="CQ66" s="154">
        <v>4496.0317460317465</v>
      </c>
      <c r="CR66" s="154">
        <v>4496.0317460317465</v>
      </c>
      <c r="CS66" s="154">
        <v>4496.0317460317465</v>
      </c>
      <c r="CT66" s="154">
        <v>4496.0317460317465</v>
      </c>
      <c r="CU66" s="154">
        <v>4496.0317460317465</v>
      </c>
      <c r="CV66" s="157">
        <f t="shared" si="219"/>
        <v>53952.380952380954</v>
      </c>
      <c r="CW66" s="161"/>
      <c r="CX66" s="163">
        <v>53404.444444444445</v>
      </c>
      <c r="CY66" s="164">
        <v>53404.444444444445</v>
      </c>
      <c r="CZ66" s="154">
        <v>53404.444444444445</v>
      </c>
      <c r="DA66" s="154">
        <v>53404.444444444445</v>
      </c>
      <c r="DB66" s="154">
        <v>53404.444444444445</v>
      </c>
      <c r="DC66" s="154">
        <v>53404.444444444445</v>
      </c>
      <c r="DD66" s="154">
        <v>53404.444444444445</v>
      </c>
      <c r="DE66" s="154">
        <v>53404.444444444445</v>
      </c>
      <c r="DF66" s="154">
        <v>53404.444444444445</v>
      </c>
      <c r="DG66" s="154">
        <v>53404.444444444445</v>
      </c>
      <c r="DH66" s="154">
        <v>53404.444444444445</v>
      </c>
      <c r="DI66" s="154">
        <v>53404.444444444445</v>
      </c>
      <c r="DJ66" s="157">
        <f t="shared" si="220"/>
        <v>640853.33333333349</v>
      </c>
      <c r="DK66" s="161"/>
      <c r="DL66" s="163">
        <v>309754.86844444444</v>
      </c>
      <c r="DM66" s="164">
        <v>158724.04444444444</v>
      </c>
      <c r="DN66" s="154">
        <v>137576.20444444445</v>
      </c>
      <c r="DO66" s="154">
        <v>11444.444444444445</v>
      </c>
      <c r="DP66" s="154">
        <v>11444.444444444445</v>
      </c>
      <c r="DQ66" s="154">
        <v>11444.444444444445</v>
      </c>
      <c r="DR66" s="154">
        <v>309754.86844444444</v>
      </c>
      <c r="DS66" s="154">
        <v>11444.444444444445</v>
      </c>
      <c r="DT66" s="154">
        <v>11444.444444444445</v>
      </c>
      <c r="DU66" s="154">
        <v>11444.444444444445</v>
      </c>
      <c r="DV66" s="154">
        <v>11444.444444444445</v>
      </c>
      <c r="DW66" s="154">
        <v>11444.444444444445</v>
      </c>
      <c r="DX66" s="157">
        <f t="shared" si="221"/>
        <v>1007365.5413333336</v>
      </c>
      <c r="DY66" s="161"/>
      <c r="DZ66" s="163">
        <v>408.73015873015873</v>
      </c>
      <c r="EA66" s="164">
        <v>408.73015873015873</v>
      </c>
      <c r="EB66" s="154">
        <v>408.73015873015873</v>
      </c>
      <c r="EC66" s="154">
        <v>268868.81015873019</v>
      </c>
      <c r="ED66" s="154">
        <v>408.73015873015873</v>
      </c>
      <c r="EE66" s="154">
        <v>408.73015873015873</v>
      </c>
      <c r="EF66" s="154">
        <v>408.73015873015873</v>
      </c>
      <c r="EG66" s="154">
        <v>408.73015873015873</v>
      </c>
      <c r="EH66" s="154">
        <v>408.73015873015873</v>
      </c>
      <c r="EI66" s="154">
        <v>408.73015873015873</v>
      </c>
      <c r="EJ66" s="154">
        <v>408.73015873015873</v>
      </c>
      <c r="EK66" s="154">
        <v>408.73015873015873</v>
      </c>
      <c r="EL66" s="157">
        <f t="shared" si="222"/>
        <v>273364.84190476208</v>
      </c>
      <c r="EM66" s="161"/>
      <c r="EN66" s="163">
        <v>817.46031746031747</v>
      </c>
      <c r="EO66" s="164">
        <v>817.46031746031747</v>
      </c>
      <c r="EP66" s="154">
        <v>817.46031746031747</v>
      </c>
      <c r="EQ66" s="154">
        <v>817.46031746031747</v>
      </c>
      <c r="ER66" s="154">
        <v>817.46031746031747</v>
      </c>
      <c r="ES66" s="154">
        <v>817.46031746031747</v>
      </c>
      <c r="ET66" s="154">
        <v>817.46031746031747</v>
      </c>
      <c r="EU66" s="154">
        <v>817.46031746031747</v>
      </c>
      <c r="EV66" s="154">
        <v>817.46031746031747</v>
      </c>
      <c r="EW66" s="154">
        <v>817.46031746031747</v>
      </c>
      <c r="EX66" s="154">
        <v>817.46031746031747</v>
      </c>
      <c r="EY66" s="154">
        <v>817.46031746031747</v>
      </c>
      <c r="EZ66" s="157">
        <f t="shared" si="223"/>
        <v>9809.5238095238092</v>
      </c>
      <c r="FA66" s="161"/>
      <c r="FB66" s="163">
        <v>408.73015873015873</v>
      </c>
      <c r="FC66" s="164">
        <v>408.73015873015873</v>
      </c>
      <c r="FD66" s="154">
        <v>408.73015873015873</v>
      </c>
      <c r="FE66" s="154">
        <v>408.73015873015873</v>
      </c>
      <c r="FF66" s="154">
        <v>408.73015873015873</v>
      </c>
      <c r="FG66" s="154">
        <v>408.73015873015873</v>
      </c>
      <c r="FH66" s="154">
        <v>408.73015873015873</v>
      </c>
      <c r="FI66" s="154">
        <v>408.73015873015873</v>
      </c>
      <c r="FJ66" s="154">
        <v>408.73015873015873</v>
      </c>
      <c r="FK66" s="154">
        <v>408.73015873015873</v>
      </c>
      <c r="FL66" s="154">
        <v>408.73015873015873</v>
      </c>
      <c r="FM66" s="154">
        <v>408.73015873015873</v>
      </c>
      <c r="FN66" s="157">
        <f t="shared" si="224"/>
        <v>4904.7619047619046</v>
      </c>
      <c r="FO66" s="161"/>
      <c r="FP66" s="163">
        <v>2861.1111111111113</v>
      </c>
      <c r="FQ66" s="164">
        <v>2861.1111111111113</v>
      </c>
      <c r="FR66" s="154">
        <v>2861.1111111111113</v>
      </c>
      <c r="FS66" s="154">
        <v>2861.1111111111113</v>
      </c>
      <c r="FT66" s="154">
        <v>2861.1111111111113</v>
      </c>
      <c r="FU66" s="154">
        <v>2861.1111111111113</v>
      </c>
      <c r="FV66" s="154">
        <v>2861.1111111111113</v>
      </c>
      <c r="FW66" s="154">
        <v>2861.1111111111113</v>
      </c>
      <c r="FX66" s="154">
        <v>2861.1111111111113</v>
      </c>
      <c r="FY66" s="154">
        <v>2861.1111111111113</v>
      </c>
      <c r="FZ66" s="154">
        <v>2861.1111111111113</v>
      </c>
      <c r="GA66" s="154">
        <v>2861.1111111111113</v>
      </c>
      <c r="GB66" s="157">
        <f t="shared" si="225"/>
        <v>34333.333333333328</v>
      </c>
      <c r="GC66" s="161"/>
      <c r="GD66" s="163">
        <v>408.73015873015873</v>
      </c>
      <c r="GE66" s="164">
        <v>408.73015873015873</v>
      </c>
      <c r="GF66" s="154">
        <v>408.73015873015873</v>
      </c>
      <c r="GG66" s="154">
        <v>408.73015873015873</v>
      </c>
      <c r="GH66" s="154">
        <v>408.73015873015873</v>
      </c>
      <c r="GI66" s="154">
        <v>408.73015873015873</v>
      </c>
      <c r="GJ66" s="154">
        <v>408.73015873015873</v>
      </c>
      <c r="GK66" s="154">
        <v>408.73015873015873</v>
      </c>
      <c r="GL66" s="154">
        <v>408.73015873015873</v>
      </c>
      <c r="GM66" s="154">
        <v>408.73015873015873</v>
      </c>
      <c r="GN66" s="154">
        <v>408.73015873015873</v>
      </c>
      <c r="GO66" s="154">
        <v>408.73015873015873</v>
      </c>
      <c r="GP66" s="157">
        <f t="shared" si="226"/>
        <v>4904.7619047619046</v>
      </c>
      <c r="GQ66" s="161"/>
      <c r="GR66" s="163">
        <v>-116495.59447231037</v>
      </c>
      <c r="GS66" s="164">
        <v>-116495.59447231037</v>
      </c>
      <c r="GT66" s="154">
        <v>-116495.59447231037</v>
      </c>
      <c r="GU66" s="154">
        <v>-116495.59447231037</v>
      </c>
      <c r="GV66" s="154">
        <v>-116495.59447231037</v>
      </c>
      <c r="GW66" s="154">
        <v>-116495.59447231037</v>
      </c>
      <c r="GX66" s="154">
        <v>-116495.59447231037</v>
      </c>
      <c r="GY66" s="154">
        <v>-116495.59447231037</v>
      </c>
      <c r="GZ66" s="154">
        <v>-116495.59447231037</v>
      </c>
      <c r="HA66" s="154">
        <v>-116495.59447231037</v>
      </c>
      <c r="HB66" s="154">
        <v>-116495.59447231037</v>
      </c>
      <c r="HC66" s="154">
        <v>-116495.59447231037</v>
      </c>
      <c r="HD66" s="157">
        <f t="shared" si="238"/>
        <v>0</v>
      </c>
      <c r="HE66" s="161"/>
      <c r="HF66" s="163">
        <v>1634.9206349206349</v>
      </c>
      <c r="HG66" s="164">
        <v>1634.9206349206349</v>
      </c>
      <c r="HH66" s="154">
        <v>1634.9206349206349</v>
      </c>
      <c r="HI66" s="154">
        <v>1634.9206349206349</v>
      </c>
      <c r="HJ66" s="154">
        <v>1634.9206349206349</v>
      </c>
      <c r="HK66" s="154">
        <v>1634.9206349206349</v>
      </c>
      <c r="HL66" s="154">
        <v>1634.9206349206349</v>
      </c>
      <c r="HM66" s="154">
        <v>1634.9206349206349</v>
      </c>
      <c r="HN66" s="154">
        <v>1634.9206349206349</v>
      </c>
      <c r="HO66" s="154">
        <v>1634.9206349206349</v>
      </c>
      <c r="HP66" s="154">
        <v>1634.9206349206349</v>
      </c>
      <c r="HQ66" s="154">
        <v>1634.9206349206349</v>
      </c>
      <c r="HR66" s="157">
        <f t="shared" si="227"/>
        <v>19619.047619047618</v>
      </c>
      <c r="HS66" s="161"/>
      <c r="HT66" s="163">
        <v>408.73015873015873</v>
      </c>
      <c r="HU66" s="164">
        <v>408.73015873015873</v>
      </c>
      <c r="HV66" s="154">
        <v>408.73015873015873</v>
      </c>
      <c r="HW66" s="154">
        <v>408.73015873015873</v>
      </c>
      <c r="HX66" s="154">
        <v>408.73015873015873</v>
      </c>
      <c r="HY66" s="154">
        <v>408.73015873015873</v>
      </c>
      <c r="HZ66" s="154">
        <v>408.73015873015873</v>
      </c>
      <c r="IA66" s="154">
        <v>408.73015873015873</v>
      </c>
      <c r="IB66" s="154">
        <v>408.73015873015873</v>
      </c>
      <c r="IC66" s="154">
        <v>408.73015873015873</v>
      </c>
      <c r="ID66" s="154">
        <v>408.73015873015873</v>
      </c>
      <c r="IE66" s="154">
        <v>408.73015873015873</v>
      </c>
      <c r="IF66" s="157">
        <f t="shared" si="228"/>
        <v>4904.7619047619046</v>
      </c>
      <c r="IG66" s="161"/>
      <c r="IH66" s="163">
        <v>408.73015873015873</v>
      </c>
      <c r="II66" s="164">
        <v>408.73015873015873</v>
      </c>
      <c r="IJ66" s="154">
        <v>408.73015873015873</v>
      </c>
      <c r="IK66" s="154">
        <v>408.73015873015873</v>
      </c>
      <c r="IL66" s="154">
        <v>408.73015873015873</v>
      </c>
      <c r="IM66" s="154">
        <v>408.73015873015873</v>
      </c>
      <c r="IN66" s="154">
        <v>408.73015873015873</v>
      </c>
      <c r="IO66" s="154">
        <v>408.73015873015873</v>
      </c>
      <c r="IP66" s="154">
        <v>408.73015873015873</v>
      </c>
      <c r="IQ66" s="154">
        <v>408.73015873015873</v>
      </c>
      <c r="IR66" s="154">
        <v>408.73015873015873</v>
      </c>
      <c r="IS66" s="154">
        <v>408.73015873015873</v>
      </c>
      <c r="IT66" s="157">
        <f t="shared" si="229"/>
        <v>4904.7619047619046</v>
      </c>
      <c r="IU66" s="161"/>
      <c r="IV66" s="163">
        <v>2861.1111111111113</v>
      </c>
      <c r="IW66" s="164">
        <v>2861.1111111111113</v>
      </c>
      <c r="IX66" s="154">
        <v>2861.1111111111113</v>
      </c>
      <c r="IY66" s="154">
        <v>2861.1111111111113</v>
      </c>
      <c r="IZ66" s="154">
        <v>2861.1111111111113</v>
      </c>
      <c r="JA66" s="154">
        <v>2861.1111111111113</v>
      </c>
      <c r="JB66" s="154">
        <v>2861.1111111111113</v>
      </c>
      <c r="JC66" s="154">
        <v>2861.1111111111113</v>
      </c>
      <c r="JD66" s="154">
        <v>2861.1111111111113</v>
      </c>
      <c r="JE66" s="154">
        <v>2861.1111111111113</v>
      </c>
      <c r="JF66" s="154">
        <v>2861.1111111111113</v>
      </c>
      <c r="JG66" s="154">
        <v>2861.1111111111113</v>
      </c>
      <c r="JH66" s="157">
        <f t="shared" si="230"/>
        <v>34333.333333333328</v>
      </c>
      <c r="JI66" s="161"/>
      <c r="JJ66" s="163">
        <v>4496.0317460317465</v>
      </c>
      <c r="JK66" s="164">
        <v>4496.0317460317465</v>
      </c>
      <c r="JL66" s="154">
        <v>4496.0317460317465</v>
      </c>
      <c r="JM66" s="154">
        <v>4496.0317460317465</v>
      </c>
      <c r="JN66" s="154">
        <v>4496.0317460317465</v>
      </c>
      <c r="JO66" s="154">
        <v>4496.0317460317465</v>
      </c>
      <c r="JP66" s="154">
        <v>4496.0317460317465</v>
      </c>
      <c r="JQ66" s="154">
        <v>4496.0317460317465</v>
      </c>
      <c r="JR66" s="154">
        <v>4496.0317460317465</v>
      </c>
      <c r="JS66" s="154">
        <v>4496.0317460317465</v>
      </c>
      <c r="JT66" s="154">
        <v>4496.0317460317465</v>
      </c>
      <c r="JU66" s="154">
        <v>4496.0317460317465</v>
      </c>
      <c r="JV66" s="157">
        <f t="shared" si="231"/>
        <v>53952.380952380954</v>
      </c>
      <c r="JW66" s="161"/>
      <c r="JX66" s="163">
        <v>2043.6507936507937</v>
      </c>
      <c r="JY66" s="164">
        <v>2043.6507936507937</v>
      </c>
      <c r="JZ66" s="154">
        <v>2043.6507936507937</v>
      </c>
      <c r="KA66" s="154">
        <v>2043.6507936507937</v>
      </c>
      <c r="KB66" s="154">
        <v>2043.6507936507937</v>
      </c>
      <c r="KC66" s="154">
        <v>2043.6507936507937</v>
      </c>
      <c r="KD66" s="154">
        <v>2043.6507936507937</v>
      </c>
      <c r="KE66" s="154">
        <v>2043.6507936507937</v>
      </c>
      <c r="KF66" s="154">
        <v>2043.6507936507937</v>
      </c>
      <c r="KG66" s="154">
        <v>2043.6507936507937</v>
      </c>
      <c r="KH66" s="154">
        <v>2043.6507936507937</v>
      </c>
      <c r="KI66" s="154">
        <v>2043.6507936507937</v>
      </c>
      <c r="KJ66" s="157">
        <f t="shared" si="232"/>
        <v>24523.809523809527</v>
      </c>
      <c r="KK66" s="161"/>
      <c r="KL66" s="163">
        <v>817.46031746031747</v>
      </c>
      <c r="KM66" s="164">
        <v>817.46031746031747</v>
      </c>
      <c r="KN66" s="154">
        <v>817.46031746031747</v>
      </c>
      <c r="KO66" s="154">
        <v>817.46031746031747</v>
      </c>
      <c r="KP66" s="154">
        <v>817.46031746031747</v>
      </c>
      <c r="KQ66" s="154">
        <v>817.46031746031747</v>
      </c>
      <c r="KR66" s="154">
        <v>817.46031746031747</v>
      </c>
      <c r="KS66" s="154">
        <v>817.46031746031747</v>
      </c>
      <c r="KT66" s="154">
        <v>817.46031746031747</v>
      </c>
      <c r="KU66" s="154">
        <v>817.46031746031747</v>
      </c>
      <c r="KV66" s="154">
        <v>817.46031746031747</v>
      </c>
      <c r="KW66" s="154">
        <v>817.46031746031747</v>
      </c>
      <c r="KX66" s="157">
        <f t="shared" si="233"/>
        <v>9809.5238095238092</v>
      </c>
      <c r="KY66" s="161"/>
      <c r="KZ66" s="163">
        <v>408.73015873015873</v>
      </c>
      <c r="LA66" s="164">
        <v>408.73015873015873</v>
      </c>
      <c r="LB66" s="154">
        <v>408.73015873015873</v>
      </c>
      <c r="LC66" s="154">
        <v>408.73015873015873</v>
      </c>
      <c r="LD66" s="154">
        <v>408.73015873015873</v>
      </c>
      <c r="LE66" s="154">
        <v>408.73015873015873</v>
      </c>
      <c r="LF66" s="154">
        <v>408.73015873015873</v>
      </c>
      <c r="LG66" s="154">
        <v>408.73015873015873</v>
      </c>
      <c r="LH66" s="154">
        <v>408.73015873015873</v>
      </c>
      <c r="LI66" s="154">
        <v>408.73015873015873</v>
      </c>
      <c r="LJ66" s="154">
        <v>408.73015873015873</v>
      </c>
      <c r="LK66" s="154">
        <v>408.73015873015873</v>
      </c>
      <c r="LL66" s="157">
        <f t="shared" si="234"/>
        <v>4904.7619047619046</v>
      </c>
      <c r="LM66" s="161"/>
      <c r="LN66" s="163">
        <v>0</v>
      </c>
      <c r="LO66" s="164">
        <v>0</v>
      </c>
      <c r="LP66" s="154">
        <v>0</v>
      </c>
      <c r="LQ66" s="154">
        <v>0</v>
      </c>
      <c r="LR66" s="154">
        <v>0</v>
      </c>
      <c r="LS66" s="154">
        <v>0</v>
      </c>
      <c r="LT66" s="154">
        <v>0</v>
      </c>
      <c r="LU66" s="154">
        <v>0</v>
      </c>
      <c r="LV66" s="154">
        <v>0</v>
      </c>
      <c r="LW66" s="154">
        <v>0</v>
      </c>
      <c r="LX66" s="154">
        <v>0</v>
      </c>
      <c r="LY66" s="154">
        <v>0</v>
      </c>
      <c r="LZ66" s="157">
        <f t="shared" si="235"/>
        <v>0</v>
      </c>
      <c r="MA66" s="161"/>
      <c r="MB66" s="157">
        <f t="shared" si="236"/>
        <v>482766.57555943582</v>
      </c>
      <c r="MC66" s="157">
        <f t="shared" si="236"/>
        <v>331735.75155943574</v>
      </c>
      <c r="MD66" s="157">
        <f t="shared" si="236"/>
        <v>310587.91155943577</v>
      </c>
      <c r="ME66" s="157">
        <f t="shared" si="236"/>
        <v>452916.23155943578</v>
      </c>
      <c r="MF66" s="157">
        <f t="shared" si="236"/>
        <v>184456.15155943568</v>
      </c>
      <c r="MG66" s="157">
        <f t="shared" si="236"/>
        <v>184456.15155943568</v>
      </c>
      <c r="MH66" s="157">
        <f t="shared" si="236"/>
        <v>482766.57555943582</v>
      </c>
      <c r="MI66" s="157">
        <f t="shared" si="236"/>
        <v>184456.15155943568</v>
      </c>
      <c r="MJ66" s="157">
        <f t="shared" si="236"/>
        <v>184456.15155943568</v>
      </c>
      <c r="MK66" s="157">
        <f t="shared" si="236"/>
        <v>184456.15155943568</v>
      </c>
      <c r="ML66" s="157">
        <f t="shared" si="236"/>
        <v>184456.15155943568</v>
      </c>
      <c r="MM66" s="157">
        <f t="shared" si="236"/>
        <v>184456.15155943568</v>
      </c>
      <c r="MN66" s="157">
        <f t="shared" si="239"/>
        <v>3351966.1067132293</v>
      </c>
    </row>
    <row r="67" spans="1:352" s="180" customFormat="1" x14ac:dyDescent="0.25">
      <c r="A67" s="98"/>
      <c r="B67" s="64" t="s">
        <v>82</v>
      </c>
      <c r="C67" s="98"/>
      <c r="D67" s="163">
        <v>47182.539682539682</v>
      </c>
      <c r="E67" s="179">
        <v>47182.539682539682</v>
      </c>
      <c r="F67" s="179">
        <v>47182.539682539682</v>
      </c>
      <c r="G67" s="179">
        <v>47182.539682539682</v>
      </c>
      <c r="H67" s="179">
        <v>47182.539682539682</v>
      </c>
      <c r="I67" s="179">
        <v>47182.539682539682</v>
      </c>
      <c r="J67" s="179">
        <v>47182.539682539682</v>
      </c>
      <c r="K67" s="179">
        <v>47182.539682539682</v>
      </c>
      <c r="L67" s="179">
        <v>47182.539682539682</v>
      </c>
      <c r="M67" s="179">
        <v>47182.539682539682</v>
      </c>
      <c r="N67" s="179">
        <v>47182.539682539682</v>
      </c>
      <c r="O67" s="179">
        <v>47182.539682539682</v>
      </c>
      <c r="P67" s="157">
        <f t="shared" si="213"/>
        <v>566190.47619047633</v>
      </c>
      <c r="Q67" s="161"/>
      <c r="R67" s="163">
        <v>4880.9523809523807</v>
      </c>
      <c r="S67" s="179">
        <v>4880.9523809523807</v>
      </c>
      <c r="T67" s="179">
        <v>4880.9523809523807</v>
      </c>
      <c r="U67" s="179">
        <v>4880.9523809523807</v>
      </c>
      <c r="V67" s="179">
        <v>4880.9523809523807</v>
      </c>
      <c r="W67" s="179">
        <v>4880.9523809523807</v>
      </c>
      <c r="X67" s="179">
        <v>4880.9523809523807</v>
      </c>
      <c r="Y67" s="179">
        <v>4880.9523809523807</v>
      </c>
      <c r="Z67" s="179">
        <v>4880.9523809523807</v>
      </c>
      <c r="AA67" s="179">
        <v>4880.9523809523807</v>
      </c>
      <c r="AB67" s="179">
        <v>4880.9523809523807</v>
      </c>
      <c r="AC67" s="179">
        <v>4880.9523809523807</v>
      </c>
      <c r="AD67" s="157">
        <f t="shared" si="214"/>
        <v>58571.428571428572</v>
      </c>
      <c r="AE67" s="161"/>
      <c r="AF67" s="163">
        <v>4880.9523809523807</v>
      </c>
      <c r="AG67" s="179">
        <v>4880.9523809523807</v>
      </c>
      <c r="AH67" s="179">
        <v>4880.9523809523807</v>
      </c>
      <c r="AI67" s="179">
        <v>4880.9523809523807</v>
      </c>
      <c r="AJ67" s="179">
        <v>4880.9523809523807</v>
      </c>
      <c r="AK67" s="179">
        <v>4880.9523809523807</v>
      </c>
      <c r="AL67" s="179">
        <v>4880.9523809523807</v>
      </c>
      <c r="AM67" s="179">
        <v>4880.9523809523807</v>
      </c>
      <c r="AN67" s="179">
        <v>4880.9523809523807</v>
      </c>
      <c r="AO67" s="179">
        <v>4880.9523809523807</v>
      </c>
      <c r="AP67" s="179">
        <v>4880.9523809523807</v>
      </c>
      <c r="AQ67" s="179">
        <v>4880.9523809523807</v>
      </c>
      <c r="AR67" s="157">
        <f t="shared" si="215"/>
        <v>58571.428571428572</v>
      </c>
      <c r="AS67" s="161"/>
      <c r="AT67" s="163">
        <v>15841.968253968254</v>
      </c>
      <c r="AU67" s="179">
        <v>15841.968253968254</v>
      </c>
      <c r="AV67" s="179">
        <v>15841.968253968254</v>
      </c>
      <c r="AW67" s="179">
        <v>15841.968253968254</v>
      </c>
      <c r="AX67" s="179">
        <v>15841.968253968254</v>
      </c>
      <c r="AY67" s="179">
        <v>15841.968253968254</v>
      </c>
      <c r="AZ67" s="179">
        <v>15841.968253968254</v>
      </c>
      <c r="BA67" s="179">
        <v>15841.968253968254</v>
      </c>
      <c r="BB67" s="179">
        <v>15841.968253968254</v>
      </c>
      <c r="BC67" s="179">
        <v>15841.968253968254</v>
      </c>
      <c r="BD67" s="179">
        <v>15841.968253968254</v>
      </c>
      <c r="BE67" s="179">
        <v>15841.968253968254</v>
      </c>
      <c r="BF67" s="157">
        <f t="shared" si="216"/>
        <v>190103.61904761905</v>
      </c>
      <c r="BG67" s="176"/>
      <c r="BH67" s="163">
        <v>24404.761904761905</v>
      </c>
      <c r="BI67" s="164">
        <v>24404.761904761905</v>
      </c>
      <c r="BJ67" s="154">
        <v>24404.761904761905</v>
      </c>
      <c r="BK67" s="154">
        <v>24404.761904761905</v>
      </c>
      <c r="BL67" s="154">
        <v>24404.761904761905</v>
      </c>
      <c r="BM67" s="154">
        <v>24404.761904761905</v>
      </c>
      <c r="BN67" s="154">
        <v>24404.761904761905</v>
      </c>
      <c r="BO67" s="154">
        <v>24404.761904761905</v>
      </c>
      <c r="BP67" s="154">
        <v>24404.761904761905</v>
      </c>
      <c r="BQ67" s="154">
        <v>24404.761904761905</v>
      </c>
      <c r="BR67" s="154">
        <v>24404.761904761905</v>
      </c>
      <c r="BS67" s="154">
        <v>24404.761904761905</v>
      </c>
      <c r="BT67" s="157">
        <f t="shared" si="217"/>
        <v>292857.14285714278</v>
      </c>
      <c r="BU67" s="161"/>
      <c r="BV67" s="163">
        <v>1626.984126984127</v>
      </c>
      <c r="BW67" s="164">
        <v>1626.984126984127</v>
      </c>
      <c r="BX67" s="154">
        <v>1626.984126984127</v>
      </c>
      <c r="BY67" s="154">
        <v>1626.984126984127</v>
      </c>
      <c r="BZ67" s="154">
        <v>1626.984126984127</v>
      </c>
      <c r="CA67" s="154">
        <v>1626.984126984127</v>
      </c>
      <c r="CB67" s="154">
        <v>1626.984126984127</v>
      </c>
      <c r="CC67" s="154">
        <v>1626.984126984127</v>
      </c>
      <c r="CD67" s="154">
        <v>1626.984126984127</v>
      </c>
      <c r="CE67" s="154">
        <v>1626.984126984127</v>
      </c>
      <c r="CF67" s="154">
        <v>1626.984126984127</v>
      </c>
      <c r="CG67" s="154">
        <v>1626.984126984127</v>
      </c>
      <c r="CH67" s="157">
        <f t="shared" si="218"/>
        <v>19523.809523809523</v>
      </c>
      <c r="CI67" s="161"/>
      <c r="CJ67" s="163">
        <v>62896.825396825399</v>
      </c>
      <c r="CK67" s="164">
        <v>62896.825396825399</v>
      </c>
      <c r="CL67" s="154">
        <v>62896.825396825399</v>
      </c>
      <c r="CM67" s="154">
        <v>62896.825396825399</v>
      </c>
      <c r="CN67" s="154">
        <v>62896.825396825399</v>
      </c>
      <c r="CO67" s="154">
        <v>62896.825396825399</v>
      </c>
      <c r="CP67" s="154">
        <v>62896.825396825399</v>
      </c>
      <c r="CQ67" s="154">
        <v>62896.825396825399</v>
      </c>
      <c r="CR67" s="154">
        <v>62896.825396825399</v>
      </c>
      <c r="CS67" s="154">
        <v>62896.825396825399</v>
      </c>
      <c r="CT67" s="154">
        <v>62896.825396825399</v>
      </c>
      <c r="CU67" s="154">
        <v>62896.825396825399</v>
      </c>
      <c r="CV67" s="157">
        <f t="shared" si="219"/>
        <v>754761.90476190485</v>
      </c>
      <c r="CW67" s="161"/>
      <c r="CX67" s="163">
        <v>45555.555555555555</v>
      </c>
      <c r="CY67" s="164">
        <v>45555.555555555555</v>
      </c>
      <c r="CZ67" s="154">
        <v>45555.555555555555</v>
      </c>
      <c r="DA67" s="154">
        <v>45555.555555555555</v>
      </c>
      <c r="DB67" s="154">
        <v>45555.555555555555</v>
      </c>
      <c r="DC67" s="154">
        <v>45555.555555555555</v>
      </c>
      <c r="DD67" s="154">
        <v>45555.555555555555</v>
      </c>
      <c r="DE67" s="154">
        <v>45555.555555555555</v>
      </c>
      <c r="DF67" s="154">
        <v>45555.555555555555</v>
      </c>
      <c r="DG67" s="154">
        <v>45555.555555555555</v>
      </c>
      <c r="DH67" s="154">
        <v>45555.555555555555</v>
      </c>
      <c r="DI67" s="154">
        <v>45555.555555555555</v>
      </c>
      <c r="DJ67" s="157">
        <f t="shared" si="220"/>
        <v>546666.66666666663</v>
      </c>
      <c r="DK67" s="161"/>
      <c r="DL67" s="163">
        <v>45555.555555555555</v>
      </c>
      <c r="DM67" s="164">
        <v>45555.555555555555</v>
      </c>
      <c r="DN67" s="154">
        <v>45555.555555555555</v>
      </c>
      <c r="DO67" s="154">
        <v>45555.555555555555</v>
      </c>
      <c r="DP67" s="154">
        <v>45555.555555555555</v>
      </c>
      <c r="DQ67" s="154">
        <v>45555.555555555555</v>
      </c>
      <c r="DR67" s="154">
        <v>45555.555555555555</v>
      </c>
      <c r="DS67" s="154">
        <v>45555.555555555555</v>
      </c>
      <c r="DT67" s="154">
        <v>45555.555555555555</v>
      </c>
      <c r="DU67" s="154">
        <v>45555.555555555555</v>
      </c>
      <c r="DV67" s="154">
        <v>45555.555555555555</v>
      </c>
      <c r="DW67" s="154">
        <v>45555.555555555555</v>
      </c>
      <c r="DX67" s="157">
        <f t="shared" si="221"/>
        <v>546666.66666666663</v>
      </c>
      <c r="DY67" s="161"/>
      <c r="DZ67" s="163">
        <v>1626.984126984127</v>
      </c>
      <c r="EA67" s="164">
        <v>1626.984126984127</v>
      </c>
      <c r="EB67" s="154">
        <v>1626.984126984127</v>
      </c>
      <c r="EC67" s="154">
        <v>1626.984126984127</v>
      </c>
      <c r="ED67" s="154">
        <v>1626.984126984127</v>
      </c>
      <c r="EE67" s="154">
        <v>1626.984126984127</v>
      </c>
      <c r="EF67" s="154">
        <v>1626.984126984127</v>
      </c>
      <c r="EG67" s="154">
        <v>1626.984126984127</v>
      </c>
      <c r="EH67" s="154">
        <v>1626.984126984127</v>
      </c>
      <c r="EI67" s="154">
        <v>1626.984126984127</v>
      </c>
      <c r="EJ67" s="154">
        <v>1626.984126984127</v>
      </c>
      <c r="EK67" s="154">
        <v>1626.984126984127</v>
      </c>
      <c r="EL67" s="157">
        <f t="shared" si="222"/>
        <v>19523.809523809523</v>
      </c>
      <c r="EM67" s="161"/>
      <c r="EN67" s="163">
        <v>3253.968253968254</v>
      </c>
      <c r="EO67" s="164">
        <v>3253.968253968254</v>
      </c>
      <c r="EP67" s="154">
        <v>3253.968253968254</v>
      </c>
      <c r="EQ67" s="154">
        <v>3253.968253968254</v>
      </c>
      <c r="ER67" s="154">
        <v>3253.968253968254</v>
      </c>
      <c r="ES67" s="154">
        <v>3253.968253968254</v>
      </c>
      <c r="ET67" s="154">
        <v>3253.968253968254</v>
      </c>
      <c r="EU67" s="154">
        <v>3253.968253968254</v>
      </c>
      <c r="EV67" s="154">
        <v>3253.968253968254</v>
      </c>
      <c r="EW67" s="154">
        <v>3253.968253968254</v>
      </c>
      <c r="EX67" s="154">
        <v>3253.968253968254</v>
      </c>
      <c r="EY67" s="154">
        <v>3253.968253968254</v>
      </c>
      <c r="EZ67" s="157">
        <f t="shared" si="223"/>
        <v>39047.619047619046</v>
      </c>
      <c r="FA67" s="161"/>
      <c r="FB67" s="163">
        <v>1626.984126984127</v>
      </c>
      <c r="FC67" s="164">
        <v>1626.984126984127</v>
      </c>
      <c r="FD67" s="154">
        <v>1626.984126984127</v>
      </c>
      <c r="FE67" s="154">
        <v>1626.984126984127</v>
      </c>
      <c r="FF67" s="154">
        <v>1626.984126984127</v>
      </c>
      <c r="FG67" s="154">
        <v>1626.984126984127</v>
      </c>
      <c r="FH67" s="154">
        <v>1626.984126984127</v>
      </c>
      <c r="FI67" s="154">
        <v>1626.984126984127</v>
      </c>
      <c r="FJ67" s="154">
        <v>1626.984126984127</v>
      </c>
      <c r="FK67" s="154">
        <v>1626.984126984127</v>
      </c>
      <c r="FL67" s="154">
        <v>1626.984126984127</v>
      </c>
      <c r="FM67" s="154">
        <v>1626.984126984127</v>
      </c>
      <c r="FN67" s="157">
        <f t="shared" si="224"/>
        <v>19523.809523809523</v>
      </c>
      <c r="FO67" s="161"/>
      <c r="FP67" s="163">
        <v>11388.888888888889</v>
      </c>
      <c r="FQ67" s="164">
        <v>11388.888888888889</v>
      </c>
      <c r="FR67" s="154">
        <v>11388.888888888889</v>
      </c>
      <c r="FS67" s="154">
        <v>11388.888888888889</v>
      </c>
      <c r="FT67" s="154">
        <v>11388.888888888889</v>
      </c>
      <c r="FU67" s="154">
        <v>11388.888888888889</v>
      </c>
      <c r="FV67" s="154">
        <v>11388.888888888889</v>
      </c>
      <c r="FW67" s="154">
        <v>11388.888888888889</v>
      </c>
      <c r="FX67" s="154">
        <v>11388.888888888889</v>
      </c>
      <c r="FY67" s="154">
        <v>11388.888888888889</v>
      </c>
      <c r="FZ67" s="154">
        <v>11388.888888888889</v>
      </c>
      <c r="GA67" s="154">
        <v>11388.888888888889</v>
      </c>
      <c r="GB67" s="157">
        <f t="shared" si="225"/>
        <v>136666.66666666666</v>
      </c>
      <c r="GC67" s="161"/>
      <c r="GD67" s="163">
        <v>1626.984126984127</v>
      </c>
      <c r="GE67" s="164">
        <v>1626.984126984127</v>
      </c>
      <c r="GF67" s="154">
        <v>1626.984126984127</v>
      </c>
      <c r="GG67" s="154">
        <v>1626.984126984127</v>
      </c>
      <c r="GH67" s="154">
        <v>1626.984126984127</v>
      </c>
      <c r="GI67" s="154">
        <v>1626.984126984127</v>
      </c>
      <c r="GJ67" s="154">
        <v>1626.984126984127</v>
      </c>
      <c r="GK67" s="154">
        <v>1626.984126984127</v>
      </c>
      <c r="GL67" s="154">
        <v>1626.984126984127</v>
      </c>
      <c r="GM67" s="154">
        <v>1626.984126984127</v>
      </c>
      <c r="GN67" s="154">
        <v>1626.984126984127</v>
      </c>
      <c r="GO67" s="154">
        <v>1626.984126984127</v>
      </c>
      <c r="GP67" s="157">
        <f t="shared" si="226"/>
        <v>19523.809523809523</v>
      </c>
      <c r="GQ67" s="161"/>
      <c r="GR67" s="163">
        <v>0</v>
      </c>
      <c r="GS67" s="164">
        <v>0</v>
      </c>
      <c r="GT67" s="154">
        <v>10000</v>
      </c>
      <c r="GU67" s="154">
        <v>10000</v>
      </c>
      <c r="GV67" s="154">
        <v>10000</v>
      </c>
      <c r="GW67" s="154">
        <v>10000</v>
      </c>
      <c r="GX67" s="154">
        <v>10000</v>
      </c>
      <c r="GY67" s="154">
        <v>10000</v>
      </c>
      <c r="GZ67" s="154">
        <v>10000</v>
      </c>
      <c r="HA67" s="154">
        <v>10000</v>
      </c>
      <c r="HB67" s="154">
        <v>10000</v>
      </c>
      <c r="HC67" s="154">
        <v>10000</v>
      </c>
      <c r="HD67" s="157">
        <f t="shared" si="238"/>
        <v>0</v>
      </c>
      <c r="HE67" s="161"/>
      <c r="HF67" s="163">
        <v>6507.936507936508</v>
      </c>
      <c r="HG67" s="164">
        <v>6507.936507936508</v>
      </c>
      <c r="HH67" s="154">
        <v>6507.936507936508</v>
      </c>
      <c r="HI67" s="154">
        <v>6507.936507936508</v>
      </c>
      <c r="HJ67" s="154">
        <v>6507.936507936508</v>
      </c>
      <c r="HK67" s="154">
        <v>6507.936507936508</v>
      </c>
      <c r="HL67" s="154">
        <v>6507.936507936508</v>
      </c>
      <c r="HM67" s="154">
        <v>6507.936507936508</v>
      </c>
      <c r="HN67" s="154">
        <v>6507.936507936508</v>
      </c>
      <c r="HO67" s="154">
        <v>6507.936507936508</v>
      </c>
      <c r="HP67" s="154">
        <v>6507.936507936508</v>
      </c>
      <c r="HQ67" s="154">
        <v>6507.936507936508</v>
      </c>
      <c r="HR67" s="157">
        <f t="shared" si="227"/>
        <v>78095.238095238092</v>
      </c>
      <c r="HS67" s="161"/>
      <c r="HT67" s="163">
        <v>1626.984126984127</v>
      </c>
      <c r="HU67" s="164">
        <v>1626.984126984127</v>
      </c>
      <c r="HV67" s="154">
        <v>1626.984126984127</v>
      </c>
      <c r="HW67" s="154">
        <v>1626.984126984127</v>
      </c>
      <c r="HX67" s="154">
        <v>1626.984126984127</v>
      </c>
      <c r="HY67" s="154">
        <v>1626.984126984127</v>
      </c>
      <c r="HZ67" s="154">
        <v>1626.984126984127</v>
      </c>
      <c r="IA67" s="154">
        <v>1626.984126984127</v>
      </c>
      <c r="IB67" s="154">
        <v>1626.984126984127</v>
      </c>
      <c r="IC67" s="154">
        <v>1626.984126984127</v>
      </c>
      <c r="ID67" s="154">
        <v>1626.984126984127</v>
      </c>
      <c r="IE67" s="154">
        <v>1626.984126984127</v>
      </c>
      <c r="IF67" s="157">
        <f t="shared" si="228"/>
        <v>19523.809523809523</v>
      </c>
      <c r="IG67" s="161"/>
      <c r="IH67" s="163">
        <v>1626.984126984127</v>
      </c>
      <c r="II67" s="164">
        <v>1626.984126984127</v>
      </c>
      <c r="IJ67" s="154">
        <v>1626.984126984127</v>
      </c>
      <c r="IK67" s="154">
        <v>1626.984126984127</v>
      </c>
      <c r="IL67" s="154">
        <v>1626.984126984127</v>
      </c>
      <c r="IM67" s="154">
        <v>1626.984126984127</v>
      </c>
      <c r="IN67" s="154">
        <v>1626.984126984127</v>
      </c>
      <c r="IO67" s="154">
        <v>1626.984126984127</v>
      </c>
      <c r="IP67" s="154">
        <v>1626.984126984127</v>
      </c>
      <c r="IQ67" s="154">
        <v>1626.984126984127</v>
      </c>
      <c r="IR67" s="154">
        <v>1626.984126984127</v>
      </c>
      <c r="IS67" s="154">
        <v>1626.984126984127</v>
      </c>
      <c r="IT67" s="157">
        <f t="shared" si="229"/>
        <v>19523.809523809523</v>
      </c>
      <c r="IU67" s="161"/>
      <c r="IV67" s="163">
        <v>11388.888888888889</v>
      </c>
      <c r="IW67" s="164">
        <v>11388.888888888889</v>
      </c>
      <c r="IX67" s="154">
        <v>11388.888888888889</v>
      </c>
      <c r="IY67" s="154">
        <v>11388.888888888889</v>
      </c>
      <c r="IZ67" s="154">
        <v>11388.888888888889</v>
      </c>
      <c r="JA67" s="154">
        <v>11388.888888888889</v>
      </c>
      <c r="JB67" s="154">
        <v>11388.888888888889</v>
      </c>
      <c r="JC67" s="154">
        <v>11388.888888888889</v>
      </c>
      <c r="JD67" s="154">
        <v>11388.888888888889</v>
      </c>
      <c r="JE67" s="154">
        <v>11388.888888888889</v>
      </c>
      <c r="JF67" s="154">
        <v>11388.888888888889</v>
      </c>
      <c r="JG67" s="154">
        <v>11388.888888888889</v>
      </c>
      <c r="JH67" s="157">
        <f t="shared" si="230"/>
        <v>136666.66666666666</v>
      </c>
      <c r="JI67" s="161"/>
      <c r="JJ67" s="163">
        <v>17896.825396825396</v>
      </c>
      <c r="JK67" s="164">
        <v>17896.825396825396</v>
      </c>
      <c r="JL67" s="154">
        <v>17896.825396825396</v>
      </c>
      <c r="JM67" s="154">
        <v>17896.825396825396</v>
      </c>
      <c r="JN67" s="154">
        <v>17896.825396825396</v>
      </c>
      <c r="JO67" s="154">
        <v>17896.825396825396</v>
      </c>
      <c r="JP67" s="154">
        <v>17896.825396825396</v>
      </c>
      <c r="JQ67" s="154">
        <v>17896.825396825396</v>
      </c>
      <c r="JR67" s="154">
        <v>17896.825396825396</v>
      </c>
      <c r="JS67" s="154">
        <v>17896.825396825396</v>
      </c>
      <c r="JT67" s="154">
        <v>17896.825396825396</v>
      </c>
      <c r="JU67" s="154">
        <v>17896.825396825396</v>
      </c>
      <c r="JV67" s="157">
        <f t="shared" si="231"/>
        <v>214761.90476190471</v>
      </c>
      <c r="JW67" s="161"/>
      <c r="JX67" s="163">
        <v>8134.9206349206352</v>
      </c>
      <c r="JY67" s="164">
        <v>8134.9206349206352</v>
      </c>
      <c r="JZ67" s="154">
        <v>8134.9206349206352</v>
      </c>
      <c r="KA67" s="154">
        <v>8134.9206349206352</v>
      </c>
      <c r="KB67" s="154">
        <v>8134.9206349206352</v>
      </c>
      <c r="KC67" s="154">
        <v>8134.9206349206352</v>
      </c>
      <c r="KD67" s="154">
        <v>8134.9206349206352</v>
      </c>
      <c r="KE67" s="154">
        <v>8134.9206349206352</v>
      </c>
      <c r="KF67" s="154">
        <v>8134.9206349206352</v>
      </c>
      <c r="KG67" s="154">
        <v>8134.9206349206352</v>
      </c>
      <c r="KH67" s="154">
        <v>8134.9206349206352</v>
      </c>
      <c r="KI67" s="154">
        <v>8134.9206349206352</v>
      </c>
      <c r="KJ67" s="157">
        <f t="shared" si="232"/>
        <v>97619.047619047618</v>
      </c>
      <c r="KK67" s="161"/>
      <c r="KL67" s="163">
        <v>3253.968253968254</v>
      </c>
      <c r="KM67" s="164">
        <v>3253.968253968254</v>
      </c>
      <c r="KN67" s="154">
        <v>3253.968253968254</v>
      </c>
      <c r="KO67" s="154">
        <v>3253.968253968254</v>
      </c>
      <c r="KP67" s="154">
        <v>3253.968253968254</v>
      </c>
      <c r="KQ67" s="154">
        <v>3253.968253968254</v>
      </c>
      <c r="KR67" s="154">
        <v>3253.968253968254</v>
      </c>
      <c r="KS67" s="154">
        <v>3253.968253968254</v>
      </c>
      <c r="KT67" s="154">
        <v>3253.968253968254</v>
      </c>
      <c r="KU67" s="154">
        <v>3253.968253968254</v>
      </c>
      <c r="KV67" s="154">
        <v>3253.968253968254</v>
      </c>
      <c r="KW67" s="154">
        <v>3253.968253968254</v>
      </c>
      <c r="KX67" s="157">
        <f t="shared" si="233"/>
        <v>39047.619047619046</v>
      </c>
      <c r="KY67" s="161"/>
      <c r="KZ67" s="163">
        <v>1626.984126984127</v>
      </c>
      <c r="LA67" s="164">
        <v>1626.984126984127</v>
      </c>
      <c r="LB67" s="154">
        <v>1626.984126984127</v>
      </c>
      <c r="LC67" s="154">
        <v>1626.984126984127</v>
      </c>
      <c r="LD67" s="154">
        <v>1626.984126984127</v>
      </c>
      <c r="LE67" s="154">
        <v>1626.984126984127</v>
      </c>
      <c r="LF67" s="154">
        <v>1626.984126984127</v>
      </c>
      <c r="LG67" s="154">
        <v>1626.984126984127</v>
      </c>
      <c r="LH67" s="154">
        <v>1626.984126984127</v>
      </c>
      <c r="LI67" s="154">
        <v>1626.984126984127</v>
      </c>
      <c r="LJ67" s="154">
        <v>1626.984126984127</v>
      </c>
      <c r="LK67" s="154">
        <v>1626.984126984127</v>
      </c>
      <c r="LL67" s="157">
        <f t="shared" si="234"/>
        <v>19523.809523809523</v>
      </c>
      <c r="LM67" s="161"/>
      <c r="LN67" s="163">
        <v>0</v>
      </c>
      <c r="LO67" s="164">
        <v>0</v>
      </c>
      <c r="LP67" s="154">
        <v>0</v>
      </c>
      <c r="LQ67" s="154">
        <v>0</v>
      </c>
      <c r="LR67" s="154">
        <v>0</v>
      </c>
      <c r="LS67" s="154">
        <v>0</v>
      </c>
      <c r="LT67" s="154">
        <v>0</v>
      </c>
      <c r="LU67" s="154">
        <v>0</v>
      </c>
      <c r="LV67" s="154">
        <v>0</v>
      </c>
      <c r="LW67" s="154">
        <v>0</v>
      </c>
      <c r="LX67" s="154">
        <v>0</v>
      </c>
      <c r="LY67" s="154">
        <v>0</v>
      </c>
      <c r="LZ67" s="157">
        <f t="shared" si="235"/>
        <v>0</v>
      </c>
      <c r="MA67" s="161"/>
      <c r="MB67" s="157">
        <f t="shared" si="236"/>
        <v>324413.39682539686</v>
      </c>
      <c r="MC67" s="157">
        <f t="shared" si="236"/>
        <v>324413.39682539686</v>
      </c>
      <c r="MD67" s="157">
        <f t="shared" si="236"/>
        <v>334413.39682539686</v>
      </c>
      <c r="ME67" s="157">
        <f t="shared" si="236"/>
        <v>334413.39682539686</v>
      </c>
      <c r="MF67" s="157">
        <f t="shared" si="236"/>
        <v>334413.39682539686</v>
      </c>
      <c r="MG67" s="157">
        <f t="shared" si="236"/>
        <v>334413.39682539686</v>
      </c>
      <c r="MH67" s="157">
        <f t="shared" si="236"/>
        <v>334413.39682539686</v>
      </c>
      <c r="MI67" s="157">
        <f t="shared" si="236"/>
        <v>334413.39682539686</v>
      </c>
      <c r="MJ67" s="157">
        <f t="shared" si="236"/>
        <v>334413.39682539686</v>
      </c>
      <c r="MK67" s="157">
        <f t="shared" si="236"/>
        <v>334413.39682539686</v>
      </c>
      <c r="ML67" s="157">
        <f t="shared" si="236"/>
        <v>334413.39682539686</v>
      </c>
      <c r="MM67" s="157">
        <f t="shared" si="236"/>
        <v>334413.39682539686</v>
      </c>
      <c r="MN67" s="157">
        <f t="shared" si="239"/>
        <v>3992960.7619047626</v>
      </c>
    </row>
    <row r="68" spans="1:352" x14ac:dyDescent="0.25">
      <c r="A68" s="98"/>
      <c r="B68" s="64" t="s">
        <v>84</v>
      </c>
      <c r="C68" s="98"/>
      <c r="D68" s="163">
        <v>15236.111111111109</v>
      </c>
      <c r="E68" s="179">
        <v>15236.111111111109</v>
      </c>
      <c r="F68" s="179">
        <v>15236.111111111109</v>
      </c>
      <c r="G68" s="179">
        <v>15236.111111111109</v>
      </c>
      <c r="H68" s="179">
        <v>15236.111111111109</v>
      </c>
      <c r="I68" s="179">
        <v>15236.111111111109</v>
      </c>
      <c r="J68" s="179">
        <v>15236.111111111109</v>
      </c>
      <c r="K68" s="179">
        <v>15236.111111111109</v>
      </c>
      <c r="L68" s="179">
        <v>15236.111111111109</v>
      </c>
      <c r="M68" s="179">
        <v>15236.111111111109</v>
      </c>
      <c r="N68" s="179">
        <v>15236.111111111109</v>
      </c>
      <c r="O68" s="179">
        <v>15236.111111111109</v>
      </c>
      <c r="P68" s="157">
        <f t="shared" si="213"/>
        <v>182833.33333333337</v>
      </c>
      <c r="Q68" s="161"/>
      <c r="R68" s="163">
        <v>541.66666666666663</v>
      </c>
      <c r="S68" s="179">
        <v>541.66666666666663</v>
      </c>
      <c r="T68" s="179">
        <v>541.66666666666663</v>
      </c>
      <c r="U68" s="179">
        <v>541.66666666666663</v>
      </c>
      <c r="V68" s="179">
        <v>541.66666666666663</v>
      </c>
      <c r="W68" s="179">
        <v>541.66666666666663</v>
      </c>
      <c r="X68" s="179">
        <v>541.66666666666663</v>
      </c>
      <c r="Y68" s="179">
        <v>541.66666666666663</v>
      </c>
      <c r="Z68" s="179">
        <v>541.66666666666663</v>
      </c>
      <c r="AA68" s="179">
        <v>541.66666666666663</v>
      </c>
      <c r="AB68" s="179">
        <v>541.66666666666663</v>
      </c>
      <c r="AC68" s="179">
        <v>541.66666666666663</v>
      </c>
      <c r="AD68" s="157">
        <f t="shared" si="214"/>
        <v>6500.0000000000009</v>
      </c>
      <c r="AE68" s="161"/>
      <c r="AF68" s="163">
        <v>541.66666666666663</v>
      </c>
      <c r="AG68" s="179">
        <v>541.66666666666663</v>
      </c>
      <c r="AH68" s="179">
        <v>541.66666666666663</v>
      </c>
      <c r="AI68" s="179">
        <v>541.66666666666663</v>
      </c>
      <c r="AJ68" s="179">
        <v>541.66666666666663</v>
      </c>
      <c r="AK68" s="179">
        <v>541.66666666666663</v>
      </c>
      <c r="AL68" s="179">
        <v>541.66666666666663</v>
      </c>
      <c r="AM68" s="179">
        <v>541.66666666666663</v>
      </c>
      <c r="AN68" s="179">
        <v>541.66666666666663</v>
      </c>
      <c r="AO68" s="179">
        <v>541.66666666666663</v>
      </c>
      <c r="AP68" s="179">
        <v>541.66666666666663</v>
      </c>
      <c r="AQ68" s="179">
        <v>541.66666666666663</v>
      </c>
      <c r="AR68" s="157">
        <f t="shared" si="215"/>
        <v>6500.0000000000009</v>
      </c>
      <c r="AT68" s="163">
        <v>361.11111111111109</v>
      </c>
      <c r="AU68" s="179">
        <v>361.11111111111109</v>
      </c>
      <c r="AV68" s="179">
        <v>361.11111111111109</v>
      </c>
      <c r="AW68" s="179">
        <v>361.11111111111109</v>
      </c>
      <c r="AX68" s="179">
        <v>361.11111111111109</v>
      </c>
      <c r="AY68" s="179">
        <v>361.11111111111109</v>
      </c>
      <c r="AZ68" s="179">
        <v>361.11111111111109</v>
      </c>
      <c r="BA68" s="179">
        <v>361.11111111111109</v>
      </c>
      <c r="BB68" s="179">
        <v>361.11111111111109</v>
      </c>
      <c r="BC68" s="179">
        <v>361.11111111111109</v>
      </c>
      <c r="BD68" s="179">
        <v>361.11111111111109</v>
      </c>
      <c r="BE68" s="179">
        <v>361.11111111111109</v>
      </c>
      <c r="BF68" s="157">
        <f t="shared" si="216"/>
        <v>4333.3333333333339</v>
      </c>
      <c r="BH68" s="163">
        <v>2708.333333333333</v>
      </c>
      <c r="BI68" s="164">
        <v>2708.333333333333</v>
      </c>
      <c r="BJ68" s="154">
        <v>2708.333333333333</v>
      </c>
      <c r="BK68" s="154">
        <v>2708.333333333333</v>
      </c>
      <c r="BL68" s="154">
        <v>2708.333333333333</v>
      </c>
      <c r="BM68" s="154">
        <v>2708.333333333333</v>
      </c>
      <c r="BN68" s="154">
        <v>2708.333333333333</v>
      </c>
      <c r="BO68" s="154">
        <v>2708.333333333333</v>
      </c>
      <c r="BP68" s="154">
        <v>2708.333333333333</v>
      </c>
      <c r="BQ68" s="154">
        <v>2708.333333333333</v>
      </c>
      <c r="BR68" s="154">
        <v>2708.333333333333</v>
      </c>
      <c r="BS68" s="154">
        <v>2708.333333333333</v>
      </c>
      <c r="BT68" s="157">
        <f t="shared" si="217"/>
        <v>32499.999999999989</v>
      </c>
      <c r="BV68" s="163">
        <v>10180.555555555555</v>
      </c>
      <c r="BW68" s="164">
        <v>10180.555555555555</v>
      </c>
      <c r="BX68" s="154">
        <v>10180.555555555555</v>
      </c>
      <c r="BY68" s="154">
        <v>10180.555555555555</v>
      </c>
      <c r="BZ68" s="154">
        <v>10180.555555555555</v>
      </c>
      <c r="CA68" s="154">
        <v>10180.555555555555</v>
      </c>
      <c r="CB68" s="154">
        <v>10180.555555555555</v>
      </c>
      <c r="CC68" s="154">
        <v>10180.555555555555</v>
      </c>
      <c r="CD68" s="154">
        <v>10180.555555555555</v>
      </c>
      <c r="CE68" s="154">
        <v>10180.555555555555</v>
      </c>
      <c r="CF68" s="154">
        <v>10180.555555555555</v>
      </c>
      <c r="CG68" s="154">
        <v>10180.555555555555</v>
      </c>
      <c r="CH68" s="157">
        <f t="shared" si="218"/>
        <v>122166.66666666669</v>
      </c>
      <c r="CI68" s="161"/>
      <c r="CJ68" s="163">
        <v>1986.1111111111109</v>
      </c>
      <c r="CK68" s="164">
        <v>1986.1111111111109</v>
      </c>
      <c r="CL68" s="154">
        <v>1986.1111111111109</v>
      </c>
      <c r="CM68" s="154">
        <v>1986.1111111111109</v>
      </c>
      <c r="CN68" s="154">
        <v>1986.1111111111109</v>
      </c>
      <c r="CO68" s="154">
        <v>1986.1111111111109</v>
      </c>
      <c r="CP68" s="154">
        <v>1986.1111111111109</v>
      </c>
      <c r="CQ68" s="154">
        <v>1986.1111111111109</v>
      </c>
      <c r="CR68" s="154">
        <v>1986.1111111111109</v>
      </c>
      <c r="CS68" s="154">
        <v>1986.1111111111109</v>
      </c>
      <c r="CT68" s="154">
        <v>1986.1111111111109</v>
      </c>
      <c r="CU68" s="154">
        <v>1986.1111111111109</v>
      </c>
      <c r="CV68" s="157">
        <f t="shared" si="219"/>
        <v>23833.333333333328</v>
      </c>
      <c r="CW68" s="161"/>
      <c r="CX68" s="163">
        <v>5055.5555555555547</v>
      </c>
      <c r="CY68" s="164">
        <v>5055.5555555555547</v>
      </c>
      <c r="CZ68" s="154">
        <v>5055.5555555555547</v>
      </c>
      <c r="DA68" s="154">
        <v>5055.5555555555547</v>
      </c>
      <c r="DB68" s="154">
        <v>5055.5555555555547</v>
      </c>
      <c r="DC68" s="154">
        <v>5055.5555555555547</v>
      </c>
      <c r="DD68" s="154">
        <v>5055.5555555555547</v>
      </c>
      <c r="DE68" s="154">
        <v>5055.5555555555547</v>
      </c>
      <c r="DF68" s="154">
        <v>5055.5555555555547</v>
      </c>
      <c r="DG68" s="154">
        <v>5055.5555555555547</v>
      </c>
      <c r="DH68" s="154">
        <v>5055.5555555555547</v>
      </c>
      <c r="DI68" s="154">
        <v>5055.5555555555547</v>
      </c>
      <c r="DJ68" s="157">
        <f t="shared" si="220"/>
        <v>60666.666666666657</v>
      </c>
      <c r="DK68" s="161"/>
      <c r="DL68" s="163">
        <v>5055.5555555555547</v>
      </c>
      <c r="DM68" s="164">
        <v>5055.5555555555547</v>
      </c>
      <c r="DN68" s="154">
        <v>5055.5555555555547</v>
      </c>
      <c r="DO68" s="154">
        <v>5055.5555555555547</v>
      </c>
      <c r="DP68" s="154">
        <v>5055.5555555555547</v>
      </c>
      <c r="DQ68" s="154">
        <v>5055.5555555555547</v>
      </c>
      <c r="DR68" s="154">
        <v>5055.5555555555547</v>
      </c>
      <c r="DS68" s="154">
        <v>5055.5555555555547</v>
      </c>
      <c r="DT68" s="154">
        <v>5055.5555555555547</v>
      </c>
      <c r="DU68" s="154">
        <v>5055.5555555555547</v>
      </c>
      <c r="DV68" s="154">
        <v>5055.5555555555547</v>
      </c>
      <c r="DW68" s="154">
        <v>5055.5555555555547</v>
      </c>
      <c r="DX68" s="157">
        <f t="shared" si="221"/>
        <v>60666.666666666657</v>
      </c>
      <c r="DY68" s="161"/>
      <c r="DZ68" s="163">
        <v>180.55555555555554</v>
      </c>
      <c r="EA68" s="164">
        <v>180.55555555555554</v>
      </c>
      <c r="EB68" s="154">
        <v>180.55555555555554</v>
      </c>
      <c r="EC68" s="154">
        <v>180.55555555555554</v>
      </c>
      <c r="ED68" s="154">
        <v>180.55555555555554</v>
      </c>
      <c r="EE68" s="154">
        <v>180.55555555555554</v>
      </c>
      <c r="EF68" s="154">
        <v>180.55555555555554</v>
      </c>
      <c r="EG68" s="154">
        <v>180.55555555555554</v>
      </c>
      <c r="EH68" s="154">
        <v>180.55555555555554</v>
      </c>
      <c r="EI68" s="154">
        <v>180.55555555555554</v>
      </c>
      <c r="EJ68" s="154">
        <v>180.55555555555554</v>
      </c>
      <c r="EK68" s="154">
        <v>180.55555555555554</v>
      </c>
      <c r="EL68" s="157">
        <f t="shared" si="222"/>
        <v>2166.666666666667</v>
      </c>
      <c r="EM68" s="161"/>
      <c r="EN68" s="163">
        <v>361.11111111111109</v>
      </c>
      <c r="EO68" s="164">
        <v>361.11111111111109</v>
      </c>
      <c r="EP68" s="154">
        <v>361.11111111111109</v>
      </c>
      <c r="EQ68" s="154">
        <v>361.11111111111109</v>
      </c>
      <c r="ER68" s="154">
        <v>361.11111111111109</v>
      </c>
      <c r="ES68" s="154">
        <v>361.11111111111109</v>
      </c>
      <c r="ET68" s="154">
        <v>361.11111111111109</v>
      </c>
      <c r="EU68" s="154">
        <v>361.11111111111109</v>
      </c>
      <c r="EV68" s="154">
        <v>361.11111111111109</v>
      </c>
      <c r="EW68" s="154">
        <v>361.11111111111109</v>
      </c>
      <c r="EX68" s="154">
        <v>361.11111111111109</v>
      </c>
      <c r="EY68" s="154">
        <v>361.11111111111109</v>
      </c>
      <c r="EZ68" s="157">
        <f t="shared" si="223"/>
        <v>4333.3333333333339</v>
      </c>
      <c r="FA68" s="161"/>
      <c r="FB68" s="163">
        <v>180.55555555555554</v>
      </c>
      <c r="FC68" s="164">
        <v>180.55555555555554</v>
      </c>
      <c r="FD68" s="154">
        <v>180.55555555555554</v>
      </c>
      <c r="FE68" s="154">
        <v>180.55555555555554</v>
      </c>
      <c r="FF68" s="154">
        <v>180.55555555555554</v>
      </c>
      <c r="FG68" s="154">
        <v>180.55555555555554</v>
      </c>
      <c r="FH68" s="154">
        <v>180.55555555555554</v>
      </c>
      <c r="FI68" s="154">
        <v>180.55555555555554</v>
      </c>
      <c r="FJ68" s="154">
        <v>180.55555555555554</v>
      </c>
      <c r="FK68" s="154">
        <v>180.55555555555554</v>
      </c>
      <c r="FL68" s="154">
        <v>180.55555555555554</v>
      </c>
      <c r="FM68" s="154">
        <v>180.55555555555554</v>
      </c>
      <c r="FN68" s="157">
        <f t="shared" si="224"/>
        <v>2166.666666666667</v>
      </c>
      <c r="FO68" s="161"/>
      <c r="FP68" s="163">
        <v>1263.8888888888887</v>
      </c>
      <c r="FQ68" s="164">
        <v>1263.8888888888887</v>
      </c>
      <c r="FR68" s="154">
        <v>1263.8888888888887</v>
      </c>
      <c r="FS68" s="154">
        <v>1263.8888888888887</v>
      </c>
      <c r="FT68" s="154">
        <v>1263.8888888888887</v>
      </c>
      <c r="FU68" s="154">
        <v>1263.8888888888887</v>
      </c>
      <c r="FV68" s="154">
        <v>1263.8888888888887</v>
      </c>
      <c r="FW68" s="154">
        <v>1263.8888888888887</v>
      </c>
      <c r="FX68" s="154">
        <v>1263.8888888888887</v>
      </c>
      <c r="FY68" s="154">
        <v>1263.8888888888887</v>
      </c>
      <c r="FZ68" s="154">
        <v>1263.8888888888887</v>
      </c>
      <c r="GA68" s="154">
        <v>1263.8888888888887</v>
      </c>
      <c r="GB68" s="157">
        <f t="shared" si="225"/>
        <v>15166.666666666664</v>
      </c>
      <c r="GC68" s="161"/>
      <c r="GD68" s="163">
        <v>180.55555555555554</v>
      </c>
      <c r="GE68" s="164">
        <v>180.55555555555554</v>
      </c>
      <c r="GF68" s="154">
        <v>180.55555555555554</v>
      </c>
      <c r="GG68" s="154">
        <v>180.55555555555554</v>
      </c>
      <c r="GH68" s="154">
        <v>180.55555555555554</v>
      </c>
      <c r="GI68" s="154">
        <v>180.55555555555554</v>
      </c>
      <c r="GJ68" s="154">
        <v>180.55555555555554</v>
      </c>
      <c r="GK68" s="154">
        <v>180.55555555555554</v>
      </c>
      <c r="GL68" s="154">
        <v>180.55555555555554</v>
      </c>
      <c r="GM68" s="154">
        <v>180.55555555555554</v>
      </c>
      <c r="GN68" s="154">
        <v>180.55555555555554</v>
      </c>
      <c r="GO68" s="154">
        <v>180.55555555555554</v>
      </c>
      <c r="GP68" s="157">
        <f t="shared" si="226"/>
        <v>2166.666666666667</v>
      </c>
      <c r="GQ68" s="161"/>
      <c r="GR68" s="163">
        <v>0</v>
      </c>
      <c r="GS68" s="164">
        <v>0</v>
      </c>
      <c r="GT68" s="154">
        <v>0</v>
      </c>
      <c r="GU68" s="154">
        <v>0</v>
      </c>
      <c r="GV68" s="154">
        <v>0</v>
      </c>
      <c r="GW68" s="154">
        <v>0</v>
      </c>
      <c r="GX68" s="154">
        <v>0</v>
      </c>
      <c r="GY68" s="154">
        <v>0</v>
      </c>
      <c r="GZ68" s="154">
        <v>0</v>
      </c>
      <c r="HA68" s="154">
        <v>0</v>
      </c>
      <c r="HB68" s="154">
        <v>0</v>
      </c>
      <c r="HC68" s="154">
        <v>0</v>
      </c>
      <c r="HD68" s="157">
        <f t="shared" si="238"/>
        <v>0</v>
      </c>
      <c r="HE68" s="161"/>
      <c r="HF68" s="163">
        <v>722.22222222222217</v>
      </c>
      <c r="HG68" s="164">
        <v>722.22222222222217</v>
      </c>
      <c r="HH68" s="154">
        <v>722.22222222222217</v>
      </c>
      <c r="HI68" s="154">
        <v>722.22222222222217</v>
      </c>
      <c r="HJ68" s="154">
        <v>722.22222222222217</v>
      </c>
      <c r="HK68" s="154">
        <v>722.22222222222217</v>
      </c>
      <c r="HL68" s="154">
        <v>722.22222222222217</v>
      </c>
      <c r="HM68" s="154">
        <v>722.22222222222217</v>
      </c>
      <c r="HN68" s="154">
        <v>722.22222222222217</v>
      </c>
      <c r="HO68" s="154">
        <v>722.22222222222217</v>
      </c>
      <c r="HP68" s="154">
        <v>722.22222222222217</v>
      </c>
      <c r="HQ68" s="154">
        <v>722.22222222222217</v>
      </c>
      <c r="HR68" s="157">
        <f t="shared" si="227"/>
        <v>8666.6666666666679</v>
      </c>
      <c r="HS68" s="161"/>
      <c r="HT68" s="163">
        <v>180.55555555555554</v>
      </c>
      <c r="HU68" s="164">
        <v>180.55555555555554</v>
      </c>
      <c r="HV68" s="154">
        <v>180.55555555555554</v>
      </c>
      <c r="HW68" s="154">
        <v>180.55555555555554</v>
      </c>
      <c r="HX68" s="154">
        <v>180.55555555555554</v>
      </c>
      <c r="HY68" s="154">
        <v>180.55555555555554</v>
      </c>
      <c r="HZ68" s="154">
        <v>180.55555555555554</v>
      </c>
      <c r="IA68" s="154">
        <v>180.55555555555554</v>
      </c>
      <c r="IB68" s="154">
        <v>180.55555555555554</v>
      </c>
      <c r="IC68" s="154">
        <v>180.55555555555554</v>
      </c>
      <c r="ID68" s="154">
        <v>180.55555555555554</v>
      </c>
      <c r="IE68" s="154">
        <v>180.55555555555554</v>
      </c>
      <c r="IF68" s="157">
        <f t="shared" si="228"/>
        <v>2166.666666666667</v>
      </c>
      <c r="IG68" s="161"/>
      <c r="IH68" s="163">
        <v>180.55555555555554</v>
      </c>
      <c r="II68" s="164">
        <v>180.55555555555554</v>
      </c>
      <c r="IJ68" s="154">
        <v>180.55555555555554</v>
      </c>
      <c r="IK68" s="154">
        <v>180.55555555555554</v>
      </c>
      <c r="IL68" s="154">
        <v>180.55555555555554</v>
      </c>
      <c r="IM68" s="154">
        <v>180.55555555555554</v>
      </c>
      <c r="IN68" s="154">
        <v>180.55555555555554</v>
      </c>
      <c r="IO68" s="154">
        <v>180.55555555555554</v>
      </c>
      <c r="IP68" s="154">
        <v>180.55555555555554</v>
      </c>
      <c r="IQ68" s="154">
        <v>180.55555555555554</v>
      </c>
      <c r="IR68" s="154">
        <v>180.55555555555554</v>
      </c>
      <c r="IS68" s="154">
        <v>180.55555555555554</v>
      </c>
      <c r="IT68" s="157">
        <f t="shared" si="229"/>
        <v>2166.666666666667</v>
      </c>
      <c r="IU68" s="161"/>
      <c r="IV68" s="163">
        <v>1263.8888888888887</v>
      </c>
      <c r="IW68" s="164">
        <v>1263.8888888888887</v>
      </c>
      <c r="IX68" s="154">
        <v>1263.8888888888887</v>
      </c>
      <c r="IY68" s="154">
        <v>1263.8888888888887</v>
      </c>
      <c r="IZ68" s="154">
        <v>1263.8888888888887</v>
      </c>
      <c r="JA68" s="154">
        <v>1263.8888888888887</v>
      </c>
      <c r="JB68" s="154">
        <v>1263.8888888888887</v>
      </c>
      <c r="JC68" s="154">
        <v>1263.8888888888887</v>
      </c>
      <c r="JD68" s="154">
        <v>1263.8888888888887</v>
      </c>
      <c r="JE68" s="154">
        <v>1263.8888888888887</v>
      </c>
      <c r="JF68" s="154">
        <v>1263.8888888888887</v>
      </c>
      <c r="JG68" s="154">
        <v>1263.8888888888887</v>
      </c>
      <c r="JH68" s="157">
        <f t="shared" si="230"/>
        <v>15166.666666666664</v>
      </c>
      <c r="JI68" s="161"/>
      <c r="JJ68" s="163">
        <v>1986.1111111111109</v>
      </c>
      <c r="JK68" s="164">
        <v>1986.1111111111109</v>
      </c>
      <c r="JL68" s="154">
        <v>1986.1111111111109</v>
      </c>
      <c r="JM68" s="154">
        <v>1986.1111111111109</v>
      </c>
      <c r="JN68" s="154">
        <v>1986.1111111111109</v>
      </c>
      <c r="JO68" s="154">
        <v>1986.1111111111109</v>
      </c>
      <c r="JP68" s="154">
        <v>1986.1111111111109</v>
      </c>
      <c r="JQ68" s="154">
        <v>1986.1111111111109</v>
      </c>
      <c r="JR68" s="154">
        <v>1986.1111111111109</v>
      </c>
      <c r="JS68" s="154">
        <v>1986.1111111111109</v>
      </c>
      <c r="JT68" s="154">
        <v>1986.1111111111109</v>
      </c>
      <c r="JU68" s="154">
        <v>1986.1111111111109</v>
      </c>
      <c r="JV68" s="157">
        <f t="shared" si="231"/>
        <v>23833.333333333328</v>
      </c>
      <c r="JW68" s="161"/>
      <c r="JX68" s="163">
        <v>902.77777777777771</v>
      </c>
      <c r="JY68" s="164">
        <v>902.77777777777771</v>
      </c>
      <c r="JZ68" s="154">
        <v>902.77777777777771</v>
      </c>
      <c r="KA68" s="154">
        <v>902.77777777777771</v>
      </c>
      <c r="KB68" s="154">
        <v>902.77777777777771</v>
      </c>
      <c r="KC68" s="154">
        <v>902.77777777777771</v>
      </c>
      <c r="KD68" s="154">
        <v>902.77777777777771</v>
      </c>
      <c r="KE68" s="154">
        <v>902.77777777777771</v>
      </c>
      <c r="KF68" s="154">
        <v>902.77777777777771</v>
      </c>
      <c r="KG68" s="154">
        <v>902.77777777777771</v>
      </c>
      <c r="KH68" s="154">
        <v>902.77777777777771</v>
      </c>
      <c r="KI68" s="154">
        <v>902.77777777777771</v>
      </c>
      <c r="KJ68" s="157">
        <f t="shared" si="232"/>
        <v>10833.33333333333</v>
      </c>
      <c r="KK68" s="161"/>
      <c r="KL68" s="163">
        <v>361.11111111111109</v>
      </c>
      <c r="KM68" s="164">
        <v>361.11111111111109</v>
      </c>
      <c r="KN68" s="154">
        <v>361.11111111111109</v>
      </c>
      <c r="KO68" s="154">
        <v>361.11111111111109</v>
      </c>
      <c r="KP68" s="154">
        <v>361.11111111111109</v>
      </c>
      <c r="KQ68" s="154">
        <v>361.11111111111109</v>
      </c>
      <c r="KR68" s="154">
        <v>361.11111111111109</v>
      </c>
      <c r="KS68" s="154">
        <v>361.11111111111109</v>
      </c>
      <c r="KT68" s="154">
        <v>361.11111111111109</v>
      </c>
      <c r="KU68" s="154">
        <v>361.11111111111109</v>
      </c>
      <c r="KV68" s="154">
        <v>361.11111111111109</v>
      </c>
      <c r="KW68" s="154">
        <v>361.11111111111109</v>
      </c>
      <c r="KX68" s="157">
        <f t="shared" si="233"/>
        <v>4333.3333333333339</v>
      </c>
      <c r="KY68" s="161"/>
      <c r="KZ68" s="163">
        <v>180.55555555555554</v>
      </c>
      <c r="LA68" s="164">
        <v>180.55555555555554</v>
      </c>
      <c r="LB68" s="154">
        <v>180.55555555555554</v>
      </c>
      <c r="LC68" s="154">
        <v>180.55555555555554</v>
      </c>
      <c r="LD68" s="154">
        <v>180.55555555555554</v>
      </c>
      <c r="LE68" s="154">
        <v>180.55555555555554</v>
      </c>
      <c r="LF68" s="154">
        <v>180.55555555555554</v>
      </c>
      <c r="LG68" s="154">
        <v>180.55555555555554</v>
      </c>
      <c r="LH68" s="154">
        <v>180.55555555555554</v>
      </c>
      <c r="LI68" s="154">
        <v>180.55555555555554</v>
      </c>
      <c r="LJ68" s="154">
        <v>180.55555555555554</v>
      </c>
      <c r="LK68" s="154">
        <v>180.55555555555554</v>
      </c>
      <c r="LL68" s="157">
        <f t="shared" si="234"/>
        <v>2166.666666666667</v>
      </c>
      <c r="LM68" s="161"/>
      <c r="LN68" s="163">
        <v>0</v>
      </c>
      <c r="LO68" s="164">
        <v>0</v>
      </c>
      <c r="LP68" s="154">
        <v>0</v>
      </c>
      <c r="LQ68" s="154">
        <v>0</v>
      </c>
      <c r="LR68" s="154">
        <v>0</v>
      </c>
      <c r="LS68" s="154">
        <v>0</v>
      </c>
      <c r="LT68" s="154">
        <v>0</v>
      </c>
      <c r="LU68" s="154">
        <v>0</v>
      </c>
      <c r="LV68" s="154">
        <v>0</v>
      </c>
      <c r="LW68" s="154">
        <v>0</v>
      </c>
      <c r="LX68" s="154">
        <v>0</v>
      </c>
      <c r="LY68" s="154">
        <v>0</v>
      </c>
      <c r="LZ68" s="157">
        <f t="shared" si="235"/>
        <v>0</v>
      </c>
      <c r="MA68" s="161"/>
      <c r="MB68" s="157">
        <f t="shared" si="236"/>
        <v>49611.111111111095</v>
      </c>
      <c r="MC68" s="157">
        <f t="shared" si="236"/>
        <v>49611.111111111095</v>
      </c>
      <c r="MD68" s="157">
        <f t="shared" si="236"/>
        <v>49611.111111111095</v>
      </c>
      <c r="ME68" s="157">
        <f t="shared" si="236"/>
        <v>49611.111111111095</v>
      </c>
      <c r="MF68" s="157">
        <f t="shared" si="236"/>
        <v>49611.111111111095</v>
      </c>
      <c r="MG68" s="157">
        <f t="shared" si="236"/>
        <v>49611.111111111095</v>
      </c>
      <c r="MH68" s="157">
        <f t="shared" si="236"/>
        <v>49611.111111111095</v>
      </c>
      <c r="MI68" s="157">
        <f t="shared" si="236"/>
        <v>49611.111111111095</v>
      </c>
      <c r="MJ68" s="157">
        <f t="shared" si="236"/>
        <v>49611.111111111095</v>
      </c>
      <c r="MK68" s="157">
        <f t="shared" si="236"/>
        <v>49611.111111111095</v>
      </c>
      <c r="ML68" s="157">
        <f t="shared" si="236"/>
        <v>49611.111111111095</v>
      </c>
      <c r="MM68" s="157">
        <f t="shared" si="236"/>
        <v>49611.111111111095</v>
      </c>
      <c r="MN68" s="157">
        <f t="shared" si="239"/>
        <v>595333.33333333326</v>
      </c>
    </row>
    <row r="69" spans="1:352" x14ac:dyDescent="0.25">
      <c r="A69" s="98"/>
      <c r="B69" s="64" t="s">
        <v>85</v>
      </c>
      <c r="C69" s="98"/>
      <c r="D69" s="163">
        <v>1150.7936507936508</v>
      </c>
      <c r="E69" s="164">
        <v>1150.7936507936508</v>
      </c>
      <c r="F69" s="164">
        <v>1150.7936507936508</v>
      </c>
      <c r="G69" s="164">
        <v>1150.7936507936508</v>
      </c>
      <c r="H69" s="164">
        <v>1150.7936507936508</v>
      </c>
      <c r="I69" s="164">
        <v>1150.7936507936508</v>
      </c>
      <c r="J69" s="164">
        <v>1150.7936507936508</v>
      </c>
      <c r="K69" s="164">
        <v>1150.7936507936508</v>
      </c>
      <c r="L69" s="164">
        <v>1150.7936507936508</v>
      </c>
      <c r="M69" s="164">
        <v>1150.7936507936508</v>
      </c>
      <c r="N69" s="164">
        <v>1150.7936507936508</v>
      </c>
      <c r="O69" s="164">
        <v>1150.7936507936508</v>
      </c>
      <c r="P69" s="157">
        <f t="shared" si="213"/>
        <v>13809.523809523807</v>
      </c>
      <c r="Q69" s="161"/>
      <c r="R69" s="163">
        <v>119.04761904761905</v>
      </c>
      <c r="S69" s="164">
        <v>119.04761904761905</v>
      </c>
      <c r="T69" s="164">
        <v>119.04761904761905</v>
      </c>
      <c r="U69" s="164">
        <v>119.04761904761905</v>
      </c>
      <c r="V69" s="164">
        <v>119.04761904761905</v>
      </c>
      <c r="W69" s="164">
        <v>119.04761904761905</v>
      </c>
      <c r="X69" s="164">
        <v>119.04761904761905</v>
      </c>
      <c r="Y69" s="164">
        <v>119.04761904761905</v>
      </c>
      <c r="Z69" s="164">
        <v>119.04761904761905</v>
      </c>
      <c r="AA69" s="164">
        <v>119.04761904761905</v>
      </c>
      <c r="AB69" s="164">
        <v>119.04761904761905</v>
      </c>
      <c r="AC69" s="164">
        <v>119.04761904761905</v>
      </c>
      <c r="AD69" s="157">
        <f t="shared" si="214"/>
        <v>1428.5714285714287</v>
      </c>
      <c r="AE69" s="161"/>
      <c r="AF69" s="163">
        <v>119.04761904761905</v>
      </c>
      <c r="AG69" s="164">
        <v>119.04761904761905</v>
      </c>
      <c r="AH69" s="164">
        <v>119.04761904761905</v>
      </c>
      <c r="AI69" s="164">
        <v>119.04761904761905</v>
      </c>
      <c r="AJ69" s="164">
        <v>119.04761904761905</v>
      </c>
      <c r="AK69" s="164">
        <v>119.04761904761905</v>
      </c>
      <c r="AL69" s="164">
        <v>119.04761904761905</v>
      </c>
      <c r="AM69" s="164">
        <v>119.04761904761905</v>
      </c>
      <c r="AN69" s="164">
        <v>119.04761904761905</v>
      </c>
      <c r="AO69" s="164">
        <v>119.04761904761905</v>
      </c>
      <c r="AP69" s="164">
        <v>119.04761904761905</v>
      </c>
      <c r="AQ69" s="164">
        <v>119.04761904761905</v>
      </c>
      <c r="AR69" s="157">
        <f t="shared" si="215"/>
        <v>1428.5714285714287</v>
      </c>
      <c r="AT69" s="163">
        <v>79.365079365079367</v>
      </c>
      <c r="AU69" s="164">
        <v>79.365079365079367</v>
      </c>
      <c r="AV69" s="164">
        <v>79.365079365079367</v>
      </c>
      <c r="AW69" s="164">
        <v>79.365079365079367</v>
      </c>
      <c r="AX69" s="164">
        <v>79.365079365079367</v>
      </c>
      <c r="AY69" s="164">
        <v>79.365079365079367</v>
      </c>
      <c r="AZ69" s="164">
        <v>79.365079365079367</v>
      </c>
      <c r="BA69" s="164">
        <v>79.365079365079367</v>
      </c>
      <c r="BB69" s="164">
        <v>79.365079365079367</v>
      </c>
      <c r="BC69" s="164">
        <v>79.365079365079367</v>
      </c>
      <c r="BD69" s="164">
        <v>79.365079365079367</v>
      </c>
      <c r="BE69" s="164">
        <v>79.365079365079367</v>
      </c>
      <c r="BF69" s="157">
        <f t="shared" si="216"/>
        <v>952.38095238095264</v>
      </c>
      <c r="BH69" s="163">
        <v>595.2380952380953</v>
      </c>
      <c r="BI69" s="164">
        <v>595.2380952380953</v>
      </c>
      <c r="BJ69" s="154">
        <v>595.2380952380953</v>
      </c>
      <c r="BK69" s="154">
        <v>595.2380952380953</v>
      </c>
      <c r="BL69" s="154">
        <v>595.2380952380953</v>
      </c>
      <c r="BM69" s="154">
        <v>595.2380952380953</v>
      </c>
      <c r="BN69" s="154">
        <v>595.2380952380953</v>
      </c>
      <c r="BO69" s="154">
        <v>595.2380952380953</v>
      </c>
      <c r="BP69" s="154">
        <v>595.2380952380953</v>
      </c>
      <c r="BQ69" s="154">
        <v>595.2380952380953</v>
      </c>
      <c r="BR69" s="154">
        <v>595.2380952380953</v>
      </c>
      <c r="BS69" s="154">
        <v>595.2380952380953</v>
      </c>
      <c r="BT69" s="157">
        <f t="shared" si="217"/>
        <v>7142.857142857144</v>
      </c>
      <c r="BV69" s="163">
        <v>39.682539682539684</v>
      </c>
      <c r="BW69" s="164">
        <v>39.682539682539684</v>
      </c>
      <c r="BX69" s="154">
        <v>39.682539682539684</v>
      </c>
      <c r="BY69" s="154">
        <v>39.682539682539684</v>
      </c>
      <c r="BZ69" s="154">
        <v>39.682539682539684</v>
      </c>
      <c r="CA69" s="154">
        <v>39.682539682539684</v>
      </c>
      <c r="CB69" s="154">
        <v>39.682539682539684</v>
      </c>
      <c r="CC69" s="154">
        <v>39.682539682539684</v>
      </c>
      <c r="CD69" s="154">
        <v>39.682539682539684</v>
      </c>
      <c r="CE69" s="154">
        <v>39.682539682539684</v>
      </c>
      <c r="CF69" s="154">
        <v>39.682539682539684</v>
      </c>
      <c r="CG69" s="154">
        <v>39.682539682539684</v>
      </c>
      <c r="CH69" s="157">
        <f t="shared" si="218"/>
        <v>476.19047619047632</v>
      </c>
      <c r="CI69" s="161"/>
      <c r="CJ69" s="163">
        <v>436.50793650793651</v>
      </c>
      <c r="CK69" s="164">
        <v>436.50793650793651</v>
      </c>
      <c r="CL69" s="154">
        <v>436.50793650793651</v>
      </c>
      <c r="CM69" s="154">
        <v>436.50793650793651</v>
      </c>
      <c r="CN69" s="154">
        <v>436.50793650793651</v>
      </c>
      <c r="CO69" s="154">
        <v>436.50793650793651</v>
      </c>
      <c r="CP69" s="154">
        <v>436.50793650793651</v>
      </c>
      <c r="CQ69" s="154">
        <v>436.50793650793651</v>
      </c>
      <c r="CR69" s="154">
        <v>436.50793650793651</v>
      </c>
      <c r="CS69" s="154">
        <v>436.50793650793651</v>
      </c>
      <c r="CT69" s="154">
        <v>436.50793650793651</v>
      </c>
      <c r="CU69" s="154">
        <v>436.50793650793651</v>
      </c>
      <c r="CV69" s="157">
        <f t="shared" si="219"/>
        <v>5238.0952380952376</v>
      </c>
      <c r="CW69" s="161"/>
      <c r="CX69" s="163">
        <v>1111.1111111111111</v>
      </c>
      <c r="CY69" s="164">
        <v>1111.1111111111111</v>
      </c>
      <c r="CZ69" s="154">
        <v>1111.1111111111111</v>
      </c>
      <c r="DA69" s="154">
        <v>1111.1111111111111</v>
      </c>
      <c r="DB69" s="154">
        <v>1111.1111111111111</v>
      </c>
      <c r="DC69" s="154">
        <v>1111.1111111111111</v>
      </c>
      <c r="DD69" s="154">
        <v>1111.1111111111111</v>
      </c>
      <c r="DE69" s="154">
        <v>1111.1111111111111</v>
      </c>
      <c r="DF69" s="154">
        <v>1111.1111111111111</v>
      </c>
      <c r="DG69" s="154">
        <v>1111.1111111111111</v>
      </c>
      <c r="DH69" s="154">
        <v>1111.1111111111111</v>
      </c>
      <c r="DI69" s="154">
        <v>1111.1111111111111</v>
      </c>
      <c r="DJ69" s="157">
        <f t="shared" si="220"/>
        <v>13333.333333333334</v>
      </c>
      <c r="DK69" s="161"/>
      <c r="DL69" s="163">
        <v>1111.1111111111111</v>
      </c>
      <c r="DM69" s="164">
        <v>1111.1111111111111</v>
      </c>
      <c r="DN69" s="154">
        <v>1111.1111111111111</v>
      </c>
      <c r="DO69" s="154">
        <v>1111.1111111111111</v>
      </c>
      <c r="DP69" s="154">
        <v>1111.1111111111111</v>
      </c>
      <c r="DQ69" s="154">
        <v>1111.1111111111111</v>
      </c>
      <c r="DR69" s="154">
        <v>1111.1111111111111</v>
      </c>
      <c r="DS69" s="154">
        <v>1111.1111111111111</v>
      </c>
      <c r="DT69" s="154">
        <v>1111.1111111111111</v>
      </c>
      <c r="DU69" s="154">
        <v>1111.1111111111111</v>
      </c>
      <c r="DV69" s="154">
        <v>1111.1111111111111</v>
      </c>
      <c r="DW69" s="154">
        <v>1111.1111111111111</v>
      </c>
      <c r="DX69" s="157">
        <f t="shared" si="221"/>
        <v>13333.333333333334</v>
      </c>
      <c r="DY69" s="161"/>
      <c r="DZ69" s="163">
        <v>39.682539682539684</v>
      </c>
      <c r="EA69" s="164">
        <v>39.682539682539684</v>
      </c>
      <c r="EB69" s="154">
        <v>39.682539682539684</v>
      </c>
      <c r="EC69" s="154">
        <v>39.682539682539684</v>
      </c>
      <c r="ED69" s="154">
        <v>39.682539682539684</v>
      </c>
      <c r="EE69" s="154">
        <v>39.682539682539684</v>
      </c>
      <c r="EF69" s="154">
        <v>39.682539682539684</v>
      </c>
      <c r="EG69" s="154">
        <v>39.682539682539684</v>
      </c>
      <c r="EH69" s="154">
        <v>39.682539682539684</v>
      </c>
      <c r="EI69" s="154">
        <v>39.682539682539684</v>
      </c>
      <c r="EJ69" s="154">
        <v>39.682539682539684</v>
      </c>
      <c r="EK69" s="154">
        <v>39.682539682539684</v>
      </c>
      <c r="EL69" s="157">
        <f t="shared" si="222"/>
        <v>476.19047619047632</v>
      </c>
      <c r="EM69" s="161"/>
      <c r="EN69" s="163">
        <v>79.365079365079367</v>
      </c>
      <c r="EO69" s="164">
        <v>79.365079365079367</v>
      </c>
      <c r="EP69" s="154">
        <v>79.365079365079367</v>
      </c>
      <c r="EQ69" s="154">
        <v>79.365079365079367</v>
      </c>
      <c r="ER69" s="154">
        <v>79.365079365079367</v>
      </c>
      <c r="ES69" s="154">
        <v>79.365079365079367</v>
      </c>
      <c r="ET69" s="154">
        <v>79.365079365079367</v>
      </c>
      <c r="EU69" s="154">
        <v>79.365079365079367</v>
      </c>
      <c r="EV69" s="154">
        <v>79.365079365079367</v>
      </c>
      <c r="EW69" s="154">
        <v>79.365079365079367</v>
      </c>
      <c r="EX69" s="154">
        <v>79.365079365079367</v>
      </c>
      <c r="EY69" s="154">
        <v>79.365079365079367</v>
      </c>
      <c r="EZ69" s="157">
        <f t="shared" si="223"/>
        <v>952.38095238095264</v>
      </c>
      <c r="FA69" s="161"/>
      <c r="FB69" s="163">
        <v>39.682539682539684</v>
      </c>
      <c r="FC69" s="164">
        <v>39.682539682539684</v>
      </c>
      <c r="FD69" s="154">
        <v>39.682539682539684</v>
      </c>
      <c r="FE69" s="154">
        <v>39.682539682539684</v>
      </c>
      <c r="FF69" s="154">
        <v>39.682539682539684</v>
      </c>
      <c r="FG69" s="154">
        <v>39.682539682539684</v>
      </c>
      <c r="FH69" s="154">
        <v>39.682539682539684</v>
      </c>
      <c r="FI69" s="154">
        <v>39.682539682539684</v>
      </c>
      <c r="FJ69" s="154">
        <v>39.682539682539684</v>
      </c>
      <c r="FK69" s="154">
        <v>39.682539682539684</v>
      </c>
      <c r="FL69" s="154">
        <v>39.682539682539684</v>
      </c>
      <c r="FM69" s="154">
        <v>39.682539682539684</v>
      </c>
      <c r="FN69" s="157">
        <f t="shared" si="224"/>
        <v>476.19047619047632</v>
      </c>
      <c r="FO69" s="161"/>
      <c r="FP69" s="163">
        <v>277.77777777777777</v>
      </c>
      <c r="FQ69" s="164">
        <v>277.77777777777777</v>
      </c>
      <c r="FR69" s="154">
        <v>277.77777777777777</v>
      </c>
      <c r="FS69" s="154">
        <v>277.77777777777777</v>
      </c>
      <c r="FT69" s="154">
        <v>277.77777777777777</v>
      </c>
      <c r="FU69" s="154">
        <v>277.77777777777777</v>
      </c>
      <c r="FV69" s="154">
        <v>277.77777777777777</v>
      </c>
      <c r="FW69" s="154">
        <v>277.77777777777777</v>
      </c>
      <c r="FX69" s="154">
        <v>277.77777777777777</v>
      </c>
      <c r="FY69" s="154">
        <v>277.77777777777777</v>
      </c>
      <c r="FZ69" s="154">
        <v>277.77777777777777</v>
      </c>
      <c r="GA69" s="154">
        <v>277.77777777777777</v>
      </c>
      <c r="GB69" s="157">
        <f t="shared" si="225"/>
        <v>3333.3333333333335</v>
      </c>
      <c r="GC69" s="161"/>
      <c r="GD69" s="163">
        <v>39.682539682539684</v>
      </c>
      <c r="GE69" s="164">
        <v>39.682539682539684</v>
      </c>
      <c r="GF69" s="154">
        <v>39.682539682539684</v>
      </c>
      <c r="GG69" s="154">
        <v>39.682539682539684</v>
      </c>
      <c r="GH69" s="154">
        <v>39.682539682539684</v>
      </c>
      <c r="GI69" s="154">
        <v>39.682539682539684</v>
      </c>
      <c r="GJ69" s="154">
        <v>39.682539682539684</v>
      </c>
      <c r="GK69" s="154">
        <v>39.682539682539684</v>
      </c>
      <c r="GL69" s="154">
        <v>39.682539682539684</v>
      </c>
      <c r="GM69" s="154">
        <v>39.682539682539684</v>
      </c>
      <c r="GN69" s="154">
        <v>39.682539682539684</v>
      </c>
      <c r="GO69" s="154">
        <v>39.682539682539684</v>
      </c>
      <c r="GP69" s="157">
        <f t="shared" si="226"/>
        <v>476.19047619047632</v>
      </c>
      <c r="GQ69" s="161"/>
      <c r="GR69" s="163">
        <v>0</v>
      </c>
      <c r="GS69" s="164">
        <v>0</v>
      </c>
      <c r="GT69" s="154">
        <v>0</v>
      </c>
      <c r="GU69" s="154">
        <v>0</v>
      </c>
      <c r="GV69" s="154">
        <v>0</v>
      </c>
      <c r="GW69" s="154">
        <v>0</v>
      </c>
      <c r="GX69" s="154">
        <v>0</v>
      </c>
      <c r="GY69" s="154">
        <v>0</v>
      </c>
      <c r="GZ69" s="154">
        <v>0</v>
      </c>
      <c r="HA69" s="154">
        <v>0</v>
      </c>
      <c r="HB69" s="154">
        <v>0</v>
      </c>
      <c r="HC69" s="154">
        <v>0</v>
      </c>
      <c r="HD69" s="157">
        <f t="shared" si="238"/>
        <v>0</v>
      </c>
      <c r="HE69" s="161"/>
      <c r="HF69" s="163">
        <v>158.73015873015873</v>
      </c>
      <c r="HG69" s="164">
        <v>158.73015873015873</v>
      </c>
      <c r="HH69" s="154">
        <v>158.73015873015873</v>
      </c>
      <c r="HI69" s="154">
        <v>158.73015873015873</v>
      </c>
      <c r="HJ69" s="154">
        <v>158.73015873015873</v>
      </c>
      <c r="HK69" s="154">
        <v>158.73015873015873</v>
      </c>
      <c r="HL69" s="154">
        <v>158.73015873015873</v>
      </c>
      <c r="HM69" s="154">
        <v>158.73015873015873</v>
      </c>
      <c r="HN69" s="154">
        <v>158.73015873015873</v>
      </c>
      <c r="HO69" s="154">
        <v>158.73015873015873</v>
      </c>
      <c r="HP69" s="154">
        <v>158.73015873015873</v>
      </c>
      <c r="HQ69" s="154">
        <v>158.73015873015873</v>
      </c>
      <c r="HR69" s="157">
        <f t="shared" si="227"/>
        <v>1904.7619047619053</v>
      </c>
      <c r="HS69" s="161"/>
      <c r="HT69" s="163">
        <v>39.682539682539684</v>
      </c>
      <c r="HU69" s="164">
        <v>39.682539682539684</v>
      </c>
      <c r="HV69" s="154">
        <v>39.682539682539684</v>
      </c>
      <c r="HW69" s="154">
        <v>39.682539682539684</v>
      </c>
      <c r="HX69" s="154">
        <v>39.682539682539684</v>
      </c>
      <c r="HY69" s="154">
        <v>39.682539682539684</v>
      </c>
      <c r="HZ69" s="154">
        <v>39.682539682539684</v>
      </c>
      <c r="IA69" s="154">
        <v>39.682539682539684</v>
      </c>
      <c r="IB69" s="154">
        <v>39.682539682539684</v>
      </c>
      <c r="IC69" s="154">
        <v>39.682539682539684</v>
      </c>
      <c r="ID69" s="154">
        <v>39.682539682539684</v>
      </c>
      <c r="IE69" s="154">
        <v>39.682539682539684</v>
      </c>
      <c r="IF69" s="157">
        <f t="shared" si="228"/>
        <v>476.19047619047632</v>
      </c>
      <c r="IG69" s="161"/>
      <c r="IH69" s="163">
        <v>39.682539682539684</v>
      </c>
      <c r="II69" s="164">
        <v>39.682539682539684</v>
      </c>
      <c r="IJ69" s="154">
        <v>39.682539682539684</v>
      </c>
      <c r="IK69" s="154">
        <v>39.682539682539684</v>
      </c>
      <c r="IL69" s="154">
        <v>39.682539682539684</v>
      </c>
      <c r="IM69" s="154">
        <v>39.682539682539684</v>
      </c>
      <c r="IN69" s="154">
        <v>39.682539682539684</v>
      </c>
      <c r="IO69" s="154">
        <v>39.682539682539684</v>
      </c>
      <c r="IP69" s="154">
        <v>39.682539682539684</v>
      </c>
      <c r="IQ69" s="154">
        <v>39.682539682539684</v>
      </c>
      <c r="IR69" s="154">
        <v>39.682539682539684</v>
      </c>
      <c r="IS69" s="154">
        <v>39.682539682539684</v>
      </c>
      <c r="IT69" s="157">
        <f t="shared" si="229"/>
        <v>476.19047619047632</v>
      </c>
      <c r="IU69" s="161"/>
      <c r="IV69" s="163">
        <v>277.77777777777777</v>
      </c>
      <c r="IW69" s="164">
        <v>277.77777777777777</v>
      </c>
      <c r="IX69" s="154">
        <v>277.77777777777777</v>
      </c>
      <c r="IY69" s="154">
        <v>277.77777777777777</v>
      </c>
      <c r="IZ69" s="154">
        <v>277.77777777777777</v>
      </c>
      <c r="JA69" s="154">
        <v>277.77777777777777</v>
      </c>
      <c r="JB69" s="154">
        <v>277.77777777777777</v>
      </c>
      <c r="JC69" s="154">
        <v>277.77777777777777</v>
      </c>
      <c r="JD69" s="154">
        <v>277.77777777777777</v>
      </c>
      <c r="JE69" s="154">
        <v>277.77777777777777</v>
      </c>
      <c r="JF69" s="154">
        <v>277.77777777777777</v>
      </c>
      <c r="JG69" s="154">
        <v>277.77777777777777</v>
      </c>
      <c r="JH69" s="157">
        <f t="shared" si="230"/>
        <v>3333.3333333333335</v>
      </c>
      <c r="JI69" s="161"/>
      <c r="JJ69" s="163">
        <v>436.50793650793651</v>
      </c>
      <c r="JK69" s="164">
        <v>436.50793650793651</v>
      </c>
      <c r="JL69" s="154">
        <v>436.50793650793651</v>
      </c>
      <c r="JM69" s="154">
        <v>436.50793650793651</v>
      </c>
      <c r="JN69" s="154">
        <v>436.50793650793651</v>
      </c>
      <c r="JO69" s="154">
        <v>436.50793650793651</v>
      </c>
      <c r="JP69" s="154">
        <v>436.50793650793651</v>
      </c>
      <c r="JQ69" s="154">
        <v>436.50793650793651</v>
      </c>
      <c r="JR69" s="154">
        <v>436.50793650793651</v>
      </c>
      <c r="JS69" s="154">
        <v>436.50793650793651</v>
      </c>
      <c r="JT69" s="154">
        <v>436.50793650793651</v>
      </c>
      <c r="JU69" s="154">
        <v>436.50793650793651</v>
      </c>
      <c r="JV69" s="157">
        <f t="shared" si="231"/>
        <v>5238.0952380952376</v>
      </c>
      <c r="JW69" s="161"/>
      <c r="JX69" s="163">
        <v>198.41269841269843</v>
      </c>
      <c r="JY69" s="164">
        <v>198.41269841269843</v>
      </c>
      <c r="JZ69" s="154">
        <v>198.41269841269843</v>
      </c>
      <c r="KA69" s="154">
        <v>198.41269841269843</v>
      </c>
      <c r="KB69" s="154">
        <v>198.41269841269843</v>
      </c>
      <c r="KC69" s="154">
        <v>198.41269841269843</v>
      </c>
      <c r="KD69" s="154">
        <v>198.41269841269843</v>
      </c>
      <c r="KE69" s="154">
        <v>198.41269841269843</v>
      </c>
      <c r="KF69" s="154">
        <v>198.41269841269843</v>
      </c>
      <c r="KG69" s="154">
        <v>198.41269841269843</v>
      </c>
      <c r="KH69" s="154">
        <v>198.41269841269843</v>
      </c>
      <c r="KI69" s="154">
        <v>198.41269841269843</v>
      </c>
      <c r="KJ69" s="157">
        <f t="shared" si="232"/>
        <v>2380.9523809523807</v>
      </c>
      <c r="KK69" s="161"/>
      <c r="KL69" s="163">
        <v>79.365079365079367</v>
      </c>
      <c r="KM69" s="164">
        <v>79.365079365079367</v>
      </c>
      <c r="KN69" s="154">
        <v>79.365079365079367</v>
      </c>
      <c r="KO69" s="154">
        <v>79.365079365079367</v>
      </c>
      <c r="KP69" s="154">
        <v>79.365079365079367</v>
      </c>
      <c r="KQ69" s="154">
        <v>79.365079365079367</v>
      </c>
      <c r="KR69" s="154">
        <v>79.365079365079367</v>
      </c>
      <c r="KS69" s="154">
        <v>79.365079365079367</v>
      </c>
      <c r="KT69" s="154">
        <v>79.365079365079367</v>
      </c>
      <c r="KU69" s="154">
        <v>79.365079365079367</v>
      </c>
      <c r="KV69" s="154">
        <v>79.365079365079367</v>
      </c>
      <c r="KW69" s="154">
        <v>79.365079365079367</v>
      </c>
      <c r="KX69" s="157">
        <f t="shared" si="233"/>
        <v>952.38095238095264</v>
      </c>
      <c r="KY69" s="161"/>
      <c r="KZ69" s="163">
        <v>39.682539682539684</v>
      </c>
      <c r="LA69" s="164">
        <v>39.682539682539684</v>
      </c>
      <c r="LB69" s="154">
        <v>39.682539682539684</v>
      </c>
      <c r="LC69" s="154">
        <v>39.682539682539684</v>
      </c>
      <c r="LD69" s="154">
        <v>39.682539682539684</v>
      </c>
      <c r="LE69" s="154">
        <v>39.682539682539684</v>
      </c>
      <c r="LF69" s="154">
        <v>39.682539682539684</v>
      </c>
      <c r="LG69" s="154">
        <v>39.682539682539684</v>
      </c>
      <c r="LH69" s="154">
        <v>39.682539682539684</v>
      </c>
      <c r="LI69" s="154">
        <v>39.682539682539684</v>
      </c>
      <c r="LJ69" s="154">
        <v>39.682539682539684</v>
      </c>
      <c r="LK69" s="154">
        <v>39.682539682539684</v>
      </c>
      <c r="LL69" s="157">
        <f t="shared" si="234"/>
        <v>476.19047619047632</v>
      </c>
      <c r="LM69" s="161"/>
      <c r="LN69" s="163">
        <v>0</v>
      </c>
      <c r="LO69" s="164">
        <v>0</v>
      </c>
      <c r="LP69" s="154">
        <v>0</v>
      </c>
      <c r="LQ69" s="154">
        <v>0</v>
      </c>
      <c r="LR69" s="154">
        <v>0</v>
      </c>
      <c r="LS69" s="154">
        <v>0</v>
      </c>
      <c r="LT69" s="154">
        <v>0</v>
      </c>
      <c r="LU69" s="154">
        <v>0</v>
      </c>
      <c r="LV69" s="154">
        <v>0</v>
      </c>
      <c r="LW69" s="154">
        <v>0</v>
      </c>
      <c r="LX69" s="154">
        <v>0</v>
      </c>
      <c r="LY69" s="154">
        <v>0</v>
      </c>
      <c r="LZ69" s="157">
        <f t="shared" si="235"/>
        <v>0</v>
      </c>
      <c r="MA69" s="161"/>
      <c r="MB69" s="157">
        <f t="shared" si="236"/>
        <v>6507.9365079365089</v>
      </c>
      <c r="MC69" s="157">
        <f t="shared" si="236"/>
        <v>6507.9365079365089</v>
      </c>
      <c r="MD69" s="157">
        <f t="shared" si="236"/>
        <v>6507.9365079365089</v>
      </c>
      <c r="ME69" s="157">
        <f t="shared" si="236"/>
        <v>6507.9365079365089</v>
      </c>
      <c r="MF69" s="157">
        <f t="shared" si="236"/>
        <v>6507.9365079365089</v>
      </c>
      <c r="MG69" s="157">
        <f t="shared" si="236"/>
        <v>6507.9365079365089</v>
      </c>
      <c r="MH69" s="157">
        <f t="shared" si="236"/>
        <v>6507.9365079365089</v>
      </c>
      <c r="MI69" s="157">
        <f t="shared" si="236"/>
        <v>6507.9365079365089</v>
      </c>
      <c r="MJ69" s="157">
        <f t="shared" si="236"/>
        <v>6507.9365079365089</v>
      </c>
      <c r="MK69" s="157">
        <f t="shared" si="236"/>
        <v>6507.9365079365089</v>
      </c>
      <c r="ML69" s="157">
        <f t="shared" si="236"/>
        <v>6507.9365079365089</v>
      </c>
      <c r="MM69" s="157">
        <f t="shared" si="236"/>
        <v>6507.9365079365089</v>
      </c>
      <c r="MN69" s="157">
        <f t="shared" si="239"/>
        <v>78095.238095238106</v>
      </c>
    </row>
    <row r="70" spans="1:352" x14ac:dyDescent="0.25">
      <c r="A70" s="98"/>
      <c r="B70" s="64" t="s">
        <v>86</v>
      </c>
      <c r="C70" s="98"/>
      <c r="D70" s="163">
        <v>32325.793650793654</v>
      </c>
      <c r="E70" s="164">
        <v>16111.111111111111</v>
      </c>
      <c r="F70" s="164">
        <v>16111.111111111111</v>
      </c>
      <c r="G70" s="164">
        <v>16111.111111111111</v>
      </c>
      <c r="H70" s="164">
        <v>16111.111111111111</v>
      </c>
      <c r="I70" s="164">
        <v>16111.111111111111</v>
      </c>
      <c r="J70" s="164">
        <v>16111.111111111111</v>
      </c>
      <c r="K70" s="164">
        <v>16111.111111111111</v>
      </c>
      <c r="L70" s="164">
        <v>16111.111111111111</v>
      </c>
      <c r="M70" s="164">
        <v>16111.111111111111</v>
      </c>
      <c r="N70" s="164">
        <v>16111.111111111111</v>
      </c>
      <c r="O70" s="164">
        <v>10446.329365079366</v>
      </c>
      <c r="P70" s="157">
        <f t="shared" si="213"/>
        <v>203883.23412698417</v>
      </c>
      <c r="Q70" s="161"/>
      <c r="R70" s="163">
        <v>3344.0476190476193</v>
      </c>
      <c r="S70" s="164">
        <v>1666.6666666666665</v>
      </c>
      <c r="T70" s="164">
        <v>1666.6666666666665</v>
      </c>
      <c r="U70" s="164">
        <v>1666.6666666666665</v>
      </c>
      <c r="V70" s="164">
        <v>1666.6666666666665</v>
      </c>
      <c r="W70" s="164">
        <v>1666.6666666666665</v>
      </c>
      <c r="X70" s="164">
        <v>1666.6666666666665</v>
      </c>
      <c r="Y70" s="164">
        <v>1666.6666666666665</v>
      </c>
      <c r="Z70" s="164">
        <v>1666.6666666666665</v>
      </c>
      <c r="AA70" s="164">
        <v>1666.6666666666665</v>
      </c>
      <c r="AB70" s="164">
        <v>1666.6666666666665</v>
      </c>
      <c r="AC70" s="164">
        <v>1080.6547619047619</v>
      </c>
      <c r="AD70" s="157">
        <f t="shared" si="214"/>
        <v>21091.36904761905</v>
      </c>
      <c r="AE70" s="161"/>
      <c r="AF70" s="163">
        <v>3344.0476190476193</v>
      </c>
      <c r="AG70" s="164">
        <v>1666.6666666666665</v>
      </c>
      <c r="AH70" s="164">
        <v>1666.6666666666665</v>
      </c>
      <c r="AI70" s="164">
        <v>1666.6666666666665</v>
      </c>
      <c r="AJ70" s="164">
        <v>1666.6666666666665</v>
      </c>
      <c r="AK70" s="164">
        <v>1666.6666666666665</v>
      </c>
      <c r="AL70" s="164">
        <v>1666.6666666666665</v>
      </c>
      <c r="AM70" s="164">
        <v>1666.6666666666665</v>
      </c>
      <c r="AN70" s="164">
        <v>1666.6666666666665</v>
      </c>
      <c r="AO70" s="164">
        <v>1666.6666666666665</v>
      </c>
      <c r="AP70" s="164">
        <v>1666.6666666666665</v>
      </c>
      <c r="AQ70" s="164">
        <v>1080.6547619047619</v>
      </c>
      <c r="AR70" s="157">
        <f t="shared" si="215"/>
        <v>21091.36904761905</v>
      </c>
      <c r="AT70" s="163">
        <v>2229.3650793650795</v>
      </c>
      <c r="AU70" s="164">
        <v>1111.1111111111111</v>
      </c>
      <c r="AV70" s="164">
        <v>1111.1111111111111</v>
      </c>
      <c r="AW70" s="164">
        <v>1111.1111111111111</v>
      </c>
      <c r="AX70" s="164">
        <v>1111.1111111111111</v>
      </c>
      <c r="AY70" s="164">
        <v>1111.1111111111111</v>
      </c>
      <c r="AZ70" s="164">
        <v>1111.1111111111111</v>
      </c>
      <c r="BA70" s="164">
        <v>1111.1111111111111</v>
      </c>
      <c r="BB70" s="164">
        <v>1111.1111111111111</v>
      </c>
      <c r="BC70" s="164">
        <v>1111.1111111111111</v>
      </c>
      <c r="BD70" s="164">
        <v>1111.1111111111111</v>
      </c>
      <c r="BE70" s="164">
        <v>720.43650793650795</v>
      </c>
      <c r="BF70" s="157">
        <f t="shared" si="216"/>
        <v>14060.9126984127</v>
      </c>
      <c r="BH70" s="163">
        <v>16720.238095238095</v>
      </c>
      <c r="BI70" s="164">
        <v>8333.3333333333339</v>
      </c>
      <c r="BJ70" s="154">
        <v>8333.3333333333339</v>
      </c>
      <c r="BK70" s="154">
        <v>8333.3333333333339</v>
      </c>
      <c r="BL70" s="154">
        <v>8333.3333333333339</v>
      </c>
      <c r="BM70" s="154">
        <v>8333.3333333333339</v>
      </c>
      <c r="BN70" s="154">
        <v>8333.3333333333339</v>
      </c>
      <c r="BO70" s="154">
        <v>8333.3333333333339</v>
      </c>
      <c r="BP70" s="154">
        <v>8333.3333333333339</v>
      </c>
      <c r="BQ70" s="154">
        <v>8333.3333333333339</v>
      </c>
      <c r="BR70" s="154">
        <v>8333.3333333333339</v>
      </c>
      <c r="BS70" s="154">
        <v>5403.2738095238092</v>
      </c>
      <c r="BT70" s="157">
        <f t="shared" si="217"/>
        <v>105456.84523809524</v>
      </c>
      <c r="BV70" s="163">
        <v>1114.6825396825398</v>
      </c>
      <c r="BW70" s="164">
        <v>555.55555555555554</v>
      </c>
      <c r="BX70" s="154">
        <v>555.55555555555554</v>
      </c>
      <c r="BY70" s="154">
        <v>555.55555555555554</v>
      </c>
      <c r="BZ70" s="154">
        <v>555.55555555555554</v>
      </c>
      <c r="CA70" s="154">
        <v>555.55555555555554</v>
      </c>
      <c r="CB70" s="154">
        <v>555.55555555555554</v>
      </c>
      <c r="CC70" s="154">
        <v>555.55555555555554</v>
      </c>
      <c r="CD70" s="154">
        <v>555.55555555555554</v>
      </c>
      <c r="CE70" s="154">
        <v>555.55555555555554</v>
      </c>
      <c r="CF70" s="154">
        <v>555.55555555555554</v>
      </c>
      <c r="CG70" s="154">
        <v>360.21825396825398</v>
      </c>
      <c r="CH70" s="157">
        <f t="shared" si="218"/>
        <v>7030.4563492063498</v>
      </c>
      <c r="CI70" s="161"/>
      <c r="CJ70" s="163">
        <v>12261.507936507936</v>
      </c>
      <c r="CK70" s="164">
        <v>6111.1111111111113</v>
      </c>
      <c r="CL70" s="154">
        <v>6111.1111111111113</v>
      </c>
      <c r="CM70" s="154">
        <v>6111.1111111111113</v>
      </c>
      <c r="CN70" s="154">
        <v>6111.1111111111113</v>
      </c>
      <c r="CO70" s="154">
        <v>6111.1111111111113</v>
      </c>
      <c r="CP70" s="154">
        <v>6111.1111111111113</v>
      </c>
      <c r="CQ70" s="154">
        <v>6111.1111111111113</v>
      </c>
      <c r="CR70" s="154">
        <v>6111.1111111111113</v>
      </c>
      <c r="CS70" s="154">
        <v>6111.1111111111113</v>
      </c>
      <c r="CT70" s="154">
        <v>6111.1111111111113</v>
      </c>
      <c r="CU70" s="154">
        <v>3962.4007936507937</v>
      </c>
      <c r="CV70" s="157">
        <f t="shared" si="219"/>
        <v>77335.019841269837</v>
      </c>
      <c r="CW70" s="161"/>
      <c r="CX70" s="163">
        <v>31211.111111111113</v>
      </c>
      <c r="CY70" s="164">
        <v>15555.555555555555</v>
      </c>
      <c r="CZ70" s="154">
        <v>15555.555555555555</v>
      </c>
      <c r="DA70" s="154">
        <v>15555.555555555555</v>
      </c>
      <c r="DB70" s="154">
        <v>15555.555555555555</v>
      </c>
      <c r="DC70" s="154">
        <v>15555.555555555555</v>
      </c>
      <c r="DD70" s="154">
        <v>15555.555555555555</v>
      </c>
      <c r="DE70" s="154">
        <v>15555.555555555555</v>
      </c>
      <c r="DF70" s="154">
        <v>15555.555555555555</v>
      </c>
      <c r="DG70" s="154">
        <v>15555.555555555555</v>
      </c>
      <c r="DH70" s="154">
        <v>15555.555555555555</v>
      </c>
      <c r="DI70" s="154">
        <v>10086.111111111111</v>
      </c>
      <c r="DJ70" s="157">
        <f t="shared" si="220"/>
        <v>196852.77777777784</v>
      </c>
      <c r="DK70" s="161"/>
      <c r="DL70" s="163">
        <v>31211.111111111113</v>
      </c>
      <c r="DM70" s="164">
        <v>15555.555555555555</v>
      </c>
      <c r="DN70" s="154">
        <v>15555.555555555555</v>
      </c>
      <c r="DO70" s="154">
        <v>15555.555555555555</v>
      </c>
      <c r="DP70" s="154">
        <v>15555.555555555555</v>
      </c>
      <c r="DQ70" s="154">
        <v>15555.555555555555</v>
      </c>
      <c r="DR70" s="154">
        <v>15555.555555555555</v>
      </c>
      <c r="DS70" s="154">
        <v>15555.555555555555</v>
      </c>
      <c r="DT70" s="154">
        <v>15555.555555555555</v>
      </c>
      <c r="DU70" s="154">
        <v>15555.555555555555</v>
      </c>
      <c r="DV70" s="154">
        <v>15555.555555555555</v>
      </c>
      <c r="DW70" s="154">
        <v>10086.111111111111</v>
      </c>
      <c r="DX70" s="157">
        <f t="shared" si="221"/>
        <v>196852.77777777784</v>
      </c>
      <c r="DY70" s="161"/>
      <c r="DZ70" s="163">
        <v>1114.6825396825398</v>
      </c>
      <c r="EA70" s="164">
        <v>555.55555555555554</v>
      </c>
      <c r="EB70" s="154">
        <v>555.55555555555554</v>
      </c>
      <c r="EC70" s="154">
        <v>555.55555555555554</v>
      </c>
      <c r="ED70" s="154">
        <v>555.55555555555554</v>
      </c>
      <c r="EE70" s="154">
        <v>555.55555555555554</v>
      </c>
      <c r="EF70" s="154">
        <v>555.55555555555554</v>
      </c>
      <c r="EG70" s="154">
        <v>555.55555555555554</v>
      </c>
      <c r="EH70" s="154">
        <v>555.55555555555554</v>
      </c>
      <c r="EI70" s="154">
        <v>555.55555555555554</v>
      </c>
      <c r="EJ70" s="154">
        <v>555.55555555555554</v>
      </c>
      <c r="EK70" s="154">
        <v>360.21825396825398</v>
      </c>
      <c r="EL70" s="157">
        <f t="shared" si="222"/>
        <v>7030.4563492063498</v>
      </c>
      <c r="EM70" s="161"/>
      <c r="EN70" s="163">
        <v>2229.3650793650795</v>
      </c>
      <c r="EO70" s="164">
        <v>1111.1111111111111</v>
      </c>
      <c r="EP70" s="154">
        <v>1111.1111111111111</v>
      </c>
      <c r="EQ70" s="154">
        <v>1111.1111111111111</v>
      </c>
      <c r="ER70" s="154">
        <v>1111.1111111111111</v>
      </c>
      <c r="ES70" s="154">
        <v>1111.1111111111111</v>
      </c>
      <c r="ET70" s="154">
        <v>1111.1111111111111</v>
      </c>
      <c r="EU70" s="154">
        <v>1111.1111111111111</v>
      </c>
      <c r="EV70" s="154">
        <v>1111.1111111111111</v>
      </c>
      <c r="EW70" s="154">
        <v>1111.1111111111111</v>
      </c>
      <c r="EX70" s="154">
        <v>1111.1111111111111</v>
      </c>
      <c r="EY70" s="154">
        <v>720.43650793650795</v>
      </c>
      <c r="EZ70" s="157">
        <f t="shared" si="223"/>
        <v>14060.9126984127</v>
      </c>
      <c r="FA70" s="161"/>
      <c r="FB70" s="163">
        <v>1114.6825396825398</v>
      </c>
      <c r="FC70" s="164">
        <v>555.55555555555554</v>
      </c>
      <c r="FD70" s="154">
        <v>555.55555555555554</v>
      </c>
      <c r="FE70" s="154">
        <v>555.55555555555554</v>
      </c>
      <c r="FF70" s="154">
        <v>555.55555555555554</v>
      </c>
      <c r="FG70" s="154">
        <v>555.55555555555554</v>
      </c>
      <c r="FH70" s="154">
        <v>555.55555555555554</v>
      </c>
      <c r="FI70" s="154">
        <v>555.55555555555554</v>
      </c>
      <c r="FJ70" s="154">
        <v>555.55555555555554</v>
      </c>
      <c r="FK70" s="154">
        <v>555.55555555555554</v>
      </c>
      <c r="FL70" s="154">
        <v>555.55555555555554</v>
      </c>
      <c r="FM70" s="154">
        <v>360.21825396825398</v>
      </c>
      <c r="FN70" s="157">
        <f t="shared" si="224"/>
        <v>7030.4563492063498</v>
      </c>
      <c r="FO70" s="161"/>
      <c r="FP70" s="163">
        <v>7802.7777777777783</v>
      </c>
      <c r="FQ70" s="164">
        <v>3888.8888888888887</v>
      </c>
      <c r="FR70" s="154">
        <v>3888.8888888888887</v>
      </c>
      <c r="FS70" s="154">
        <v>3888.8888888888887</v>
      </c>
      <c r="FT70" s="154">
        <v>3888.8888888888887</v>
      </c>
      <c r="FU70" s="154">
        <v>3888.8888888888887</v>
      </c>
      <c r="FV70" s="154">
        <v>3888.8888888888887</v>
      </c>
      <c r="FW70" s="154">
        <v>3888.8888888888887</v>
      </c>
      <c r="FX70" s="154">
        <v>3888.8888888888887</v>
      </c>
      <c r="FY70" s="154">
        <v>3888.8888888888887</v>
      </c>
      <c r="FZ70" s="154">
        <v>3888.8888888888887</v>
      </c>
      <c r="GA70" s="154">
        <v>2521.5277777777778</v>
      </c>
      <c r="GB70" s="157">
        <f t="shared" si="225"/>
        <v>49213.19444444446</v>
      </c>
      <c r="GC70" s="161"/>
      <c r="GD70" s="163">
        <v>1114.6825396825398</v>
      </c>
      <c r="GE70" s="164">
        <v>555.55555555555554</v>
      </c>
      <c r="GF70" s="154">
        <v>555.55555555555554</v>
      </c>
      <c r="GG70" s="154">
        <v>555.55555555555554</v>
      </c>
      <c r="GH70" s="154">
        <v>555.55555555555554</v>
      </c>
      <c r="GI70" s="154">
        <v>555.55555555555554</v>
      </c>
      <c r="GJ70" s="154">
        <v>555.55555555555554</v>
      </c>
      <c r="GK70" s="154">
        <v>555.55555555555554</v>
      </c>
      <c r="GL70" s="154">
        <v>555.55555555555554</v>
      </c>
      <c r="GM70" s="154">
        <v>555.55555555555554</v>
      </c>
      <c r="GN70" s="154">
        <v>555.55555555555554</v>
      </c>
      <c r="GO70" s="154">
        <v>360.21825396825398</v>
      </c>
      <c r="GP70" s="157">
        <f t="shared" si="226"/>
        <v>7030.4563492063498</v>
      </c>
      <c r="GQ70" s="161"/>
      <c r="GR70" s="163">
        <v>70450</v>
      </c>
      <c r="GS70" s="164">
        <v>0</v>
      </c>
      <c r="GT70" s="154">
        <v>75875</v>
      </c>
      <c r="GU70" s="154">
        <v>75875</v>
      </c>
      <c r="GV70" s="154">
        <v>75875</v>
      </c>
      <c r="GW70" s="154">
        <v>75875</v>
      </c>
      <c r="GX70" s="154">
        <v>75875</v>
      </c>
      <c r="GY70" s="154">
        <v>75875</v>
      </c>
      <c r="GZ70" s="154">
        <v>75875</v>
      </c>
      <c r="HA70" s="154">
        <v>75875</v>
      </c>
      <c r="HB70" s="154">
        <v>75875</v>
      </c>
      <c r="HC70" s="154">
        <v>75875</v>
      </c>
      <c r="HD70" s="157">
        <f t="shared" si="238"/>
        <v>0</v>
      </c>
      <c r="HE70" s="161"/>
      <c r="HF70" s="163">
        <v>4458.730158730159</v>
      </c>
      <c r="HG70" s="164">
        <v>2222.2222222222222</v>
      </c>
      <c r="HH70" s="154">
        <v>2222.2222222222222</v>
      </c>
      <c r="HI70" s="154">
        <v>2222.2222222222222</v>
      </c>
      <c r="HJ70" s="154">
        <v>2222.2222222222222</v>
      </c>
      <c r="HK70" s="154">
        <v>2222.2222222222222</v>
      </c>
      <c r="HL70" s="154">
        <v>2222.2222222222222</v>
      </c>
      <c r="HM70" s="154">
        <v>2222.2222222222222</v>
      </c>
      <c r="HN70" s="154">
        <v>2222.2222222222222</v>
      </c>
      <c r="HO70" s="154">
        <v>2222.2222222222222</v>
      </c>
      <c r="HP70" s="154">
        <v>2222.2222222222222</v>
      </c>
      <c r="HQ70" s="154">
        <v>1440.8730158730159</v>
      </c>
      <c r="HR70" s="157">
        <f t="shared" si="227"/>
        <v>28121.825396825399</v>
      </c>
      <c r="HS70" s="161"/>
      <c r="HT70" s="163">
        <v>1114.6825396825398</v>
      </c>
      <c r="HU70" s="164">
        <v>555.55555555555554</v>
      </c>
      <c r="HV70" s="154">
        <v>555.55555555555554</v>
      </c>
      <c r="HW70" s="154">
        <v>555.55555555555554</v>
      </c>
      <c r="HX70" s="154">
        <v>555.55555555555554</v>
      </c>
      <c r="HY70" s="154">
        <v>555.55555555555554</v>
      </c>
      <c r="HZ70" s="154">
        <v>555.55555555555554</v>
      </c>
      <c r="IA70" s="154">
        <v>555.55555555555554</v>
      </c>
      <c r="IB70" s="154">
        <v>555.55555555555554</v>
      </c>
      <c r="IC70" s="154">
        <v>555.55555555555554</v>
      </c>
      <c r="ID70" s="154">
        <v>555.55555555555554</v>
      </c>
      <c r="IE70" s="154">
        <v>360.21825396825398</v>
      </c>
      <c r="IF70" s="157">
        <f t="shared" si="228"/>
        <v>7030.4563492063498</v>
      </c>
      <c r="IG70" s="161"/>
      <c r="IH70" s="163">
        <v>1114.6825396825398</v>
      </c>
      <c r="II70" s="164">
        <v>555.55555555555554</v>
      </c>
      <c r="IJ70" s="154">
        <v>555.55555555555554</v>
      </c>
      <c r="IK70" s="154">
        <v>555.55555555555554</v>
      </c>
      <c r="IL70" s="154">
        <v>555.55555555555554</v>
      </c>
      <c r="IM70" s="154">
        <v>555.55555555555554</v>
      </c>
      <c r="IN70" s="154">
        <v>555.55555555555554</v>
      </c>
      <c r="IO70" s="154">
        <v>555.55555555555554</v>
      </c>
      <c r="IP70" s="154">
        <v>555.55555555555554</v>
      </c>
      <c r="IQ70" s="154">
        <v>555.55555555555554</v>
      </c>
      <c r="IR70" s="154">
        <v>555.55555555555554</v>
      </c>
      <c r="IS70" s="154">
        <v>360.21825396825398</v>
      </c>
      <c r="IT70" s="157">
        <f t="shared" si="229"/>
        <v>7030.4563492063498</v>
      </c>
      <c r="IU70" s="161"/>
      <c r="IV70" s="163">
        <v>7802.7777777777783</v>
      </c>
      <c r="IW70" s="164">
        <v>3888.8888888888887</v>
      </c>
      <c r="IX70" s="154">
        <v>3888.8888888888887</v>
      </c>
      <c r="IY70" s="154">
        <v>3888.8888888888887</v>
      </c>
      <c r="IZ70" s="154">
        <v>3888.8888888888887</v>
      </c>
      <c r="JA70" s="154">
        <v>3888.8888888888887</v>
      </c>
      <c r="JB70" s="154">
        <v>3888.8888888888887</v>
      </c>
      <c r="JC70" s="154">
        <v>3888.8888888888887</v>
      </c>
      <c r="JD70" s="154">
        <v>3888.8888888888887</v>
      </c>
      <c r="JE70" s="154">
        <v>3888.8888888888887</v>
      </c>
      <c r="JF70" s="154">
        <v>3888.8888888888887</v>
      </c>
      <c r="JG70" s="154">
        <v>2521.5277777777778</v>
      </c>
      <c r="JH70" s="157">
        <f t="shared" si="230"/>
        <v>49213.19444444446</v>
      </c>
      <c r="JI70" s="161"/>
      <c r="JJ70" s="163">
        <v>12261.507936507936</v>
      </c>
      <c r="JK70" s="164">
        <v>6111.1111111111113</v>
      </c>
      <c r="JL70" s="154">
        <v>6111.1111111111113</v>
      </c>
      <c r="JM70" s="154">
        <v>6111.1111111111113</v>
      </c>
      <c r="JN70" s="154">
        <v>6111.1111111111113</v>
      </c>
      <c r="JO70" s="154">
        <v>6111.1111111111113</v>
      </c>
      <c r="JP70" s="154">
        <v>6111.1111111111113</v>
      </c>
      <c r="JQ70" s="154">
        <v>6111.1111111111113</v>
      </c>
      <c r="JR70" s="154">
        <v>6111.1111111111113</v>
      </c>
      <c r="JS70" s="154">
        <v>6111.1111111111113</v>
      </c>
      <c r="JT70" s="154">
        <v>6111.1111111111113</v>
      </c>
      <c r="JU70" s="154">
        <v>3962.4007936507937</v>
      </c>
      <c r="JV70" s="157">
        <f t="shared" si="231"/>
        <v>77335.019841269837</v>
      </c>
      <c r="JW70" s="161"/>
      <c r="JX70" s="163">
        <v>5573.4126984126988</v>
      </c>
      <c r="JY70" s="164">
        <v>2777.7777777777778</v>
      </c>
      <c r="JZ70" s="154">
        <v>2777.7777777777778</v>
      </c>
      <c r="KA70" s="154">
        <v>2777.7777777777778</v>
      </c>
      <c r="KB70" s="154">
        <v>2777.7777777777778</v>
      </c>
      <c r="KC70" s="154">
        <v>2777.7777777777778</v>
      </c>
      <c r="KD70" s="154">
        <v>2777.7777777777778</v>
      </c>
      <c r="KE70" s="154">
        <v>2777.7777777777778</v>
      </c>
      <c r="KF70" s="154">
        <v>2777.7777777777778</v>
      </c>
      <c r="KG70" s="154">
        <v>2777.7777777777778</v>
      </c>
      <c r="KH70" s="154">
        <v>2777.7777777777778</v>
      </c>
      <c r="KI70" s="154">
        <v>1801.0912698412699</v>
      </c>
      <c r="KJ70" s="157">
        <f t="shared" si="232"/>
        <v>35152.281746031746</v>
      </c>
      <c r="KK70" s="161"/>
      <c r="KL70" s="163">
        <v>2229.3650793650795</v>
      </c>
      <c r="KM70" s="164">
        <v>1111.1111111111111</v>
      </c>
      <c r="KN70" s="154">
        <v>1111.1111111111111</v>
      </c>
      <c r="KO70" s="154">
        <v>1111.1111111111111</v>
      </c>
      <c r="KP70" s="154">
        <v>1111.1111111111111</v>
      </c>
      <c r="KQ70" s="154">
        <v>1111.1111111111111</v>
      </c>
      <c r="KR70" s="154">
        <v>1111.1111111111111</v>
      </c>
      <c r="KS70" s="154">
        <v>1111.1111111111111</v>
      </c>
      <c r="KT70" s="154">
        <v>1111.1111111111111</v>
      </c>
      <c r="KU70" s="154">
        <v>1111.1111111111111</v>
      </c>
      <c r="KV70" s="154">
        <v>1111.1111111111111</v>
      </c>
      <c r="KW70" s="154">
        <v>720.43650793650795</v>
      </c>
      <c r="KX70" s="157">
        <f t="shared" si="233"/>
        <v>14060.9126984127</v>
      </c>
      <c r="KY70" s="161"/>
      <c r="KZ70" s="163">
        <v>1114.6825396825398</v>
      </c>
      <c r="LA70" s="164">
        <v>555.55555555555554</v>
      </c>
      <c r="LB70" s="154">
        <v>555.55555555555554</v>
      </c>
      <c r="LC70" s="154">
        <v>555.55555555555554</v>
      </c>
      <c r="LD70" s="154">
        <v>555.55555555555554</v>
      </c>
      <c r="LE70" s="154">
        <v>555.55555555555554</v>
      </c>
      <c r="LF70" s="154">
        <v>555.55555555555554</v>
      </c>
      <c r="LG70" s="154">
        <v>555.55555555555554</v>
      </c>
      <c r="LH70" s="154">
        <v>555.55555555555554</v>
      </c>
      <c r="LI70" s="154">
        <v>555.55555555555554</v>
      </c>
      <c r="LJ70" s="154">
        <v>555.55555555555554</v>
      </c>
      <c r="LK70" s="154">
        <v>360.21825396825398</v>
      </c>
      <c r="LL70" s="157">
        <f t="shared" si="234"/>
        <v>7030.4563492063498</v>
      </c>
      <c r="LM70" s="161"/>
      <c r="LN70" s="163">
        <v>0</v>
      </c>
      <c r="LO70" s="164">
        <v>0</v>
      </c>
      <c r="LP70" s="154">
        <v>0</v>
      </c>
      <c r="LQ70" s="154">
        <v>0</v>
      </c>
      <c r="LR70" s="154">
        <v>0</v>
      </c>
      <c r="LS70" s="154">
        <v>0</v>
      </c>
      <c r="LT70" s="154">
        <v>0</v>
      </c>
      <c r="LU70" s="154">
        <v>0</v>
      </c>
      <c r="LV70" s="154">
        <v>0</v>
      </c>
      <c r="LW70" s="154">
        <v>0</v>
      </c>
      <c r="LX70" s="154">
        <v>0</v>
      </c>
      <c r="LY70" s="154">
        <v>0</v>
      </c>
      <c r="LZ70" s="157">
        <f t="shared" si="235"/>
        <v>0</v>
      </c>
      <c r="MA70" s="161"/>
      <c r="MB70" s="157">
        <f t="shared" si="236"/>
        <v>253257.93650793654</v>
      </c>
      <c r="MC70" s="157">
        <f t="shared" si="236"/>
        <v>91111.111111111139</v>
      </c>
      <c r="MD70" s="157">
        <f t="shared" si="236"/>
        <v>166986.11111111115</v>
      </c>
      <c r="ME70" s="157">
        <f t="shared" si="236"/>
        <v>166986.11111111115</v>
      </c>
      <c r="MF70" s="157">
        <f t="shared" si="236"/>
        <v>166986.11111111115</v>
      </c>
      <c r="MG70" s="157">
        <f t="shared" si="236"/>
        <v>166986.11111111115</v>
      </c>
      <c r="MH70" s="157">
        <f t="shared" si="236"/>
        <v>166986.11111111115</v>
      </c>
      <c r="MI70" s="157">
        <f t="shared" si="236"/>
        <v>166986.11111111115</v>
      </c>
      <c r="MJ70" s="157">
        <f t="shared" si="236"/>
        <v>166986.11111111115</v>
      </c>
      <c r="MK70" s="157">
        <f t="shared" si="236"/>
        <v>166986.11111111115</v>
      </c>
      <c r="ML70" s="157">
        <f t="shared" si="236"/>
        <v>166986.11111111115</v>
      </c>
      <c r="MM70" s="157">
        <f t="shared" si="236"/>
        <v>134950.79365079367</v>
      </c>
      <c r="MN70" s="157">
        <f t="shared" si="239"/>
        <v>1982194.8412698419</v>
      </c>
    </row>
    <row r="71" spans="1:352" x14ac:dyDescent="0.25">
      <c r="A71" s="98"/>
      <c r="B71" s="64" t="s">
        <v>87</v>
      </c>
      <c r="C71" s="98"/>
      <c r="D71" s="163">
        <v>4603.1746031746034</v>
      </c>
      <c r="E71" s="164">
        <v>4603.1746031746034</v>
      </c>
      <c r="F71" s="164">
        <v>4603.1746031746034</v>
      </c>
      <c r="G71" s="164">
        <v>4603.1746031746034</v>
      </c>
      <c r="H71" s="164">
        <v>4603.1746031746034</v>
      </c>
      <c r="I71" s="164">
        <v>4603.1746031746034</v>
      </c>
      <c r="J71" s="164">
        <v>4603.1746031746034</v>
      </c>
      <c r="K71" s="164">
        <v>4603.1746031746034</v>
      </c>
      <c r="L71" s="164">
        <v>4603.1746031746034</v>
      </c>
      <c r="M71" s="164">
        <v>4603.1746031746034</v>
      </c>
      <c r="N71" s="164">
        <v>4603.1746031746034</v>
      </c>
      <c r="O71" s="164">
        <v>4027.7777777777778</v>
      </c>
      <c r="P71" s="157">
        <f t="shared" si="213"/>
        <v>54662.69841269841</v>
      </c>
      <c r="Q71" s="161"/>
      <c r="R71" s="163">
        <v>476.1904761904762</v>
      </c>
      <c r="S71" s="164">
        <v>476.1904761904762</v>
      </c>
      <c r="T71" s="164">
        <v>476.1904761904762</v>
      </c>
      <c r="U71" s="164">
        <v>476.1904761904762</v>
      </c>
      <c r="V71" s="164">
        <v>476.1904761904762</v>
      </c>
      <c r="W71" s="164">
        <v>476.1904761904762</v>
      </c>
      <c r="X71" s="164">
        <v>476.1904761904762</v>
      </c>
      <c r="Y71" s="164">
        <v>476.1904761904762</v>
      </c>
      <c r="Z71" s="164">
        <v>476.1904761904762</v>
      </c>
      <c r="AA71" s="164">
        <v>476.1904761904762</v>
      </c>
      <c r="AB71" s="164">
        <v>476.1904761904762</v>
      </c>
      <c r="AC71" s="164">
        <v>416.66666666666663</v>
      </c>
      <c r="AD71" s="157">
        <f t="shared" si="214"/>
        <v>5654.7619047619055</v>
      </c>
      <c r="AE71" s="161"/>
      <c r="AF71" s="163">
        <v>476.1904761904762</v>
      </c>
      <c r="AG71" s="164">
        <v>476.1904761904762</v>
      </c>
      <c r="AH71" s="164">
        <v>476.1904761904762</v>
      </c>
      <c r="AI71" s="164">
        <v>476.1904761904762</v>
      </c>
      <c r="AJ71" s="164">
        <v>476.1904761904762</v>
      </c>
      <c r="AK71" s="164">
        <v>476.1904761904762</v>
      </c>
      <c r="AL71" s="164">
        <v>476.1904761904762</v>
      </c>
      <c r="AM71" s="164">
        <v>476.1904761904762</v>
      </c>
      <c r="AN71" s="164">
        <v>476.1904761904762</v>
      </c>
      <c r="AO71" s="164">
        <v>476.1904761904762</v>
      </c>
      <c r="AP71" s="164">
        <v>476.1904761904762</v>
      </c>
      <c r="AQ71" s="164">
        <v>416.66666666666663</v>
      </c>
      <c r="AR71" s="157">
        <f t="shared" si="215"/>
        <v>5654.7619047619055</v>
      </c>
      <c r="AT71" s="163">
        <v>317.46031746031747</v>
      </c>
      <c r="AU71" s="164">
        <v>317.46031746031747</v>
      </c>
      <c r="AV71" s="164">
        <v>317.46031746031747</v>
      </c>
      <c r="AW71" s="164">
        <v>317.46031746031747</v>
      </c>
      <c r="AX71" s="164">
        <v>317.46031746031747</v>
      </c>
      <c r="AY71" s="164">
        <v>317.46031746031747</v>
      </c>
      <c r="AZ71" s="164">
        <v>317.46031746031747</v>
      </c>
      <c r="BA71" s="164">
        <v>317.46031746031747</v>
      </c>
      <c r="BB71" s="164">
        <v>317.46031746031747</v>
      </c>
      <c r="BC71" s="164">
        <v>317.46031746031747</v>
      </c>
      <c r="BD71" s="164">
        <v>317.46031746031747</v>
      </c>
      <c r="BE71" s="164">
        <v>277.77777777777777</v>
      </c>
      <c r="BF71" s="157">
        <f t="shared" si="216"/>
        <v>3769.8412698412708</v>
      </c>
      <c r="BH71" s="163">
        <v>2380.9523809523812</v>
      </c>
      <c r="BI71" s="164">
        <v>2380.9523809523812</v>
      </c>
      <c r="BJ71" s="154">
        <v>2380.9523809523812</v>
      </c>
      <c r="BK71" s="154">
        <v>2380.9523809523812</v>
      </c>
      <c r="BL71" s="154">
        <v>2380.9523809523812</v>
      </c>
      <c r="BM71" s="154">
        <v>2380.9523809523812</v>
      </c>
      <c r="BN71" s="154">
        <v>2380.9523809523812</v>
      </c>
      <c r="BO71" s="154">
        <v>2380.9523809523812</v>
      </c>
      <c r="BP71" s="154">
        <v>2380.9523809523812</v>
      </c>
      <c r="BQ71" s="154">
        <v>2380.9523809523812</v>
      </c>
      <c r="BR71" s="154">
        <v>2380.9523809523812</v>
      </c>
      <c r="BS71" s="154">
        <v>2083.3333333333335</v>
      </c>
      <c r="BT71" s="157">
        <f t="shared" si="217"/>
        <v>28273.809523809527</v>
      </c>
      <c r="BV71" s="163">
        <v>158.73015873015873</v>
      </c>
      <c r="BW71" s="164">
        <v>158.73015873015873</v>
      </c>
      <c r="BX71" s="154">
        <v>158.73015873015873</v>
      </c>
      <c r="BY71" s="154">
        <v>158.73015873015873</v>
      </c>
      <c r="BZ71" s="154">
        <v>158.73015873015873</v>
      </c>
      <c r="CA71" s="154">
        <v>158.73015873015873</v>
      </c>
      <c r="CB71" s="154">
        <v>158.73015873015873</v>
      </c>
      <c r="CC71" s="154">
        <v>158.73015873015873</v>
      </c>
      <c r="CD71" s="154">
        <v>158.73015873015873</v>
      </c>
      <c r="CE71" s="154">
        <v>158.73015873015873</v>
      </c>
      <c r="CF71" s="154">
        <v>158.73015873015873</v>
      </c>
      <c r="CG71" s="154">
        <v>138.88888888888889</v>
      </c>
      <c r="CH71" s="157">
        <f t="shared" si="218"/>
        <v>1884.9206349206354</v>
      </c>
      <c r="CI71" s="161"/>
      <c r="CJ71" s="163">
        <v>1746.031746031746</v>
      </c>
      <c r="CK71" s="164">
        <v>1746.031746031746</v>
      </c>
      <c r="CL71" s="154">
        <v>1746.031746031746</v>
      </c>
      <c r="CM71" s="154">
        <v>1746.031746031746</v>
      </c>
      <c r="CN71" s="154">
        <v>1746.031746031746</v>
      </c>
      <c r="CO71" s="154">
        <v>1746.031746031746</v>
      </c>
      <c r="CP71" s="154">
        <v>1746.031746031746</v>
      </c>
      <c r="CQ71" s="154">
        <v>1746.031746031746</v>
      </c>
      <c r="CR71" s="154">
        <v>1746.031746031746</v>
      </c>
      <c r="CS71" s="154">
        <v>1746.031746031746</v>
      </c>
      <c r="CT71" s="154">
        <v>1746.031746031746</v>
      </c>
      <c r="CU71" s="154">
        <v>1527.7777777777778</v>
      </c>
      <c r="CV71" s="157">
        <f t="shared" si="219"/>
        <v>20734.126984126982</v>
      </c>
      <c r="CW71" s="161"/>
      <c r="CX71" s="163">
        <v>4444.4444444444443</v>
      </c>
      <c r="CY71" s="164">
        <v>4444.4444444444443</v>
      </c>
      <c r="CZ71" s="154">
        <v>4444.4444444444443</v>
      </c>
      <c r="DA71" s="154">
        <v>4444.4444444444443</v>
      </c>
      <c r="DB71" s="154">
        <v>4444.4444444444443</v>
      </c>
      <c r="DC71" s="154">
        <v>4444.4444444444443</v>
      </c>
      <c r="DD71" s="154">
        <v>4444.4444444444443</v>
      </c>
      <c r="DE71" s="154">
        <v>4444.4444444444443</v>
      </c>
      <c r="DF71" s="154">
        <v>4444.4444444444443</v>
      </c>
      <c r="DG71" s="154">
        <v>4444.4444444444443</v>
      </c>
      <c r="DH71" s="154">
        <v>4444.4444444444443</v>
      </c>
      <c r="DI71" s="154">
        <v>3888.8888888888887</v>
      </c>
      <c r="DJ71" s="157">
        <f t="shared" si="220"/>
        <v>52777.777777777781</v>
      </c>
      <c r="DK71" s="161"/>
      <c r="DL71" s="163">
        <v>4444.4444444444443</v>
      </c>
      <c r="DM71" s="164">
        <v>4444.4444444444443</v>
      </c>
      <c r="DN71" s="154">
        <v>4444.4444444444443</v>
      </c>
      <c r="DO71" s="154">
        <v>4444.4444444444443</v>
      </c>
      <c r="DP71" s="154">
        <v>4444.4444444444443</v>
      </c>
      <c r="DQ71" s="154">
        <v>4444.4444444444443</v>
      </c>
      <c r="DR71" s="154">
        <v>4444.4444444444443</v>
      </c>
      <c r="DS71" s="154">
        <v>4444.4444444444443</v>
      </c>
      <c r="DT71" s="154">
        <v>4444.4444444444443</v>
      </c>
      <c r="DU71" s="154">
        <v>4444.4444444444443</v>
      </c>
      <c r="DV71" s="154">
        <v>4444.4444444444443</v>
      </c>
      <c r="DW71" s="154">
        <v>3888.8888888888887</v>
      </c>
      <c r="DX71" s="157">
        <f t="shared" si="221"/>
        <v>52777.777777777781</v>
      </c>
      <c r="DY71" s="161"/>
      <c r="DZ71" s="163">
        <v>158.73015873015873</v>
      </c>
      <c r="EA71" s="164">
        <v>158.73015873015873</v>
      </c>
      <c r="EB71" s="154">
        <v>158.73015873015873</v>
      </c>
      <c r="EC71" s="154">
        <v>158.73015873015873</v>
      </c>
      <c r="ED71" s="154">
        <v>158.73015873015873</v>
      </c>
      <c r="EE71" s="154">
        <v>158.73015873015873</v>
      </c>
      <c r="EF71" s="154">
        <v>158.73015873015873</v>
      </c>
      <c r="EG71" s="154">
        <v>158.73015873015873</v>
      </c>
      <c r="EH71" s="154">
        <v>158.73015873015873</v>
      </c>
      <c r="EI71" s="154">
        <v>158.73015873015873</v>
      </c>
      <c r="EJ71" s="154">
        <v>158.73015873015873</v>
      </c>
      <c r="EK71" s="154">
        <v>138.88888888888889</v>
      </c>
      <c r="EL71" s="157">
        <f t="shared" si="222"/>
        <v>1884.9206349206354</v>
      </c>
      <c r="EM71" s="161"/>
      <c r="EN71" s="163">
        <v>317.46031746031747</v>
      </c>
      <c r="EO71" s="164">
        <v>317.46031746031747</v>
      </c>
      <c r="EP71" s="154">
        <v>317.46031746031747</v>
      </c>
      <c r="EQ71" s="154">
        <v>317.46031746031747</v>
      </c>
      <c r="ER71" s="154">
        <v>317.46031746031747</v>
      </c>
      <c r="ES71" s="154">
        <v>317.46031746031747</v>
      </c>
      <c r="ET71" s="154">
        <v>317.46031746031747</v>
      </c>
      <c r="EU71" s="154">
        <v>317.46031746031747</v>
      </c>
      <c r="EV71" s="154">
        <v>317.46031746031747</v>
      </c>
      <c r="EW71" s="154">
        <v>317.46031746031747</v>
      </c>
      <c r="EX71" s="154">
        <v>317.46031746031747</v>
      </c>
      <c r="EY71" s="154">
        <v>277.77777777777777</v>
      </c>
      <c r="EZ71" s="157">
        <f t="shared" si="223"/>
        <v>3769.8412698412708</v>
      </c>
      <c r="FA71" s="161"/>
      <c r="FB71" s="163">
        <v>158.73015873015873</v>
      </c>
      <c r="FC71" s="164">
        <v>158.73015873015873</v>
      </c>
      <c r="FD71" s="154">
        <v>158.73015873015873</v>
      </c>
      <c r="FE71" s="154">
        <v>158.73015873015873</v>
      </c>
      <c r="FF71" s="154">
        <v>158.73015873015873</v>
      </c>
      <c r="FG71" s="154">
        <v>158.73015873015873</v>
      </c>
      <c r="FH71" s="154">
        <v>158.73015873015873</v>
      </c>
      <c r="FI71" s="154">
        <v>158.73015873015873</v>
      </c>
      <c r="FJ71" s="154">
        <v>158.73015873015873</v>
      </c>
      <c r="FK71" s="154">
        <v>158.73015873015873</v>
      </c>
      <c r="FL71" s="154">
        <v>158.73015873015873</v>
      </c>
      <c r="FM71" s="154">
        <v>138.88888888888889</v>
      </c>
      <c r="FN71" s="157">
        <f t="shared" si="224"/>
        <v>1884.9206349206354</v>
      </c>
      <c r="FO71" s="161"/>
      <c r="FP71" s="163">
        <v>1111.1111111111111</v>
      </c>
      <c r="FQ71" s="164">
        <v>1111.1111111111111</v>
      </c>
      <c r="FR71" s="154">
        <v>1111.1111111111111</v>
      </c>
      <c r="FS71" s="154">
        <v>1111.1111111111111</v>
      </c>
      <c r="FT71" s="154">
        <v>1111.1111111111111</v>
      </c>
      <c r="FU71" s="154">
        <v>1111.1111111111111</v>
      </c>
      <c r="FV71" s="154">
        <v>1111.1111111111111</v>
      </c>
      <c r="FW71" s="154">
        <v>1111.1111111111111</v>
      </c>
      <c r="FX71" s="154">
        <v>1111.1111111111111</v>
      </c>
      <c r="FY71" s="154">
        <v>1111.1111111111111</v>
      </c>
      <c r="FZ71" s="154">
        <v>1111.1111111111111</v>
      </c>
      <c r="GA71" s="154">
        <v>972.22222222222217</v>
      </c>
      <c r="GB71" s="157">
        <f t="shared" si="225"/>
        <v>13194.444444444445</v>
      </c>
      <c r="GC71" s="161"/>
      <c r="GD71" s="163">
        <v>158.73015873015873</v>
      </c>
      <c r="GE71" s="164">
        <v>158.73015873015873</v>
      </c>
      <c r="GF71" s="154">
        <v>158.73015873015873</v>
      </c>
      <c r="GG71" s="154">
        <v>158.73015873015873</v>
      </c>
      <c r="GH71" s="154">
        <v>158.73015873015873</v>
      </c>
      <c r="GI71" s="154">
        <v>158.73015873015873</v>
      </c>
      <c r="GJ71" s="154">
        <v>158.73015873015873</v>
      </c>
      <c r="GK71" s="154">
        <v>158.73015873015873</v>
      </c>
      <c r="GL71" s="154">
        <v>158.73015873015873</v>
      </c>
      <c r="GM71" s="154">
        <v>158.73015873015873</v>
      </c>
      <c r="GN71" s="154">
        <v>158.73015873015873</v>
      </c>
      <c r="GO71" s="154">
        <v>138.88888888888889</v>
      </c>
      <c r="GP71" s="157">
        <f t="shared" si="226"/>
        <v>1884.9206349206354</v>
      </c>
      <c r="GQ71" s="161"/>
      <c r="GR71" s="163">
        <v>0</v>
      </c>
      <c r="GS71" s="164">
        <v>0</v>
      </c>
      <c r="GT71" s="154">
        <v>10000</v>
      </c>
      <c r="GU71" s="154">
        <v>10000</v>
      </c>
      <c r="GV71" s="154">
        <v>10000</v>
      </c>
      <c r="GW71" s="154">
        <v>10000</v>
      </c>
      <c r="GX71" s="154">
        <v>10000</v>
      </c>
      <c r="GY71" s="154">
        <v>10000</v>
      </c>
      <c r="GZ71" s="154">
        <v>10000</v>
      </c>
      <c r="HA71" s="154">
        <v>10000</v>
      </c>
      <c r="HB71" s="154">
        <v>10000</v>
      </c>
      <c r="HC71" s="154">
        <v>10000</v>
      </c>
      <c r="HD71" s="157">
        <f t="shared" si="238"/>
        <v>0</v>
      </c>
      <c r="HE71" s="161"/>
      <c r="HF71" s="163">
        <v>634.92063492063494</v>
      </c>
      <c r="HG71" s="164">
        <v>634.92063492063494</v>
      </c>
      <c r="HH71" s="154">
        <v>634.92063492063494</v>
      </c>
      <c r="HI71" s="154">
        <v>634.92063492063494</v>
      </c>
      <c r="HJ71" s="154">
        <v>634.92063492063494</v>
      </c>
      <c r="HK71" s="154">
        <v>634.92063492063494</v>
      </c>
      <c r="HL71" s="154">
        <v>634.92063492063494</v>
      </c>
      <c r="HM71" s="154">
        <v>634.92063492063494</v>
      </c>
      <c r="HN71" s="154">
        <v>634.92063492063494</v>
      </c>
      <c r="HO71" s="154">
        <v>634.92063492063494</v>
      </c>
      <c r="HP71" s="154">
        <v>634.92063492063494</v>
      </c>
      <c r="HQ71" s="154">
        <v>555.55555555555554</v>
      </c>
      <c r="HR71" s="157">
        <f t="shared" si="227"/>
        <v>7539.6825396825416</v>
      </c>
      <c r="HS71" s="161"/>
      <c r="HT71" s="163">
        <v>158.73015873015873</v>
      </c>
      <c r="HU71" s="164">
        <v>158.73015873015873</v>
      </c>
      <c r="HV71" s="154">
        <v>158.73015873015873</v>
      </c>
      <c r="HW71" s="154">
        <v>158.73015873015873</v>
      </c>
      <c r="HX71" s="154">
        <v>158.73015873015873</v>
      </c>
      <c r="HY71" s="154">
        <v>158.73015873015873</v>
      </c>
      <c r="HZ71" s="154">
        <v>158.73015873015873</v>
      </c>
      <c r="IA71" s="154">
        <v>158.73015873015873</v>
      </c>
      <c r="IB71" s="154">
        <v>158.73015873015873</v>
      </c>
      <c r="IC71" s="154">
        <v>158.73015873015873</v>
      </c>
      <c r="ID71" s="154">
        <v>158.73015873015873</v>
      </c>
      <c r="IE71" s="154">
        <v>138.88888888888889</v>
      </c>
      <c r="IF71" s="157">
        <f t="shared" si="228"/>
        <v>1884.9206349206354</v>
      </c>
      <c r="IG71" s="161"/>
      <c r="IH71" s="163">
        <v>158.73015873015873</v>
      </c>
      <c r="II71" s="164">
        <v>158.73015873015873</v>
      </c>
      <c r="IJ71" s="154">
        <v>158.73015873015873</v>
      </c>
      <c r="IK71" s="154">
        <v>158.73015873015873</v>
      </c>
      <c r="IL71" s="154">
        <v>158.73015873015873</v>
      </c>
      <c r="IM71" s="154">
        <v>158.73015873015873</v>
      </c>
      <c r="IN71" s="154">
        <v>158.73015873015873</v>
      </c>
      <c r="IO71" s="154">
        <v>158.73015873015873</v>
      </c>
      <c r="IP71" s="154">
        <v>158.73015873015873</v>
      </c>
      <c r="IQ71" s="154">
        <v>158.73015873015873</v>
      </c>
      <c r="IR71" s="154">
        <v>158.73015873015873</v>
      </c>
      <c r="IS71" s="154">
        <v>138.88888888888889</v>
      </c>
      <c r="IT71" s="157">
        <f t="shared" si="229"/>
        <v>1884.9206349206354</v>
      </c>
      <c r="IU71" s="161"/>
      <c r="IV71" s="163">
        <v>1111.1111111111111</v>
      </c>
      <c r="IW71" s="164">
        <v>1111.1111111111111</v>
      </c>
      <c r="IX71" s="154">
        <v>1111.1111111111111</v>
      </c>
      <c r="IY71" s="154">
        <v>1111.1111111111111</v>
      </c>
      <c r="IZ71" s="154">
        <v>1111.1111111111111</v>
      </c>
      <c r="JA71" s="154">
        <v>1111.1111111111111</v>
      </c>
      <c r="JB71" s="154">
        <v>1111.1111111111111</v>
      </c>
      <c r="JC71" s="154">
        <v>1111.1111111111111</v>
      </c>
      <c r="JD71" s="154">
        <v>1111.1111111111111</v>
      </c>
      <c r="JE71" s="154">
        <v>1111.1111111111111</v>
      </c>
      <c r="JF71" s="154">
        <v>1111.1111111111111</v>
      </c>
      <c r="JG71" s="154">
        <v>972.22222222222217</v>
      </c>
      <c r="JH71" s="157">
        <f t="shared" si="230"/>
        <v>13194.444444444445</v>
      </c>
      <c r="JI71" s="161"/>
      <c r="JJ71" s="163">
        <v>1746.031746031746</v>
      </c>
      <c r="JK71" s="164">
        <v>1746.031746031746</v>
      </c>
      <c r="JL71" s="154">
        <v>1746.031746031746</v>
      </c>
      <c r="JM71" s="154">
        <v>1746.031746031746</v>
      </c>
      <c r="JN71" s="154">
        <v>1746.031746031746</v>
      </c>
      <c r="JO71" s="154">
        <v>1746.031746031746</v>
      </c>
      <c r="JP71" s="154">
        <v>1746.031746031746</v>
      </c>
      <c r="JQ71" s="154">
        <v>1746.031746031746</v>
      </c>
      <c r="JR71" s="154">
        <v>1746.031746031746</v>
      </c>
      <c r="JS71" s="154">
        <v>1746.031746031746</v>
      </c>
      <c r="JT71" s="154">
        <v>1746.031746031746</v>
      </c>
      <c r="JU71" s="154">
        <v>1527.7777777777778</v>
      </c>
      <c r="JV71" s="157">
        <f t="shared" si="231"/>
        <v>20734.126984126982</v>
      </c>
      <c r="JW71" s="161"/>
      <c r="JX71" s="163">
        <v>793.65079365079373</v>
      </c>
      <c r="JY71" s="164">
        <v>793.65079365079373</v>
      </c>
      <c r="JZ71" s="154">
        <v>793.65079365079373</v>
      </c>
      <c r="KA71" s="154">
        <v>793.65079365079373</v>
      </c>
      <c r="KB71" s="154">
        <v>793.65079365079373</v>
      </c>
      <c r="KC71" s="154">
        <v>793.65079365079373</v>
      </c>
      <c r="KD71" s="154">
        <v>793.65079365079373</v>
      </c>
      <c r="KE71" s="154">
        <v>793.65079365079373</v>
      </c>
      <c r="KF71" s="154">
        <v>793.65079365079373</v>
      </c>
      <c r="KG71" s="154">
        <v>793.65079365079373</v>
      </c>
      <c r="KH71" s="154">
        <v>793.65079365079373</v>
      </c>
      <c r="KI71" s="154">
        <v>694.44444444444446</v>
      </c>
      <c r="KJ71" s="157">
        <f t="shared" si="232"/>
        <v>9424.6031746031749</v>
      </c>
      <c r="KK71" s="161"/>
      <c r="KL71" s="163">
        <v>317.46031746031747</v>
      </c>
      <c r="KM71" s="164">
        <v>317.46031746031747</v>
      </c>
      <c r="KN71" s="154">
        <v>317.46031746031747</v>
      </c>
      <c r="KO71" s="154">
        <v>317.46031746031747</v>
      </c>
      <c r="KP71" s="154">
        <v>317.46031746031747</v>
      </c>
      <c r="KQ71" s="154">
        <v>317.46031746031747</v>
      </c>
      <c r="KR71" s="154">
        <v>317.46031746031747</v>
      </c>
      <c r="KS71" s="154">
        <v>317.46031746031747</v>
      </c>
      <c r="KT71" s="154">
        <v>317.46031746031747</v>
      </c>
      <c r="KU71" s="154">
        <v>317.46031746031747</v>
      </c>
      <c r="KV71" s="154">
        <v>317.46031746031747</v>
      </c>
      <c r="KW71" s="154">
        <v>277.77777777777777</v>
      </c>
      <c r="KX71" s="157">
        <f t="shared" si="233"/>
        <v>3769.8412698412708</v>
      </c>
      <c r="KY71" s="161"/>
      <c r="KZ71" s="163">
        <v>158.73015873015873</v>
      </c>
      <c r="LA71" s="164">
        <v>158.73015873015873</v>
      </c>
      <c r="LB71" s="154">
        <v>158.73015873015873</v>
      </c>
      <c r="LC71" s="154">
        <v>158.73015873015873</v>
      </c>
      <c r="LD71" s="154">
        <v>158.73015873015873</v>
      </c>
      <c r="LE71" s="154">
        <v>158.73015873015873</v>
      </c>
      <c r="LF71" s="154">
        <v>158.73015873015873</v>
      </c>
      <c r="LG71" s="154">
        <v>158.73015873015873</v>
      </c>
      <c r="LH71" s="154">
        <v>158.73015873015873</v>
      </c>
      <c r="LI71" s="154">
        <v>158.73015873015873</v>
      </c>
      <c r="LJ71" s="154">
        <v>158.73015873015873</v>
      </c>
      <c r="LK71" s="154">
        <v>138.88888888888889</v>
      </c>
      <c r="LL71" s="157">
        <f t="shared" si="234"/>
        <v>1884.9206349206354</v>
      </c>
      <c r="LM71" s="161"/>
      <c r="LN71" s="163">
        <v>0</v>
      </c>
      <c r="LO71" s="164">
        <v>0</v>
      </c>
      <c r="LP71" s="154">
        <v>0</v>
      </c>
      <c r="LQ71" s="154">
        <v>0</v>
      </c>
      <c r="LR71" s="154">
        <v>0</v>
      </c>
      <c r="LS71" s="154">
        <v>0</v>
      </c>
      <c r="LT71" s="154">
        <v>0</v>
      </c>
      <c r="LU71" s="154">
        <v>0</v>
      </c>
      <c r="LV71" s="154">
        <v>0</v>
      </c>
      <c r="LW71" s="154">
        <v>0</v>
      </c>
      <c r="LX71" s="154">
        <v>0</v>
      </c>
      <c r="LY71" s="154">
        <v>0</v>
      </c>
      <c r="LZ71" s="157">
        <f t="shared" si="235"/>
        <v>0</v>
      </c>
      <c r="MA71" s="161"/>
      <c r="MB71" s="157">
        <f t="shared" si="236"/>
        <v>26031.746031746035</v>
      </c>
      <c r="MC71" s="157">
        <f t="shared" si="236"/>
        <v>26031.746031746035</v>
      </c>
      <c r="MD71" s="157">
        <f t="shared" si="236"/>
        <v>36031.746031746028</v>
      </c>
      <c r="ME71" s="157">
        <f t="shared" si="236"/>
        <v>36031.746031746028</v>
      </c>
      <c r="MF71" s="157">
        <f t="shared" si="236"/>
        <v>36031.746031746028</v>
      </c>
      <c r="MG71" s="157">
        <f t="shared" si="236"/>
        <v>36031.746031746028</v>
      </c>
      <c r="MH71" s="157">
        <f t="shared" si="236"/>
        <v>36031.746031746028</v>
      </c>
      <c r="MI71" s="157">
        <f t="shared" si="236"/>
        <v>36031.746031746028</v>
      </c>
      <c r="MJ71" s="157">
        <f t="shared" si="236"/>
        <v>36031.746031746028</v>
      </c>
      <c r="MK71" s="157">
        <f t="shared" si="236"/>
        <v>36031.746031746028</v>
      </c>
      <c r="ML71" s="157">
        <f t="shared" si="236"/>
        <v>36031.746031746028</v>
      </c>
      <c r="MM71" s="157">
        <f t="shared" si="236"/>
        <v>32777.777777777781</v>
      </c>
      <c r="MN71" s="157">
        <f t="shared" si="239"/>
        <v>409126.98412698414</v>
      </c>
    </row>
    <row r="72" spans="1:352" x14ac:dyDescent="0.25">
      <c r="A72" s="98"/>
      <c r="B72" s="64" t="s">
        <v>88</v>
      </c>
      <c r="C72" s="98"/>
      <c r="D72" s="163">
        <v>230.15873015873018</v>
      </c>
      <c r="E72" s="164">
        <v>230.15873015873018</v>
      </c>
      <c r="F72" s="164">
        <v>230.15873015873018</v>
      </c>
      <c r="G72" s="164">
        <v>230.15873015873018</v>
      </c>
      <c r="H72" s="164">
        <v>230.15873015873018</v>
      </c>
      <c r="I72" s="164">
        <v>230.15873015873018</v>
      </c>
      <c r="J72" s="164">
        <v>230.15873015873018</v>
      </c>
      <c r="K72" s="164">
        <v>230.15873015873018</v>
      </c>
      <c r="L72" s="164">
        <v>230.15873015873018</v>
      </c>
      <c r="M72" s="164">
        <v>230.15873015873018</v>
      </c>
      <c r="N72" s="164">
        <v>230.15873015873018</v>
      </c>
      <c r="O72" s="164">
        <v>230.15873015873018</v>
      </c>
      <c r="P72" s="157">
        <f t="shared" si="213"/>
        <v>2761.9047619047619</v>
      </c>
      <c r="Q72" s="161"/>
      <c r="R72" s="163">
        <v>23.80952380952381</v>
      </c>
      <c r="S72" s="164">
        <v>23.80952380952381</v>
      </c>
      <c r="T72" s="164">
        <v>23.80952380952381</v>
      </c>
      <c r="U72" s="164">
        <v>23.80952380952381</v>
      </c>
      <c r="V72" s="164">
        <v>23.80952380952381</v>
      </c>
      <c r="W72" s="164">
        <v>23.80952380952381</v>
      </c>
      <c r="X72" s="164">
        <v>23.80952380952381</v>
      </c>
      <c r="Y72" s="164">
        <v>23.80952380952381</v>
      </c>
      <c r="Z72" s="164">
        <v>23.80952380952381</v>
      </c>
      <c r="AA72" s="164">
        <v>23.80952380952381</v>
      </c>
      <c r="AB72" s="164">
        <v>23.80952380952381</v>
      </c>
      <c r="AC72" s="164">
        <v>23.80952380952381</v>
      </c>
      <c r="AD72" s="157">
        <f t="shared" si="214"/>
        <v>285.71428571428567</v>
      </c>
      <c r="AE72" s="161"/>
      <c r="AF72" s="163">
        <v>23.80952380952381</v>
      </c>
      <c r="AG72" s="164">
        <v>23.80952380952381</v>
      </c>
      <c r="AH72" s="164">
        <v>23.80952380952381</v>
      </c>
      <c r="AI72" s="164">
        <v>23.80952380952381</v>
      </c>
      <c r="AJ72" s="164">
        <v>23.80952380952381</v>
      </c>
      <c r="AK72" s="164">
        <v>23.80952380952381</v>
      </c>
      <c r="AL72" s="164">
        <v>23.80952380952381</v>
      </c>
      <c r="AM72" s="164">
        <v>23.80952380952381</v>
      </c>
      <c r="AN72" s="164">
        <v>23.80952380952381</v>
      </c>
      <c r="AO72" s="164">
        <v>23.80952380952381</v>
      </c>
      <c r="AP72" s="164">
        <v>23.80952380952381</v>
      </c>
      <c r="AQ72" s="164">
        <v>23.80952380952381</v>
      </c>
      <c r="AR72" s="157">
        <f t="shared" si="215"/>
        <v>285.71428571428567</v>
      </c>
      <c r="AT72" s="163">
        <v>15.873015873015873</v>
      </c>
      <c r="AU72" s="164">
        <v>15.873015873015873</v>
      </c>
      <c r="AV72" s="164">
        <v>15.873015873015873</v>
      </c>
      <c r="AW72" s="164">
        <v>15.873015873015873</v>
      </c>
      <c r="AX72" s="164">
        <v>15.873015873015873</v>
      </c>
      <c r="AY72" s="164">
        <v>15.873015873015873</v>
      </c>
      <c r="AZ72" s="164">
        <v>15.873015873015873</v>
      </c>
      <c r="BA72" s="164">
        <v>15.873015873015873</v>
      </c>
      <c r="BB72" s="164">
        <v>15.873015873015873</v>
      </c>
      <c r="BC72" s="164">
        <v>15.873015873015873</v>
      </c>
      <c r="BD72" s="164">
        <v>15.873015873015873</v>
      </c>
      <c r="BE72" s="164">
        <v>15.873015873015873</v>
      </c>
      <c r="BF72" s="157">
        <f t="shared" si="216"/>
        <v>190.47619047619048</v>
      </c>
      <c r="BH72" s="163">
        <v>119.04761904761905</v>
      </c>
      <c r="BI72" s="164">
        <v>119.04761904761905</v>
      </c>
      <c r="BJ72" s="154">
        <v>119.04761904761905</v>
      </c>
      <c r="BK72" s="154">
        <v>119.04761904761905</v>
      </c>
      <c r="BL72" s="154">
        <v>119.04761904761905</v>
      </c>
      <c r="BM72" s="154">
        <v>119.04761904761905</v>
      </c>
      <c r="BN72" s="154">
        <v>119.04761904761905</v>
      </c>
      <c r="BO72" s="154">
        <v>119.04761904761905</v>
      </c>
      <c r="BP72" s="154">
        <v>119.04761904761905</v>
      </c>
      <c r="BQ72" s="154">
        <v>119.04761904761905</v>
      </c>
      <c r="BR72" s="154">
        <v>119.04761904761905</v>
      </c>
      <c r="BS72" s="154">
        <v>119.04761904761905</v>
      </c>
      <c r="BT72" s="157">
        <f t="shared" si="217"/>
        <v>1428.5714285714287</v>
      </c>
      <c r="BV72" s="163">
        <v>7.9365079365079367</v>
      </c>
      <c r="BW72" s="164">
        <v>7.9365079365079367</v>
      </c>
      <c r="BX72" s="154">
        <v>7.9365079365079367</v>
      </c>
      <c r="BY72" s="154">
        <v>7.9365079365079367</v>
      </c>
      <c r="BZ72" s="154">
        <v>7.9365079365079367</v>
      </c>
      <c r="CA72" s="154">
        <v>7.9365079365079367</v>
      </c>
      <c r="CB72" s="154">
        <v>7.9365079365079367</v>
      </c>
      <c r="CC72" s="154">
        <v>7.9365079365079367</v>
      </c>
      <c r="CD72" s="154">
        <v>7.9365079365079367</v>
      </c>
      <c r="CE72" s="154">
        <v>7.9365079365079367</v>
      </c>
      <c r="CF72" s="154">
        <v>7.9365079365079367</v>
      </c>
      <c r="CG72" s="154">
        <v>7.9365079365079367</v>
      </c>
      <c r="CH72" s="157">
        <f t="shared" si="218"/>
        <v>95.238095238095241</v>
      </c>
      <c r="CI72" s="161"/>
      <c r="CJ72" s="163">
        <v>87.301587301587304</v>
      </c>
      <c r="CK72" s="164">
        <v>87.301587301587304</v>
      </c>
      <c r="CL72" s="154">
        <v>87.301587301587304</v>
      </c>
      <c r="CM72" s="154">
        <v>87.301587301587304</v>
      </c>
      <c r="CN72" s="154">
        <v>87.301587301587304</v>
      </c>
      <c r="CO72" s="154">
        <v>87.301587301587304</v>
      </c>
      <c r="CP72" s="154">
        <v>87.301587301587304</v>
      </c>
      <c r="CQ72" s="154">
        <v>87.301587301587304</v>
      </c>
      <c r="CR72" s="154">
        <v>87.301587301587304</v>
      </c>
      <c r="CS72" s="154">
        <v>87.301587301587304</v>
      </c>
      <c r="CT72" s="154">
        <v>87.301587301587304</v>
      </c>
      <c r="CU72" s="154">
        <v>87.301587301587304</v>
      </c>
      <c r="CV72" s="157">
        <f t="shared" si="219"/>
        <v>1047.6190476190479</v>
      </c>
      <c r="CW72" s="161"/>
      <c r="CX72" s="163">
        <v>222.22222222222223</v>
      </c>
      <c r="CY72" s="164">
        <v>222.22222222222223</v>
      </c>
      <c r="CZ72" s="154">
        <v>222.22222222222223</v>
      </c>
      <c r="DA72" s="154">
        <v>222.22222222222223</v>
      </c>
      <c r="DB72" s="154">
        <v>222.22222222222223</v>
      </c>
      <c r="DC72" s="154">
        <v>222.22222222222223</v>
      </c>
      <c r="DD72" s="154">
        <v>222.22222222222223</v>
      </c>
      <c r="DE72" s="154">
        <v>222.22222222222223</v>
      </c>
      <c r="DF72" s="154">
        <v>222.22222222222223</v>
      </c>
      <c r="DG72" s="154">
        <v>222.22222222222223</v>
      </c>
      <c r="DH72" s="154">
        <v>222.22222222222223</v>
      </c>
      <c r="DI72" s="154">
        <v>222.22222222222223</v>
      </c>
      <c r="DJ72" s="157">
        <f t="shared" si="220"/>
        <v>2666.6666666666665</v>
      </c>
      <c r="DK72" s="161"/>
      <c r="DL72" s="163">
        <v>222.22222222222223</v>
      </c>
      <c r="DM72" s="164">
        <v>222.22222222222223</v>
      </c>
      <c r="DN72" s="154">
        <v>222.22222222222223</v>
      </c>
      <c r="DO72" s="154">
        <v>222.22222222222223</v>
      </c>
      <c r="DP72" s="154">
        <v>222.22222222222223</v>
      </c>
      <c r="DQ72" s="154">
        <v>222.22222222222223</v>
      </c>
      <c r="DR72" s="154">
        <v>222.22222222222223</v>
      </c>
      <c r="DS72" s="154">
        <v>222.22222222222223</v>
      </c>
      <c r="DT72" s="154">
        <v>222.22222222222223</v>
      </c>
      <c r="DU72" s="154">
        <v>222.22222222222223</v>
      </c>
      <c r="DV72" s="154">
        <v>222.22222222222223</v>
      </c>
      <c r="DW72" s="154">
        <v>222.22222222222223</v>
      </c>
      <c r="DX72" s="157">
        <f t="shared" si="221"/>
        <v>2666.6666666666665</v>
      </c>
      <c r="DY72" s="161"/>
      <c r="DZ72" s="163">
        <v>7.9365079365079367</v>
      </c>
      <c r="EA72" s="164">
        <v>7.9365079365079367</v>
      </c>
      <c r="EB72" s="154">
        <v>7.9365079365079367</v>
      </c>
      <c r="EC72" s="154">
        <v>7.9365079365079367</v>
      </c>
      <c r="ED72" s="154">
        <v>7.9365079365079367</v>
      </c>
      <c r="EE72" s="154">
        <v>7.9365079365079367</v>
      </c>
      <c r="EF72" s="154">
        <v>7.9365079365079367</v>
      </c>
      <c r="EG72" s="154">
        <v>7.9365079365079367</v>
      </c>
      <c r="EH72" s="154">
        <v>7.9365079365079367</v>
      </c>
      <c r="EI72" s="154">
        <v>7.9365079365079367</v>
      </c>
      <c r="EJ72" s="154">
        <v>7.9365079365079367</v>
      </c>
      <c r="EK72" s="154">
        <v>7.9365079365079367</v>
      </c>
      <c r="EL72" s="157">
        <f t="shared" si="222"/>
        <v>95.238095238095241</v>
      </c>
      <c r="EM72" s="161"/>
      <c r="EN72" s="163">
        <v>15.873015873015873</v>
      </c>
      <c r="EO72" s="164">
        <v>15.873015873015873</v>
      </c>
      <c r="EP72" s="154">
        <v>15.873015873015873</v>
      </c>
      <c r="EQ72" s="154">
        <v>15.873015873015873</v>
      </c>
      <c r="ER72" s="154">
        <v>15.873015873015873</v>
      </c>
      <c r="ES72" s="154">
        <v>15.873015873015873</v>
      </c>
      <c r="ET72" s="154">
        <v>15.873015873015873</v>
      </c>
      <c r="EU72" s="154">
        <v>15.873015873015873</v>
      </c>
      <c r="EV72" s="154">
        <v>15.873015873015873</v>
      </c>
      <c r="EW72" s="154">
        <v>15.873015873015873</v>
      </c>
      <c r="EX72" s="154">
        <v>15.873015873015873</v>
      </c>
      <c r="EY72" s="154">
        <v>15.873015873015873</v>
      </c>
      <c r="EZ72" s="157">
        <f t="shared" si="223"/>
        <v>190.47619047619048</v>
      </c>
      <c r="FA72" s="161"/>
      <c r="FB72" s="163">
        <v>7.9365079365079367</v>
      </c>
      <c r="FC72" s="164">
        <v>7.9365079365079367</v>
      </c>
      <c r="FD72" s="154">
        <v>7.9365079365079367</v>
      </c>
      <c r="FE72" s="154">
        <v>7.9365079365079367</v>
      </c>
      <c r="FF72" s="154">
        <v>7.9365079365079367</v>
      </c>
      <c r="FG72" s="154">
        <v>7.9365079365079367</v>
      </c>
      <c r="FH72" s="154">
        <v>7.9365079365079367</v>
      </c>
      <c r="FI72" s="154">
        <v>7.9365079365079367</v>
      </c>
      <c r="FJ72" s="154">
        <v>7.9365079365079367</v>
      </c>
      <c r="FK72" s="154">
        <v>7.9365079365079367</v>
      </c>
      <c r="FL72" s="154">
        <v>7.9365079365079367</v>
      </c>
      <c r="FM72" s="154">
        <v>7.9365079365079367</v>
      </c>
      <c r="FN72" s="157">
        <f t="shared" si="224"/>
        <v>95.238095238095241</v>
      </c>
      <c r="FO72" s="161"/>
      <c r="FP72" s="163">
        <v>55.555555555555557</v>
      </c>
      <c r="FQ72" s="164">
        <v>55.555555555555557</v>
      </c>
      <c r="FR72" s="154">
        <v>55.555555555555557</v>
      </c>
      <c r="FS72" s="154">
        <v>55.555555555555557</v>
      </c>
      <c r="FT72" s="154">
        <v>55.555555555555557</v>
      </c>
      <c r="FU72" s="154">
        <v>55.555555555555557</v>
      </c>
      <c r="FV72" s="154">
        <v>55.555555555555557</v>
      </c>
      <c r="FW72" s="154">
        <v>55.555555555555557</v>
      </c>
      <c r="FX72" s="154">
        <v>55.555555555555557</v>
      </c>
      <c r="FY72" s="154">
        <v>55.555555555555557</v>
      </c>
      <c r="FZ72" s="154">
        <v>55.555555555555557</v>
      </c>
      <c r="GA72" s="154">
        <v>55.555555555555557</v>
      </c>
      <c r="GB72" s="157">
        <f t="shared" si="225"/>
        <v>666.66666666666663</v>
      </c>
      <c r="GC72" s="161"/>
      <c r="GD72" s="163">
        <v>7.9365079365079367</v>
      </c>
      <c r="GE72" s="164">
        <v>7.9365079365079367</v>
      </c>
      <c r="GF72" s="154">
        <v>7.9365079365079367</v>
      </c>
      <c r="GG72" s="154">
        <v>7.9365079365079367</v>
      </c>
      <c r="GH72" s="154">
        <v>7.9365079365079367</v>
      </c>
      <c r="GI72" s="154">
        <v>7.9365079365079367</v>
      </c>
      <c r="GJ72" s="154">
        <v>7.9365079365079367</v>
      </c>
      <c r="GK72" s="154">
        <v>7.9365079365079367</v>
      </c>
      <c r="GL72" s="154">
        <v>7.9365079365079367</v>
      </c>
      <c r="GM72" s="154">
        <v>7.9365079365079367</v>
      </c>
      <c r="GN72" s="154">
        <v>7.9365079365079367</v>
      </c>
      <c r="GO72" s="154">
        <v>7.9365079365079367</v>
      </c>
      <c r="GP72" s="157">
        <f t="shared" si="226"/>
        <v>95.238095238095241</v>
      </c>
      <c r="GQ72" s="161"/>
      <c r="GR72" s="163">
        <v>0</v>
      </c>
      <c r="GS72" s="164">
        <v>0</v>
      </c>
      <c r="GT72" s="154">
        <v>2000</v>
      </c>
      <c r="GU72" s="154">
        <v>2000</v>
      </c>
      <c r="GV72" s="154">
        <v>2000</v>
      </c>
      <c r="GW72" s="154">
        <v>2000</v>
      </c>
      <c r="GX72" s="154">
        <v>2000</v>
      </c>
      <c r="GY72" s="154">
        <v>2000</v>
      </c>
      <c r="GZ72" s="154">
        <v>2000</v>
      </c>
      <c r="HA72" s="154">
        <v>2000</v>
      </c>
      <c r="HB72" s="154">
        <v>2000</v>
      </c>
      <c r="HC72" s="154">
        <v>2000</v>
      </c>
      <c r="HD72" s="157">
        <f t="shared" si="238"/>
        <v>0</v>
      </c>
      <c r="HE72" s="161"/>
      <c r="HF72" s="163">
        <v>31.746031746031747</v>
      </c>
      <c r="HG72" s="164">
        <v>31.746031746031747</v>
      </c>
      <c r="HH72" s="154">
        <v>31.746031746031747</v>
      </c>
      <c r="HI72" s="154">
        <v>31.746031746031747</v>
      </c>
      <c r="HJ72" s="154">
        <v>31.746031746031747</v>
      </c>
      <c r="HK72" s="154">
        <v>31.746031746031747</v>
      </c>
      <c r="HL72" s="154">
        <v>31.746031746031747</v>
      </c>
      <c r="HM72" s="154">
        <v>31.746031746031747</v>
      </c>
      <c r="HN72" s="154">
        <v>31.746031746031747</v>
      </c>
      <c r="HO72" s="154">
        <v>31.746031746031747</v>
      </c>
      <c r="HP72" s="154">
        <v>31.746031746031747</v>
      </c>
      <c r="HQ72" s="154">
        <v>31.746031746031747</v>
      </c>
      <c r="HR72" s="157">
        <f t="shared" si="227"/>
        <v>380.95238095238096</v>
      </c>
      <c r="HS72" s="161"/>
      <c r="HT72" s="163">
        <v>7.9365079365079367</v>
      </c>
      <c r="HU72" s="164">
        <v>7.9365079365079367</v>
      </c>
      <c r="HV72" s="154">
        <v>7.9365079365079367</v>
      </c>
      <c r="HW72" s="154">
        <v>7.9365079365079367</v>
      </c>
      <c r="HX72" s="154">
        <v>7.9365079365079367</v>
      </c>
      <c r="HY72" s="154">
        <v>7.9365079365079367</v>
      </c>
      <c r="HZ72" s="154">
        <v>7.9365079365079367</v>
      </c>
      <c r="IA72" s="154">
        <v>7.9365079365079367</v>
      </c>
      <c r="IB72" s="154">
        <v>7.9365079365079367</v>
      </c>
      <c r="IC72" s="154">
        <v>7.9365079365079367</v>
      </c>
      <c r="ID72" s="154">
        <v>7.9365079365079367</v>
      </c>
      <c r="IE72" s="154">
        <v>7.9365079365079367</v>
      </c>
      <c r="IF72" s="157">
        <f t="shared" si="228"/>
        <v>95.238095238095241</v>
      </c>
      <c r="IG72" s="161"/>
      <c r="IH72" s="163">
        <v>7.9365079365079367</v>
      </c>
      <c r="II72" s="164">
        <v>7.9365079365079367</v>
      </c>
      <c r="IJ72" s="154">
        <v>7.9365079365079367</v>
      </c>
      <c r="IK72" s="154">
        <v>7.9365079365079367</v>
      </c>
      <c r="IL72" s="154">
        <v>7.9365079365079367</v>
      </c>
      <c r="IM72" s="154">
        <v>7.9365079365079367</v>
      </c>
      <c r="IN72" s="154">
        <v>7.9365079365079367</v>
      </c>
      <c r="IO72" s="154">
        <v>7.9365079365079367</v>
      </c>
      <c r="IP72" s="154">
        <v>7.9365079365079367</v>
      </c>
      <c r="IQ72" s="154">
        <v>7.9365079365079367</v>
      </c>
      <c r="IR72" s="154">
        <v>7.9365079365079367</v>
      </c>
      <c r="IS72" s="154">
        <v>7.9365079365079367</v>
      </c>
      <c r="IT72" s="157">
        <f t="shared" si="229"/>
        <v>95.238095238095241</v>
      </c>
      <c r="IU72" s="161"/>
      <c r="IV72" s="163">
        <v>55.555555555555557</v>
      </c>
      <c r="IW72" s="164">
        <v>55.555555555555557</v>
      </c>
      <c r="IX72" s="154">
        <v>55.555555555555557</v>
      </c>
      <c r="IY72" s="154">
        <v>55.555555555555557</v>
      </c>
      <c r="IZ72" s="154">
        <v>55.555555555555557</v>
      </c>
      <c r="JA72" s="154">
        <v>55.555555555555557</v>
      </c>
      <c r="JB72" s="154">
        <v>55.555555555555557</v>
      </c>
      <c r="JC72" s="154">
        <v>55.555555555555557</v>
      </c>
      <c r="JD72" s="154">
        <v>55.555555555555557</v>
      </c>
      <c r="JE72" s="154">
        <v>55.555555555555557</v>
      </c>
      <c r="JF72" s="154">
        <v>55.555555555555557</v>
      </c>
      <c r="JG72" s="154">
        <v>55.555555555555557</v>
      </c>
      <c r="JH72" s="157">
        <f t="shared" si="230"/>
        <v>666.66666666666663</v>
      </c>
      <c r="JI72" s="161"/>
      <c r="JJ72" s="163">
        <v>87.301587301587304</v>
      </c>
      <c r="JK72" s="164">
        <v>87.301587301587304</v>
      </c>
      <c r="JL72" s="154">
        <v>87.301587301587304</v>
      </c>
      <c r="JM72" s="154">
        <v>87.301587301587304</v>
      </c>
      <c r="JN72" s="154">
        <v>87.301587301587304</v>
      </c>
      <c r="JO72" s="154">
        <v>87.301587301587304</v>
      </c>
      <c r="JP72" s="154">
        <v>87.301587301587304</v>
      </c>
      <c r="JQ72" s="154">
        <v>87.301587301587304</v>
      </c>
      <c r="JR72" s="154">
        <v>87.301587301587304</v>
      </c>
      <c r="JS72" s="154">
        <v>87.301587301587304</v>
      </c>
      <c r="JT72" s="154">
        <v>87.301587301587304</v>
      </c>
      <c r="JU72" s="154">
        <v>87.301587301587304</v>
      </c>
      <c r="JV72" s="157">
        <f t="shared" si="231"/>
        <v>1047.6190476190479</v>
      </c>
      <c r="JW72" s="161"/>
      <c r="JX72" s="163">
        <v>39.682539682539684</v>
      </c>
      <c r="JY72" s="164">
        <v>39.682539682539684</v>
      </c>
      <c r="JZ72" s="154">
        <v>39.682539682539684</v>
      </c>
      <c r="KA72" s="154">
        <v>39.682539682539684</v>
      </c>
      <c r="KB72" s="154">
        <v>39.682539682539684</v>
      </c>
      <c r="KC72" s="154">
        <v>39.682539682539684</v>
      </c>
      <c r="KD72" s="154">
        <v>39.682539682539684</v>
      </c>
      <c r="KE72" s="154">
        <v>39.682539682539684</v>
      </c>
      <c r="KF72" s="154">
        <v>39.682539682539684</v>
      </c>
      <c r="KG72" s="154">
        <v>39.682539682539684</v>
      </c>
      <c r="KH72" s="154">
        <v>39.682539682539684</v>
      </c>
      <c r="KI72" s="154">
        <v>39.682539682539684</v>
      </c>
      <c r="KJ72" s="157">
        <f t="shared" si="232"/>
        <v>476.19047619047632</v>
      </c>
      <c r="KK72" s="161"/>
      <c r="KL72" s="163">
        <v>15.873015873015873</v>
      </c>
      <c r="KM72" s="164">
        <v>15.873015873015873</v>
      </c>
      <c r="KN72" s="154">
        <v>15.873015873015873</v>
      </c>
      <c r="KO72" s="154">
        <v>15.873015873015873</v>
      </c>
      <c r="KP72" s="154">
        <v>15.873015873015873</v>
      </c>
      <c r="KQ72" s="154">
        <v>15.873015873015873</v>
      </c>
      <c r="KR72" s="154">
        <v>15.873015873015873</v>
      </c>
      <c r="KS72" s="154">
        <v>15.873015873015873</v>
      </c>
      <c r="KT72" s="154">
        <v>15.873015873015873</v>
      </c>
      <c r="KU72" s="154">
        <v>15.873015873015873</v>
      </c>
      <c r="KV72" s="154">
        <v>15.873015873015873</v>
      </c>
      <c r="KW72" s="154">
        <v>15.873015873015873</v>
      </c>
      <c r="KX72" s="157">
        <f t="shared" si="233"/>
        <v>190.47619047619048</v>
      </c>
      <c r="KY72" s="161"/>
      <c r="KZ72" s="163">
        <v>7.9365079365079367</v>
      </c>
      <c r="LA72" s="164">
        <v>7.9365079365079367</v>
      </c>
      <c r="LB72" s="154">
        <v>7.9365079365079367</v>
      </c>
      <c r="LC72" s="154">
        <v>7.9365079365079367</v>
      </c>
      <c r="LD72" s="154">
        <v>7.9365079365079367</v>
      </c>
      <c r="LE72" s="154">
        <v>7.9365079365079367</v>
      </c>
      <c r="LF72" s="154">
        <v>7.9365079365079367</v>
      </c>
      <c r="LG72" s="154">
        <v>7.9365079365079367</v>
      </c>
      <c r="LH72" s="154">
        <v>7.9365079365079367</v>
      </c>
      <c r="LI72" s="154">
        <v>7.9365079365079367</v>
      </c>
      <c r="LJ72" s="154">
        <v>7.9365079365079367</v>
      </c>
      <c r="LK72" s="154">
        <v>7.9365079365079367</v>
      </c>
      <c r="LL72" s="157">
        <f t="shared" si="234"/>
        <v>95.238095238095241</v>
      </c>
      <c r="LM72" s="161"/>
      <c r="LN72" s="163">
        <v>0</v>
      </c>
      <c r="LO72" s="164">
        <v>0</v>
      </c>
      <c r="LP72" s="154">
        <v>0</v>
      </c>
      <c r="LQ72" s="154">
        <v>0</v>
      </c>
      <c r="LR72" s="154">
        <v>0</v>
      </c>
      <c r="LS72" s="154">
        <v>0</v>
      </c>
      <c r="LT72" s="154">
        <v>0</v>
      </c>
      <c r="LU72" s="154">
        <v>0</v>
      </c>
      <c r="LV72" s="154">
        <v>0</v>
      </c>
      <c r="LW72" s="154">
        <v>0</v>
      </c>
      <c r="LX72" s="154">
        <v>0</v>
      </c>
      <c r="LY72" s="154">
        <v>0</v>
      </c>
      <c r="LZ72" s="157">
        <f t="shared" si="235"/>
        <v>0</v>
      </c>
      <c r="MA72" s="161"/>
      <c r="MB72" s="157">
        <f t="shared" si="236"/>
        <v>1301.5873015873019</v>
      </c>
      <c r="MC72" s="157">
        <f t="shared" si="236"/>
        <v>1301.5873015873019</v>
      </c>
      <c r="MD72" s="157">
        <f t="shared" si="236"/>
        <v>3301.5873015873021</v>
      </c>
      <c r="ME72" s="157">
        <f t="shared" si="236"/>
        <v>3301.5873015873021</v>
      </c>
      <c r="MF72" s="157">
        <f t="shared" si="236"/>
        <v>3301.5873015873021</v>
      </c>
      <c r="MG72" s="157">
        <f t="shared" si="236"/>
        <v>3301.5873015873021</v>
      </c>
      <c r="MH72" s="157">
        <f t="shared" si="236"/>
        <v>3301.5873015873021</v>
      </c>
      <c r="MI72" s="157">
        <f t="shared" si="236"/>
        <v>3301.5873015873021</v>
      </c>
      <c r="MJ72" s="157">
        <f t="shared" si="236"/>
        <v>3301.5873015873021</v>
      </c>
      <c r="MK72" s="157">
        <f t="shared" si="236"/>
        <v>3301.5873015873021</v>
      </c>
      <c r="ML72" s="157">
        <f t="shared" si="236"/>
        <v>3301.5873015873021</v>
      </c>
      <c r="MM72" s="157">
        <f t="shared" si="236"/>
        <v>3301.5873015873021</v>
      </c>
      <c r="MN72" s="157">
        <f t="shared" si="239"/>
        <v>35619.047619047618</v>
      </c>
    </row>
    <row r="73" spans="1:352" x14ac:dyDescent="0.25">
      <c r="A73" s="98"/>
      <c r="B73" s="64" t="s">
        <v>89</v>
      </c>
      <c r="C73" s="98"/>
      <c r="D73" s="163">
        <v>16454.557942328043</v>
      </c>
      <c r="E73" s="177">
        <v>16454.557942328043</v>
      </c>
      <c r="F73" s="177">
        <v>16454.557942328043</v>
      </c>
      <c r="G73" s="177">
        <v>17277.285034656088</v>
      </c>
      <c r="H73" s="177">
        <v>17277.285034656088</v>
      </c>
      <c r="I73" s="177">
        <v>17277.285034656088</v>
      </c>
      <c r="J73" s="177">
        <v>17277.285034656088</v>
      </c>
      <c r="K73" s="177">
        <v>17277.285034656088</v>
      </c>
      <c r="L73" s="177">
        <v>17277.285034656088</v>
      </c>
      <c r="M73" s="177">
        <v>17277.285034656088</v>
      </c>
      <c r="N73" s="177">
        <v>17277.285034656088</v>
      </c>
      <c r="O73" s="177">
        <v>17277.285034656088</v>
      </c>
      <c r="P73" s="157">
        <f t="shared" si="213"/>
        <v>204859.23913888892</v>
      </c>
      <c r="Q73" s="161"/>
      <c r="R73" s="163">
        <v>1702.1956492063496</v>
      </c>
      <c r="S73" s="177">
        <v>1702.1956492063496</v>
      </c>
      <c r="T73" s="177">
        <v>1702.1956492063496</v>
      </c>
      <c r="U73" s="177">
        <v>1787.3053484126985</v>
      </c>
      <c r="V73" s="177">
        <v>1787.3053484126985</v>
      </c>
      <c r="W73" s="177">
        <v>1787.3053484126985</v>
      </c>
      <c r="X73" s="177">
        <v>1787.3053484126985</v>
      </c>
      <c r="Y73" s="177">
        <v>1787.3053484126985</v>
      </c>
      <c r="Z73" s="177">
        <v>1787.3053484126985</v>
      </c>
      <c r="AA73" s="177">
        <v>1787.3053484126985</v>
      </c>
      <c r="AB73" s="177">
        <v>1787.3053484126985</v>
      </c>
      <c r="AC73" s="177">
        <v>1787.3053484126985</v>
      </c>
      <c r="AD73" s="157">
        <f t="shared" si="214"/>
        <v>21192.335083333332</v>
      </c>
      <c r="AE73" s="161"/>
      <c r="AF73" s="163">
        <v>1702.1956492063496</v>
      </c>
      <c r="AG73" s="177">
        <v>1702.1956492063496</v>
      </c>
      <c r="AH73" s="177">
        <v>1702.1956492063496</v>
      </c>
      <c r="AI73" s="177">
        <v>1787.3053484126985</v>
      </c>
      <c r="AJ73" s="177">
        <v>1787.3053484126985</v>
      </c>
      <c r="AK73" s="177">
        <v>1787.3053484126985</v>
      </c>
      <c r="AL73" s="177">
        <v>1787.3053484126985</v>
      </c>
      <c r="AM73" s="177">
        <v>1787.3053484126985</v>
      </c>
      <c r="AN73" s="177">
        <v>1787.3053484126985</v>
      </c>
      <c r="AO73" s="177">
        <v>1787.3053484126985</v>
      </c>
      <c r="AP73" s="177">
        <v>1787.3053484126985</v>
      </c>
      <c r="AQ73" s="177">
        <v>1787.3053484126985</v>
      </c>
      <c r="AR73" s="157">
        <f t="shared" si="215"/>
        <v>21192.335083333332</v>
      </c>
      <c r="AT73" s="163">
        <v>1134.7970994708996</v>
      </c>
      <c r="AU73" s="177">
        <v>1134.7970994708996</v>
      </c>
      <c r="AV73" s="177">
        <v>1134.7970994708996</v>
      </c>
      <c r="AW73" s="177">
        <v>1191.5368989417991</v>
      </c>
      <c r="AX73" s="177">
        <v>1191.5368989417991</v>
      </c>
      <c r="AY73" s="177">
        <v>1191.5368989417991</v>
      </c>
      <c r="AZ73" s="177">
        <v>1191.5368989417991</v>
      </c>
      <c r="BA73" s="177">
        <v>1191.5368989417991</v>
      </c>
      <c r="BB73" s="177">
        <v>1191.5368989417991</v>
      </c>
      <c r="BC73" s="177">
        <v>1191.5368989417991</v>
      </c>
      <c r="BD73" s="177">
        <v>1191.5368989417991</v>
      </c>
      <c r="BE73" s="177">
        <v>1191.5368989417991</v>
      </c>
      <c r="BF73" s="157">
        <f t="shared" si="216"/>
        <v>14128.22338888889</v>
      </c>
      <c r="BH73" s="163">
        <v>8510.9782460317474</v>
      </c>
      <c r="BI73" s="164">
        <v>8510.9782460317474</v>
      </c>
      <c r="BJ73" s="154">
        <v>8510.9782460317474</v>
      </c>
      <c r="BK73" s="154">
        <v>8936.5267420634937</v>
      </c>
      <c r="BL73" s="154">
        <v>8936.5267420634937</v>
      </c>
      <c r="BM73" s="154">
        <v>8936.5267420634937</v>
      </c>
      <c r="BN73" s="154">
        <v>8936.5267420634937</v>
      </c>
      <c r="BO73" s="154">
        <v>8936.5267420634937</v>
      </c>
      <c r="BP73" s="154">
        <v>8936.5267420634937</v>
      </c>
      <c r="BQ73" s="154">
        <v>8936.5267420634937</v>
      </c>
      <c r="BR73" s="154">
        <v>8936.5267420634937</v>
      </c>
      <c r="BS73" s="154">
        <v>8936.5267420634937</v>
      </c>
      <c r="BT73" s="157">
        <f t="shared" si="217"/>
        <v>105961.67541666668</v>
      </c>
      <c r="BV73" s="163">
        <v>567.39854973544982</v>
      </c>
      <c r="BW73" s="164">
        <v>567.39854973544982</v>
      </c>
      <c r="BX73" s="154">
        <v>567.39854973544982</v>
      </c>
      <c r="BY73" s="154">
        <v>595.76844947089955</v>
      </c>
      <c r="BZ73" s="154">
        <v>595.76844947089955</v>
      </c>
      <c r="CA73" s="154">
        <v>595.76844947089955</v>
      </c>
      <c r="CB73" s="154">
        <v>595.76844947089955</v>
      </c>
      <c r="CC73" s="154">
        <v>595.76844947089955</v>
      </c>
      <c r="CD73" s="154">
        <v>595.76844947089955</v>
      </c>
      <c r="CE73" s="154">
        <v>595.76844947089955</v>
      </c>
      <c r="CF73" s="154">
        <v>595.76844947089955</v>
      </c>
      <c r="CG73" s="154">
        <v>595.76844947089955</v>
      </c>
      <c r="CH73" s="157">
        <f t="shared" si="218"/>
        <v>7064.1116944444448</v>
      </c>
      <c r="CI73" s="161"/>
      <c r="CJ73" s="163">
        <v>6241.3840470899477</v>
      </c>
      <c r="CK73" s="164">
        <v>6241.3840470899477</v>
      </c>
      <c r="CL73" s="154">
        <v>6241.3840470899477</v>
      </c>
      <c r="CM73" s="154">
        <v>6553.452944179895</v>
      </c>
      <c r="CN73" s="154">
        <v>6553.452944179895</v>
      </c>
      <c r="CO73" s="154">
        <v>6553.452944179895</v>
      </c>
      <c r="CP73" s="154">
        <v>6553.452944179895</v>
      </c>
      <c r="CQ73" s="154">
        <v>6553.452944179895</v>
      </c>
      <c r="CR73" s="154">
        <v>6553.452944179895</v>
      </c>
      <c r="CS73" s="154">
        <v>6553.452944179895</v>
      </c>
      <c r="CT73" s="154">
        <v>6553.452944179895</v>
      </c>
      <c r="CU73" s="154">
        <v>6553.452944179895</v>
      </c>
      <c r="CV73" s="157">
        <f t="shared" si="219"/>
        <v>77705.228638888904</v>
      </c>
      <c r="CW73" s="161"/>
      <c r="CX73" s="163">
        <v>15887.159392592595</v>
      </c>
      <c r="CY73" s="164">
        <v>15887.159392592595</v>
      </c>
      <c r="CZ73" s="154">
        <v>15887.159392592595</v>
      </c>
      <c r="DA73" s="154">
        <v>16681.516585185189</v>
      </c>
      <c r="DB73" s="154">
        <v>16681.516585185189</v>
      </c>
      <c r="DC73" s="154">
        <v>16681.516585185189</v>
      </c>
      <c r="DD73" s="154">
        <v>16681.516585185189</v>
      </c>
      <c r="DE73" s="154">
        <v>16681.516585185189</v>
      </c>
      <c r="DF73" s="154">
        <v>16681.516585185189</v>
      </c>
      <c r="DG73" s="154">
        <v>16681.516585185189</v>
      </c>
      <c r="DH73" s="154">
        <v>16681.516585185189</v>
      </c>
      <c r="DI73" s="154">
        <v>16681.516585185189</v>
      </c>
      <c r="DJ73" s="157">
        <f t="shared" si="220"/>
        <v>197795.12744444452</v>
      </c>
      <c r="DK73" s="161"/>
      <c r="DL73" s="163">
        <v>15887.159392592595</v>
      </c>
      <c r="DM73" s="164">
        <v>15887.159392592595</v>
      </c>
      <c r="DN73" s="154">
        <v>15887.159392592595</v>
      </c>
      <c r="DO73" s="154">
        <v>16681.516585185189</v>
      </c>
      <c r="DP73" s="154">
        <v>16681.516585185189</v>
      </c>
      <c r="DQ73" s="154">
        <v>16681.516585185189</v>
      </c>
      <c r="DR73" s="154">
        <v>16681.516585185189</v>
      </c>
      <c r="DS73" s="154">
        <v>16681.516585185189</v>
      </c>
      <c r="DT73" s="154">
        <v>16681.516585185189</v>
      </c>
      <c r="DU73" s="154">
        <v>16681.516585185189</v>
      </c>
      <c r="DV73" s="154">
        <v>16681.516585185189</v>
      </c>
      <c r="DW73" s="154">
        <v>16681.516585185189</v>
      </c>
      <c r="DX73" s="157">
        <f t="shared" si="221"/>
        <v>197795.12744444452</v>
      </c>
      <c r="DY73" s="161"/>
      <c r="DZ73" s="163">
        <v>567.39854973544982</v>
      </c>
      <c r="EA73" s="164">
        <v>567.39854973544982</v>
      </c>
      <c r="EB73" s="154">
        <v>567.39854973544982</v>
      </c>
      <c r="EC73" s="154">
        <v>595.76844947089955</v>
      </c>
      <c r="ED73" s="154">
        <v>595.76844947089955</v>
      </c>
      <c r="EE73" s="154">
        <v>595.76844947089955</v>
      </c>
      <c r="EF73" s="154">
        <v>595.76844947089955</v>
      </c>
      <c r="EG73" s="154">
        <v>595.76844947089955</v>
      </c>
      <c r="EH73" s="154">
        <v>595.76844947089955</v>
      </c>
      <c r="EI73" s="154">
        <v>595.76844947089955</v>
      </c>
      <c r="EJ73" s="154">
        <v>595.76844947089955</v>
      </c>
      <c r="EK73" s="154">
        <v>595.76844947089955</v>
      </c>
      <c r="EL73" s="157">
        <f t="shared" si="222"/>
        <v>7064.1116944444448</v>
      </c>
      <c r="EM73" s="161"/>
      <c r="EN73" s="163">
        <v>1134.7970994708996</v>
      </c>
      <c r="EO73" s="164">
        <v>1134.7970994708996</v>
      </c>
      <c r="EP73" s="154">
        <v>1134.7970994708996</v>
      </c>
      <c r="EQ73" s="154">
        <v>1191.5368989417991</v>
      </c>
      <c r="ER73" s="154">
        <v>1191.5368989417991</v>
      </c>
      <c r="ES73" s="154">
        <v>1191.5368989417991</v>
      </c>
      <c r="ET73" s="154">
        <v>1191.5368989417991</v>
      </c>
      <c r="EU73" s="154">
        <v>1191.5368989417991</v>
      </c>
      <c r="EV73" s="154">
        <v>1191.5368989417991</v>
      </c>
      <c r="EW73" s="154">
        <v>1191.5368989417991</v>
      </c>
      <c r="EX73" s="154">
        <v>1191.5368989417991</v>
      </c>
      <c r="EY73" s="154">
        <v>1191.5368989417991</v>
      </c>
      <c r="EZ73" s="157">
        <f t="shared" si="223"/>
        <v>14128.22338888889</v>
      </c>
      <c r="FA73" s="161"/>
      <c r="FB73" s="163">
        <v>567.39854973544982</v>
      </c>
      <c r="FC73" s="164">
        <v>567.39854973544982</v>
      </c>
      <c r="FD73" s="154">
        <v>567.39854973544982</v>
      </c>
      <c r="FE73" s="154">
        <v>595.76844947089955</v>
      </c>
      <c r="FF73" s="154">
        <v>595.76844947089955</v>
      </c>
      <c r="FG73" s="154">
        <v>595.76844947089955</v>
      </c>
      <c r="FH73" s="154">
        <v>595.76844947089955</v>
      </c>
      <c r="FI73" s="154">
        <v>595.76844947089955</v>
      </c>
      <c r="FJ73" s="154">
        <v>595.76844947089955</v>
      </c>
      <c r="FK73" s="154">
        <v>595.76844947089955</v>
      </c>
      <c r="FL73" s="154">
        <v>595.76844947089955</v>
      </c>
      <c r="FM73" s="154">
        <v>595.76844947089955</v>
      </c>
      <c r="FN73" s="157">
        <f t="shared" si="224"/>
        <v>7064.1116944444448</v>
      </c>
      <c r="FO73" s="161"/>
      <c r="FP73" s="163">
        <v>3971.7898481481488</v>
      </c>
      <c r="FQ73" s="164">
        <v>3971.7898481481488</v>
      </c>
      <c r="FR73" s="154">
        <v>3971.7898481481488</v>
      </c>
      <c r="FS73" s="154">
        <v>4170.3791462962972</v>
      </c>
      <c r="FT73" s="154">
        <v>4170.3791462962972</v>
      </c>
      <c r="FU73" s="154">
        <v>4170.3791462962972</v>
      </c>
      <c r="FV73" s="154">
        <v>4170.3791462962972</v>
      </c>
      <c r="FW73" s="154">
        <v>4170.3791462962972</v>
      </c>
      <c r="FX73" s="154">
        <v>4170.3791462962972</v>
      </c>
      <c r="FY73" s="154">
        <v>4170.3791462962972</v>
      </c>
      <c r="FZ73" s="154">
        <v>4170.3791462962972</v>
      </c>
      <c r="GA73" s="154">
        <v>4170.3791462962972</v>
      </c>
      <c r="GB73" s="157">
        <f t="shared" si="225"/>
        <v>49448.781861111129</v>
      </c>
      <c r="GC73" s="161"/>
      <c r="GD73" s="163">
        <v>567.39854973544982</v>
      </c>
      <c r="GE73" s="164">
        <v>567.39854973544982</v>
      </c>
      <c r="GF73" s="154">
        <v>567.39854973544982</v>
      </c>
      <c r="GG73" s="154">
        <v>595.76844947089955</v>
      </c>
      <c r="GH73" s="154">
        <v>595.76844947089955</v>
      </c>
      <c r="GI73" s="154">
        <v>595.76844947089955</v>
      </c>
      <c r="GJ73" s="154">
        <v>595.76844947089955</v>
      </c>
      <c r="GK73" s="154">
        <v>595.76844947089955</v>
      </c>
      <c r="GL73" s="154">
        <v>595.76844947089955</v>
      </c>
      <c r="GM73" s="154">
        <v>595.76844947089955</v>
      </c>
      <c r="GN73" s="154">
        <v>595.76844947089955</v>
      </c>
      <c r="GO73" s="154">
        <v>595.76844947089955</v>
      </c>
      <c r="GP73" s="157">
        <f t="shared" si="226"/>
        <v>7064.1116944444448</v>
      </c>
      <c r="GQ73" s="161"/>
      <c r="GR73" s="163">
        <v>0</v>
      </c>
      <c r="GS73" s="164">
        <v>0</v>
      </c>
      <c r="GT73" s="154">
        <v>0</v>
      </c>
      <c r="GU73" s="154">
        <v>0</v>
      </c>
      <c r="GV73" s="154">
        <v>0</v>
      </c>
      <c r="GW73" s="154">
        <v>0</v>
      </c>
      <c r="GX73" s="154">
        <v>0</v>
      </c>
      <c r="GY73" s="154">
        <v>0</v>
      </c>
      <c r="GZ73" s="154">
        <v>0</v>
      </c>
      <c r="HA73" s="154">
        <v>0</v>
      </c>
      <c r="HB73" s="154">
        <v>0</v>
      </c>
      <c r="HC73" s="154">
        <v>0</v>
      </c>
      <c r="HD73" s="157">
        <f t="shared" si="238"/>
        <v>0</v>
      </c>
      <c r="HE73" s="161"/>
      <c r="HF73" s="163">
        <v>2269.5941989417993</v>
      </c>
      <c r="HG73" s="164">
        <v>2269.5941989417993</v>
      </c>
      <c r="HH73" s="154">
        <v>2269.5941989417993</v>
      </c>
      <c r="HI73" s="154">
        <v>2383.0737978835982</v>
      </c>
      <c r="HJ73" s="154">
        <v>2383.0737978835982</v>
      </c>
      <c r="HK73" s="154">
        <v>2383.0737978835982</v>
      </c>
      <c r="HL73" s="154">
        <v>2383.0737978835982</v>
      </c>
      <c r="HM73" s="154">
        <v>2383.0737978835982</v>
      </c>
      <c r="HN73" s="154">
        <v>2383.0737978835982</v>
      </c>
      <c r="HO73" s="154">
        <v>2383.0737978835982</v>
      </c>
      <c r="HP73" s="154">
        <v>2383.0737978835982</v>
      </c>
      <c r="HQ73" s="154">
        <v>2383.0737978835982</v>
      </c>
      <c r="HR73" s="157">
        <f t="shared" si="227"/>
        <v>28256.446777777779</v>
      </c>
      <c r="HS73" s="161"/>
      <c r="HT73" s="163">
        <v>567.39854973544982</v>
      </c>
      <c r="HU73" s="164">
        <v>567.39854973544982</v>
      </c>
      <c r="HV73" s="154">
        <v>567.39854973544982</v>
      </c>
      <c r="HW73" s="154">
        <v>595.76844947089955</v>
      </c>
      <c r="HX73" s="154">
        <v>595.76844947089955</v>
      </c>
      <c r="HY73" s="154">
        <v>595.76844947089955</v>
      </c>
      <c r="HZ73" s="154">
        <v>595.76844947089955</v>
      </c>
      <c r="IA73" s="154">
        <v>595.76844947089955</v>
      </c>
      <c r="IB73" s="154">
        <v>595.76844947089955</v>
      </c>
      <c r="IC73" s="154">
        <v>595.76844947089955</v>
      </c>
      <c r="ID73" s="154">
        <v>595.76844947089955</v>
      </c>
      <c r="IE73" s="154">
        <v>595.76844947089955</v>
      </c>
      <c r="IF73" s="157">
        <f t="shared" si="228"/>
        <v>7064.1116944444448</v>
      </c>
      <c r="IG73" s="161"/>
      <c r="IH73" s="163">
        <v>567.39854973544982</v>
      </c>
      <c r="II73" s="164">
        <v>567.39854973544982</v>
      </c>
      <c r="IJ73" s="154">
        <v>567.39854973544982</v>
      </c>
      <c r="IK73" s="154">
        <v>595.76844947089955</v>
      </c>
      <c r="IL73" s="154">
        <v>595.76844947089955</v>
      </c>
      <c r="IM73" s="154">
        <v>595.76844947089955</v>
      </c>
      <c r="IN73" s="154">
        <v>595.76844947089955</v>
      </c>
      <c r="IO73" s="154">
        <v>595.76844947089955</v>
      </c>
      <c r="IP73" s="154">
        <v>595.76844947089955</v>
      </c>
      <c r="IQ73" s="154">
        <v>595.76844947089955</v>
      </c>
      <c r="IR73" s="154">
        <v>595.76844947089955</v>
      </c>
      <c r="IS73" s="154">
        <v>595.76844947089955</v>
      </c>
      <c r="IT73" s="157">
        <f t="shared" si="229"/>
        <v>7064.1116944444448</v>
      </c>
      <c r="IU73" s="161"/>
      <c r="IV73" s="163">
        <v>3971.7898481481488</v>
      </c>
      <c r="IW73" s="164">
        <v>3971.7898481481488</v>
      </c>
      <c r="IX73" s="154">
        <v>3971.7898481481488</v>
      </c>
      <c r="IY73" s="154">
        <v>4170.3791462962972</v>
      </c>
      <c r="IZ73" s="154">
        <v>4170.3791462962972</v>
      </c>
      <c r="JA73" s="154">
        <v>4170.3791462962972</v>
      </c>
      <c r="JB73" s="154">
        <v>4170.3791462962972</v>
      </c>
      <c r="JC73" s="154">
        <v>4170.3791462962972</v>
      </c>
      <c r="JD73" s="154">
        <v>4170.3791462962972</v>
      </c>
      <c r="JE73" s="154">
        <v>4170.3791462962972</v>
      </c>
      <c r="JF73" s="154">
        <v>4170.3791462962972</v>
      </c>
      <c r="JG73" s="154">
        <v>4170.3791462962972</v>
      </c>
      <c r="JH73" s="157">
        <f t="shared" si="230"/>
        <v>49448.781861111129</v>
      </c>
      <c r="JI73" s="161"/>
      <c r="JJ73" s="163">
        <v>6241.3840470899477</v>
      </c>
      <c r="JK73" s="164">
        <v>6241.3840470899477</v>
      </c>
      <c r="JL73" s="154">
        <v>6241.3840470899477</v>
      </c>
      <c r="JM73" s="154">
        <v>6553.452944179895</v>
      </c>
      <c r="JN73" s="154">
        <v>6553.452944179895</v>
      </c>
      <c r="JO73" s="154">
        <v>6553.452944179895</v>
      </c>
      <c r="JP73" s="154">
        <v>6553.452944179895</v>
      </c>
      <c r="JQ73" s="154">
        <v>6553.452944179895</v>
      </c>
      <c r="JR73" s="154">
        <v>6553.452944179895</v>
      </c>
      <c r="JS73" s="154">
        <v>6553.452944179895</v>
      </c>
      <c r="JT73" s="154">
        <v>6553.452944179895</v>
      </c>
      <c r="JU73" s="154">
        <v>6553.452944179895</v>
      </c>
      <c r="JV73" s="157">
        <f t="shared" si="231"/>
        <v>77705.228638888904</v>
      </c>
      <c r="JW73" s="161"/>
      <c r="JX73" s="163">
        <v>2836.992748677249</v>
      </c>
      <c r="JY73" s="164">
        <v>2836.992748677249</v>
      </c>
      <c r="JZ73" s="154">
        <v>2836.992748677249</v>
      </c>
      <c r="KA73" s="154">
        <v>2978.8422473544979</v>
      </c>
      <c r="KB73" s="154">
        <v>2978.8422473544979</v>
      </c>
      <c r="KC73" s="154">
        <v>2978.8422473544979</v>
      </c>
      <c r="KD73" s="154">
        <v>2978.8422473544979</v>
      </c>
      <c r="KE73" s="154">
        <v>2978.8422473544979</v>
      </c>
      <c r="KF73" s="154">
        <v>2978.8422473544979</v>
      </c>
      <c r="KG73" s="154">
        <v>2978.8422473544979</v>
      </c>
      <c r="KH73" s="154">
        <v>2978.8422473544979</v>
      </c>
      <c r="KI73" s="154">
        <v>2978.8422473544979</v>
      </c>
      <c r="KJ73" s="157">
        <f t="shared" si="232"/>
        <v>35320.558472222241</v>
      </c>
      <c r="KK73" s="161"/>
      <c r="KL73" s="163">
        <v>1134.7970994708996</v>
      </c>
      <c r="KM73" s="164">
        <v>1134.7970994708996</v>
      </c>
      <c r="KN73" s="154">
        <v>1134.7970994708996</v>
      </c>
      <c r="KO73" s="154">
        <v>1191.5368989417991</v>
      </c>
      <c r="KP73" s="154">
        <v>1191.5368989417991</v>
      </c>
      <c r="KQ73" s="154">
        <v>1191.5368989417991</v>
      </c>
      <c r="KR73" s="154">
        <v>1191.5368989417991</v>
      </c>
      <c r="KS73" s="154">
        <v>1191.5368989417991</v>
      </c>
      <c r="KT73" s="154">
        <v>1191.5368989417991</v>
      </c>
      <c r="KU73" s="154">
        <v>1191.5368989417991</v>
      </c>
      <c r="KV73" s="154">
        <v>1191.5368989417991</v>
      </c>
      <c r="KW73" s="154">
        <v>1191.5368989417991</v>
      </c>
      <c r="KX73" s="157">
        <f t="shared" si="233"/>
        <v>14128.22338888889</v>
      </c>
      <c r="KY73" s="161"/>
      <c r="KZ73" s="163">
        <v>567.39854973544982</v>
      </c>
      <c r="LA73" s="164">
        <v>567.39854973544982</v>
      </c>
      <c r="LB73" s="154">
        <v>567.39854973544982</v>
      </c>
      <c r="LC73" s="154">
        <v>595.76844947089955</v>
      </c>
      <c r="LD73" s="154">
        <v>595.76844947089955</v>
      </c>
      <c r="LE73" s="154">
        <v>595.76844947089955</v>
      </c>
      <c r="LF73" s="154">
        <v>595.76844947089955</v>
      </c>
      <c r="LG73" s="154">
        <v>595.76844947089955</v>
      </c>
      <c r="LH73" s="154">
        <v>595.76844947089955</v>
      </c>
      <c r="LI73" s="154">
        <v>595.76844947089955</v>
      </c>
      <c r="LJ73" s="154">
        <v>595.76844947089955</v>
      </c>
      <c r="LK73" s="154">
        <v>595.76844947089955</v>
      </c>
      <c r="LL73" s="157">
        <f t="shared" si="234"/>
        <v>7064.1116944444448</v>
      </c>
      <c r="LM73" s="161"/>
      <c r="LN73" s="163">
        <v>0</v>
      </c>
      <c r="LO73" s="164">
        <v>0</v>
      </c>
      <c r="LP73" s="154">
        <v>0</v>
      </c>
      <c r="LQ73" s="154">
        <v>0</v>
      </c>
      <c r="LR73" s="154">
        <v>0</v>
      </c>
      <c r="LS73" s="154">
        <v>0</v>
      </c>
      <c r="LT73" s="154">
        <v>0</v>
      </c>
      <c r="LU73" s="154">
        <v>0</v>
      </c>
      <c r="LV73" s="154">
        <v>0</v>
      </c>
      <c r="LW73" s="154">
        <v>0</v>
      </c>
      <c r="LX73" s="154">
        <v>0</v>
      </c>
      <c r="LY73" s="154">
        <v>0</v>
      </c>
      <c r="LZ73" s="157">
        <f t="shared" si="235"/>
        <v>0</v>
      </c>
      <c r="MA73" s="161"/>
      <c r="MB73" s="157">
        <f t="shared" si="236"/>
        <v>93053.362156613759</v>
      </c>
      <c r="MC73" s="157">
        <f t="shared" si="236"/>
        <v>93053.362156613759</v>
      </c>
      <c r="MD73" s="157">
        <f t="shared" si="236"/>
        <v>93053.362156613759</v>
      </c>
      <c r="ME73" s="157">
        <f t="shared" si="236"/>
        <v>97706.025713227515</v>
      </c>
      <c r="MF73" s="157">
        <f t="shared" si="236"/>
        <v>97706.025713227515</v>
      </c>
      <c r="MG73" s="157">
        <f t="shared" si="236"/>
        <v>97706.025713227515</v>
      </c>
      <c r="MH73" s="157">
        <f t="shared" si="236"/>
        <v>97706.025713227515</v>
      </c>
      <c r="MI73" s="157">
        <f t="shared" si="236"/>
        <v>97706.025713227515</v>
      </c>
      <c r="MJ73" s="157">
        <f t="shared" si="236"/>
        <v>97706.025713227515</v>
      </c>
      <c r="MK73" s="157">
        <f t="shared" si="236"/>
        <v>97706.025713227515</v>
      </c>
      <c r="ML73" s="157">
        <f t="shared" si="236"/>
        <v>97706.025713227515</v>
      </c>
      <c r="MM73" s="157">
        <f t="shared" si="236"/>
        <v>97706.025713227515</v>
      </c>
      <c r="MN73" s="157">
        <f t="shared" si="239"/>
        <v>1158514.3178888885</v>
      </c>
    </row>
    <row r="74" spans="1:352" x14ac:dyDescent="0.25">
      <c r="A74" s="98"/>
      <c r="B74" s="64" t="s">
        <v>90</v>
      </c>
      <c r="C74" s="172"/>
      <c r="D74" s="163">
        <v>1841.2698412698414</v>
      </c>
      <c r="E74" s="198">
        <v>1841.2698412698414</v>
      </c>
      <c r="F74" s="198">
        <v>14154.761904761905</v>
      </c>
      <c r="G74" s="198">
        <v>1841.2698412698414</v>
      </c>
      <c r="H74" s="198">
        <v>5523.8095238095239</v>
      </c>
      <c r="I74" s="198">
        <v>1841.2698412698414</v>
      </c>
      <c r="J74" s="198">
        <v>24857.142857142855</v>
      </c>
      <c r="K74" s="198">
        <v>1841.2698412698414</v>
      </c>
      <c r="L74" s="198">
        <v>3912.6984126984125</v>
      </c>
      <c r="M74" s="198">
        <v>2704.3650793650795</v>
      </c>
      <c r="N74" s="198">
        <v>5869.0476190476193</v>
      </c>
      <c r="O74" s="198">
        <v>3567.4603174603171</v>
      </c>
      <c r="P74" s="157">
        <f t="shared" si="213"/>
        <v>69795.634920634911</v>
      </c>
      <c r="Q74" s="161"/>
      <c r="R74" s="163">
        <v>190.47619047619048</v>
      </c>
      <c r="S74" s="198">
        <v>190.47619047619048</v>
      </c>
      <c r="T74" s="198">
        <v>1464.2857142857142</v>
      </c>
      <c r="U74" s="198">
        <v>190.47619047619048</v>
      </c>
      <c r="V74" s="198">
        <v>571.42857142857144</v>
      </c>
      <c r="W74" s="198">
        <v>190.47619047619048</v>
      </c>
      <c r="X74" s="198">
        <v>2571.4285714285716</v>
      </c>
      <c r="Y74" s="198">
        <v>190.47619047619048</v>
      </c>
      <c r="Z74" s="198">
        <v>404.7619047619047</v>
      </c>
      <c r="AA74" s="198">
        <v>279.76190476190476</v>
      </c>
      <c r="AB74" s="198">
        <v>607.14285714285711</v>
      </c>
      <c r="AC74" s="198">
        <v>369.04761904761904</v>
      </c>
      <c r="AD74" s="157">
        <f t="shared" si="214"/>
        <v>7220.2380952380954</v>
      </c>
      <c r="AE74" s="161"/>
      <c r="AF74" s="163">
        <v>190.47619047619048</v>
      </c>
      <c r="AG74" s="198">
        <v>190.47619047619048</v>
      </c>
      <c r="AH74" s="198">
        <v>1464.2857142857142</v>
      </c>
      <c r="AI74" s="198">
        <v>190.47619047619048</v>
      </c>
      <c r="AJ74" s="198">
        <v>571.42857142857144</v>
      </c>
      <c r="AK74" s="198">
        <v>190.47619047619048</v>
      </c>
      <c r="AL74" s="198">
        <v>2571.4285714285716</v>
      </c>
      <c r="AM74" s="198">
        <v>190.47619047619048</v>
      </c>
      <c r="AN74" s="198">
        <v>404.7619047619047</v>
      </c>
      <c r="AO74" s="198">
        <v>279.76190476190476</v>
      </c>
      <c r="AP74" s="198">
        <v>607.14285714285711</v>
      </c>
      <c r="AQ74" s="198">
        <v>369.04761904761904</v>
      </c>
      <c r="AR74" s="157">
        <f t="shared" si="215"/>
        <v>7220.2380952380954</v>
      </c>
      <c r="AT74" s="163">
        <v>126.98412698412699</v>
      </c>
      <c r="AU74" s="198">
        <v>126.98412698412699</v>
      </c>
      <c r="AV74" s="198">
        <v>976.19047619047615</v>
      </c>
      <c r="AW74" s="198">
        <v>126.98412698412699</v>
      </c>
      <c r="AX74" s="198">
        <v>380.95238095238096</v>
      </c>
      <c r="AY74" s="198">
        <v>126.98412698412699</v>
      </c>
      <c r="AZ74" s="198">
        <v>1714.2857142857142</v>
      </c>
      <c r="BA74" s="198">
        <v>126.98412698412699</v>
      </c>
      <c r="BB74" s="198">
        <v>269.84126984126982</v>
      </c>
      <c r="BC74" s="198">
        <v>186.50793650793651</v>
      </c>
      <c r="BD74" s="198">
        <v>404.76190476190476</v>
      </c>
      <c r="BE74" s="198">
        <v>246.03174603174602</v>
      </c>
      <c r="BF74" s="157">
        <f t="shared" si="216"/>
        <v>4813.4920634920636</v>
      </c>
      <c r="BH74" s="163">
        <v>952.38095238095241</v>
      </c>
      <c r="BI74" s="164">
        <v>952.38095238095241</v>
      </c>
      <c r="BJ74" s="154">
        <v>7321.4285714285706</v>
      </c>
      <c r="BK74" s="154">
        <v>952.38095238095241</v>
      </c>
      <c r="BL74" s="154">
        <v>2857.1428571428573</v>
      </c>
      <c r="BM74" s="154">
        <v>952.38095238095241</v>
      </c>
      <c r="BN74" s="154">
        <v>12857.142857142857</v>
      </c>
      <c r="BO74" s="154">
        <v>952.38095238095241</v>
      </c>
      <c r="BP74" s="154">
        <v>2023.8095238095236</v>
      </c>
      <c r="BQ74" s="154">
        <v>1398.8095238095239</v>
      </c>
      <c r="BR74" s="154">
        <v>3035.7142857142858</v>
      </c>
      <c r="BS74" s="154">
        <v>1845.2380952380952</v>
      </c>
      <c r="BT74" s="157">
        <f t="shared" si="217"/>
        <v>36101.190476190466</v>
      </c>
      <c r="BV74" s="163">
        <v>63.492063492063494</v>
      </c>
      <c r="BW74" s="164">
        <v>63.492063492063494</v>
      </c>
      <c r="BX74" s="154">
        <v>488.09523809523807</v>
      </c>
      <c r="BY74" s="154">
        <v>63.492063492063494</v>
      </c>
      <c r="BZ74" s="154">
        <v>190.47619047619048</v>
      </c>
      <c r="CA74" s="154">
        <v>63.492063492063494</v>
      </c>
      <c r="CB74" s="154">
        <v>857.14285714285711</v>
      </c>
      <c r="CC74" s="154">
        <v>63.492063492063494</v>
      </c>
      <c r="CD74" s="154">
        <v>134.92063492063491</v>
      </c>
      <c r="CE74" s="154">
        <v>93.253968253968253</v>
      </c>
      <c r="CF74" s="154">
        <v>202.38095238095238</v>
      </c>
      <c r="CG74" s="154">
        <v>123.01587301587301</v>
      </c>
      <c r="CH74" s="157">
        <f t="shared" si="218"/>
        <v>2406.7460317460318</v>
      </c>
      <c r="CI74" s="161"/>
      <c r="CJ74" s="163">
        <v>698.41269841269843</v>
      </c>
      <c r="CK74" s="164">
        <v>698.41269841269843</v>
      </c>
      <c r="CL74" s="154">
        <v>5369.0476190476184</v>
      </c>
      <c r="CM74" s="154">
        <v>698.41269841269843</v>
      </c>
      <c r="CN74" s="154">
        <v>2095.2380952380954</v>
      </c>
      <c r="CO74" s="154">
        <v>698.41269841269843</v>
      </c>
      <c r="CP74" s="154">
        <v>9428.5714285714275</v>
      </c>
      <c r="CQ74" s="154">
        <v>698.41269841269843</v>
      </c>
      <c r="CR74" s="154">
        <v>1484.1269841269841</v>
      </c>
      <c r="CS74" s="154">
        <v>1025.7936507936508</v>
      </c>
      <c r="CT74" s="154">
        <v>2226.1904761904761</v>
      </c>
      <c r="CU74" s="154">
        <v>1353.1746031746031</v>
      </c>
      <c r="CV74" s="157">
        <f t="shared" si="219"/>
        <v>26474.20634920635</v>
      </c>
      <c r="CW74" s="161"/>
      <c r="CX74" s="163">
        <v>1777.7777777777778</v>
      </c>
      <c r="CY74" s="164">
        <v>1777.7777777777778</v>
      </c>
      <c r="CZ74" s="154">
        <v>13666.666666666666</v>
      </c>
      <c r="DA74" s="154">
        <v>1777.7777777777778</v>
      </c>
      <c r="DB74" s="154">
        <v>5333.3333333333339</v>
      </c>
      <c r="DC74" s="154">
        <v>1777.7777777777778</v>
      </c>
      <c r="DD74" s="154">
        <v>24000</v>
      </c>
      <c r="DE74" s="154">
        <v>1777.7777777777778</v>
      </c>
      <c r="DF74" s="154">
        <v>3777.7777777777774</v>
      </c>
      <c r="DG74" s="154">
        <v>2611.1111111111113</v>
      </c>
      <c r="DH74" s="154">
        <v>5666.666666666667</v>
      </c>
      <c r="DI74" s="154">
        <v>3444.4444444444443</v>
      </c>
      <c r="DJ74" s="157">
        <f t="shared" si="220"/>
        <v>67388.888888888891</v>
      </c>
      <c r="DK74" s="161"/>
      <c r="DL74" s="163">
        <v>1777.7777777777778</v>
      </c>
      <c r="DM74" s="164">
        <v>1777.7777777777778</v>
      </c>
      <c r="DN74" s="154">
        <v>13666.666666666666</v>
      </c>
      <c r="DO74" s="154">
        <v>1777.7777777777778</v>
      </c>
      <c r="DP74" s="154">
        <v>5333.3333333333339</v>
      </c>
      <c r="DQ74" s="154">
        <v>1777.7777777777778</v>
      </c>
      <c r="DR74" s="154">
        <v>24000</v>
      </c>
      <c r="DS74" s="154">
        <v>1777.7777777777778</v>
      </c>
      <c r="DT74" s="154">
        <v>3777.7777777777774</v>
      </c>
      <c r="DU74" s="154">
        <v>2611.1111111111113</v>
      </c>
      <c r="DV74" s="154">
        <v>5666.666666666667</v>
      </c>
      <c r="DW74" s="154">
        <v>3444.4444444444443</v>
      </c>
      <c r="DX74" s="157">
        <f t="shared" si="221"/>
        <v>67388.888888888891</v>
      </c>
      <c r="DY74" s="161"/>
      <c r="DZ74" s="163">
        <v>63.492063492063494</v>
      </c>
      <c r="EA74" s="164">
        <v>63.492063492063494</v>
      </c>
      <c r="EB74" s="154">
        <v>488.09523809523807</v>
      </c>
      <c r="EC74" s="154">
        <v>63.492063492063494</v>
      </c>
      <c r="ED74" s="154">
        <v>190.47619047619048</v>
      </c>
      <c r="EE74" s="154">
        <v>63.492063492063494</v>
      </c>
      <c r="EF74" s="154">
        <v>857.14285714285711</v>
      </c>
      <c r="EG74" s="154">
        <v>63.492063492063494</v>
      </c>
      <c r="EH74" s="154">
        <v>134.92063492063491</v>
      </c>
      <c r="EI74" s="154">
        <v>93.253968253968253</v>
      </c>
      <c r="EJ74" s="154">
        <v>202.38095238095238</v>
      </c>
      <c r="EK74" s="154">
        <v>123.01587301587301</v>
      </c>
      <c r="EL74" s="157">
        <f t="shared" si="222"/>
        <v>2406.7460317460318</v>
      </c>
      <c r="EM74" s="161"/>
      <c r="EN74" s="163">
        <v>126.98412698412699</v>
      </c>
      <c r="EO74" s="164">
        <v>126.98412698412699</v>
      </c>
      <c r="EP74" s="154">
        <v>976.19047619047615</v>
      </c>
      <c r="EQ74" s="154">
        <v>126.98412698412699</v>
      </c>
      <c r="ER74" s="154">
        <v>380.95238095238096</v>
      </c>
      <c r="ES74" s="154">
        <v>126.98412698412699</v>
      </c>
      <c r="ET74" s="154">
        <v>1714.2857142857142</v>
      </c>
      <c r="EU74" s="154">
        <v>126.98412698412699</v>
      </c>
      <c r="EV74" s="154">
        <v>269.84126984126982</v>
      </c>
      <c r="EW74" s="154">
        <v>186.50793650793651</v>
      </c>
      <c r="EX74" s="154">
        <v>404.76190476190476</v>
      </c>
      <c r="EY74" s="154">
        <v>246.03174603174602</v>
      </c>
      <c r="EZ74" s="157">
        <f t="shared" si="223"/>
        <v>4813.4920634920636</v>
      </c>
      <c r="FA74" s="161"/>
      <c r="FB74" s="163">
        <v>63.492063492063494</v>
      </c>
      <c r="FC74" s="164">
        <v>63.492063492063494</v>
      </c>
      <c r="FD74" s="154">
        <v>488.09523809523807</v>
      </c>
      <c r="FE74" s="154">
        <v>63.492063492063494</v>
      </c>
      <c r="FF74" s="154">
        <v>190.47619047619048</v>
      </c>
      <c r="FG74" s="154">
        <v>63.492063492063494</v>
      </c>
      <c r="FH74" s="154">
        <v>857.14285714285711</v>
      </c>
      <c r="FI74" s="154">
        <v>63.492063492063494</v>
      </c>
      <c r="FJ74" s="154">
        <v>134.92063492063491</v>
      </c>
      <c r="FK74" s="154">
        <v>93.253968253968253</v>
      </c>
      <c r="FL74" s="154">
        <v>202.38095238095238</v>
      </c>
      <c r="FM74" s="154">
        <v>123.01587301587301</v>
      </c>
      <c r="FN74" s="157">
        <f t="shared" si="224"/>
        <v>2406.7460317460318</v>
      </c>
      <c r="FO74" s="161"/>
      <c r="FP74" s="163">
        <v>444.44444444444446</v>
      </c>
      <c r="FQ74" s="164">
        <v>444.44444444444446</v>
      </c>
      <c r="FR74" s="154">
        <v>3416.6666666666665</v>
      </c>
      <c r="FS74" s="154">
        <v>444.44444444444446</v>
      </c>
      <c r="FT74" s="154">
        <v>1333.3333333333335</v>
      </c>
      <c r="FU74" s="154">
        <v>444.44444444444446</v>
      </c>
      <c r="FV74" s="154">
        <v>6000</v>
      </c>
      <c r="FW74" s="154">
        <v>444.44444444444446</v>
      </c>
      <c r="FX74" s="154">
        <v>944.44444444444434</v>
      </c>
      <c r="FY74" s="154">
        <v>652.77777777777783</v>
      </c>
      <c r="FZ74" s="154">
        <v>1416.6666666666667</v>
      </c>
      <c r="GA74" s="154">
        <v>861.11111111111109</v>
      </c>
      <c r="GB74" s="157">
        <f t="shared" si="225"/>
        <v>16847.222222222223</v>
      </c>
      <c r="GC74" s="161"/>
      <c r="GD74" s="163">
        <v>63.492063492063494</v>
      </c>
      <c r="GE74" s="164">
        <v>63.492063492063494</v>
      </c>
      <c r="GF74" s="154">
        <v>488.09523809523807</v>
      </c>
      <c r="GG74" s="154">
        <v>63.492063492063494</v>
      </c>
      <c r="GH74" s="154">
        <v>190.47619047619048</v>
      </c>
      <c r="GI74" s="154">
        <v>63.492063492063494</v>
      </c>
      <c r="GJ74" s="154">
        <v>857.14285714285711</v>
      </c>
      <c r="GK74" s="154">
        <v>63.492063492063494</v>
      </c>
      <c r="GL74" s="154">
        <v>134.92063492063491</v>
      </c>
      <c r="GM74" s="154">
        <v>93.253968253968253</v>
      </c>
      <c r="GN74" s="154">
        <v>202.38095238095238</v>
      </c>
      <c r="GO74" s="154">
        <v>123.01587301587301</v>
      </c>
      <c r="GP74" s="157">
        <f t="shared" si="226"/>
        <v>2406.7460317460318</v>
      </c>
      <c r="GQ74" s="161"/>
      <c r="GR74" s="163">
        <v>0</v>
      </c>
      <c r="GS74" s="164">
        <v>0</v>
      </c>
      <c r="GT74" s="154">
        <v>0</v>
      </c>
      <c r="GU74" s="154">
        <v>0</v>
      </c>
      <c r="GV74" s="154">
        <v>0</v>
      </c>
      <c r="GW74" s="154">
        <v>0</v>
      </c>
      <c r="GX74" s="154">
        <v>0</v>
      </c>
      <c r="GY74" s="154">
        <v>0</v>
      </c>
      <c r="GZ74" s="154">
        <v>0</v>
      </c>
      <c r="HA74" s="154">
        <v>0</v>
      </c>
      <c r="HB74" s="154">
        <v>0</v>
      </c>
      <c r="HC74" s="154">
        <v>0</v>
      </c>
      <c r="HD74" s="157">
        <f t="shared" si="238"/>
        <v>0</v>
      </c>
      <c r="HE74" s="161"/>
      <c r="HF74" s="163">
        <v>253.96825396825398</v>
      </c>
      <c r="HG74" s="164">
        <v>253.96825396825398</v>
      </c>
      <c r="HH74" s="154">
        <v>1952.3809523809523</v>
      </c>
      <c r="HI74" s="154">
        <v>253.96825396825398</v>
      </c>
      <c r="HJ74" s="154">
        <v>761.90476190476193</v>
      </c>
      <c r="HK74" s="154">
        <v>253.96825396825398</v>
      </c>
      <c r="HL74" s="154">
        <v>3428.5714285714284</v>
      </c>
      <c r="HM74" s="154">
        <v>253.96825396825398</v>
      </c>
      <c r="HN74" s="154">
        <v>539.68253968253964</v>
      </c>
      <c r="HO74" s="154">
        <v>373.01587301587301</v>
      </c>
      <c r="HP74" s="154">
        <v>809.52380952380952</v>
      </c>
      <c r="HQ74" s="154">
        <v>492.06349206349205</v>
      </c>
      <c r="HR74" s="157">
        <f t="shared" si="227"/>
        <v>9626.9841269841272</v>
      </c>
      <c r="HS74" s="161"/>
      <c r="HT74" s="163">
        <v>63.492063492063494</v>
      </c>
      <c r="HU74" s="164">
        <v>63.492063492063494</v>
      </c>
      <c r="HV74" s="154">
        <v>488.09523809523807</v>
      </c>
      <c r="HW74" s="154">
        <v>63.492063492063494</v>
      </c>
      <c r="HX74" s="154">
        <v>190.47619047619048</v>
      </c>
      <c r="HY74" s="154">
        <v>63.492063492063494</v>
      </c>
      <c r="HZ74" s="154">
        <v>857.14285714285711</v>
      </c>
      <c r="IA74" s="154">
        <v>63.492063492063494</v>
      </c>
      <c r="IB74" s="154">
        <v>134.92063492063491</v>
      </c>
      <c r="IC74" s="154">
        <v>93.253968253968253</v>
      </c>
      <c r="ID74" s="154">
        <v>202.38095238095238</v>
      </c>
      <c r="IE74" s="154">
        <v>123.01587301587301</v>
      </c>
      <c r="IF74" s="157">
        <f t="shared" si="228"/>
        <v>2406.7460317460318</v>
      </c>
      <c r="IG74" s="161"/>
      <c r="IH74" s="163">
        <v>63.492063492063494</v>
      </c>
      <c r="II74" s="164">
        <v>63.492063492063494</v>
      </c>
      <c r="IJ74" s="154">
        <v>488.09523809523807</v>
      </c>
      <c r="IK74" s="154">
        <v>63.492063492063494</v>
      </c>
      <c r="IL74" s="154">
        <v>190.47619047619048</v>
      </c>
      <c r="IM74" s="154">
        <v>63.492063492063494</v>
      </c>
      <c r="IN74" s="154">
        <v>857.14285714285711</v>
      </c>
      <c r="IO74" s="154">
        <v>63.492063492063494</v>
      </c>
      <c r="IP74" s="154">
        <v>134.92063492063491</v>
      </c>
      <c r="IQ74" s="154">
        <v>93.253968253968253</v>
      </c>
      <c r="IR74" s="154">
        <v>202.38095238095238</v>
      </c>
      <c r="IS74" s="154">
        <v>123.01587301587301</v>
      </c>
      <c r="IT74" s="157">
        <f t="shared" si="229"/>
        <v>2406.7460317460318</v>
      </c>
      <c r="IU74" s="161"/>
      <c r="IV74" s="163">
        <v>444.44444444444446</v>
      </c>
      <c r="IW74" s="164">
        <v>444.44444444444446</v>
      </c>
      <c r="IX74" s="154">
        <v>3416.6666666666665</v>
      </c>
      <c r="IY74" s="154">
        <v>444.44444444444446</v>
      </c>
      <c r="IZ74" s="154">
        <v>1333.3333333333335</v>
      </c>
      <c r="JA74" s="154">
        <v>444.44444444444446</v>
      </c>
      <c r="JB74" s="154">
        <v>6000</v>
      </c>
      <c r="JC74" s="154">
        <v>444.44444444444446</v>
      </c>
      <c r="JD74" s="154">
        <v>944.44444444444434</v>
      </c>
      <c r="JE74" s="154">
        <v>652.77777777777783</v>
      </c>
      <c r="JF74" s="154">
        <v>1416.6666666666667</v>
      </c>
      <c r="JG74" s="154">
        <v>861.11111111111109</v>
      </c>
      <c r="JH74" s="157">
        <f t="shared" si="230"/>
        <v>16847.222222222223</v>
      </c>
      <c r="JI74" s="161"/>
      <c r="JJ74" s="163">
        <v>698.41269841269843</v>
      </c>
      <c r="JK74" s="164">
        <v>698.41269841269843</v>
      </c>
      <c r="JL74" s="154">
        <v>5369.0476190476184</v>
      </c>
      <c r="JM74" s="154">
        <v>698.41269841269843</v>
      </c>
      <c r="JN74" s="154">
        <v>2095.2380952380954</v>
      </c>
      <c r="JO74" s="154">
        <v>698.41269841269843</v>
      </c>
      <c r="JP74" s="154">
        <v>9428.5714285714275</v>
      </c>
      <c r="JQ74" s="154">
        <v>698.41269841269843</v>
      </c>
      <c r="JR74" s="154">
        <v>1484.1269841269841</v>
      </c>
      <c r="JS74" s="154">
        <v>1025.7936507936508</v>
      </c>
      <c r="JT74" s="154">
        <v>2226.1904761904761</v>
      </c>
      <c r="JU74" s="154">
        <v>1353.1746031746031</v>
      </c>
      <c r="JV74" s="157">
        <f t="shared" si="231"/>
        <v>26474.20634920635</v>
      </c>
      <c r="JW74" s="161"/>
      <c r="JX74" s="163">
        <v>317.46031746031747</v>
      </c>
      <c r="JY74" s="164">
        <v>317.46031746031747</v>
      </c>
      <c r="JZ74" s="154">
        <v>2440.4761904761904</v>
      </c>
      <c r="KA74" s="154">
        <v>317.46031746031747</v>
      </c>
      <c r="KB74" s="154">
        <v>952.38095238095241</v>
      </c>
      <c r="KC74" s="154">
        <v>317.46031746031747</v>
      </c>
      <c r="KD74" s="154">
        <v>4285.7142857142853</v>
      </c>
      <c r="KE74" s="154">
        <v>317.46031746031747</v>
      </c>
      <c r="KF74" s="154">
        <v>674.60317460317458</v>
      </c>
      <c r="KG74" s="154">
        <v>466.26984126984127</v>
      </c>
      <c r="KH74" s="154">
        <v>1011.9047619047619</v>
      </c>
      <c r="KI74" s="154">
        <v>615.07936507936506</v>
      </c>
      <c r="KJ74" s="157">
        <f t="shared" si="232"/>
        <v>12033.730158730159</v>
      </c>
      <c r="KK74" s="161"/>
      <c r="KL74" s="163">
        <v>126.98412698412699</v>
      </c>
      <c r="KM74" s="164">
        <v>126.98412698412699</v>
      </c>
      <c r="KN74" s="154">
        <v>976.19047619047615</v>
      </c>
      <c r="KO74" s="154">
        <v>126.98412698412699</v>
      </c>
      <c r="KP74" s="154">
        <v>380.95238095238096</v>
      </c>
      <c r="KQ74" s="154">
        <v>126.98412698412699</v>
      </c>
      <c r="KR74" s="154">
        <v>1714.2857142857142</v>
      </c>
      <c r="KS74" s="154">
        <v>126.98412698412699</v>
      </c>
      <c r="KT74" s="154">
        <v>269.84126984126982</v>
      </c>
      <c r="KU74" s="154">
        <v>186.50793650793651</v>
      </c>
      <c r="KV74" s="154">
        <v>404.76190476190476</v>
      </c>
      <c r="KW74" s="154">
        <v>246.03174603174602</v>
      </c>
      <c r="KX74" s="157">
        <f t="shared" si="233"/>
        <v>4813.4920634920636</v>
      </c>
      <c r="KY74" s="161"/>
      <c r="KZ74" s="163">
        <v>63.492063492063494</v>
      </c>
      <c r="LA74" s="164">
        <v>63.492063492063494</v>
      </c>
      <c r="LB74" s="154">
        <v>488.09523809523807</v>
      </c>
      <c r="LC74" s="154">
        <v>63.492063492063494</v>
      </c>
      <c r="LD74" s="154">
        <v>190.47619047619048</v>
      </c>
      <c r="LE74" s="154">
        <v>63.492063492063494</v>
      </c>
      <c r="LF74" s="154">
        <v>857.14285714285711</v>
      </c>
      <c r="LG74" s="154">
        <v>63.492063492063494</v>
      </c>
      <c r="LH74" s="154">
        <v>134.92063492063491</v>
      </c>
      <c r="LI74" s="154">
        <v>93.253968253968253</v>
      </c>
      <c r="LJ74" s="154">
        <v>202.38095238095238</v>
      </c>
      <c r="LK74" s="154">
        <v>123.01587301587301</v>
      </c>
      <c r="LL74" s="157">
        <f t="shared" si="234"/>
        <v>2406.7460317460318</v>
      </c>
      <c r="LM74" s="161"/>
      <c r="LN74" s="163">
        <v>0</v>
      </c>
      <c r="LO74" s="164">
        <v>0</v>
      </c>
      <c r="LP74" s="154">
        <v>0</v>
      </c>
      <c r="LQ74" s="154">
        <v>0</v>
      </c>
      <c r="LR74" s="154">
        <v>0</v>
      </c>
      <c r="LS74" s="154">
        <v>0</v>
      </c>
      <c r="LT74" s="154">
        <v>0</v>
      </c>
      <c r="LU74" s="154">
        <v>0</v>
      </c>
      <c r="LV74" s="154">
        <v>0</v>
      </c>
      <c r="LW74" s="154">
        <v>0</v>
      </c>
      <c r="LX74" s="154">
        <v>0</v>
      </c>
      <c r="LY74" s="154">
        <v>0</v>
      </c>
      <c r="LZ74" s="157">
        <f t="shared" si="235"/>
        <v>0</v>
      </c>
      <c r="MA74" s="161"/>
      <c r="MB74" s="157">
        <f t="shared" si="236"/>
        <v>10412.698412698415</v>
      </c>
      <c r="MC74" s="157">
        <f t="shared" si="236"/>
        <v>10412.698412698415</v>
      </c>
      <c r="MD74" s="157">
        <f t="shared" si="236"/>
        <v>80047.619047619024</v>
      </c>
      <c r="ME74" s="157">
        <f t="shared" si="236"/>
        <v>10412.698412698415</v>
      </c>
      <c r="MF74" s="157">
        <f t="shared" si="236"/>
        <v>31238.095238095248</v>
      </c>
      <c r="MG74" s="157">
        <f t="shared" si="236"/>
        <v>10412.698412698415</v>
      </c>
      <c r="MH74" s="157">
        <f t="shared" si="236"/>
        <v>140571.42857142858</v>
      </c>
      <c r="MI74" s="157">
        <f t="shared" si="236"/>
        <v>10412.698412698415</v>
      </c>
      <c r="MJ74" s="157">
        <f t="shared" si="236"/>
        <v>22126.984126984131</v>
      </c>
      <c r="MK74" s="157">
        <f t="shared" si="236"/>
        <v>15293.650793650791</v>
      </c>
      <c r="ML74" s="157">
        <f t="shared" si="236"/>
        <v>33190.476190476205</v>
      </c>
      <c r="MM74" s="157">
        <f t="shared" si="236"/>
        <v>20174.603174603173</v>
      </c>
      <c r="MN74" s="157">
        <f t="shared" si="239"/>
        <v>394706.34920634923</v>
      </c>
    </row>
    <row r="75" spans="1:352" x14ac:dyDescent="0.25">
      <c r="A75" s="98"/>
      <c r="B75" s="64" t="s">
        <v>91</v>
      </c>
      <c r="C75" s="98"/>
      <c r="D75" s="163">
        <v>0</v>
      </c>
      <c r="E75" s="177">
        <v>0</v>
      </c>
      <c r="F75" s="177">
        <v>0</v>
      </c>
      <c r="G75" s="177">
        <v>0</v>
      </c>
      <c r="H75" s="177">
        <v>0</v>
      </c>
      <c r="I75" s="177">
        <v>0</v>
      </c>
      <c r="J75" s="177">
        <v>0</v>
      </c>
      <c r="K75" s="177">
        <v>0</v>
      </c>
      <c r="L75" s="177">
        <v>0</v>
      </c>
      <c r="M75" s="177">
        <v>0</v>
      </c>
      <c r="N75" s="177">
        <v>0</v>
      </c>
      <c r="O75" s="177">
        <v>0</v>
      </c>
      <c r="P75" s="157">
        <f t="shared" si="213"/>
        <v>0</v>
      </c>
      <c r="Q75" s="161"/>
      <c r="R75" s="163">
        <v>0</v>
      </c>
      <c r="S75" s="177">
        <v>0</v>
      </c>
      <c r="T75" s="177">
        <v>0</v>
      </c>
      <c r="U75" s="177">
        <v>0</v>
      </c>
      <c r="V75" s="177">
        <v>0</v>
      </c>
      <c r="W75" s="177">
        <v>0</v>
      </c>
      <c r="X75" s="177">
        <v>0</v>
      </c>
      <c r="Y75" s="177">
        <v>0</v>
      </c>
      <c r="Z75" s="177">
        <v>0</v>
      </c>
      <c r="AA75" s="177">
        <v>0</v>
      </c>
      <c r="AB75" s="177">
        <v>0</v>
      </c>
      <c r="AC75" s="177">
        <v>0</v>
      </c>
      <c r="AD75" s="157">
        <f t="shared" si="214"/>
        <v>0</v>
      </c>
      <c r="AE75" s="161"/>
      <c r="AF75" s="163">
        <v>0</v>
      </c>
      <c r="AG75" s="177">
        <v>0</v>
      </c>
      <c r="AH75" s="177">
        <v>0</v>
      </c>
      <c r="AI75" s="177">
        <v>0</v>
      </c>
      <c r="AJ75" s="177">
        <v>0</v>
      </c>
      <c r="AK75" s="177">
        <v>0</v>
      </c>
      <c r="AL75" s="177">
        <v>0</v>
      </c>
      <c r="AM75" s="177">
        <v>0</v>
      </c>
      <c r="AN75" s="177">
        <v>0</v>
      </c>
      <c r="AO75" s="177">
        <v>0</v>
      </c>
      <c r="AP75" s="177">
        <v>0</v>
      </c>
      <c r="AQ75" s="177">
        <v>0</v>
      </c>
      <c r="AR75" s="157">
        <f t="shared" si="215"/>
        <v>0</v>
      </c>
      <c r="AT75" s="163">
        <v>0</v>
      </c>
      <c r="AU75" s="177">
        <v>0</v>
      </c>
      <c r="AV75" s="177">
        <v>0</v>
      </c>
      <c r="AW75" s="177">
        <v>0</v>
      </c>
      <c r="AX75" s="177">
        <v>0</v>
      </c>
      <c r="AY75" s="177">
        <v>0</v>
      </c>
      <c r="AZ75" s="177">
        <v>0</v>
      </c>
      <c r="BA75" s="177">
        <v>0</v>
      </c>
      <c r="BB75" s="177">
        <v>0</v>
      </c>
      <c r="BC75" s="177">
        <v>0</v>
      </c>
      <c r="BD75" s="177">
        <v>0</v>
      </c>
      <c r="BE75" s="177">
        <v>0</v>
      </c>
      <c r="BF75" s="157">
        <f t="shared" si="216"/>
        <v>0</v>
      </c>
      <c r="BH75" s="163">
        <v>0</v>
      </c>
      <c r="BI75" s="164">
        <v>0</v>
      </c>
      <c r="BJ75" s="154">
        <v>0</v>
      </c>
      <c r="BK75" s="154">
        <v>0</v>
      </c>
      <c r="BL75" s="154">
        <v>0</v>
      </c>
      <c r="BM75" s="154">
        <v>0</v>
      </c>
      <c r="BN75" s="154">
        <v>0</v>
      </c>
      <c r="BO75" s="154">
        <v>0</v>
      </c>
      <c r="BP75" s="154">
        <v>0</v>
      </c>
      <c r="BQ75" s="154">
        <v>0</v>
      </c>
      <c r="BR75" s="154">
        <v>0</v>
      </c>
      <c r="BS75" s="154">
        <v>0</v>
      </c>
      <c r="BT75" s="157">
        <f t="shared" si="217"/>
        <v>0</v>
      </c>
      <c r="BV75" s="163">
        <v>0</v>
      </c>
      <c r="BW75" s="164">
        <v>0</v>
      </c>
      <c r="BX75" s="154">
        <v>0</v>
      </c>
      <c r="BY75" s="154">
        <v>0</v>
      </c>
      <c r="BZ75" s="154">
        <v>0</v>
      </c>
      <c r="CA75" s="154">
        <v>0</v>
      </c>
      <c r="CB75" s="154">
        <v>0</v>
      </c>
      <c r="CC75" s="154">
        <v>0</v>
      </c>
      <c r="CD75" s="154">
        <v>0</v>
      </c>
      <c r="CE75" s="154">
        <v>0</v>
      </c>
      <c r="CF75" s="154">
        <v>0</v>
      </c>
      <c r="CG75" s="154">
        <v>0</v>
      </c>
      <c r="CH75" s="157">
        <f t="shared" si="218"/>
        <v>0</v>
      </c>
      <c r="CI75" s="161"/>
      <c r="CJ75" s="163">
        <v>0</v>
      </c>
      <c r="CK75" s="164">
        <v>0</v>
      </c>
      <c r="CL75" s="154">
        <v>0</v>
      </c>
      <c r="CM75" s="154">
        <v>0</v>
      </c>
      <c r="CN75" s="154">
        <v>0</v>
      </c>
      <c r="CO75" s="154">
        <v>0</v>
      </c>
      <c r="CP75" s="154">
        <v>0</v>
      </c>
      <c r="CQ75" s="154">
        <v>0</v>
      </c>
      <c r="CR75" s="154">
        <v>0</v>
      </c>
      <c r="CS75" s="154">
        <v>0</v>
      </c>
      <c r="CT75" s="154">
        <v>0</v>
      </c>
      <c r="CU75" s="154">
        <v>0</v>
      </c>
      <c r="CV75" s="157">
        <f t="shared" si="219"/>
        <v>0</v>
      </c>
      <c r="CW75" s="161"/>
      <c r="CX75" s="163">
        <v>0</v>
      </c>
      <c r="CY75" s="164">
        <v>0</v>
      </c>
      <c r="CZ75" s="154">
        <v>0</v>
      </c>
      <c r="DA75" s="154">
        <v>0</v>
      </c>
      <c r="DB75" s="154">
        <v>0</v>
      </c>
      <c r="DC75" s="154">
        <v>0</v>
      </c>
      <c r="DD75" s="154">
        <v>0</v>
      </c>
      <c r="DE75" s="154">
        <v>0</v>
      </c>
      <c r="DF75" s="154">
        <v>0</v>
      </c>
      <c r="DG75" s="154">
        <v>0</v>
      </c>
      <c r="DH75" s="154">
        <v>0</v>
      </c>
      <c r="DI75" s="154">
        <v>0</v>
      </c>
      <c r="DJ75" s="157">
        <f t="shared" si="220"/>
        <v>0</v>
      </c>
      <c r="DK75" s="161"/>
      <c r="DL75" s="163">
        <v>0</v>
      </c>
      <c r="DM75" s="164">
        <v>0</v>
      </c>
      <c r="DN75" s="154">
        <v>0</v>
      </c>
      <c r="DO75" s="154">
        <v>0</v>
      </c>
      <c r="DP75" s="154">
        <v>0</v>
      </c>
      <c r="DQ75" s="154">
        <v>0</v>
      </c>
      <c r="DR75" s="154">
        <v>0</v>
      </c>
      <c r="DS75" s="154">
        <v>0</v>
      </c>
      <c r="DT75" s="154">
        <v>0</v>
      </c>
      <c r="DU75" s="154">
        <v>0</v>
      </c>
      <c r="DV75" s="154">
        <v>0</v>
      </c>
      <c r="DW75" s="154">
        <v>0</v>
      </c>
      <c r="DX75" s="157">
        <f t="shared" si="221"/>
        <v>0</v>
      </c>
      <c r="DY75" s="161"/>
      <c r="DZ75" s="163">
        <v>0</v>
      </c>
      <c r="EA75" s="164">
        <v>0</v>
      </c>
      <c r="EB75" s="154">
        <v>0</v>
      </c>
      <c r="EC75" s="154">
        <v>0</v>
      </c>
      <c r="ED75" s="154">
        <v>0</v>
      </c>
      <c r="EE75" s="154">
        <v>0</v>
      </c>
      <c r="EF75" s="154">
        <v>0</v>
      </c>
      <c r="EG75" s="154">
        <v>0</v>
      </c>
      <c r="EH75" s="154">
        <v>0</v>
      </c>
      <c r="EI75" s="154">
        <v>0</v>
      </c>
      <c r="EJ75" s="154">
        <v>0</v>
      </c>
      <c r="EK75" s="154">
        <v>0</v>
      </c>
      <c r="EL75" s="157">
        <f t="shared" si="222"/>
        <v>0</v>
      </c>
      <c r="EM75" s="161"/>
      <c r="EN75" s="163">
        <v>0</v>
      </c>
      <c r="EO75" s="164">
        <v>0</v>
      </c>
      <c r="EP75" s="154">
        <v>0</v>
      </c>
      <c r="EQ75" s="154">
        <v>0</v>
      </c>
      <c r="ER75" s="154">
        <v>0</v>
      </c>
      <c r="ES75" s="154">
        <v>0</v>
      </c>
      <c r="ET75" s="154">
        <v>0</v>
      </c>
      <c r="EU75" s="154">
        <v>0</v>
      </c>
      <c r="EV75" s="154">
        <v>0</v>
      </c>
      <c r="EW75" s="154">
        <v>0</v>
      </c>
      <c r="EX75" s="154">
        <v>0</v>
      </c>
      <c r="EY75" s="154">
        <v>0</v>
      </c>
      <c r="EZ75" s="157">
        <f t="shared" si="223"/>
        <v>0</v>
      </c>
      <c r="FA75" s="161"/>
      <c r="FB75" s="163">
        <v>0</v>
      </c>
      <c r="FC75" s="164">
        <v>0</v>
      </c>
      <c r="FD75" s="154">
        <v>0</v>
      </c>
      <c r="FE75" s="154">
        <v>0</v>
      </c>
      <c r="FF75" s="154">
        <v>0</v>
      </c>
      <c r="FG75" s="154">
        <v>0</v>
      </c>
      <c r="FH75" s="154">
        <v>0</v>
      </c>
      <c r="FI75" s="154">
        <v>0</v>
      </c>
      <c r="FJ75" s="154">
        <v>0</v>
      </c>
      <c r="FK75" s="154">
        <v>0</v>
      </c>
      <c r="FL75" s="154">
        <v>0</v>
      </c>
      <c r="FM75" s="154">
        <v>0</v>
      </c>
      <c r="FN75" s="157">
        <f t="shared" si="224"/>
        <v>0</v>
      </c>
      <c r="FO75" s="161"/>
      <c r="FP75" s="163">
        <v>0</v>
      </c>
      <c r="FQ75" s="164">
        <v>0</v>
      </c>
      <c r="FR75" s="154">
        <v>0</v>
      </c>
      <c r="FS75" s="154">
        <v>0</v>
      </c>
      <c r="FT75" s="154">
        <v>0</v>
      </c>
      <c r="FU75" s="154">
        <v>0</v>
      </c>
      <c r="FV75" s="154">
        <v>0</v>
      </c>
      <c r="FW75" s="154">
        <v>0</v>
      </c>
      <c r="FX75" s="154">
        <v>0</v>
      </c>
      <c r="FY75" s="154">
        <v>0</v>
      </c>
      <c r="FZ75" s="154">
        <v>0</v>
      </c>
      <c r="GA75" s="154">
        <v>0</v>
      </c>
      <c r="GB75" s="157">
        <f t="shared" si="225"/>
        <v>0</v>
      </c>
      <c r="GC75" s="161"/>
      <c r="GD75" s="163">
        <v>0</v>
      </c>
      <c r="GE75" s="164">
        <v>0</v>
      </c>
      <c r="GF75" s="154">
        <v>0</v>
      </c>
      <c r="GG75" s="154">
        <v>0</v>
      </c>
      <c r="GH75" s="154">
        <v>0</v>
      </c>
      <c r="GI75" s="154">
        <v>0</v>
      </c>
      <c r="GJ75" s="154">
        <v>0</v>
      </c>
      <c r="GK75" s="154">
        <v>0</v>
      </c>
      <c r="GL75" s="154">
        <v>0</v>
      </c>
      <c r="GM75" s="154">
        <v>0</v>
      </c>
      <c r="GN75" s="154">
        <v>0</v>
      </c>
      <c r="GO75" s="154">
        <v>0</v>
      </c>
      <c r="GP75" s="157">
        <f t="shared" si="226"/>
        <v>0</v>
      </c>
      <c r="GQ75" s="161"/>
      <c r="GR75" s="163">
        <v>0</v>
      </c>
      <c r="GS75" s="164">
        <v>0</v>
      </c>
      <c r="GT75" s="154">
        <v>0</v>
      </c>
      <c r="GU75" s="154">
        <v>0</v>
      </c>
      <c r="GV75" s="154">
        <v>0</v>
      </c>
      <c r="GW75" s="154">
        <v>0</v>
      </c>
      <c r="GX75" s="154">
        <v>0</v>
      </c>
      <c r="GY75" s="154">
        <v>0</v>
      </c>
      <c r="GZ75" s="154">
        <v>0</v>
      </c>
      <c r="HA75" s="154">
        <v>0</v>
      </c>
      <c r="HB75" s="154">
        <v>0</v>
      </c>
      <c r="HC75" s="154">
        <v>0</v>
      </c>
      <c r="HD75" s="157">
        <f t="shared" si="238"/>
        <v>0</v>
      </c>
      <c r="HE75" s="161"/>
      <c r="HF75" s="163">
        <v>0</v>
      </c>
      <c r="HG75" s="164">
        <v>0</v>
      </c>
      <c r="HH75" s="154">
        <v>0</v>
      </c>
      <c r="HI75" s="154">
        <v>0</v>
      </c>
      <c r="HJ75" s="154">
        <v>0</v>
      </c>
      <c r="HK75" s="154">
        <v>0</v>
      </c>
      <c r="HL75" s="154">
        <v>0</v>
      </c>
      <c r="HM75" s="154">
        <v>0</v>
      </c>
      <c r="HN75" s="154">
        <v>0</v>
      </c>
      <c r="HO75" s="154">
        <v>0</v>
      </c>
      <c r="HP75" s="154">
        <v>0</v>
      </c>
      <c r="HQ75" s="154">
        <v>0</v>
      </c>
      <c r="HR75" s="157">
        <f t="shared" si="227"/>
        <v>0</v>
      </c>
      <c r="HS75" s="161"/>
      <c r="HT75" s="163">
        <v>0</v>
      </c>
      <c r="HU75" s="164">
        <v>0</v>
      </c>
      <c r="HV75" s="154">
        <v>0</v>
      </c>
      <c r="HW75" s="154">
        <v>0</v>
      </c>
      <c r="HX75" s="154">
        <v>0</v>
      </c>
      <c r="HY75" s="154">
        <v>0</v>
      </c>
      <c r="HZ75" s="154">
        <v>0</v>
      </c>
      <c r="IA75" s="154">
        <v>0</v>
      </c>
      <c r="IB75" s="154">
        <v>0</v>
      </c>
      <c r="IC75" s="154">
        <v>0</v>
      </c>
      <c r="ID75" s="154">
        <v>0</v>
      </c>
      <c r="IE75" s="154">
        <v>0</v>
      </c>
      <c r="IF75" s="157">
        <f t="shared" si="228"/>
        <v>0</v>
      </c>
      <c r="IG75" s="161"/>
      <c r="IH75" s="163">
        <v>0</v>
      </c>
      <c r="II75" s="164">
        <v>0</v>
      </c>
      <c r="IJ75" s="154">
        <v>0</v>
      </c>
      <c r="IK75" s="154">
        <v>0</v>
      </c>
      <c r="IL75" s="154">
        <v>0</v>
      </c>
      <c r="IM75" s="154">
        <v>0</v>
      </c>
      <c r="IN75" s="154">
        <v>0</v>
      </c>
      <c r="IO75" s="154">
        <v>0</v>
      </c>
      <c r="IP75" s="154">
        <v>0</v>
      </c>
      <c r="IQ75" s="154">
        <v>0</v>
      </c>
      <c r="IR75" s="154">
        <v>0</v>
      </c>
      <c r="IS75" s="154">
        <v>0</v>
      </c>
      <c r="IT75" s="157">
        <f t="shared" si="229"/>
        <v>0</v>
      </c>
      <c r="IU75" s="161"/>
      <c r="IV75" s="163">
        <v>0</v>
      </c>
      <c r="IW75" s="164">
        <v>0</v>
      </c>
      <c r="IX75" s="154">
        <v>0</v>
      </c>
      <c r="IY75" s="154">
        <v>0</v>
      </c>
      <c r="IZ75" s="154">
        <v>0</v>
      </c>
      <c r="JA75" s="154">
        <v>0</v>
      </c>
      <c r="JB75" s="154">
        <v>0</v>
      </c>
      <c r="JC75" s="154">
        <v>0</v>
      </c>
      <c r="JD75" s="154">
        <v>0</v>
      </c>
      <c r="JE75" s="154">
        <v>0</v>
      </c>
      <c r="JF75" s="154">
        <v>0</v>
      </c>
      <c r="JG75" s="154">
        <v>0</v>
      </c>
      <c r="JH75" s="157">
        <f t="shared" si="230"/>
        <v>0</v>
      </c>
      <c r="JI75" s="161"/>
      <c r="JJ75" s="163">
        <v>0</v>
      </c>
      <c r="JK75" s="164">
        <v>0</v>
      </c>
      <c r="JL75" s="154">
        <v>0</v>
      </c>
      <c r="JM75" s="154">
        <v>0</v>
      </c>
      <c r="JN75" s="154">
        <v>0</v>
      </c>
      <c r="JO75" s="154">
        <v>0</v>
      </c>
      <c r="JP75" s="154">
        <v>0</v>
      </c>
      <c r="JQ75" s="154">
        <v>0</v>
      </c>
      <c r="JR75" s="154">
        <v>0</v>
      </c>
      <c r="JS75" s="154">
        <v>0</v>
      </c>
      <c r="JT75" s="154">
        <v>0</v>
      </c>
      <c r="JU75" s="154">
        <v>0</v>
      </c>
      <c r="JV75" s="157">
        <f t="shared" si="231"/>
        <v>0</v>
      </c>
      <c r="JW75" s="161"/>
      <c r="JX75" s="163">
        <v>0</v>
      </c>
      <c r="JY75" s="164">
        <v>0</v>
      </c>
      <c r="JZ75" s="154">
        <v>0</v>
      </c>
      <c r="KA75" s="154">
        <v>0</v>
      </c>
      <c r="KB75" s="154">
        <v>0</v>
      </c>
      <c r="KC75" s="154">
        <v>0</v>
      </c>
      <c r="KD75" s="154">
        <v>0</v>
      </c>
      <c r="KE75" s="154">
        <v>0</v>
      </c>
      <c r="KF75" s="154">
        <v>0</v>
      </c>
      <c r="KG75" s="154">
        <v>0</v>
      </c>
      <c r="KH75" s="154">
        <v>0</v>
      </c>
      <c r="KI75" s="154">
        <v>0</v>
      </c>
      <c r="KJ75" s="157">
        <f t="shared" si="232"/>
        <v>0</v>
      </c>
      <c r="KK75" s="161"/>
      <c r="KL75" s="163">
        <v>0</v>
      </c>
      <c r="KM75" s="164">
        <v>0</v>
      </c>
      <c r="KN75" s="154">
        <v>0</v>
      </c>
      <c r="KO75" s="154">
        <v>0</v>
      </c>
      <c r="KP75" s="154">
        <v>0</v>
      </c>
      <c r="KQ75" s="154">
        <v>0</v>
      </c>
      <c r="KR75" s="154">
        <v>0</v>
      </c>
      <c r="KS75" s="154">
        <v>0</v>
      </c>
      <c r="KT75" s="154">
        <v>0</v>
      </c>
      <c r="KU75" s="154">
        <v>0</v>
      </c>
      <c r="KV75" s="154">
        <v>0</v>
      </c>
      <c r="KW75" s="154">
        <v>0</v>
      </c>
      <c r="KX75" s="157">
        <f t="shared" si="233"/>
        <v>0</v>
      </c>
      <c r="KY75" s="161"/>
      <c r="KZ75" s="163">
        <v>0</v>
      </c>
      <c r="LA75" s="164">
        <v>0</v>
      </c>
      <c r="LB75" s="154">
        <v>0</v>
      </c>
      <c r="LC75" s="154">
        <v>0</v>
      </c>
      <c r="LD75" s="154">
        <v>0</v>
      </c>
      <c r="LE75" s="154">
        <v>0</v>
      </c>
      <c r="LF75" s="154">
        <v>0</v>
      </c>
      <c r="LG75" s="154">
        <v>0</v>
      </c>
      <c r="LH75" s="154">
        <v>0</v>
      </c>
      <c r="LI75" s="154">
        <v>0</v>
      </c>
      <c r="LJ75" s="154">
        <v>0</v>
      </c>
      <c r="LK75" s="154">
        <v>0</v>
      </c>
      <c r="LL75" s="157">
        <f t="shared" si="234"/>
        <v>0</v>
      </c>
      <c r="LM75" s="161"/>
      <c r="LN75" s="163">
        <v>0</v>
      </c>
      <c r="LO75" s="164">
        <v>0</v>
      </c>
      <c r="LP75" s="154">
        <v>0</v>
      </c>
      <c r="LQ75" s="154">
        <v>0</v>
      </c>
      <c r="LR75" s="154">
        <v>0</v>
      </c>
      <c r="LS75" s="154">
        <v>0</v>
      </c>
      <c r="LT75" s="154">
        <v>0</v>
      </c>
      <c r="LU75" s="154">
        <v>0</v>
      </c>
      <c r="LV75" s="154">
        <v>0</v>
      </c>
      <c r="LW75" s="154">
        <v>0</v>
      </c>
      <c r="LX75" s="154">
        <v>0</v>
      </c>
      <c r="LY75" s="154">
        <v>0</v>
      </c>
      <c r="LZ75" s="157">
        <f t="shared" si="235"/>
        <v>0</v>
      </c>
      <c r="MA75" s="161"/>
      <c r="MB75" s="157">
        <f t="shared" si="236"/>
        <v>0</v>
      </c>
      <c r="MC75" s="157">
        <f t="shared" si="236"/>
        <v>0</v>
      </c>
      <c r="MD75" s="157">
        <f t="shared" si="236"/>
        <v>0</v>
      </c>
      <c r="ME75" s="157">
        <f t="shared" si="236"/>
        <v>0</v>
      </c>
      <c r="MF75" s="157">
        <f t="shared" si="236"/>
        <v>0</v>
      </c>
      <c r="MG75" s="157">
        <f t="shared" si="236"/>
        <v>0</v>
      </c>
      <c r="MH75" s="157">
        <f t="shared" si="236"/>
        <v>0</v>
      </c>
      <c r="MI75" s="157">
        <f t="shared" si="236"/>
        <v>0</v>
      </c>
      <c r="MJ75" s="157">
        <f t="shared" si="236"/>
        <v>0</v>
      </c>
      <c r="MK75" s="157">
        <f t="shared" si="236"/>
        <v>0</v>
      </c>
      <c r="ML75" s="157">
        <f t="shared" si="236"/>
        <v>0</v>
      </c>
      <c r="MM75" s="157">
        <f t="shared" si="236"/>
        <v>0</v>
      </c>
      <c r="MN75" s="157">
        <f t="shared" si="239"/>
        <v>0</v>
      </c>
    </row>
    <row r="76" spans="1:352" x14ac:dyDescent="0.25">
      <c r="A76" s="98"/>
      <c r="B76" s="64" t="s">
        <v>92</v>
      </c>
      <c r="C76" s="202"/>
      <c r="D76" s="163">
        <v>690.47619047619048</v>
      </c>
      <c r="E76" s="164">
        <v>690.47619047619048</v>
      </c>
      <c r="F76" s="164">
        <v>690.47619047619048</v>
      </c>
      <c r="G76" s="164">
        <v>690.47619047619048</v>
      </c>
      <c r="H76" s="164">
        <v>690.47619047619048</v>
      </c>
      <c r="I76" s="164">
        <v>690.47619047619048</v>
      </c>
      <c r="J76" s="164">
        <v>29460.317460317463</v>
      </c>
      <c r="K76" s="164">
        <v>2761.9047619047619</v>
      </c>
      <c r="L76" s="164">
        <v>18672.667301587302</v>
      </c>
      <c r="M76" s="164">
        <v>690.47619047619048</v>
      </c>
      <c r="N76" s="164">
        <v>690.47619047619048</v>
      </c>
      <c r="O76" s="164">
        <v>690.47619047619048</v>
      </c>
      <c r="P76" s="157">
        <f t="shared" si="213"/>
        <v>57109.175238095246</v>
      </c>
      <c r="Q76" s="161"/>
      <c r="R76" s="163">
        <v>71.428571428571431</v>
      </c>
      <c r="S76" s="164">
        <v>71.428571428571431</v>
      </c>
      <c r="T76" s="164">
        <v>71.428571428571431</v>
      </c>
      <c r="U76" s="164">
        <v>71.428571428571431</v>
      </c>
      <c r="V76" s="164">
        <v>71.428571428571431</v>
      </c>
      <c r="W76" s="164">
        <v>71.428571428571431</v>
      </c>
      <c r="X76" s="164">
        <v>3047.6190476190477</v>
      </c>
      <c r="Y76" s="164">
        <v>285.71428571428572</v>
      </c>
      <c r="Z76" s="164">
        <v>1931.655238095238</v>
      </c>
      <c r="AA76" s="164">
        <v>71.428571428571431</v>
      </c>
      <c r="AB76" s="164">
        <v>71.428571428571431</v>
      </c>
      <c r="AC76" s="164">
        <v>71.428571428571431</v>
      </c>
      <c r="AD76" s="157">
        <f t="shared" si="214"/>
        <v>5907.8457142857142</v>
      </c>
      <c r="AE76" s="161"/>
      <c r="AF76" s="163">
        <v>71.428571428571431</v>
      </c>
      <c r="AG76" s="164">
        <v>71.428571428571431</v>
      </c>
      <c r="AH76" s="164">
        <v>71.428571428571431</v>
      </c>
      <c r="AI76" s="164">
        <v>71.428571428571431</v>
      </c>
      <c r="AJ76" s="164">
        <v>71.428571428571431</v>
      </c>
      <c r="AK76" s="164">
        <v>71.428571428571431</v>
      </c>
      <c r="AL76" s="164">
        <v>3047.6190476190477</v>
      </c>
      <c r="AM76" s="164">
        <v>285.71428571428572</v>
      </c>
      <c r="AN76" s="164">
        <v>1931.655238095238</v>
      </c>
      <c r="AO76" s="164">
        <v>71.428571428571431</v>
      </c>
      <c r="AP76" s="164">
        <v>71.428571428571431</v>
      </c>
      <c r="AQ76" s="164">
        <v>71.428571428571431</v>
      </c>
      <c r="AR76" s="157">
        <f t="shared" si="215"/>
        <v>5907.8457142857142</v>
      </c>
      <c r="AT76" s="163">
        <v>47.61904761904762</v>
      </c>
      <c r="AU76" s="164">
        <v>47.61904761904762</v>
      </c>
      <c r="AV76" s="164">
        <v>47.61904761904762</v>
      </c>
      <c r="AW76" s="164">
        <v>47.61904761904762</v>
      </c>
      <c r="AX76" s="164">
        <v>47.61904761904762</v>
      </c>
      <c r="AY76" s="164">
        <v>47.61904761904762</v>
      </c>
      <c r="AZ76" s="164">
        <v>2031.7460317460318</v>
      </c>
      <c r="BA76" s="164">
        <v>190.47619047619048</v>
      </c>
      <c r="BB76" s="164">
        <v>1287.7701587301588</v>
      </c>
      <c r="BC76" s="164">
        <v>47.61904761904762</v>
      </c>
      <c r="BD76" s="164">
        <v>47.61904761904762</v>
      </c>
      <c r="BE76" s="164">
        <v>47.61904761904762</v>
      </c>
      <c r="BF76" s="157">
        <f t="shared" si="216"/>
        <v>3938.5638095238101</v>
      </c>
      <c r="BH76" s="163">
        <v>357.14285714285717</v>
      </c>
      <c r="BI76" s="164">
        <v>357.14285714285717</v>
      </c>
      <c r="BJ76" s="154">
        <v>357.14285714285717</v>
      </c>
      <c r="BK76" s="154">
        <v>357.14285714285717</v>
      </c>
      <c r="BL76" s="154">
        <v>357.14285714285717</v>
      </c>
      <c r="BM76" s="154">
        <v>357.14285714285717</v>
      </c>
      <c r="BN76" s="154">
        <v>15238.095238095239</v>
      </c>
      <c r="BO76" s="154">
        <v>1428.5714285714287</v>
      </c>
      <c r="BP76" s="154">
        <v>9658.2761904761901</v>
      </c>
      <c r="BQ76" s="154">
        <v>357.14285714285717</v>
      </c>
      <c r="BR76" s="154">
        <v>357.14285714285717</v>
      </c>
      <c r="BS76" s="154">
        <v>357.14285714285717</v>
      </c>
      <c r="BT76" s="157">
        <f t="shared" si="217"/>
        <v>29539.228571428575</v>
      </c>
      <c r="BV76" s="163">
        <v>23.80952380952381</v>
      </c>
      <c r="BW76" s="164">
        <v>23.80952380952381</v>
      </c>
      <c r="BX76" s="154">
        <v>23.80952380952381</v>
      </c>
      <c r="BY76" s="154">
        <v>23.80952380952381</v>
      </c>
      <c r="BZ76" s="154">
        <v>23.80952380952381</v>
      </c>
      <c r="CA76" s="154">
        <v>23.80952380952381</v>
      </c>
      <c r="CB76" s="154">
        <v>1015.8730158730159</v>
      </c>
      <c r="CC76" s="154">
        <v>95.238095238095241</v>
      </c>
      <c r="CD76" s="154">
        <v>643.88507936507938</v>
      </c>
      <c r="CE76" s="154">
        <v>23.80952380952381</v>
      </c>
      <c r="CF76" s="154">
        <v>23.80952380952381</v>
      </c>
      <c r="CG76" s="154">
        <v>23.80952380952381</v>
      </c>
      <c r="CH76" s="157">
        <f t="shared" si="218"/>
        <v>1969.281904761905</v>
      </c>
      <c r="CI76" s="161"/>
      <c r="CJ76" s="163">
        <v>261.90476190476193</v>
      </c>
      <c r="CK76" s="164">
        <v>261.90476190476193</v>
      </c>
      <c r="CL76" s="154">
        <v>261.90476190476193</v>
      </c>
      <c r="CM76" s="154">
        <v>261.90476190476193</v>
      </c>
      <c r="CN76" s="154">
        <v>261.90476190476193</v>
      </c>
      <c r="CO76" s="154">
        <v>261.90476190476193</v>
      </c>
      <c r="CP76" s="154">
        <v>11174.603174603175</v>
      </c>
      <c r="CQ76" s="154">
        <v>1047.6190476190477</v>
      </c>
      <c r="CR76" s="154">
        <v>7082.735873015873</v>
      </c>
      <c r="CS76" s="154">
        <v>261.90476190476193</v>
      </c>
      <c r="CT76" s="154">
        <v>261.90476190476193</v>
      </c>
      <c r="CU76" s="154">
        <v>261.90476190476193</v>
      </c>
      <c r="CV76" s="157">
        <f t="shared" si="219"/>
        <v>21662.100952380955</v>
      </c>
      <c r="CW76" s="161"/>
      <c r="CX76" s="163">
        <v>666.66666666666674</v>
      </c>
      <c r="CY76" s="164">
        <v>666.66666666666674</v>
      </c>
      <c r="CZ76" s="154">
        <v>666.66666666666674</v>
      </c>
      <c r="DA76" s="154">
        <v>666.66666666666674</v>
      </c>
      <c r="DB76" s="154">
        <v>666.66666666666674</v>
      </c>
      <c r="DC76" s="154">
        <v>666.66666666666674</v>
      </c>
      <c r="DD76" s="154">
        <v>28444.444444444445</v>
      </c>
      <c r="DE76" s="154">
        <v>2666.666666666667</v>
      </c>
      <c r="DF76" s="154">
        <v>18028.782222222224</v>
      </c>
      <c r="DG76" s="154">
        <v>666.66666666666674</v>
      </c>
      <c r="DH76" s="154">
        <v>666.66666666666674</v>
      </c>
      <c r="DI76" s="154">
        <v>666.66666666666674</v>
      </c>
      <c r="DJ76" s="157">
        <f t="shared" si="220"/>
        <v>55139.893333333326</v>
      </c>
      <c r="DK76" s="161"/>
      <c r="DL76" s="163">
        <v>666.66666666666674</v>
      </c>
      <c r="DM76" s="164">
        <v>666.66666666666674</v>
      </c>
      <c r="DN76" s="154">
        <v>666.66666666666674</v>
      </c>
      <c r="DO76" s="154">
        <v>666.66666666666674</v>
      </c>
      <c r="DP76" s="154">
        <v>666.66666666666674</v>
      </c>
      <c r="DQ76" s="154">
        <v>666.66666666666674</v>
      </c>
      <c r="DR76" s="154">
        <v>28444.444444444445</v>
      </c>
      <c r="DS76" s="154">
        <v>2666.666666666667</v>
      </c>
      <c r="DT76" s="154">
        <v>18028.782222222224</v>
      </c>
      <c r="DU76" s="154">
        <v>666.66666666666674</v>
      </c>
      <c r="DV76" s="154">
        <v>666.66666666666674</v>
      </c>
      <c r="DW76" s="154">
        <v>666.66666666666674</v>
      </c>
      <c r="DX76" s="157">
        <f t="shared" si="221"/>
        <v>55139.893333333326</v>
      </c>
      <c r="DY76" s="161"/>
      <c r="DZ76" s="163">
        <v>23.80952380952381</v>
      </c>
      <c r="EA76" s="164">
        <v>23.80952380952381</v>
      </c>
      <c r="EB76" s="154">
        <v>23.80952380952381</v>
      </c>
      <c r="EC76" s="154">
        <v>23.80952380952381</v>
      </c>
      <c r="ED76" s="154">
        <v>23.80952380952381</v>
      </c>
      <c r="EE76" s="154">
        <v>23.80952380952381</v>
      </c>
      <c r="EF76" s="154">
        <v>1015.8730158730159</v>
      </c>
      <c r="EG76" s="154">
        <v>95.238095238095241</v>
      </c>
      <c r="EH76" s="154">
        <v>643.88507936507938</v>
      </c>
      <c r="EI76" s="154">
        <v>23.80952380952381</v>
      </c>
      <c r="EJ76" s="154">
        <v>23.80952380952381</v>
      </c>
      <c r="EK76" s="154">
        <v>23.80952380952381</v>
      </c>
      <c r="EL76" s="157">
        <f t="shared" si="222"/>
        <v>1969.281904761905</v>
      </c>
      <c r="EM76" s="161"/>
      <c r="EN76" s="163">
        <v>47.61904761904762</v>
      </c>
      <c r="EO76" s="164">
        <v>47.61904761904762</v>
      </c>
      <c r="EP76" s="154">
        <v>47.61904761904762</v>
      </c>
      <c r="EQ76" s="154">
        <v>47.61904761904762</v>
      </c>
      <c r="ER76" s="154">
        <v>47.61904761904762</v>
      </c>
      <c r="ES76" s="154">
        <v>47.61904761904762</v>
      </c>
      <c r="ET76" s="154">
        <v>2031.7460317460318</v>
      </c>
      <c r="EU76" s="154">
        <v>190.47619047619048</v>
      </c>
      <c r="EV76" s="154">
        <v>1287.7701587301588</v>
      </c>
      <c r="EW76" s="154">
        <v>47.61904761904762</v>
      </c>
      <c r="EX76" s="154">
        <v>47.61904761904762</v>
      </c>
      <c r="EY76" s="154">
        <v>47.61904761904762</v>
      </c>
      <c r="EZ76" s="157">
        <f t="shared" si="223"/>
        <v>3938.5638095238101</v>
      </c>
      <c r="FA76" s="161"/>
      <c r="FB76" s="163">
        <v>23.80952380952381</v>
      </c>
      <c r="FC76" s="164">
        <v>23.80952380952381</v>
      </c>
      <c r="FD76" s="154">
        <v>23.80952380952381</v>
      </c>
      <c r="FE76" s="154">
        <v>23.80952380952381</v>
      </c>
      <c r="FF76" s="154">
        <v>23.80952380952381</v>
      </c>
      <c r="FG76" s="154">
        <v>23.80952380952381</v>
      </c>
      <c r="FH76" s="154">
        <v>1015.8730158730159</v>
      </c>
      <c r="FI76" s="154">
        <v>95.238095238095241</v>
      </c>
      <c r="FJ76" s="154">
        <v>643.88507936507938</v>
      </c>
      <c r="FK76" s="154">
        <v>23.80952380952381</v>
      </c>
      <c r="FL76" s="154">
        <v>23.80952380952381</v>
      </c>
      <c r="FM76" s="154">
        <v>23.80952380952381</v>
      </c>
      <c r="FN76" s="157">
        <f t="shared" si="224"/>
        <v>1969.281904761905</v>
      </c>
      <c r="FO76" s="161"/>
      <c r="FP76" s="163">
        <v>166.66666666666669</v>
      </c>
      <c r="FQ76" s="164">
        <v>166.66666666666669</v>
      </c>
      <c r="FR76" s="154">
        <v>166.66666666666669</v>
      </c>
      <c r="FS76" s="154">
        <v>166.66666666666669</v>
      </c>
      <c r="FT76" s="154">
        <v>166.66666666666669</v>
      </c>
      <c r="FU76" s="154">
        <v>166.66666666666669</v>
      </c>
      <c r="FV76" s="154">
        <v>7111.1111111111113</v>
      </c>
      <c r="FW76" s="154">
        <v>666.66666666666674</v>
      </c>
      <c r="FX76" s="154">
        <v>4507.195555555556</v>
      </c>
      <c r="FY76" s="154">
        <v>166.66666666666669</v>
      </c>
      <c r="FZ76" s="154">
        <v>166.66666666666669</v>
      </c>
      <c r="GA76" s="154">
        <v>166.66666666666669</v>
      </c>
      <c r="GB76" s="157">
        <f t="shared" si="225"/>
        <v>13784.973333333332</v>
      </c>
      <c r="GC76" s="161"/>
      <c r="GD76" s="163">
        <v>23.80952380952381</v>
      </c>
      <c r="GE76" s="164">
        <v>23.80952380952381</v>
      </c>
      <c r="GF76" s="154">
        <v>23.80952380952381</v>
      </c>
      <c r="GG76" s="154">
        <v>23.80952380952381</v>
      </c>
      <c r="GH76" s="154">
        <v>23.80952380952381</v>
      </c>
      <c r="GI76" s="154">
        <v>23.80952380952381</v>
      </c>
      <c r="GJ76" s="154">
        <v>1015.8730158730159</v>
      </c>
      <c r="GK76" s="154">
        <v>95.238095238095241</v>
      </c>
      <c r="GL76" s="154">
        <v>643.88507936507938</v>
      </c>
      <c r="GM76" s="154">
        <v>23.80952380952381</v>
      </c>
      <c r="GN76" s="154">
        <v>23.80952380952381</v>
      </c>
      <c r="GO76" s="154">
        <v>23.80952380952381</v>
      </c>
      <c r="GP76" s="157">
        <f t="shared" si="226"/>
        <v>1969.281904761905</v>
      </c>
      <c r="GQ76" s="161"/>
      <c r="GR76" s="163">
        <v>0</v>
      </c>
      <c r="GS76" s="164">
        <v>0</v>
      </c>
      <c r="GT76" s="154">
        <v>0</v>
      </c>
      <c r="GU76" s="154">
        <v>0</v>
      </c>
      <c r="GV76" s="154">
        <v>0</v>
      </c>
      <c r="GW76" s="154">
        <v>0</v>
      </c>
      <c r="GX76" s="154">
        <v>0</v>
      </c>
      <c r="GY76" s="154">
        <v>0</v>
      </c>
      <c r="GZ76" s="154">
        <v>0</v>
      </c>
      <c r="HA76" s="154">
        <v>0</v>
      </c>
      <c r="HB76" s="154">
        <v>0</v>
      </c>
      <c r="HC76" s="154">
        <v>0</v>
      </c>
      <c r="HD76" s="157">
        <f t="shared" si="238"/>
        <v>0</v>
      </c>
      <c r="HE76" s="161"/>
      <c r="HF76" s="163">
        <v>95.238095238095241</v>
      </c>
      <c r="HG76" s="164">
        <v>95.238095238095241</v>
      </c>
      <c r="HH76" s="154">
        <v>95.238095238095241</v>
      </c>
      <c r="HI76" s="154">
        <v>95.238095238095241</v>
      </c>
      <c r="HJ76" s="154">
        <v>95.238095238095241</v>
      </c>
      <c r="HK76" s="154">
        <v>95.238095238095241</v>
      </c>
      <c r="HL76" s="154">
        <v>4063.4920634920636</v>
      </c>
      <c r="HM76" s="154">
        <v>380.95238095238096</v>
      </c>
      <c r="HN76" s="154">
        <v>2575.5403174603175</v>
      </c>
      <c r="HO76" s="154">
        <v>95.238095238095241</v>
      </c>
      <c r="HP76" s="154">
        <v>95.238095238095241</v>
      </c>
      <c r="HQ76" s="154">
        <v>95.238095238095241</v>
      </c>
      <c r="HR76" s="157">
        <f t="shared" si="227"/>
        <v>7877.1276190476201</v>
      </c>
      <c r="HS76" s="161"/>
      <c r="HT76" s="163">
        <v>23.80952380952381</v>
      </c>
      <c r="HU76" s="164">
        <v>23.80952380952381</v>
      </c>
      <c r="HV76" s="154">
        <v>23.80952380952381</v>
      </c>
      <c r="HW76" s="154">
        <v>23.80952380952381</v>
      </c>
      <c r="HX76" s="154">
        <v>23.80952380952381</v>
      </c>
      <c r="HY76" s="154">
        <v>23.80952380952381</v>
      </c>
      <c r="HZ76" s="154">
        <v>1015.8730158730159</v>
      </c>
      <c r="IA76" s="154">
        <v>95.238095238095241</v>
      </c>
      <c r="IB76" s="154">
        <v>643.88507936507938</v>
      </c>
      <c r="IC76" s="154">
        <v>23.80952380952381</v>
      </c>
      <c r="ID76" s="154">
        <v>23.80952380952381</v>
      </c>
      <c r="IE76" s="154">
        <v>23.80952380952381</v>
      </c>
      <c r="IF76" s="157">
        <f t="shared" si="228"/>
        <v>1969.281904761905</v>
      </c>
      <c r="IG76" s="161"/>
      <c r="IH76" s="163">
        <v>23.80952380952381</v>
      </c>
      <c r="II76" s="164">
        <v>23.80952380952381</v>
      </c>
      <c r="IJ76" s="154">
        <v>23.80952380952381</v>
      </c>
      <c r="IK76" s="154">
        <v>23.80952380952381</v>
      </c>
      <c r="IL76" s="154">
        <v>23.80952380952381</v>
      </c>
      <c r="IM76" s="154">
        <v>23.80952380952381</v>
      </c>
      <c r="IN76" s="154">
        <v>1015.8730158730159</v>
      </c>
      <c r="IO76" s="154">
        <v>95.238095238095241</v>
      </c>
      <c r="IP76" s="154">
        <v>643.88507936507938</v>
      </c>
      <c r="IQ76" s="154">
        <v>23.80952380952381</v>
      </c>
      <c r="IR76" s="154">
        <v>23.80952380952381</v>
      </c>
      <c r="IS76" s="154">
        <v>23.80952380952381</v>
      </c>
      <c r="IT76" s="157">
        <f t="shared" si="229"/>
        <v>1969.281904761905</v>
      </c>
      <c r="IU76" s="161"/>
      <c r="IV76" s="163">
        <v>166.66666666666669</v>
      </c>
      <c r="IW76" s="164">
        <v>166.66666666666669</v>
      </c>
      <c r="IX76" s="154">
        <v>166.66666666666669</v>
      </c>
      <c r="IY76" s="154">
        <v>166.66666666666669</v>
      </c>
      <c r="IZ76" s="154">
        <v>166.66666666666669</v>
      </c>
      <c r="JA76" s="154">
        <v>166.66666666666669</v>
      </c>
      <c r="JB76" s="154">
        <v>7111.1111111111113</v>
      </c>
      <c r="JC76" s="154">
        <v>666.66666666666674</v>
      </c>
      <c r="JD76" s="154">
        <v>4507.195555555556</v>
      </c>
      <c r="JE76" s="154">
        <v>166.66666666666669</v>
      </c>
      <c r="JF76" s="154">
        <v>166.66666666666669</v>
      </c>
      <c r="JG76" s="154">
        <v>166.66666666666669</v>
      </c>
      <c r="JH76" s="157">
        <f t="shared" si="230"/>
        <v>13784.973333333332</v>
      </c>
      <c r="JI76" s="161"/>
      <c r="JJ76" s="163">
        <v>261.90476190476193</v>
      </c>
      <c r="JK76" s="164">
        <v>261.90476190476193</v>
      </c>
      <c r="JL76" s="154">
        <v>261.90476190476193</v>
      </c>
      <c r="JM76" s="154">
        <v>261.90476190476193</v>
      </c>
      <c r="JN76" s="154">
        <v>261.90476190476193</v>
      </c>
      <c r="JO76" s="154">
        <v>261.90476190476193</v>
      </c>
      <c r="JP76" s="154">
        <v>11174.603174603175</v>
      </c>
      <c r="JQ76" s="154">
        <v>1047.6190476190477</v>
      </c>
      <c r="JR76" s="154">
        <v>7082.735873015873</v>
      </c>
      <c r="JS76" s="154">
        <v>261.90476190476193</v>
      </c>
      <c r="JT76" s="154">
        <v>261.90476190476193</v>
      </c>
      <c r="JU76" s="154">
        <v>261.90476190476193</v>
      </c>
      <c r="JV76" s="157">
        <f t="shared" si="231"/>
        <v>21662.100952380955</v>
      </c>
      <c r="JW76" s="161"/>
      <c r="JX76" s="163">
        <v>119.04761904761905</v>
      </c>
      <c r="JY76" s="164">
        <v>119.04761904761905</v>
      </c>
      <c r="JZ76" s="154">
        <v>119.04761904761905</v>
      </c>
      <c r="KA76" s="154">
        <v>119.04761904761905</v>
      </c>
      <c r="KB76" s="154">
        <v>119.04761904761905</v>
      </c>
      <c r="KC76" s="154">
        <v>119.04761904761905</v>
      </c>
      <c r="KD76" s="154">
        <v>5079.3650793650795</v>
      </c>
      <c r="KE76" s="154">
        <v>476.1904761904762</v>
      </c>
      <c r="KF76" s="154">
        <v>3219.425396825397</v>
      </c>
      <c r="KG76" s="154">
        <v>119.04761904761905</v>
      </c>
      <c r="KH76" s="154">
        <v>119.04761904761905</v>
      </c>
      <c r="KI76" s="154">
        <v>119.04761904761905</v>
      </c>
      <c r="KJ76" s="157">
        <f t="shared" si="232"/>
        <v>9846.4095238095215</v>
      </c>
      <c r="KK76" s="161"/>
      <c r="KL76" s="163">
        <v>47.61904761904762</v>
      </c>
      <c r="KM76" s="164">
        <v>47.61904761904762</v>
      </c>
      <c r="KN76" s="154">
        <v>47.61904761904762</v>
      </c>
      <c r="KO76" s="154">
        <v>47.61904761904762</v>
      </c>
      <c r="KP76" s="154">
        <v>47.61904761904762</v>
      </c>
      <c r="KQ76" s="154">
        <v>47.61904761904762</v>
      </c>
      <c r="KR76" s="154">
        <v>2031.7460317460318</v>
      </c>
      <c r="KS76" s="154">
        <v>190.47619047619048</v>
      </c>
      <c r="KT76" s="154">
        <v>1287.7701587301588</v>
      </c>
      <c r="KU76" s="154">
        <v>47.61904761904762</v>
      </c>
      <c r="KV76" s="154">
        <v>47.61904761904762</v>
      </c>
      <c r="KW76" s="154">
        <v>47.61904761904762</v>
      </c>
      <c r="KX76" s="157">
        <f t="shared" si="233"/>
        <v>3938.5638095238101</v>
      </c>
      <c r="KY76" s="161"/>
      <c r="KZ76" s="163">
        <v>23.80952380952381</v>
      </c>
      <c r="LA76" s="164">
        <v>23.80952380952381</v>
      </c>
      <c r="LB76" s="154">
        <v>23.80952380952381</v>
      </c>
      <c r="LC76" s="154">
        <v>23.80952380952381</v>
      </c>
      <c r="LD76" s="154">
        <v>23.80952380952381</v>
      </c>
      <c r="LE76" s="154">
        <v>23.80952380952381</v>
      </c>
      <c r="LF76" s="154">
        <v>1015.8730158730159</v>
      </c>
      <c r="LG76" s="154">
        <v>95.238095238095241</v>
      </c>
      <c r="LH76" s="154">
        <v>643.88507936507938</v>
      </c>
      <c r="LI76" s="154">
        <v>23.80952380952381</v>
      </c>
      <c r="LJ76" s="154">
        <v>23.80952380952381</v>
      </c>
      <c r="LK76" s="154">
        <v>23.80952380952381</v>
      </c>
      <c r="LL76" s="157">
        <f t="shared" si="234"/>
        <v>1969.281904761905</v>
      </c>
      <c r="LM76" s="161"/>
      <c r="LN76" s="163">
        <v>0</v>
      </c>
      <c r="LO76" s="164">
        <v>0</v>
      </c>
      <c r="LP76" s="154">
        <v>0</v>
      </c>
      <c r="LQ76" s="154">
        <v>0</v>
      </c>
      <c r="LR76" s="154">
        <v>0</v>
      </c>
      <c r="LS76" s="154">
        <v>0</v>
      </c>
      <c r="LT76" s="154">
        <v>0</v>
      </c>
      <c r="LU76" s="154">
        <v>0</v>
      </c>
      <c r="LV76" s="154">
        <v>0</v>
      </c>
      <c r="LW76" s="154">
        <v>0</v>
      </c>
      <c r="LX76" s="154">
        <v>0</v>
      </c>
      <c r="LY76" s="154">
        <v>0</v>
      </c>
      <c r="LZ76" s="157">
        <f t="shared" si="235"/>
        <v>0</v>
      </c>
      <c r="MA76" s="161"/>
      <c r="MB76" s="157">
        <f t="shared" ref="MB76:MM80" si="240">SUMIF($D$6:$LY$6,MB$3,$D76:$LY76)</f>
        <v>3904.761904761906</v>
      </c>
      <c r="MC76" s="157">
        <f t="shared" si="240"/>
        <v>3904.761904761906</v>
      </c>
      <c r="MD76" s="157">
        <f t="shared" si="240"/>
        <v>3904.761904761906</v>
      </c>
      <c r="ME76" s="157">
        <f t="shared" si="240"/>
        <v>3904.761904761906</v>
      </c>
      <c r="MF76" s="157">
        <f t="shared" si="240"/>
        <v>3904.761904761906</v>
      </c>
      <c r="MG76" s="157">
        <f t="shared" si="240"/>
        <v>3904.761904761906</v>
      </c>
      <c r="MH76" s="157">
        <f t="shared" si="240"/>
        <v>166603.17460317464</v>
      </c>
      <c r="MI76" s="157">
        <f t="shared" si="240"/>
        <v>15619.047619047624</v>
      </c>
      <c r="MJ76" s="157">
        <f t="shared" si="240"/>
        <v>105597.153015873</v>
      </c>
      <c r="MK76" s="157">
        <f t="shared" si="240"/>
        <v>3904.761904761906</v>
      </c>
      <c r="ML76" s="157">
        <f t="shared" si="240"/>
        <v>3904.761904761906</v>
      </c>
      <c r="MM76" s="157">
        <f t="shared" si="240"/>
        <v>3904.761904761906</v>
      </c>
      <c r="MN76" s="157">
        <f t="shared" si="239"/>
        <v>322962.2323809524</v>
      </c>
    </row>
    <row r="77" spans="1:352" x14ac:dyDescent="0.25">
      <c r="A77" s="98"/>
      <c r="B77" s="64" t="s">
        <v>93</v>
      </c>
      <c r="C77" s="98"/>
      <c r="D77" s="163">
        <v>3452.3809523809523</v>
      </c>
      <c r="E77" s="164">
        <v>0</v>
      </c>
      <c r="F77" s="164">
        <v>0</v>
      </c>
      <c r="G77" s="164">
        <v>0</v>
      </c>
      <c r="H77" s="164">
        <v>0</v>
      </c>
      <c r="I77" s="164">
        <v>287.69841269841271</v>
      </c>
      <c r="J77" s="164">
        <v>0</v>
      </c>
      <c r="K77" s="164">
        <v>0</v>
      </c>
      <c r="L77" s="164">
        <v>0</v>
      </c>
      <c r="M77" s="164">
        <v>0</v>
      </c>
      <c r="N77" s="164">
        <v>1150.7936507936508</v>
      </c>
      <c r="O77" s="164">
        <v>0</v>
      </c>
      <c r="P77" s="157">
        <f t="shared" si="213"/>
        <v>4890.8730158730159</v>
      </c>
      <c r="Q77" s="161"/>
      <c r="R77" s="163">
        <v>357.14285714285717</v>
      </c>
      <c r="S77" s="164">
        <v>0</v>
      </c>
      <c r="T77" s="164">
        <v>0</v>
      </c>
      <c r="U77" s="164">
        <v>0</v>
      </c>
      <c r="V77" s="164">
        <v>0</v>
      </c>
      <c r="W77" s="164">
        <v>29.761904761904763</v>
      </c>
      <c r="X77" s="164">
        <v>0</v>
      </c>
      <c r="Y77" s="164">
        <v>0</v>
      </c>
      <c r="Z77" s="164">
        <v>0</v>
      </c>
      <c r="AA77" s="164">
        <v>0</v>
      </c>
      <c r="AB77" s="164">
        <v>119.04761904761905</v>
      </c>
      <c r="AC77" s="164">
        <v>0</v>
      </c>
      <c r="AD77" s="157">
        <f t="shared" si="214"/>
        <v>505.95238095238096</v>
      </c>
      <c r="AE77" s="161"/>
      <c r="AF77" s="163">
        <v>357.14285714285717</v>
      </c>
      <c r="AG77" s="164">
        <v>0</v>
      </c>
      <c r="AH77" s="164">
        <v>0</v>
      </c>
      <c r="AI77" s="164">
        <v>0</v>
      </c>
      <c r="AJ77" s="164">
        <v>0</v>
      </c>
      <c r="AK77" s="164">
        <v>29.761904761904763</v>
      </c>
      <c r="AL77" s="164">
        <v>0</v>
      </c>
      <c r="AM77" s="164">
        <v>0</v>
      </c>
      <c r="AN77" s="164">
        <v>0</v>
      </c>
      <c r="AO77" s="164">
        <v>0</v>
      </c>
      <c r="AP77" s="164">
        <v>119.04761904761905</v>
      </c>
      <c r="AQ77" s="164">
        <v>0</v>
      </c>
      <c r="AR77" s="157">
        <f t="shared" si="215"/>
        <v>505.95238095238096</v>
      </c>
      <c r="AT77" s="163">
        <v>238.0952380952381</v>
      </c>
      <c r="AU77" s="164">
        <v>0</v>
      </c>
      <c r="AV77" s="164">
        <v>0</v>
      </c>
      <c r="AW77" s="164">
        <v>0</v>
      </c>
      <c r="AX77" s="164">
        <v>0</v>
      </c>
      <c r="AY77" s="164">
        <v>19.841269841269842</v>
      </c>
      <c r="AZ77" s="164">
        <v>0</v>
      </c>
      <c r="BA77" s="164">
        <v>0</v>
      </c>
      <c r="BB77" s="164">
        <v>0</v>
      </c>
      <c r="BC77" s="164">
        <v>0</v>
      </c>
      <c r="BD77" s="164">
        <v>79.365079365079367</v>
      </c>
      <c r="BE77" s="164">
        <v>0</v>
      </c>
      <c r="BF77" s="157">
        <f t="shared" si="216"/>
        <v>337.30158730158735</v>
      </c>
      <c r="BH77" s="163">
        <v>1785.7142857142858</v>
      </c>
      <c r="BI77" s="164">
        <v>0</v>
      </c>
      <c r="BJ77" s="154">
        <v>0</v>
      </c>
      <c r="BK77" s="154">
        <v>0</v>
      </c>
      <c r="BL77" s="154">
        <v>0</v>
      </c>
      <c r="BM77" s="154">
        <v>148.80952380952382</v>
      </c>
      <c r="BN77" s="154">
        <v>0</v>
      </c>
      <c r="BO77" s="154">
        <v>0</v>
      </c>
      <c r="BP77" s="154">
        <v>0</v>
      </c>
      <c r="BQ77" s="154">
        <v>0</v>
      </c>
      <c r="BR77" s="154">
        <v>595.2380952380953</v>
      </c>
      <c r="BS77" s="154">
        <v>0</v>
      </c>
      <c r="BT77" s="157">
        <f t="shared" si="217"/>
        <v>2529.761904761905</v>
      </c>
      <c r="BV77" s="163">
        <v>119.04761904761905</v>
      </c>
      <c r="BW77" s="164">
        <v>0</v>
      </c>
      <c r="BX77" s="154">
        <v>0</v>
      </c>
      <c r="BY77" s="154">
        <v>0</v>
      </c>
      <c r="BZ77" s="154">
        <v>0</v>
      </c>
      <c r="CA77" s="154">
        <v>9.9206349206349209</v>
      </c>
      <c r="CB77" s="154">
        <v>0</v>
      </c>
      <c r="CC77" s="154">
        <v>0</v>
      </c>
      <c r="CD77" s="154">
        <v>0</v>
      </c>
      <c r="CE77" s="154">
        <v>0</v>
      </c>
      <c r="CF77" s="154">
        <v>39.682539682539684</v>
      </c>
      <c r="CG77" s="154">
        <v>0</v>
      </c>
      <c r="CH77" s="157">
        <f t="shared" si="218"/>
        <v>168.65079365079367</v>
      </c>
      <c r="CI77" s="161"/>
      <c r="CJ77" s="163">
        <v>1309.5238095238096</v>
      </c>
      <c r="CK77" s="164">
        <v>0</v>
      </c>
      <c r="CL77" s="154">
        <v>0</v>
      </c>
      <c r="CM77" s="154">
        <v>0</v>
      </c>
      <c r="CN77" s="154">
        <v>0</v>
      </c>
      <c r="CO77" s="154">
        <v>109.12698412698413</v>
      </c>
      <c r="CP77" s="154">
        <v>0</v>
      </c>
      <c r="CQ77" s="154">
        <v>0</v>
      </c>
      <c r="CR77" s="154">
        <v>0</v>
      </c>
      <c r="CS77" s="154">
        <v>0</v>
      </c>
      <c r="CT77" s="154">
        <v>436.50793650793651</v>
      </c>
      <c r="CU77" s="154">
        <v>0</v>
      </c>
      <c r="CV77" s="157">
        <f t="shared" si="219"/>
        <v>1855.1587301587301</v>
      </c>
      <c r="CW77" s="161"/>
      <c r="CX77" s="163">
        <v>3333.3333333333335</v>
      </c>
      <c r="CY77" s="164">
        <v>0</v>
      </c>
      <c r="CZ77" s="154">
        <v>0</v>
      </c>
      <c r="DA77" s="154">
        <v>0</v>
      </c>
      <c r="DB77" s="154">
        <v>0</v>
      </c>
      <c r="DC77" s="154">
        <v>277.77777777777777</v>
      </c>
      <c r="DD77" s="154">
        <v>0</v>
      </c>
      <c r="DE77" s="154">
        <v>0</v>
      </c>
      <c r="DF77" s="154">
        <v>0</v>
      </c>
      <c r="DG77" s="154">
        <v>0</v>
      </c>
      <c r="DH77" s="154">
        <v>1111.1111111111111</v>
      </c>
      <c r="DI77" s="154">
        <v>0</v>
      </c>
      <c r="DJ77" s="157">
        <f t="shared" si="220"/>
        <v>4722.2222222222226</v>
      </c>
      <c r="DK77" s="161"/>
      <c r="DL77" s="163">
        <v>3333.3333333333335</v>
      </c>
      <c r="DM77" s="164">
        <v>0</v>
      </c>
      <c r="DN77" s="154">
        <v>0</v>
      </c>
      <c r="DO77" s="154">
        <v>0</v>
      </c>
      <c r="DP77" s="154">
        <v>0</v>
      </c>
      <c r="DQ77" s="154">
        <v>277.77777777777777</v>
      </c>
      <c r="DR77" s="154">
        <v>0</v>
      </c>
      <c r="DS77" s="154">
        <v>0</v>
      </c>
      <c r="DT77" s="154">
        <v>0</v>
      </c>
      <c r="DU77" s="154">
        <v>0</v>
      </c>
      <c r="DV77" s="154">
        <v>1111.1111111111111</v>
      </c>
      <c r="DW77" s="154">
        <v>0</v>
      </c>
      <c r="DX77" s="157">
        <f t="shared" si="221"/>
        <v>4722.2222222222226</v>
      </c>
      <c r="DY77" s="161"/>
      <c r="DZ77" s="163">
        <v>119.04761904761905</v>
      </c>
      <c r="EA77" s="164">
        <v>0</v>
      </c>
      <c r="EB77" s="154">
        <v>0</v>
      </c>
      <c r="EC77" s="154">
        <v>0</v>
      </c>
      <c r="ED77" s="154">
        <v>0</v>
      </c>
      <c r="EE77" s="154">
        <v>9.9206349206349209</v>
      </c>
      <c r="EF77" s="154">
        <v>0</v>
      </c>
      <c r="EG77" s="154">
        <v>0</v>
      </c>
      <c r="EH77" s="154">
        <v>0</v>
      </c>
      <c r="EI77" s="154">
        <v>0</v>
      </c>
      <c r="EJ77" s="154">
        <v>39.682539682539684</v>
      </c>
      <c r="EK77" s="154">
        <v>0</v>
      </c>
      <c r="EL77" s="157">
        <f t="shared" si="222"/>
        <v>168.65079365079367</v>
      </c>
      <c r="EM77" s="161"/>
      <c r="EN77" s="163">
        <v>238.0952380952381</v>
      </c>
      <c r="EO77" s="164">
        <v>0</v>
      </c>
      <c r="EP77" s="154">
        <v>0</v>
      </c>
      <c r="EQ77" s="154">
        <v>0</v>
      </c>
      <c r="ER77" s="154">
        <v>0</v>
      </c>
      <c r="ES77" s="154">
        <v>19.841269841269842</v>
      </c>
      <c r="ET77" s="154">
        <v>0</v>
      </c>
      <c r="EU77" s="154">
        <v>0</v>
      </c>
      <c r="EV77" s="154">
        <v>0</v>
      </c>
      <c r="EW77" s="154">
        <v>0</v>
      </c>
      <c r="EX77" s="154">
        <v>79.365079365079367</v>
      </c>
      <c r="EY77" s="154">
        <v>0</v>
      </c>
      <c r="EZ77" s="157">
        <f t="shared" si="223"/>
        <v>337.30158730158735</v>
      </c>
      <c r="FA77" s="161"/>
      <c r="FB77" s="163">
        <v>119.04761904761905</v>
      </c>
      <c r="FC77" s="164">
        <v>0</v>
      </c>
      <c r="FD77" s="154">
        <v>0</v>
      </c>
      <c r="FE77" s="154">
        <v>0</v>
      </c>
      <c r="FF77" s="154">
        <v>0</v>
      </c>
      <c r="FG77" s="154">
        <v>9.9206349206349209</v>
      </c>
      <c r="FH77" s="154">
        <v>0</v>
      </c>
      <c r="FI77" s="154">
        <v>0</v>
      </c>
      <c r="FJ77" s="154">
        <v>0</v>
      </c>
      <c r="FK77" s="154">
        <v>0</v>
      </c>
      <c r="FL77" s="154">
        <v>39.682539682539684</v>
      </c>
      <c r="FM77" s="154">
        <v>0</v>
      </c>
      <c r="FN77" s="157">
        <f t="shared" si="224"/>
        <v>168.65079365079367</v>
      </c>
      <c r="FO77" s="161"/>
      <c r="FP77" s="163">
        <v>833.33333333333337</v>
      </c>
      <c r="FQ77" s="164">
        <v>0</v>
      </c>
      <c r="FR77" s="154">
        <v>0</v>
      </c>
      <c r="FS77" s="154">
        <v>0</v>
      </c>
      <c r="FT77" s="154">
        <v>0</v>
      </c>
      <c r="FU77" s="154">
        <v>69.444444444444443</v>
      </c>
      <c r="FV77" s="154">
        <v>0</v>
      </c>
      <c r="FW77" s="154">
        <v>0</v>
      </c>
      <c r="FX77" s="154">
        <v>0</v>
      </c>
      <c r="FY77" s="154">
        <v>0</v>
      </c>
      <c r="FZ77" s="154">
        <v>277.77777777777777</v>
      </c>
      <c r="GA77" s="154">
        <v>0</v>
      </c>
      <c r="GB77" s="157">
        <f t="shared" si="225"/>
        <v>1180.5555555555557</v>
      </c>
      <c r="GC77" s="161"/>
      <c r="GD77" s="163">
        <v>119.04761904761905</v>
      </c>
      <c r="GE77" s="164">
        <v>0</v>
      </c>
      <c r="GF77" s="154">
        <v>0</v>
      </c>
      <c r="GG77" s="154">
        <v>0</v>
      </c>
      <c r="GH77" s="154">
        <v>0</v>
      </c>
      <c r="GI77" s="154">
        <v>9.9206349206349209</v>
      </c>
      <c r="GJ77" s="154">
        <v>0</v>
      </c>
      <c r="GK77" s="154">
        <v>0</v>
      </c>
      <c r="GL77" s="154">
        <v>0</v>
      </c>
      <c r="GM77" s="154">
        <v>0</v>
      </c>
      <c r="GN77" s="154">
        <v>39.682539682539684</v>
      </c>
      <c r="GO77" s="154">
        <v>0</v>
      </c>
      <c r="GP77" s="157">
        <f t="shared" si="226"/>
        <v>168.65079365079367</v>
      </c>
      <c r="GQ77" s="161"/>
      <c r="GR77" s="163">
        <v>20000</v>
      </c>
      <c r="GS77" s="164">
        <v>0</v>
      </c>
      <c r="GT77" s="154">
        <v>0</v>
      </c>
      <c r="GU77" s="154">
        <v>0</v>
      </c>
      <c r="GV77" s="154">
        <v>0</v>
      </c>
      <c r="GW77" s="154">
        <v>0</v>
      </c>
      <c r="GX77" s="154">
        <v>0</v>
      </c>
      <c r="GY77" s="154">
        <v>0</v>
      </c>
      <c r="GZ77" s="154">
        <v>0</v>
      </c>
      <c r="HA77" s="154">
        <v>0</v>
      </c>
      <c r="HB77" s="154">
        <v>0</v>
      </c>
      <c r="HC77" s="154">
        <v>0</v>
      </c>
      <c r="HD77" s="157">
        <f t="shared" si="238"/>
        <v>0</v>
      </c>
      <c r="HE77" s="161"/>
      <c r="HF77" s="163">
        <v>476.1904761904762</v>
      </c>
      <c r="HG77" s="164">
        <v>0</v>
      </c>
      <c r="HH77" s="154">
        <v>0</v>
      </c>
      <c r="HI77" s="154">
        <v>0</v>
      </c>
      <c r="HJ77" s="154">
        <v>0</v>
      </c>
      <c r="HK77" s="154">
        <v>39.682539682539684</v>
      </c>
      <c r="HL77" s="154">
        <v>0</v>
      </c>
      <c r="HM77" s="154">
        <v>0</v>
      </c>
      <c r="HN77" s="154">
        <v>0</v>
      </c>
      <c r="HO77" s="154">
        <v>0</v>
      </c>
      <c r="HP77" s="154">
        <v>158.73015873015873</v>
      </c>
      <c r="HQ77" s="154">
        <v>0</v>
      </c>
      <c r="HR77" s="157">
        <f t="shared" si="227"/>
        <v>674.60317460317469</v>
      </c>
      <c r="HS77" s="161"/>
      <c r="HT77" s="163">
        <v>119.04761904761905</v>
      </c>
      <c r="HU77" s="164">
        <v>0</v>
      </c>
      <c r="HV77" s="154">
        <v>0</v>
      </c>
      <c r="HW77" s="154">
        <v>0</v>
      </c>
      <c r="HX77" s="154">
        <v>0</v>
      </c>
      <c r="HY77" s="154">
        <v>9.9206349206349209</v>
      </c>
      <c r="HZ77" s="154">
        <v>0</v>
      </c>
      <c r="IA77" s="154">
        <v>0</v>
      </c>
      <c r="IB77" s="154">
        <v>0</v>
      </c>
      <c r="IC77" s="154">
        <v>0</v>
      </c>
      <c r="ID77" s="154">
        <v>39.682539682539684</v>
      </c>
      <c r="IE77" s="154">
        <v>0</v>
      </c>
      <c r="IF77" s="157">
        <f t="shared" si="228"/>
        <v>168.65079365079367</v>
      </c>
      <c r="IG77" s="161"/>
      <c r="IH77" s="163">
        <v>119.04761904761905</v>
      </c>
      <c r="II77" s="164">
        <v>0</v>
      </c>
      <c r="IJ77" s="154">
        <v>0</v>
      </c>
      <c r="IK77" s="154">
        <v>0</v>
      </c>
      <c r="IL77" s="154">
        <v>0</v>
      </c>
      <c r="IM77" s="154">
        <v>9.9206349206349209</v>
      </c>
      <c r="IN77" s="154">
        <v>0</v>
      </c>
      <c r="IO77" s="154">
        <v>0</v>
      </c>
      <c r="IP77" s="154">
        <v>0</v>
      </c>
      <c r="IQ77" s="154">
        <v>0</v>
      </c>
      <c r="IR77" s="154">
        <v>39.682539682539684</v>
      </c>
      <c r="IS77" s="154">
        <v>0</v>
      </c>
      <c r="IT77" s="157">
        <f t="shared" si="229"/>
        <v>168.65079365079367</v>
      </c>
      <c r="IU77" s="161"/>
      <c r="IV77" s="163">
        <v>833.33333333333337</v>
      </c>
      <c r="IW77" s="164">
        <v>0</v>
      </c>
      <c r="IX77" s="154">
        <v>0</v>
      </c>
      <c r="IY77" s="154">
        <v>0</v>
      </c>
      <c r="IZ77" s="154">
        <v>0</v>
      </c>
      <c r="JA77" s="154">
        <v>69.444444444444443</v>
      </c>
      <c r="JB77" s="154">
        <v>0</v>
      </c>
      <c r="JC77" s="154">
        <v>0</v>
      </c>
      <c r="JD77" s="154">
        <v>0</v>
      </c>
      <c r="JE77" s="154">
        <v>0</v>
      </c>
      <c r="JF77" s="154">
        <v>277.77777777777777</v>
      </c>
      <c r="JG77" s="154">
        <v>0</v>
      </c>
      <c r="JH77" s="157">
        <f t="shared" si="230"/>
        <v>1180.5555555555557</v>
      </c>
      <c r="JI77" s="161"/>
      <c r="JJ77" s="163">
        <v>1309.5238095238096</v>
      </c>
      <c r="JK77" s="164">
        <v>0</v>
      </c>
      <c r="JL77" s="154">
        <v>0</v>
      </c>
      <c r="JM77" s="154">
        <v>0</v>
      </c>
      <c r="JN77" s="154">
        <v>0</v>
      </c>
      <c r="JO77" s="154">
        <v>109.12698412698413</v>
      </c>
      <c r="JP77" s="154">
        <v>0</v>
      </c>
      <c r="JQ77" s="154">
        <v>0</v>
      </c>
      <c r="JR77" s="154">
        <v>0</v>
      </c>
      <c r="JS77" s="154">
        <v>0</v>
      </c>
      <c r="JT77" s="154">
        <v>436.50793650793651</v>
      </c>
      <c r="JU77" s="154">
        <v>0</v>
      </c>
      <c r="JV77" s="157">
        <f t="shared" si="231"/>
        <v>1855.1587301587301</v>
      </c>
      <c r="JW77" s="161"/>
      <c r="JX77" s="163">
        <v>595.2380952380953</v>
      </c>
      <c r="JY77" s="164">
        <v>0</v>
      </c>
      <c r="JZ77" s="154">
        <v>0</v>
      </c>
      <c r="KA77" s="154">
        <v>0</v>
      </c>
      <c r="KB77" s="154">
        <v>0</v>
      </c>
      <c r="KC77" s="154">
        <v>49.603174603174608</v>
      </c>
      <c r="KD77" s="154">
        <v>0</v>
      </c>
      <c r="KE77" s="154">
        <v>0</v>
      </c>
      <c r="KF77" s="154">
        <v>0</v>
      </c>
      <c r="KG77" s="154">
        <v>0</v>
      </c>
      <c r="KH77" s="154">
        <v>198.41269841269843</v>
      </c>
      <c r="KI77" s="154">
        <v>0</v>
      </c>
      <c r="KJ77" s="157">
        <f t="shared" si="232"/>
        <v>843.25396825396831</v>
      </c>
      <c r="KK77" s="161"/>
      <c r="KL77" s="163">
        <v>238.0952380952381</v>
      </c>
      <c r="KM77" s="164">
        <v>0</v>
      </c>
      <c r="KN77" s="154">
        <v>0</v>
      </c>
      <c r="KO77" s="154">
        <v>0</v>
      </c>
      <c r="KP77" s="154">
        <v>0</v>
      </c>
      <c r="KQ77" s="154">
        <v>19.841269841269842</v>
      </c>
      <c r="KR77" s="154">
        <v>0</v>
      </c>
      <c r="KS77" s="154">
        <v>0</v>
      </c>
      <c r="KT77" s="154">
        <v>0</v>
      </c>
      <c r="KU77" s="154">
        <v>0</v>
      </c>
      <c r="KV77" s="154">
        <v>79.365079365079367</v>
      </c>
      <c r="KW77" s="154">
        <v>0</v>
      </c>
      <c r="KX77" s="157">
        <f t="shared" si="233"/>
        <v>337.30158730158735</v>
      </c>
      <c r="KY77" s="161"/>
      <c r="KZ77" s="163">
        <v>119.04761904761905</v>
      </c>
      <c r="LA77" s="164">
        <v>0</v>
      </c>
      <c r="LB77" s="154">
        <v>0</v>
      </c>
      <c r="LC77" s="154">
        <v>0</v>
      </c>
      <c r="LD77" s="154">
        <v>0</v>
      </c>
      <c r="LE77" s="154">
        <v>9.9206349206349209</v>
      </c>
      <c r="LF77" s="154">
        <v>0</v>
      </c>
      <c r="LG77" s="154">
        <v>0</v>
      </c>
      <c r="LH77" s="154">
        <v>0</v>
      </c>
      <c r="LI77" s="154">
        <v>0</v>
      </c>
      <c r="LJ77" s="154">
        <v>39.682539682539684</v>
      </c>
      <c r="LK77" s="154">
        <v>0</v>
      </c>
      <c r="LL77" s="157">
        <f t="shared" si="234"/>
        <v>168.65079365079367</v>
      </c>
      <c r="LM77" s="161"/>
      <c r="LN77" s="163">
        <v>0</v>
      </c>
      <c r="LO77" s="164">
        <v>0</v>
      </c>
      <c r="LP77" s="154">
        <v>0</v>
      </c>
      <c r="LQ77" s="154">
        <v>0</v>
      </c>
      <c r="LR77" s="154">
        <v>0</v>
      </c>
      <c r="LS77" s="154">
        <v>0</v>
      </c>
      <c r="LT77" s="154">
        <v>0</v>
      </c>
      <c r="LU77" s="154">
        <v>0</v>
      </c>
      <c r="LV77" s="154">
        <v>0</v>
      </c>
      <c r="LW77" s="154">
        <v>0</v>
      </c>
      <c r="LX77" s="154">
        <v>0</v>
      </c>
      <c r="LY77" s="154">
        <v>0</v>
      </c>
      <c r="LZ77" s="157">
        <f t="shared" si="235"/>
        <v>0</v>
      </c>
      <c r="MA77" s="161"/>
      <c r="MB77" s="157">
        <f t="shared" si="240"/>
        <v>39523.809523809519</v>
      </c>
      <c r="MC77" s="157">
        <f t="shared" si="240"/>
        <v>0</v>
      </c>
      <c r="MD77" s="157">
        <f t="shared" si="240"/>
        <v>0</v>
      </c>
      <c r="ME77" s="157">
        <f t="shared" si="240"/>
        <v>0</v>
      </c>
      <c r="MF77" s="157">
        <f t="shared" si="240"/>
        <v>0</v>
      </c>
      <c r="MG77" s="157">
        <f t="shared" si="240"/>
        <v>1626.9841269841272</v>
      </c>
      <c r="MH77" s="157">
        <f t="shared" si="240"/>
        <v>0</v>
      </c>
      <c r="MI77" s="157">
        <f t="shared" si="240"/>
        <v>0</v>
      </c>
      <c r="MJ77" s="157">
        <f t="shared" si="240"/>
        <v>0</v>
      </c>
      <c r="MK77" s="157">
        <f t="shared" si="240"/>
        <v>0</v>
      </c>
      <c r="ML77" s="157">
        <f t="shared" si="240"/>
        <v>6507.9365079365089</v>
      </c>
      <c r="MM77" s="157">
        <f t="shared" si="240"/>
        <v>0</v>
      </c>
      <c r="MN77" s="157">
        <f t="shared" si="239"/>
        <v>47658.730158730155</v>
      </c>
    </row>
    <row r="78" spans="1:352" s="180" customFormat="1" x14ac:dyDescent="0.25">
      <c r="A78" s="98"/>
      <c r="B78" s="64" t="s">
        <v>94</v>
      </c>
      <c r="C78" s="98"/>
      <c r="D78" s="163">
        <v>1726.1904761904761</v>
      </c>
      <c r="E78" s="164">
        <v>1726.1904761904761</v>
      </c>
      <c r="F78" s="164">
        <v>1726.1904761904761</v>
      </c>
      <c r="G78" s="164">
        <v>1726.1904761904761</v>
      </c>
      <c r="H78" s="164">
        <v>1726.1904761904761</v>
      </c>
      <c r="I78" s="164">
        <v>1726.1904761904761</v>
      </c>
      <c r="J78" s="164">
        <v>1726.1904761904761</v>
      </c>
      <c r="K78" s="164">
        <v>1726.1904761904761</v>
      </c>
      <c r="L78" s="164">
        <v>174345.23809523808</v>
      </c>
      <c r="M78" s="164">
        <v>1726.1904761904761</v>
      </c>
      <c r="N78" s="164">
        <v>1726.1904761904761</v>
      </c>
      <c r="O78" s="164">
        <v>1726.1904761904761</v>
      </c>
      <c r="P78" s="157">
        <f t="shared" si="213"/>
        <v>193333.33333333331</v>
      </c>
      <c r="Q78" s="161"/>
      <c r="R78" s="163">
        <v>178.57142857142858</v>
      </c>
      <c r="S78" s="164">
        <v>178.57142857142858</v>
      </c>
      <c r="T78" s="164">
        <v>178.57142857142858</v>
      </c>
      <c r="U78" s="164">
        <v>178.57142857142858</v>
      </c>
      <c r="V78" s="164">
        <v>178.57142857142858</v>
      </c>
      <c r="W78" s="164">
        <v>178.57142857142858</v>
      </c>
      <c r="X78" s="164">
        <v>178.57142857142858</v>
      </c>
      <c r="Y78" s="164">
        <v>178.57142857142858</v>
      </c>
      <c r="Z78" s="164">
        <v>18035.714285714283</v>
      </c>
      <c r="AA78" s="164">
        <v>178.57142857142858</v>
      </c>
      <c r="AB78" s="164">
        <v>178.57142857142858</v>
      </c>
      <c r="AC78" s="164">
        <v>178.57142857142858</v>
      </c>
      <c r="AD78" s="157">
        <f t="shared" si="214"/>
        <v>19999.999999999993</v>
      </c>
      <c r="AE78" s="161"/>
      <c r="AF78" s="163">
        <v>178.57142857142858</v>
      </c>
      <c r="AG78" s="164">
        <v>178.57142857142858</v>
      </c>
      <c r="AH78" s="164">
        <v>178.57142857142858</v>
      </c>
      <c r="AI78" s="164">
        <v>178.57142857142858</v>
      </c>
      <c r="AJ78" s="164">
        <v>178.57142857142858</v>
      </c>
      <c r="AK78" s="164">
        <v>178.57142857142858</v>
      </c>
      <c r="AL78" s="164">
        <v>178.57142857142858</v>
      </c>
      <c r="AM78" s="164">
        <v>178.57142857142858</v>
      </c>
      <c r="AN78" s="164">
        <v>18035.714285714283</v>
      </c>
      <c r="AO78" s="164">
        <v>178.57142857142858</v>
      </c>
      <c r="AP78" s="164">
        <v>178.57142857142858</v>
      </c>
      <c r="AQ78" s="164">
        <v>178.57142857142858</v>
      </c>
      <c r="AR78" s="157">
        <f t="shared" si="215"/>
        <v>19999.999999999993</v>
      </c>
      <c r="AS78" s="161"/>
      <c r="AT78" s="163">
        <v>119.04761904761905</v>
      </c>
      <c r="AU78" s="164">
        <v>119.04761904761905</v>
      </c>
      <c r="AV78" s="164">
        <v>119.04761904761905</v>
      </c>
      <c r="AW78" s="164">
        <v>119.04761904761905</v>
      </c>
      <c r="AX78" s="164">
        <v>119.04761904761905</v>
      </c>
      <c r="AY78" s="164">
        <v>119.04761904761905</v>
      </c>
      <c r="AZ78" s="164">
        <v>119.04761904761905</v>
      </c>
      <c r="BA78" s="164">
        <v>119.04761904761905</v>
      </c>
      <c r="BB78" s="164">
        <v>12023.809523809523</v>
      </c>
      <c r="BC78" s="164">
        <v>119.04761904761905</v>
      </c>
      <c r="BD78" s="164">
        <v>119.04761904761905</v>
      </c>
      <c r="BE78" s="164">
        <v>119.04761904761905</v>
      </c>
      <c r="BF78" s="157">
        <f t="shared" si="216"/>
        <v>13333.33333333333</v>
      </c>
      <c r="BG78" s="176"/>
      <c r="BH78" s="163">
        <v>892.85714285714289</v>
      </c>
      <c r="BI78" s="164">
        <v>892.85714285714289</v>
      </c>
      <c r="BJ78" s="154">
        <v>892.85714285714289</v>
      </c>
      <c r="BK78" s="154">
        <v>892.85714285714289</v>
      </c>
      <c r="BL78" s="154">
        <v>892.85714285714289</v>
      </c>
      <c r="BM78" s="154">
        <v>892.85714285714289</v>
      </c>
      <c r="BN78" s="154">
        <v>892.85714285714289</v>
      </c>
      <c r="BO78" s="154">
        <v>892.85714285714289</v>
      </c>
      <c r="BP78" s="154">
        <v>90178.57142857142</v>
      </c>
      <c r="BQ78" s="154">
        <v>892.85714285714289</v>
      </c>
      <c r="BR78" s="154">
        <v>892.85714285714289</v>
      </c>
      <c r="BS78" s="154">
        <v>892.85714285714289</v>
      </c>
      <c r="BT78" s="157">
        <f t="shared" si="217"/>
        <v>100000</v>
      </c>
      <c r="BU78" s="161"/>
      <c r="BV78" s="163">
        <v>59.523809523809526</v>
      </c>
      <c r="BW78" s="164">
        <v>59.523809523809526</v>
      </c>
      <c r="BX78" s="154">
        <v>59.523809523809526</v>
      </c>
      <c r="BY78" s="154">
        <v>59.523809523809526</v>
      </c>
      <c r="BZ78" s="154">
        <v>59.523809523809526</v>
      </c>
      <c r="CA78" s="154">
        <v>59.523809523809526</v>
      </c>
      <c r="CB78" s="154">
        <v>59.523809523809526</v>
      </c>
      <c r="CC78" s="154">
        <v>59.523809523809526</v>
      </c>
      <c r="CD78" s="154">
        <v>6011.9047619047615</v>
      </c>
      <c r="CE78" s="154">
        <v>59.523809523809526</v>
      </c>
      <c r="CF78" s="154">
        <v>59.523809523809526</v>
      </c>
      <c r="CG78" s="154">
        <v>59.523809523809526</v>
      </c>
      <c r="CH78" s="157">
        <f t="shared" si="218"/>
        <v>6666.6666666666652</v>
      </c>
      <c r="CI78" s="161"/>
      <c r="CJ78" s="163">
        <v>654.76190476190482</v>
      </c>
      <c r="CK78" s="164">
        <v>654.76190476190482</v>
      </c>
      <c r="CL78" s="154">
        <v>654.76190476190482</v>
      </c>
      <c r="CM78" s="154">
        <v>654.76190476190482</v>
      </c>
      <c r="CN78" s="154">
        <v>654.76190476190482</v>
      </c>
      <c r="CO78" s="154">
        <v>654.76190476190482</v>
      </c>
      <c r="CP78" s="154">
        <v>654.76190476190482</v>
      </c>
      <c r="CQ78" s="154">
        <v>654.76190476190482</v>
      </c>
      <c r="CR78" s="154">
        <v>66130.952380952382</v>
      </c>
      <c r="CS78" s="154">
        <v>654.76190476190482</v>
      </c>
      <c r="CT78" s="154">
        <v>654.76190476190482</v>
      </c>
      <c r="CU78" s="154">
        <v>654.76190476190482</v>
      </c>
      <c r="CV78" s="157">
        <f t="shared" si="219"/>
        <v>73333.333333333343</v>
      </c>
      <c r="CW78" s="161"/>
      <c r="CX78" s="163">
        <v>1666.6666666666667</v>
      </c>
      <c r="CY78" s="164">
        <v>1666.6666666666667</v>
      </c>
      <c r="CZ78" s="154">
        <v>1666.6666666666667</v>
      </c>
      <c r="DA78" s="154">
        <v>1666.6666666666667</v>
      </c>
      <c r="DB78" s="154">
        <v>1666.6666666666667</v>
      </c>
      <c r="DC78" s="154">
        <v>1666.6666666666667</v>
      </c>
      <c r="DD78" s="154">
        <v>1666.6666666666667</v>
      </c>
      <c r="DE78" s="154">
        <v>1666.6666666666667</v>
      </c>
      <c r="DF78" s="154">
        <v>168333.33333333331</v>
      </c>
      <c r="DG78" s="154">
        <v>1666.6666666666667</v>
      </c>
      <c r="DH78" s="154">
        <v>1666.6666666666667</v>
      </c>
      <c r="DI78" s="154">
        <v>1666.6666666666667</v>
      </c>
      <c r="DJ78" s="157">
        <f t="shared" si="220"/>
        <v>186666.66666666663</v>
      </c>
      <c r="DK78" s="161"/>
      <c r="DL78" s="163">
        <v>1666.6666666666667</v>
      </c>
      <c r="DM78" s="164">
        <v>1666.6666666666667</v>
      </c>
      <c r="DN78" s="154">
        <v>1666.6666666666667</v>
      </c>
      <c r="DO78" s="154">
        <v>1666.6666666666667</v>
      </c>
      <c r="DP78" s="154">
        <v>1666.6666666666667</v>
      </c>
      <c r="DQ78" s="154">
        <v>1666.6666666666667</v>
      </c>
      <c r="DR78" s="154">
        <v>1666.6666666666667</v>
      </c>
      <c r="DS78" s="154">
        <v>1666.6666666666667</v>
      </c>
      <c r="DT78" s="154">
        <v>168333.33333333331</v>
      </c>
      <c r="DU78" s="154">
        <v>1666.6666666666667</v>
      </c>
      <c r="DV78" s="154">
        <v>1666.6666666666667</v>
      </c>
      <c r="DW78" s="154">
        <v>1666.6666666666667</v>
      </c>
      <c r="DX78" s="157">
        <f t="shared" si="221"/>
        <v>186666.66666666663</v>
      </c>
      <c r="DY78" s="161"/>
      <c r="DZ78" s="163">
        <v>59.523809523809526</v>
      </c>
      <c r="EA78" s="164">
        <v>59.523809523809526</v>
      </c>
      <c r="EB78" s="154">
        <v>59.523809523809526</v>
      </c>
      <c r="EC78" s="154">
        <v>59.523809523809526</v>
      </c>
      <c r="ED78" s="154">
        <v>59.523809523809526</v>
      </c>
      <c r="EE78" s="154">
        <v>59.523809523809526</v>
      </c>
      <c r="EF78" s="154">
        <v>59.523809523809526</v>
      </c>
      <c r="EG78" s="154">
        <v>59.523809523809526</v>
      </c>
      <c r="EH78" s="154">
        <v>6011.9047619047615</v>
      </c>
      <c r="EI78" s="154">
        <v>59.523809523809526</v>
      </c>
      <c r="EJ78" s="154">
        <v>59.523809523809526</v>
      </c>
      <c r="EK78" s="154">
        <v>59.523809523809526</v>
      </c>
      <c r="EL78" s="157">
        <f t="shared" si="222"/>
        <v>6666.6666666666652</v>
      </c>
      <c r="EM78" s="161"/>
      <c r="EN78" s="163">
        <v>119.04761904761905</v>
      </c>
      <c r="EO78" s="164">
        <v>119.04761904761905</v>
      </c>
      <c r="EP78" s="154">
        <v>119.04761904761905</v>
      </c>
      <c r="EQ78" s="154">
        <v>119.04761904761905</v>
      </c>
      <c r="ER78" s="154">
        <v>119.04761904761905</v>
      </c>
      <c r="ES78" s="154">
        <v>119.04761904761905</v>
      </c>
      <c r="ET78" s="154">
        <v>119.04761904761905</v>
      </c>
      <c r="EU78" s="154">
        <v>119.04761904761905</v>
      </c>
      <c r="EV78" s="154">
        <v>12023.809523809523</v>
      </c>
      <c r="EW78" s="154">
        <v>119.04761904761905</v>
      </c>
      <c r="EX78" s="154">
        <v>119.04761904761905</v>
      </c>
      <c r="EY78" s="154">
        <v>119.04761904761905</v>
      </c>
      <c r="EZ78" s="157">
        <f t="shared" si="223"/>
        <v>13333.33333333333</v>
      </c>
      <c r="FA78" s="161"/>
      <c r="FB78" s="163">
        <v>59.523809523809526</v>
      </c>
      <c r="FC78" s="164">
        <v>59.523809523809526</v>
      </c>
      <c r="FD78" s="154">
        <v>59.523809523809526</v>
      </c>
      <c r="FE78" s="154">
        <v>59.523809523809526</v>
      </c>
      <c r="FF78" s="154">
        <v>59.523809523809526</v>
      </c>
      <c r="FG78" s="154">
        <v>59.523809523809526</v>
      </c>
      <c r="FH78" s="154">
        <v>59.523809523809526</v>
      </c>
      <c r="FI78" s="154">
        <v>59.523809523809526</v>
      </c>
      <c r="FJ78" s="154">
        <v>6011.9047619047615</v>
      </c>
      <c r="FK78" s="154">
        <v>59.523809523809526</v>
      </c>
      <c r="FL78" s="154">
        <v>59.523809523809526</v>
      </c>
      <c r="FM78" s="154">
        <v>59.523809523809526</v>
      </c>
      <c r="FN78" s="157">
        <f t="shared" si="224"/>
        <v>6666.6666666666652</v>
      </c>
      <c r="FO78" s="161"/>
      <c r="FP78" s="163">
        <v>416.66666666666669</v>
      </c>
      <c r="FQ78" s="164">
        <v>416.66666666666669</v>
      </c>
      <c r="FR78" s="154">
        <v>416.66666666666669</v>
      </c>
      <c r="FS78" s="154">
        <v>416.66666666666669</v>
      </c>
      <c r="FT78" s="154">
        <v>416.66666666666669</v>
      </c>
      <c r="FU78" s="154">
        <v>416.66666666666669</v>
      </c>
      <c r="FV78" s="154">
        <v>416.66666666666669</v>
      </c>
      <c r="FW78" s="154">
        <v>416.66666666666669</v>
      </c>
      <c r="FX78" s="154">
        <v>42083.333333333328</v>
      </c>
      <c r="FY78" s="154">
        <v>416.66666666666669</v>
      </c>
      <c r="FZ78" s="154">
        <v>416.66666666666669</v>
      </c>
      <c r="GA78" s="154">
        <v>416.66666666666669</v>
      </c>
      <c r="GB78" s="157">
        <f t="shared" si="225"/>
        <v>46666.666666666657</v>
      </c>
      <c r="GC78" s="161"/>
      <c r="GD78" s="163">
        <v>59.523809523809526</v>
      </c>
      <c r="GE78" s="164">
        <v>59.523809523809526</v>
      </c>
      <c r="GF78" s="154">
        <v>59.523809523809526</v>
      </c>
      <c r="GG78" s="154">
        <v>59.523809523809526</v>
      </c>
      <c r="GH78" s="154">
        <v>59.523809523809526</v>
      </c>
      <c r="GI78" s="154">
        <v>59.523809523809526</v>
      </c>
      <c r="GJ78" s="154">
        <v>59.523809523809526</v>
      </c>
      <c r="GK78" s="154">
        <v>59.523809523809526</v>
      </c>
      <c r="GL78" s="154">
        <v>6011.9047619047615</v>
      </c>
      <c r="GM78" s="154">
        <v>59.523809523809526</v>
      </c>
      <c r="GN78" s="154">
        <v>59.523809523809526</v>
      </c>
      <c r="GO78" s="154">
        <v>59.523809523809526</v>
      </c>
      <c r="GP78" s="157">
        <f t="shared" si="226"/>
        <v>6666.6666666666652</v>
      </c>
      <c r="GQ78" s="161"/>
      <c r="GR78" s="163">
        <v>0</v>
      </c>
      <c r="GS78" s="164">
        <v>0</v>
      </c>
      <c r="GT78" s="154">
        <v>15000</v>
      </c>
      <c r="GU78" s="154">
        <v>15000</v>
      </c>
      <c r="GV78" s="154">
        <v>15000</v>
      </c>
      <c r="GW78" s="154">
        <v>15000</v>
      </c>
      <c r="GX78" s="154">
        <v>15000</v>
      </c>
      <c r="GY78" s="154">
        <v>15000</v>
      </c>
      <c r="GZ78" s="154">
        <v>15000</v>
      </c>
      <c r="HA78" s="154">
        <v>15000</v>
      </c>
      <c r="HB78" s="154">
        <v>15000</v>
      </c>
      <c r="HC78" s="154">
        <v>15000</v>
      </c>
      <c r="HD78" s="157">
        <f t="shared" si="238"/>
        <v>0</v>
      </c>
      <c r="HE78" s="161"/>
      <c r="HF78" s="163">
        <v>238.0952380952381</v>
      </c>
      <c r="HG78" s="164">
        <v>238.0952380952381</v>
      </c>
      <c r="HH78" s="154">
        <v>238.0952380952381</v>
      </c>
      <c r="HI78" s="154">
        <v>238.0952380952381</v>
      </c>
      <c r="HJ78" s="154">
        <v>238.0952380952381</v>
      </c>
      <c r="HK78" s="154">
        <v>238.0952380952381</v>
      </c>
      <c r="HL78" s="154">
        <v>238.0952380952381</v>
      </c>
      <c r="HM78" s="154">
        <v>238.0952380952381</v>
      </c>
      <c r="HN78" s="154">
        <v>24047.619047619046</v>
      </c>
      <c r="HO78" s="154">
        <v>238.0952380952381</v>
      </c>
      <c r="HP78" s="154">
        <v>238.0952380952381</v>
      </c>
      <c r="HQ78" s="154">
        <v>238.0952380952381</v>
      </c>
      <c r="HR78" s="157">
        <f t="shared" si="227"/>
        <v>26666.666666666661</v>
      </c>
      <c r="HS78" s="161"/>
      <c r="HT78" s="163">
        <v>59.523809523809526</v>
      </c>
      <c r="HU78" s="164">
        <v>59.523809523809526</v>
      </c>
      <c r="HV78" s="154">
        <v>59.523809523809526</v>
      </c>
      <c r="HW78" s="154">
        <v>59.523809523809526</v>
      </c>
      <c r="HX78" s="154">
        <v>59.523809523809526</v>
      </c>
      <c r="HY78" s="154">
        <v>59.523809523809526</v>
      </c>
      <c r="HZ78" s="154">
        <v>59.523809523809526</v>
      </c>
      <c r="IA78" s="154">
        <v>59.523809523809526</v>
      </c>
      <c r="IB78" s="154">
        <v>6011.9047619047615</v>
      </c>
      <c r="IC78" s="154">
        <v>59.523809523809526</v>
      </c>
      <c r="ID78" s="154">
        <v>59.523809523809526</v>
      </c>
      <c r="IE78" s="154">
        <v>59.523809523809526</v>
      </c>
      <c r="IF78" s="157">
        <f t="shared" si="228"/>
        <v>6666.6666666666652</v>
      </c>
      <c r="IG78" s="161"/>
      <c r="IH78" s="163">
        <v>59.523809523809526</v>
      </c>
      <c r="II78" s="164">
        <v>59.523809523809526</v>
      </c>
      <c r="IJ78" s="154">
        <v>59.523809523809526</v>
      </c>
      <c r="IK78" s="154">
        <v>59.523809523809526</v>
      </c>
      <c r="IL78" s="154">
        <v>59.523809523809526</v>
      </c>
      <c r="IM78" s="154">
        <v>59.523809523809526</v>
      </c>
      <c r="IN78" s="154">
        <v>59.523809523809526</v>
      </c>
      <c r="IO78" s="154">
        <v>59.523809523809526</v>
      </c>
      <c r="IP78" s="154">
        <v>6011.9047619047615</v>
      </c>
      <c r="IQ78" s="154">
        <v>59.523809523809526</v>
      </c>
      <c r="IR78" s="154">
        <v>59.523809523809526</v>
      </c>
      <c r="IS78" s="154">
        <v>59.523809523809526</v>
      </c>
      <c r="IT78" s="157">
        <f t="shared" si="229"/>
        <v>6666.6666666666652</v>
      </c>
      <c r="IU78" s="161"/>
      <c r="IV78" s="163">
        <v>416.66666666666669</v>
      </c>
      <c r="IW78" s="164">
        <v>416.66666666666669</v>
      </c>
      <c r="IX78" s="154">
        <v>416.66666666666669</v>
      </c>
      <c r="IY78" s="154">
        <v>416.66666666666669</v>
      </c>
      <c r="IZ78" s="154">
        <v>416.66666666666669</v>
      </c>
      <c r="JA78" s="154">
        <v>416.66666666666669</v>
      </c>
      <c r="JB78" s="154">
        <v>416.66666666666669</v>
      </c>
      <c r="JC78" s="154">
        <v>416.66666666666669</v>
      </c>
      <c r="JD78" s="154">
        <v>42083.333333333328</v>
      </c>
      <c r="JE78" s="154">
        <v>416.66666666666669</v>
      </c>
      <c r="JF78" s="154">
        <v>416.66666666666669</v>
      </c>
      <c r="JG78" s="154">
        <v>416.66666666666669</v>
      </c>
      <c r="JH78" s="157">
        <f t="shared" si="230"/>
        <v>46666.666666666657</v>
      </c>
      <c r="JI78" s="161"/>
      <c r="JJ78" s="163">
        <v>654.76190476190482</v>
      </c>
      <c r="JK78" s="164">
        <v>654.76190476190482</v>
      </c>
      <c r="JL78" s="154">
        <v>654.76190476190482</v>
      </c>
      <c r="JM78" s="154">
        <v>654.76190476190482</v>
      </c>
      <c r="JN78" s="154">
        <v>654.76190476190482</v>
      </c>
      <c r="JO78" s="154">
        <v>654.76190476190482</v>
      </c>
      <c r="JP78" s="154">
        <v>654.76190476190482</v>
      </c>
      <c r="JQ78" s="154">
        <v>654.76190476190482</v>
      </c>
      <c r="JR78" s="154">
        <v>66130.952380952382</v>
      </c>
      <c r="JS78" s="154">
        <v>654.76190476190482</v>
      </c>
      <c r="JT78" s="154">
        <v>654.76190476190482</v>
      </c>
      <c r="JU78" s="154">
        <v>654.76190476190482</v>
      </c>
      <c r="JV78" s="157">
        <f t="shared" si="231"/>
        <v>73333.333333333343</v>
      </c>
      <c r="JW78" s="161"/>
      <c r="JX78" s="163">
        <v>297.61904761904765</v>
      </c>
      <c r="JY78" s="164">
        <v>297.61904761904765</v>
      </c>
      <c r="JZ78" s="154">
        <v>297.61904761904765</v>
      </c>
      <c r="KA78" s="154">
        <v>297.61904761904765</v>
      </c>
      <c r="KB78" s="154">
        <v>297.61904761904765</v>
      </c>
      <c r="KC78" s="154">
        <v>297.61904761904765</v>
      </c>
      <c r="KD78" s="154">
        <v>297.61904761904765</v>
      </c>
      <c r="KE78" s="154">
        <v>297.61904761904765</v>
      </c>
      <c r="KF78" s="154">
        <v>30059.523809523809</v>
      </c>
      <c r="KG78" s="154">
        <v>297.61904761904765</v>
      </c>
      <c r="KH78" s="154">
        <v>297.61904761904765</v>
      </c>
      <c r="KI78" s="154">
        <v>297.61904761904765</v>
      </c>
      <c r="KJ78" s="157">
        <f t="shared" si="232"/>
        <v>33333.333333333328</v>
      </c>
      <c r="KK78" s="161"/>
      <c r="KL78" s="163">
        <v>119.04761904761905</v>
      </c>
      <c r="KM78" s="164">
        <v>119.04761904761905</v>
      </c>
      <c r="KN78" s="154">
        <v>119.04761904761905</v>
      </c>
      <c r="KO78" s="154">
        <v>119.04761904761905</v>
      </c>
      <c r="KP78" s="154">
        <v>119.04761904761905</v>
      </c>
      <c r="KQ78" s="154">
        <v>119.04761904761905</v>
      </c>
      <c r="KR78" s="154">
        <v>119.04761904761905</v>
      </c>
      <c r="KS78" s="154">
        <v>119.04761904761905</v>
      </c>
      <c r="KT78" s="154">
        <v>12023.809523809523</v>
      </c>
      <c r="KU78" s="154">
        <v>119.04761904761905</v>
      </c>
      <c r="KV78" s="154">
        <v>119.04761904761905</v>
      </c>
      <c r="KW78" s="154">
        <v>119.04761904761905</v>
      </c>
      <c r="KX78" s="157">
        <f t="shared" si="233"/>
        <v>13333.33333333333</v>
      </c>
      <c r="KY78" s="161"/>
      <c r="KZ78" s="163">
        <v>59.523809523809526</v>
      </c>
      <c r="LA78" s="164">
        <v>59.523809523809526</v>
      </c>
      <c r="LB78" s="154">
        <v>59.523809523809526</v>
      </c>
      <c r="LC78" s="154">
        <v>59.523809523809526</v>
      </c>
      <c r="LD78" s="154">
        <v>59.523809523809526</v>
      </c>
      <c r="LE78" s="154">
        <v>59.523809523809526</v>
      </c>
      <c r="LF78" s="154">
        <v>59.523809523809526</v>
      </c>
      <c r="LG78" s="154">
        <v>59.523809523809526</v>
      </c>
      <c r="LH78" s="154">
        <v>6011.9047619047615</v>
      </c>
      <c r="LI78" s="154">
        <v>59.523809523809526</v>
      </c>
      <c r="LJ78" s="154">
        <v>59.523809523809526</v>
      </c>
      <c r="LK78" s="154">
        <v>59.523809523809526</v>
      </c>
      <c r="LL78" s="157">
        <f t="shared" si="234"/>
        <v>6666.6666666666652</v>
      </c>
      <c r="LM78" s="161"/>
      <c r="LN78" s="163">
        <v>0</v>
      </c>
      <c r="LO78" s="164">
        <v>0</v>
      </c>
      <c r="LP78" s="154">
        <v>0</v>
      </c>
      <c r="LQ78" s="154">
        <v>0</v>
      </c>
      <c r="LR78" s="154">
        <v>0</v>
      </c>
      <c r="LS78" s="154">
        <v>0</v>
      </c>
      <c r="LT78" s="154">
        <v>0</v>
      </c>
      <c r="LU78" s="154">
        <v>0</v>
      </c>
      <c r="LV78" s="154">
        <v>0</v>
      </c>
      <c r="LW78" s="154">
        <v>0</v>
      </c>
      <c r="LX78" s="154">
        <v>0</v>
      </c>
      <c r="LY78" s="154">
        <v>0</v>
      </c>
      <c r="LZ78" s="157">
        <f t="shared" si="235"/>
        <v>0</v>
      </c>
      <c r="MA78" s="161"/>
      <c r="MB78" s="157">
        <f t="shared" si="240"/>
        <v>9761.9047619047615</v>
      </c>
      <c r="MC78" s="157">
        <f t="shared" si="240"/>
        <v>9761.9047619047615</v>
      </c>
      <c r="MD78" s="157">
        <f t="shared" si="240"/>
        <v>24761.90476190476</v>
      </c>
      <c r="ME78" s="157">
        <f t="shared" si="240"/>
        <v>24761.90476190476</v>
      </c>
      <c r="MF78" s="157">
        <f t="shared" si="240"/>
        <v>24761.90476190476</v>
      </c>
      <c r="MG78" s="157">
        <f t="shared" si="240"/>
        <v>24761.90476190476</v>
      </c>
      <c r="MH78" s="157">
        <f t="shared" si="240"/>
        <v>24761.90476190476</v>
      </c>
      <c r="MI78" s="157">
        <f t="shared" si="240"/>
        <v>24761.90476190476</v>
      </c>
      <c r="MJ78" s="157">
        <f t="shared" si="240"/>
        <v>1000952.3809523807</v>
      </c>
      <c r="MK78" s="157">
        <f t="shared" si="240"/>
        <v>24761.90476190476</v>
      </c>
      <c r="ML78" s="157">
        <f t="shared" si="240"/>
        <v>24761.90476190476</v>
      </c>
      <c r="MM78" s="157">
        <f t="shared" si="240"/>
        <v>24761.90476190476</v>
      </c>
      <c r="MN78" s="157">
        <f t="shared" si="239"/>
        <v>1243333.3333333333</v>
      </c>
    </row>
    <row r="79" spans="1:352" s="180" customFormat="1" x14ac:dyDescent="0.25">
      <c r="A79" s="98"/>
      <c r="B79" s="64" t="s">
        <v>95</v>
      </c>
      <c r="C79" s="98"/>
      <c r="D79" s="163">
        <v>94332.732383286653</v>
      </c>
      <c r="E79" s="164">
        <v>94332.732383286653</v>
      </c>
      <c r="F79" s="164">
        <v>94332.732383286653</v>
      </c>
      <c r="G79" s="164">
        <v>94332.732383286653</v>
      </c>
      <c r="H79" s="164">
        <v>94359.880878940123</v>
      </c>
      <c r="I79" s="164">
        <v>104992.15693664926</v>
      </c>
      <c r="J79" s="164">
        <v>104992.15693664926</v>
      </c>
      <c r="K79" s="164">
        <v>104976.81861732154</v>
      </c>
      <c r="L79" s="164">
        <v>104976.81861732154</v>
      </c>
      <c r="M79" s="164">
        <v>104976.81861732154</v>
      </c>
      <c r="N79" s="164">
        <v>104976.81861732154</v>
      </c>
      <c r="O79" s="164">
        <v>106394.73792667384</v>
      </c>
      <c r="P79" s="157">
        <f t="shared" si="213"/>
        <v>1207977.1366813453</v>
      </c>
      <c r="Q79" s="161"/>
      <c r="R79" s="163">
        <v>9758.5585224089627</v>
      </c>
      <c r="S79" s="164">
        <v>9758.5585224089627</v>
      </c>
      <c r="T79" s="164">
        <v>9758.5585224089627</v>
      </c>
      <c r="U79" s="164">
        <v>9758.5585224089627</v>
      </c>
      <c r="V79" s="164">
        <v>9761.3669874765637</v>
      </c>
      <c r="W79" s="164">
        <v>10861.257614136131</v>
      </c>
      <c r="X79" s="164">
        <v>10861.257614136131</v>
      </c>
      <c r="Y79" s="164">
        <v>10859.670891447055</v>
      </c>
      <c r="Z79" s="164">
        <v>10859.670891447055</v>
      </c>
      <c r="AA79" s="164">
        <v>10859.670891447055</v>
      </c>
      <c r="AB79" s="164">
        <v>10859.670891447055</v>
      </c>
      <c r="AC79" s="164">
        <v>11006.352199311088</v>
      </c>
      <c r="AD79" s="157">
        <f t="shared" si="214"/>
        <v>124963.15207048398</v>
      </c>
      <c r="AE79" s="161"/>
      <c r="AF79" s="163">
        <v>9758.5585224089627</v>
      </c>
      <c r="AG79" s="164">
        <v>9758.5585224089627</v>
      </c>
      <c r="AH79" s="164">
        <v>9758.5585224089627</v>
      </c>
      <c r="AI79" s="164">
        <v>9758.5585224089627</v>
      </c>
      <c r="AJ79" s="164">
        <v>9761.3669874765637</v>
      </c>
      <c r="AK79" s="164">
        <v>10861.257614136131</v>
      </c>
      <c r="AL79" s="164">
        <v>10861.257614136131</v>
      </c>
      <c r="AM79" s="164">
        <v>10859.670891447055</v>
      </c>
      <c r="AN79" s="164">
        <v>10859.670891447055</v>
      </c>
      <c r="AO79" s="164">
        <v>10859.670891447055</v>
      </c>
      <c r="AP79" s="164">
        <v>10859.670891447055</v>
      </c>
      <c r="AQ79" s="164">
        <v>11006.352199311088</v>
      </c>
      <c r="AR79" s="157">
        <f t="shared" si="215"/>
        <v>124963.15207048398</v>
      </c>
      <c r="AS79" s="161"/>
      <c r="AT79" s="163">
        <v>6505.7056816059758</v>
      </c>
      <c r="AU79" s="164">
        <v>6505.7056816059758</v>
      </c>
      <c r="AV79" s="164">
        <v>6505.7056816059758</v>
      </c>
      <c r="AW79" s="164">
        <v>6505.7056816059758</v>
      </c>
      <c r="AX79" s="164">
        <v>6507.5779916510428</v>
      </c>
      <c r="AY79" s="164">
        <v>7240.8384094240873</v>
      </c>
      <c r="AZ79" s="164">
        <v>7240.8384094240873</v>
      </c>
      <c r="BA79" s="164">
        <v>7239.7805942980367</v>
      </c>
      <c r="BB79" s="164">
        <v>7239.7805942980367</v>
      </c>
      <c r="BC79" s="164">
        <v>7239.7805942980367</v>
      </c>
      <c r="BD79" s="164">
        <v>7239.7805942980367</v>
      </c>
      <c r="BE79" s="164">
        <v>7337.5681328740584</v>
      </c>
      <c r="BF79" s="157">
        <f t="shared" si="216"/>
        <v>83308.768046989324</v>
      </c>
      <c r="BG79" s="176"/>
      <c r="BH79" s="163">
        <v>48792.792612044817</v>
      </c>
      <c r="BI79" s="164">
        <v>48792.792612044817</v>
      </c>
      <c r="BJ79" s="154">
        <v>48792.792612044817</v>
      </c>
      <c r="BK79" s="154">
        <v>48792.792612044817</v>
      </c>
      <c r="BL79" s="154">
        <v>48806.834937382824</v>
      </c>
      <c r="BM79" s="154">
        <v>54306.288070680654</v>
      </c>
      <c r="BN79" s="154">
        <v>54306.288070680654</v>
      </c>
      <c r="BO79" s="154">
        <v>54298.354457235277</v>
      </c>
      <c r="BP79" s="154">
        <v>54298.354457235277</v>
      </c>
      <c r="BQ79" s="154">
        <v>54298.354457235277</v>
      </c>
      <c r="BR79" s="154">
        <v>54298.354457235277</v>
      </c>
      <c r="BS79" s="154">
        <v>55031.760996555437</v>
      </c>
      <c r="BT79" s="157">
        <f t="shared" si="217"/>
        <v>624815.76035241981</v>
      </c>
      <c r="BU79" s="161"/>
      <c r="BV79" s="163">
        <v>3252.8528408029879</v>
      </c>
      <c r="BW79" s="164">
        <v>3252.8528408029879</v>
      </c>
      <c r="BX79" s="154">
        <v>3252.8528408029879</v>
      </c>
      <c r="BY79" s="154">
        <v>3252.8528408029879</v>
      </c>
      <c r="BZ79" s="154">
        <v>3253.7889958255214</v>
      </c>
      <c r="CA79" s="154">
        <v>3620.4192047120437</v>
      </c>
      <c r="CB79" s="154">
        <v>3620.4192047120437</v>
      </c>
      <c r="CC79" s="154">
        <v>3619.8902971490184</v>
      </c>
      <c r="CD79" s="154">
        <v>3619.8902971490184</v>
      </c>
      <c r="CE79" s="154">
        <v>3619.8902971490184</v>
      </c>
      <c r="CF79" s="154">
        <v>3619.8902971490184</v>
      </c>
      <c r="CG79" s="154">
        <v>3668.7840664370292</v>
      </c>
      <c r="CH79" s="157">
        <f t="shared" si="218"/>
        <v>41654.384023494662</v>
      </c>
      <c r="CI79" s="161"/>
      <c r="CJ79" s="163">
        <v>35781.381248832869</v>
      </c>
      <c r="CK79" s="164">
        <v>35781.381248832869</v>
      </c>
      <c r="CL79" s="154">
        <v>35781.381248832869</v>
      </c>
      <c r="CM79" s="154">
        <v>35781.381248832869</v>
      </c>
      <c r="CN79" s="154">
        <v>35791.678954080737</v>
      </c>
      <c r="CO79" s="154">
        <v>39824.611251832481</v>
      </c>
      <c r="CP79" s="154">
        <v>39824.611251832481</v>
      </c>
      <c r="CQ79" s="154">
        <v>39818.793268639201</v>
      </c>
      <c r="CR79" s="154">
        <v>39818.793268639201</v>
      </c>
      <c r="CS79" s="154">
        <v>39818.793268639201</v>
      </c>
      <c r="CT79" s="154">
        <v>39818.793268639201</v>
      </c>
      <c r="CU79" s="154">
        <v>40356.624730807322</v>
      </c>
      <c r="CV79" s="157">
        <f t="shared" si="219"/>
        <v>458198.22425844125</v>
      </c>
      <c r="CW79" s="161"/>
      <c r="CX79" s="163">
        <v>91079.879542483657</v>
      </c>
      <c r="CY79" s="164">
        <v>91079.879542483657</v>
      </c>
      <c r="CZ79" s="154">
        <v>91079.879542483657</v>
      </c>
      <c r="DA79" s="154">
        <v>91079.879542483657</v>
      </c>
      <c r="DB79" s="154">
        <v>91106.091883114597</v>
      </c>
      <c r="DC79" s="154">
        <v>101371.73773193722</v>
      </c>
      <c r="DD79" s="154">
        <v>101371.73773193722</v>
      </c>
      <c r="DE79" s="154">
        <v>101356.92832017252</v>
      </c>
      <c r="DF79" s="154">
        <v>101356.92832017252</v>
      </c>
      <c r="DG79" s="154">
        <v>101356.92832017252</v>
      </c>
      <c r="DH79" s="154">
        <v>101356.92832017252</v>
      </c>
      <c r="DI79" s="154">
        <v>102725.95386023681</v>
      </c>
      <c r="DJ79" s="157">
        <f t="shared" si="220"/>
        <v>1166322.7526578505</v>
      </c>
      <c r="DK79" s="161"/>
      <c r="DL79" s="163">
        <v>91079.879542483657</v>
      </c>
      <c r="DM79" s="164">
        <v>91079.879542483657</v>
      </c>
      <c r="DN79" s="154">
        <v>91079.879542483657</v>
      </c>
      <c r="DO79" s="154">
        <v>91079.879542483657</v>
      </c>
      <c r="DP79" s="154">
        <v>91106.091883114597</v>
      </c>
      <c r="DQ79" s="154">
        <v>101371.73773193722</v>
      </c>
      <c r="DR79" s="154">
        <v>101371.73773193722</v>
      </c>
      <c r="DS79" s="154">
        <v>101356.92832017252</v>
      </c>
      <c r="DT79" s="154">
        <v>101356.92832017252</v>
      </c>
      <c r="DU79" s="154">
        <v>101356.92832017252</v>
      </c>
      <c r="DV79" s="154">
        <v>101356.92832017252</v>
      </c>
      <c r="DW79" s="154">
        <v>102725.95386023681</v>
      </c>
      <c r="DX79" s="157">
        <f t="shared" si="221"/>
        <v>1166322.7526578505</v>
      </c>
      <c r="DY79" s="161"/>
      <c r="DZ79" s="163">
        <v>3252.8528408029879</v>
      </c>
      <c r="EA79" s="164">
        <v>3252.8528408029879</v>
      </c>
      <c r="EB79" s="154">
        <v>3252.8528408029879</v>
      </c>
      <c r="EC79" s="154">
        <v>3252.8528408029879</v>
      </c>
      <c r="ED79" s="154">
        <v>3253.7889958255214</v>
      </c>
      <c r="EE79" s="154">
        <v>3620.4192047120437</v>
      </c>
      <c r="EF79" s="154">
        <v>3620.4192047120437</v>
      </c>
      <c r="EG79" s="154">
        <v>3619.8902971490184</v>
      </c>
      <c r="EH79" s="154">
        <v>3619.8902971490184</v>
      </c>
      <c r="EI79" s="154">
        <v>3619.8902971490184</v>
      </c>
      <c r="EJ79" s="154">
        <v>3619.8902971490184</v>
      </c>
      <c r="EK79" s="154">
        <v>3668.7840664370292</v>
      </c>
      <c r="EL79" s="157">
        <f t="shared" si="222"/>
        <v>41654.384023494662</v>
      </c>
      <c r="EM79" s="161"/>
      <c r="EN79" s="163">
        <v>6505.7056816059758</v>
      </c>
      <c r="EO79" s="164">
        <v>6505.7056816059758</v>
      </c>
      <c r="EP79" s="154">
        <v>6505.7056816059758</v>
      </c>
      <c r="EQ79" s="154">
        <v>6505.7056816059758</v>
      </c>
      <c r="ER79" s="154">
        <v>6507.5779916510428</v>
      </c>
      <c r="ES79" s="154">
        <v>7240.8384094240873</v>
      </c>
      <c r="ET79" s="154">
        <v>7240.8384094240873</v>
      </c>
      <c r="EU79" s="154">
        <v>7239.7805942980367</v>
      </c>
      <c r="EV79" s="154">
        <v>7239.7805942980367</v>
      </c>
      <c r="EW79" s="154">
        <v>7239.7805942980367</v>
      </c>
      <c r="EX79" s="154">
        <v>7239.7805942980367</v>
      </c>
      <c r="EY79" s="154">
        <v>7337.5681328740584</v>
      </c>
      <c r="EZ79" s="157">
        <f t="shared" si="223"/>
        <v>83308.768046989324</v>
      </c>
      <c r="FA79" s="161"/>
      <c r="FB79" s="163">
        <v>3252.8528408029879</v>
      </c>
      <c r="FC79" s="164">
        <v>3252.8528408029879</v>
      </c>
      <c r="FD79" s="154">
        <v>3252.8528408029879</v>
      </c>
      <c r="FE79" s="154">
        <v>3252.8528408029879</v>
      </c>
      <c r="FF79" s="154">
        <v>3253.7889958255214</v>
      </c>
      <c r="FG79" s="154">
        <v>3620.4192047120437</v>
      </c>
      <c r="FH79" s="154">
        <v>3620.4192047120437</v>
      </c>
      <c r="FI79" s="154">
        <v>3619.8902971490184</v>
      </c>
      <c r="FJ79" s="154">
        <v>3619.8902971490184</v>
      </c>
      <c r="FK79" s="154">
        <v>3619.8902971490184</v>
      </c>
      <c r="FL79" s="154">
        <v>3619.8902971490184</v>
      </c>
      <c r="FM79" s="154">
        <v>3668.7840664370292</v>
      </c>
      <c r="FN79" s="157">
        <f t="shared" si="224"/>
        <v>41654.384023494662</v>
      </c>
      <c r="FO79" s="161"/>
      <c r="FP79" s="163">
        <v>22769.969885620914</v>
      </c>
      <c r="FQ79" s="164">
        <v>22769.969885620914</v>
      </c>
      <c r="FR79" s="154">
        <v>22769.969885620914</v>
      </c>
      <c r="FS79" s="154">
        <v>22769.969885620914</v>
      </c>
      <c r="FT79" s="154">
        <v>22776.522970778649</v>
      </c>
      <c r="FU79" s="154">
        <v>25342.934432984304</v>
      </c>
      <c r="FV79" s="154">
        <v>25342.934432984304</v>
      </c>
      <c r="FW79" s="154">
        <v>25339.23208004313</v>
      </c>
      <c r="FX79" s="154">
        <v>25339.23208004313</v>
      </c>
      <c r="FY79" s="154">
        <v>25339.23208004313</v>
      </c>
      <c r="FZ79" s="154">
        <v>25339.23208004313</v>
      </c>
      <c r="GA79" s="154">
        <v>25681.488465059203</v>
      </c>
      <c r="GB79" s="157">
        <f t="shared" si="225"/>
        <v>291580.68816446263</v>
      </c>
      <c r="GC79" s="161"/>
      <c r="GD79" s="163">
        <v>3252.8528408029879</v>
      </c>
      <c r="GE79" s="164">
        <v>3252.8528408029879</v>
      </c>
      <c r="GF79" s="154">
        <v>3252.8528408029879</v>
      </c>
      <c r="GG79" s="154">
        <v>3252.8528408029879</v>
      </c>
      <c r="GH79" s="154">
        <v>3253.7889958255214</v>
      </c>
      <c r="GI79" s="154">
        <v>3620.4192047120437</v>
      </c>
      <c r="GJ79" s="154">
        <v>3620.4192047120437</v>
      </c>
      <c r="GK79" s="154">
        <v>3619.8902971490184</v>
      </c>
      <c r="GL79" s="154">
        <v>3619.8902971490184</v>
      </c>
      <c r="GM79" s="154">
        <v>3619.8902971490184</v>
      </c>
      <c r="GN79" s="154">
        <v>3619.8902971490184</v>
      </c>
      <c r="GO79" s="154">
        <v>3668.7840664370292</v>
      </c>
      <c r="GP79" s="157">
        <f t="shared" si="226"/>
        <v>41654.384023494662</v>
      </c>
      <c r="GQ79" s="161"/>
      <c r="GR79" s="163">
        <v>0</v>
      </c>
      <c r="GS79" s="164">
        <v>0</v>
      </c>
      <c r="GT79" s="154">
        <v>0</v>
      </c>
      <c r="GU79" s="154">
        <v>0</v>
      </c>
      <c r="GV79" s="154">
        <v>0</v>
      </c>
      <c r="GW79" s="154">
        <v>0</v>
      </c>
      <c r="GX79" s="154">
        <v>0</v>
      </c>
      <c r="GY79" s="154">
        <v>0</v>
      </c>
      <c r="GZ79" s="154">
        <v>0</v>
      </c>
      <c r="HA79" s="154">
        <v>0</v>
      </c>
      <c r="HB79" s="154">
        <v>0</v>
      </c>
      <c r="HC79" s="154">
        <v>0</v>
      </c>
      <c r="HD79" s="157">
        <f t="shared" si="238"/>
        <v>0</v>
      </c>
      <c r="HE79" s="161"/>
      <c r="HF79" s="163">
        <v>13011.411363211952</v>
      </c>
      <c r="HG79" s="164">
        <v>13011.411363211952</v>
      </c>
      <c r="HH79" s="154">
        <v>13011.411363211952</v>
      </c>
      <c r="HI79" s="154">
        <v>13011.411363211952</v>
      </c>
      <c r="HJ79" s="154">
        <v>13015.155983302086</v>
      </c>
      <c r="HK79" s="154">
        <v>14481.676818848175</v>
      </c>
      <c r="HL79" s="154">
        <v>14481.676818848175</v>
      </c>
      <c r="HM79" s="154">
        <v>14479.561188596073</v>
      </c>
      <c r="HN79" s="154">
        <v>14479.561188596073</v>
      </c>
      <c r="HO79" s="154">
        <v>14479.561188596073</v>
      </c>
      <c r="HP79" s="154">
        <v>14479.561188596073</v>
      </c>
      <c r="HQ79" s="154">
        <v>14675.136265748117</v>
      </c>
      <c r="HR79" s="157">
        <f t="shared" si="227"/>
        <v>166617.53609397865</v>
      </c>
      <c r="HS79" s="161"/>
      <c r="HT79" s="163">
        <v>3252.8528408029879</v>
      </c>
      <c r="HU79" s="164">
        <v>3252.8528408029879</v>
      </c>
      <c r="HV79" s="154">
        <v>3252.8528408029879</v>
      </c>
      <c r="HW79" s="154">
        <v>3252.8528408029879</v>
      </c>
      <c r="HX79" s="154">
        <v>3253.7889958255214</v>
      </c>
      <c r="HY79" s="154">
        <v>3620.4192047120437</v>
      </c>
      <c r="HZ79" s="154">
        <v>3620.4192047120437</v>
      </c>
      <c r="IA79" s="154">
        <v>3619.8902971490184</v>
      </c>
      <c r="IB79" s="154">
        <v>3619.8902971490184</v>
      </c>
      <c r="IC79" s="154">
        <v>3619.8902971490184</v>
      </c>
      <c r="ID79" s="154">
        <v>3619.8902971490184</v>
      </c>
      <c r="IE79" s="154">
        <v>3668.7840664370292</v>
      </c>
      <c r="IF79" s="157">
        <f t="shared" si="228"/>
        <v>41654.384023494662</v>
      </c>
      <c r="IG79" s="161"/>
      <c r="IH79" s="163">
        <v>3252.8528408029879</v>
      </c>
      <c r="II79" s="164">
        <v>3252.8528408029879</v>
      </c>
      <c r="IJ79" s="154">
        <v>3252.8528408029879</v>
      </c>
      <c r="IK79" s="154">
        <v>3252.8528408029879</v>
      </c>
      <c r="IL79" s="154">
        <v>3253.7889958255214</v>
      </c>
      <c r="IM79" s="154">
        <v>3620.4192047120437</v>
      </c>
      <c r="IN79" s="154">
        <v>3620.4192047120437</v>
      </c>
      <c r="IO79" s="154">
        <v>3619.8902971490184</v>
      </c>
      <c r="IP79" s="154">
        <v>3619.8902971490184</v>
      </c>
      <c r="IQ79" s="154">
        <v>3619.8902971490184</v>
      </c>
      <c r="IR79" s="154">
        <v>3619.8902971490184</v>
      </c>
      <c r="IS79" s="154">
        <v>3668.7840664370292</v>
      </c>
      <c r="IT79" s="157">
        <f t="shared" si="229"/>
        <v>41654.384023494662</v>
      </c>
      <c r="IU79" s="161"/>
      <c r="IV79" s="163">
        <v>22769.969885620914</v>
      </c>
      <c r="IW79" s="164">
        <v>22769.969885620914</v>
      </c>
      <c r="IX79" s="154">
        <v>22769.969885620914</v>
      </c>
      <c r="IY79" s="154">
        <v>22769.969885620914</v>
      </c>
      <c r="IZ79" s="154">
        <v>22776.522970778649</v>
      </c>
      <c r="JA79" s="154">
        <v>25342.934432984304</v>
      </c>
      <c r="JB79" s="154">
        <v>25342.934432984304</v>
      </c>
      <c r="JC79" s="154">
        <v>25339.23208004313</v>
      </c>
      <c r="JD79" s="154">
        <v>25339.23208004313</v>
      </c>
      <c r="JE79" s="154">
        <v>25339.23208004313</v>
      </c>
      <c r="JF79" s="154">
        <v>25339.23208004313</v>
      </c>
      <c r="JG79" s="154">
        <v>25681.488465059203</v>
      </c>
      <c r="JH79" s="157">
        <f t="shared" si="230"/>
        <v>291580.68816446263</v>
      </c>
      <c r="JI79" s="161"/>
      <c r="JJ79" s="163">
        <v>35781.381248832869</v>
      </c>
      <c r="JK79" s="164">
        <v>35781.381248832869</v>
      </c>
      <c r="JL79" s="154">
        <v>35781.381248832869</v>
      </c>
      <c r="JM79" s="154">
        <v>35781.381248832869</v>
      </c>
      <c r="JN79" s="154">
        <v>35791.678954080737</v>
      </c>
      <c r="JO79" s="154">
        <v>39824.611251832481</v>
      </c>
      <c r="JP79" s="154">
        <v>39824.611251832481</v>
      </c>
      <c r="JQ79" s="154">
        <v>39818.793268639201</v>
      </c>
      <c r="JR79" s="154">
        <v>39818.793268639201</v>
      </c>
      <c r="JS79" s="154">
        <v>39818.793268639201</v>
      </c>
      <c r="JT79" s="154">
        <v>39818.793268639201</v>
      </c>
      <c r="JU79" s="154">
        <v>40356.624730807322</v>
      </c>
      <c r="JV79" s="157">
        <f t="shared" si="231"/>
        <v>458198.22425844125</v>
      </c>
      <c r="JW79" s="161"/>
      <c r="JX79" s="163">
        <v>16264.26420401494</v>
      </c>
      <c r="JY79" s="164">
        <v>16264.26420401494</v>
      </c>
      <c r="JZ79" s="154">
        <v>16264.26420401494</v>
      </c>
      <c r="KA79" s="154">
        <v>16264.26420401494</v>
      </c>
      <c r="KB79" s="154">
        <v>16268.944979127607</v>
      </c>
      <c r="KC79" s="154">
        <v>18102.096023560218</v>
      </c>
      <c r="KD79" s="154">
        <v>18102.096023560218</v>
      </c>
      <c r="KE79" s="154">
        <v>18099.451485745092</v>
      </c>
      <c r="KF79" s="154">
        <v>18099.451485745092</v>
      </c>
      <c r="KG79" s="154">
        <v>18099.451485745092</v>
      </c>
      <c r="KH79" s="154">
        <v>18099.451485745092</v>
      </c>
      <c r="KI79" s="154">
        <v>18343.920332185146</v>
      </c>
      <c r="KJ79" s="157">
        <f t="shared" si="232"/>
        <v>208271.92011747329</v>
      </c>
      <c r="KK79" s="161"/>
      <c r="KL79" s="163">
        <v>6505.7056816059758</v>
      </c>
      <c r="KM79" s="164">
        <v>6505.7056816059758</v>
      </c>
      <c r="KN79" s="154">
        <v>6505.7056816059758</v>
      </c>
      <c r="KO79" s="154">
        <v>6505.7056816059758</v>
      </c>
      <c r="KP79" s="154">
        <v>6507.5779916510428</v>
      </c>
      <c r="KQ79" s="154">
        <v>7240.8384094240873</v>
      </c>
      <c r="KR79" s="154">
        <v>7240.8384094240873</v>
      </c>
      <c r="KS79" s="154">
        <v>7239.7805942980367</v>
      </c>
      <c r="KT79" s="154">
        <v>7239.7805942980367</v>
      </c>
      <c r="KU79" s="154">
        <v>7239.7805942980367</v>
      </c>
      <c r="KV79" s="154">
        <v>7239.7805942980367</v>
      </c>
      <c r="KW79" s="154">
        <v>7337.5681328740584</v>
      </c>
      <c r="KX79" s="157">
        <f t="shared" si="233"/>
        <v>83308.768046989324</v>
      </c>
      <c r="KY79" s="161"/>
      <c r="KZ79" s="163">
        <v>3252.8528408029879</v>
      </c>
      <c r="LA79" s="164">
        <v>3252.8528408029879</v>
      </c>
      <c r="LB79" s="154">
        <v>3252.8528408029879</v>
      </c>
      <c r="LC79" s="154">
        <v>3252.8528408029879</v>
      </c>
      <c r="LD79" s="154">
        <v>3253.7889958255214</v>
      </c>
      <c r="LE79" s="154">
        <v>3620.4192047120437</v>
      </c>
      <c r="LF79" s="154">
        <v>3620.4192047120437</v>
      </c>
      <c r="LG79" s="154">
        <v>3619.8902971490184</v>
      </c>
      <c r="LH79" s="154">
        <v>3619.8902971490184</v>
      </c>
      <c r="LI79" s="154">
        <v>3619.8902971490184</v>
      </c>
      <c r="LJ79" s="154">
        <v>3619.8902971490184</v>
      </c>
      <c r="LK79" s="154">
        <v>3668.7840664370292</v>
      </c>
      <c r="LL79" s="157">
        <f t="shared" si="234"/>
        <v>41654.384023494662</v>
      </c>
      <c r="LM79" s="161"/>
      <c r="LN79" s="163">
        <v>0</v>
      </c>
      <c r="LO79" s="164">
        <v>0</v>
      </c>
      <c r="LP79" s="154">
        <v>0</v>
      </c>
      <c r="LQ79" s="154">
        <v>0</v>
      </c>
      <c r="LR79" s="154">
        <v>0</v>
      </c>
      <c r="LS79" s="154">
        <v>0</v>
      </c>
      <c r="LT79" s="154">
        <v>0</v>
      </c>
      <c r="LU79" s="154">
        <v>0</v>
      </c>
      <c r="LV79" s="154">
        <v>0</v>
      </c>
      <c r="LW79" s="154">
        <v>0</v>
      </c>
      <c r="LX79" s="154">
        <v>0</v>
      </c>
      <c r="LY79" s="154">
        <v>0</v>
      </c>
      <c r="LZ79" s="157">
        <f t="shared" si="235"/>
        <v>0</v>
      </c>
      <c r="MA79" s="161"/>
      <c r="MB79" s="157">
        <f t="shared" si="240"/>
        <v>533467.86589169002</v>
      </c>
      <c r="MC79" s="157">
        <f t="shared" si="240"/>
        <v>533467.86589169002</v>
      </c>
      <c r="MD79" s="157">
        <f t="shared" si="240"/>
        <v>533467.86589169002</v>
      </c>
      <c r="ME79" s="157">
        <f t="shared" si="240"/>
        <v>533467.86589169002</v>
      </c>
      <c r="MF79" s="157">
        <f t="shared" si="240"/>
        <v>533621.39531538542</v>
      </c>
      <c r="MG79" s="157">
        <f t="shared" si="240"/>
        <v>593748.74957277509</v>
      </c>
      <c r="MH79" s="157">
        <f t="shared" si="240"/>
        <v>593748.74957277509</v>
      </c>
      <c r="MI79" s="157">
        <f t="shared" si="240"/>
        <v>593662.00873243925</v>
      </c>
      <c r="MJ79" s="157">
        <f t="shared" si="240"/>
        <v>593662.00873243925</v>
      </c>
      <c r="MK79" s="157">
        <f t="shared" si="240"/>
        <v>593662.00873243925</v>
      </c>
      <c r="ML79" s="157">
        <f t="shared" si="240"/>
        <v>593662.00873243925</v>
      </c>
      <c r="MM79" s="157">
        <f t="shared" si="240"/>
        <v>601680.58689567295</v>
      </c>
      <c r="MN79" s="157">
        <f t="shared" si="239"/>
        <v>6831318.9798531244</v>
      </c>
    </row>
    <row r="80" spans="1:352" s="180" customFormat="1" x14ac:dyDescent="0.25">
      <c r="A80" s="98"/>
      <c r="B80" s="64" t="s">
        <v>96</v>
      </c>
      <c r="C80" s="98"/>
      <c r="D80" s="163">
        <v>0</v>
      </c>
      <c r="E80" s="164">
        <v>0</v>
      </c>
      <c r="F80" s="164">
        <v>0</v>
      </c>
      <c r="G80" s="164">
        <v>0</v>
      </c>
      <c r="H80" s="164">
        <v>0</v>
      </c>
      <c r="I80" s="164">
        <v>0</v>
      </c>
      <c r="J80" s="164">
        <v>0</v>
      </c>
      <c r="K80" s="164">
        <v>0</v>
      </c>
      <c r="L80" s="164">
        <v>0</v>
      </c>
      <c r="M80" s="164">
        <v>0</v>
      </c>
      <c r="N80" s="164">
        <v>0</v>
      </c>
      <c r="O80" s="164">
        <v>0</v>
      </c>
      <c r="P80" s="157">
        <f t="shared" si="213"/>
        <v>0</v>
      </c>
      <c r="Q80" s="161"/>
      <c r="R80" s="163">
        <v>0</v>
      </c>
      <c r="S80" s="164">
        <v>0</v>
      </c>
      <c r="T80" s="164">
        <v>0</v>
      </c>
      <c r="U80" s="164">
        <v>0</v>
      </c>
      <c r="V80" s="164">
        <v>0</v>
      </c>
      <c r="W80" s="164">
        <v>0</v>
      </c>
      <c r="X80" s="164">
        <v>0</v>
      </c>
      <c r="Y80" s="164">
        <v>0</v>
      </c>
      <c r="Z80" s="164">
        <v>0</v>
      </c>
      <c r="AA80" s="164">
        <v>0</v>
      </c>
      <c r="AB80" s="164">
        <v>0</v>
      </c>
      <c r="AC80" s="164">
        <v>0</v>
      </c>
      <c r="AD80" s="157">
        <f t="shared" si="214"/>
        <v>0</v>
      </c>
      <c r="AE80" s="161"/>
      <c r="AF80" s="163">
        <v>0</v>
      </c>
      <c r="AG80" s="164">
        <v>0</v>
      </c>
      <c r="AH80" s="164">
        <v>0</v>
      </c>
      <c r="AI80" s="164">
        <v>0</v>
      </c>
      <c r="AJ80" s="164">
        <v>0</v>
      </c>
      <c r="AK80" s="164">
        <v>0</v>
      </c>
      <c r="AL80" s="164">
        <v>0</v>
      </c>
      <c r="AM80" s="164">
        <v>0</v>
      </c>
      <c r="AN80" s="164">
        <v>0</v>
      </c>
      <c r="AO80" s="164">
        <v>0</v>
      </c>
      <c r="AP80" s="164">
        <v>0</v>
      </c>
      <c r="AQ80" s="164">
        <v>0</v>
      </c>
      <c r="AR80" s="157">
        <f t="shared" si="215"/>
        <v>0</v>
      </c>
      <c r="AS80" s="161"/>
      <c r="AT80" s="163">
        <v>0</v>
      </c>
      <c r="AU80" s="164">
        <v>0</v>
      </c>
      <c r="AV80" s="164">
        <v>0</v>
      </c>
      <c r="AW80" s="164">
        <v>0</v>
      </c>
      <c r="AX80" s="164">
        <v>0</v>
      </c>
      <c r="AY80" s="164">
        <v>0</v>
      </c>
      <c r="AZ80" s="164">
        <v>0</v>
      </c>
      <c r="BA80" s="164">
        <v>0</v>
      </c>
      <c r="BB80" s="164">
        <v>0</v>
      </c>
      <c r="BC80" s="164">
        <v>0</v>
      </c>
      <c r="BD80" s="164">
        <v>0</v>
      </c>
      <c r="BE80" s="164">
        <v>0</v>
      </c>
      <c r="BF80" s="157">
        <f t="shared" si="216"/>
        <v>0</v>
      </c>
      <c r="BG80" s="176"/>
      <c r="BH80" s="163">
        <v>0</v>
      </c>
      <c r="BI80" s="164">
        <v>0</v>
      </c>
      <c r="BJ80" s="154">
        <v>0</v>
      </c>
      <c r="BK80" s="154">
        <v>0</v>
      </c>
      <c r="BL80" s="154">
        <v>0</v>
      </c>
      <c r="BM80" s="154">
        <v>0</v>
      </c>
      <c r="BN80" s="154">
        <v>0</v>
      </c>
      <c r="BO80" s="154">
        <v>0</v>
      </c>
      <c r="BP80" s="154">
        <v>0</v>
      </c>
      <c r="BQ80" s="154">
        <v>0</v>
      </c>
      <c r="BR80" s="154">
        <v>0</v>
      </c>
      <c r="BS80" s="154">
        <v>0</v>
      </c>
      <c r="BT80" s="157">
        <f t="shared" si="217"/>
        <v>0</v>
      </c>
      <c r="BU80" s="161"/>
      <c r="BV80" s="163">
        <v>0</v>
      </c>
      <c r="BW80" s="164">
        <v>0</v>
      </c>
      <c r="BX80" s="154">
        <v>0</v>
      </c>
      <c r="BY80" s="154">
        <v>0</v>
      </c>
      <c r="BZ80" s="154">
        <v>0</v>
      </c>
      <c r="CA80" s="154">
        <v>0</v>
      </c>
      <c r="CB80" s="154">
        <v>0</v>
      </c>
      <c r="CC80" s="154">
        <v>0</v>
      </c>
      <c r="CD80" s="154">
        <v>0</v>
      </c>
      <c r="CE80" s="154">
        <v>0</v>
      </c>
      <c r="CF80" s="154">
        <v>0</v>
      </c>
      <c r="CG80" s="154">
        <v>0</v>
      </c>
      <c r="CH80" s="157">
        <f t="shared" si="218"/>
        <v>0</v>
      </c>
      <c r="CI80" s="161"/>
      <c r="CJ80" s="163">
        <v>0</v>
      </c>
      <c r="CK80" s="164">
        <v>0</v>
      </c>
      <c r="CL80" s="154">
        <v>0</v>
      </c>
      <c r="CM80" s="154">
        <v>0</v>
      </c>
      <c r="CN80" s="154">
        <v>0</v>
      </c>
      <c r="CO80" s="154">
        <v>0</v>
      </c>
      <c r="CP80" s="154">
        <v>0</v>
      </c>
      <c r="CQ80" s="154">
        <v>0</v>
      </c>
      <c r="CR80" s="154">
        <v>0</v>
      </c>
      <c r="CS80" s="154">
        <v>0</v>
      </c>
      <c r="CT80" s="154">
        <v>0</v>
      </c>
      <c r="CU80" s="154">
        <v>0</v>
      </c>
      <c r="CV80" s="157">
        <f t="shared" si="219"/>
        <v>0</v>
      </c>
      <c r="CW80" s="161"/>
      <c r="CX80" s="163">
        <v>0</v>
      </c>
      <c r="CY80" s="164">
        <v>0</v>
      </c>
      <c r="CZ80" s="154">
        <v>0</v>
      </c>
      <c r="DA80" s="154">
        <v>0</v>
      </c>
      <c r="DB80" s="154">
        <v>0</v>
      </c>
      <c r="DC80" s="154">
        <v>0</v>
      </c>
      <c r="DD80" s="154">
        <v>0</v>
      </c>
      <c r="DE80" s="154">
        <v>0</v>
      </c>
      <c r="DF80" s="154">
        <v>0</v>
      </c>
      <c r="DG80" s="154">
        <v>0</v>
      </c>
      <c r="DH80" s="154">
        <v>0</v>
      </c>
      <c r="DI80" s="154">
        <v>0</v>
      </c>
      <c r="DJ80" s="157">
        <f t="shared" si="220"/>
        <v>0</v>
      </c>
      <c r="DK80" s="161"/>
      <c r="DL80" s="163">
        <v>0</v>
      </c>
      <c r="DM80" s="164">
        <v>0</v>
      </c>
      <c r="DN80" s="154">
        <v>0</v>
      </c>
      <c r="DO80" s="154">
        <v>0</v>
      </c>
      <c r="DP80" s="154">
        <v>0</v>
      </c>
      <c r="DQ80" s="154">
        <v>0</v>
      </c>
      <c r="DR80" s="154">
        <v>0</v>
      </c>
      <c r="DS80" s="154">
        <v>0</v>
      </c>
      <c r="DT80" s="154">
        <v>0</v>
      </c>
      <c r="DU80" s="154">
        <v>0</v>
      </c>
      <c r="DV80" s="154">
        <v>0</v>
      </c>
      <c r="DW80" s="154">
        <v>0</v>
      </c>
      <c r="DX80" s="157">
        <f t="shared" si="221"/>
        <v>0</v>
      </c>
      <c r="DY80" s="161"/>
      <c r="DZ80" s="163">
        <v>0</v>
      </c>
      <c r="EA80" s="164">
        <v>0</v>
      </c>
      <c r="EB80" s="154">
        <v>0</v>
      </c>
      <c r="EC80" s="154">
        <v>0</v>
      </c>
      <c r="ED80" s="154">
        <v>0</v>
      </c>
      <c r="EE80" s="154">
        <v>0</v>
      </c>
      <c r="EF80" s="154">
        <v>0</v>
      </c>
      <c r="EG80" s="154">
        <v>0</v>
      </c>
      <c r="EH80" s="154">
        <v>0</v>
      </c>
      <c r="EI80" s="154">
        <v>0</v>
      </c>
      <c r="EJ80" s="154">
        <v>0</v>
      </c>
      <c r="EK80" s="154">
        <v>0</v>
      </c>
      <c r="EL80" s="157">
        <f t="shared" si="222"/>
        <v>0</v>
      </c>
      <c r="EM80" s="161"/>
      <c r="EN80" s="163">
        <v>0</v>
      </c>
      <c r="EO80" s="164">
        <v>0</v>
      </c>
      <c r="EP80" s="154">
        <v>0</v>
      </c>
      <c r="EQ80" s="154">
        <v>0</v>
      </c>
      <c r="ER80" s="154">
        <v>0</v>
      </c>
      <c r="ES80" s="154">
        <v>0</v>
      </c>
      <c r="ET80" s="154">
        <v>0</v>
      </c>
      <c r="EU80" s="154">
        <v>0</v>
      </c>
      <c r="EV80" s="154">
        <v>0</v>
      </c>
      <c r="EW80" s="154">
        <v>0</v>
      </c>
      <c r="EX80" s="154">
        <v>0</v>
      </c>
      <c r="EY80" s="154">
        <v>0</v>
      </c>
      <c r="EZ80" s="157">
        <f t="shared" si="223"/>
        <v>0</v>
      </c>
      <c r="FA80" s="161"/>
      <c r="FB80" s="163">
        <v>0</v>
      </c>
      <c r="FC80" s="164">
        <v>0</v>
      </c>
      <c r="FD80" s="154">
        <v>0</v>
      </c>
      <c r="FE80" s="154">
        <v>0</v>
      </c>
      <c r="FF80" s="154">
        <v>0</v>
      </c>
      <c r="FG80" s="154">
        <v>0</v>
      </c>
      <c r="FH80" s="154">
        <v>0</v>
      </c>
      <c r="FI80" s="154">
        <v>0</v>
      </c>
      <c r="FJ80" s="154">
        <v>0</v>
      </c>
      <c r="FK80" s="154">
        <v>0</v>
      </c>
      <c r="FL80" s="154">
        <v>0</v>
      </c>
      <c r="FM80" s="154">
        <v>0</v>
      </c>
      <c r="FN80" s="157">
        <f t="shared" si="224"/>
        <v>0</v>
      </c>
      <c r="FO80" s="161"/>
      <c r="FP80" s="163">
        <v>0</v>
      </c>
      <c r="FQ80" s="164">
        <v>0</v>
      </c>
      <c r="FR80" s="154">
        <v>0</v>
      </c>
      <c r="FS80" s="154">
        <v>0</v>
      </c>
      <c r="FT80" s="154">
        <v>0</v>
      </c>
      <c r="FU80" s="154">
        <v>0</v>
      </c>
      <c r="FV80" s="154">
        <v>0</v>
      </c>
      <c r="FW80" s="154">
        <v>0</v>
      </c>
      <c r="FX80" s="154">
        <v>0</v>
      </c>
      <c r="FY80" s="154">
        <v>0</v>
      </c>
      <c r="FZ80" s="154">
        <v>0</v>
      </c>
      <c r="GA80" s="154">
        <v>0</v>
      </c>
      <c r="GB80" s="157">
        <f t="shared" si="225"/>
        <v>0</v>
      </c>
      <c r="GC80" s="161"/>
      <c r="GD80" s="163">
        <v>0</v>
      </c>
      <c r="GE80" s="164">
        <v>0</v>
      </c>
      <c r="GF80" s="154">
        <v>0</v>
      </c>
      <c r="GG80" s="154">
        <v>0</v>
      </c>
      <c r="GH80" s="154">
        <v>0</v>
      </c>
      <c r="GI80" s="154">
        <v>0</v>
      </c>
      <c r="GJ80" s="154">
        <v>0</v>
      </c>
      <c r="GK80" s="154">
        <v>0</v>
      </c>
      <c r="GL80" s="154">
        <v>0</v>
      </c>
      <c r="GM80" s="154">
        <v>0</v>
      </c>
      <c r="GN80" s="154">
        <v>0</v>
      </c>
      <c r="GO80" s="154">
        <v>0</v>
      </c>
      <c r="GP80" s="157">
        <f t="shared" si="226"/>
        <v>0</v>
      </c>
      <c r="GQ80" s="161"/>
      <c r="GR80" s="163">
        <v>0</v>
      </c>
      <c r="GS80" s="164">
        <v>0</v>
      </c>
      <c r="GT80" s="154">
        <v>0</v>
      </c>
      <c r="GU80" s="154">
        <v>0</v>
      </c>
      <c r="GV80" s="154">
        <v>0</v>
      </c>
      <c r="GW80" s="154">
        <v>0</v>
      </c>
      <c r="GX80" s="154">
        <v>0</v>
      </c>
      <c r="GY80" s="154">
        <v>0</v>
      </c>
      <c r="GZ80" s="154">
        <v>0</v>
      </c>
      <c r="HA80" s="154">
        <v>0</v>
      </c>
      <c r="HB80" s="154">
        <v>0</v>
      </c>
      <c r="HC80" s="154">
        <v>0</v>
      </c>
      <c r="HD80" s="157">
        <f t="shared" si="238"/>
        <v>0</v>
      </c>
      <c r="HE80" s="161"/>
      <c r="HF80" s="163">
        <v>0</v>
      </c>
      <c r="HG80" s="164">
        <v>0</v>
      </c>
      <c r="HH80" s="154">
        <v>0</v>
      </c>
      <c r="HI80" s="154">
        <v>0</v>
      </c>
      <c r="HJ80" s="154">
        <v>0</v>
      </c>
      <c r="HK80" s="154">
        <v>0</v>
      </c>
      <c r="HL80" s="154">
        <v>0</v>
      </c>
      <c r="HM80" s="154">
        <v>0</v>
      </c>
      <c r="HN80" s="154">
        <v>0</v>
      </c>
      <c r="HO80" s="154">
        <v>0</v>
      </c>
      <c r="HP80" s="154">
        <v>0</v>
      </c>
      <c r="HQ80" s="154">
        <v>0</v>
      </c>
      <c r="HR80" s="157">
        <f t="shared" si="227"/>
        <v>0</v>
      </c>
      <c r="HS80" s="161"/>
      <c r="HT80" s="163">
        <v>0</v>
      </c>
      <c r="HU80" s="164">
        <v>0</v>
      </c>
      <c r="HV80" s="154">
        <v>0</v>
      </c>
      <c r="HW80" s="154">
        <v>0</v>
      </c>
      <c r="HX80" s="154">
        <v>0</v>
      </c>
      <c r="HY80" s="154">
        <v>0</v>
      </c>
      <c r="HZ80" s="154">
        <v>0</v>
      </c>
      <c r="IA80" s="154">
        <v>0</v>
      </c>
      <c r="IB80" s="154">
        <v>0</v>
      </c>
      <c r="IC80" s="154">
        <v>0</v>
      </c>
      <c r="ID80" s="154">
        <v>0</v>
      </c>
      <c r="IE80" s="154">
        <v>0</v>
      </c>
      <c r="IF80" s="157">
        <f t="shared" si="228"/>
        <v>0</v>
      </c>
      <c r="IG80" s="161"/>
      <c r="IH80" s="163">
        <v>0</v>
      </c>
      <c r="II80" s="164">
        <v>0</v>
      </c>
      <c r="IJ80" s="154">
        <v>0</v>
      </c>
      <c r="IK80" s="154">
        <v>0</v>
      </c>
      <c r="IL80" s="154">
        <v>0</v>
      </c>
      <c r="IM80" s="154">
        <v>0</v>
      </c>
      <c r="IN80" s="154">
        <v>0</v>
      </c>
      <c r="IO80" s="154">
        <v>0</v>
      </c>
      <c r="IP80" s="154">
        <v>0</v>
      </c>
      <c r="IQ80" s="154">
        <v>0</v>
      </c>
      <c r="IR80" s="154">
        <v>0</v>
      </c>
      <c r="IS80" s="154">
        <v>0</v>
      </c>
      <c r="IT80" s="157">
        <f t="shared" si="229"/>
        <v>0</v>
      </c>
      <c r="IU80" s="161"/>
      <c r="IV80" s="163">
        <v>0</v>
      </c>
      <c r="IW80" s="164">
        <v>0</v>
      </c>
      <c r="IX80" s="154">
        <v>0</v>
      </c>
      <c r="IY80" s="154">
        <v>0</v>
      </c>
      <c r="IZ80" s="154">
        <v>0</v>
      </c>
      <c r="JA80" s="154">
        <v>0</v>
      </c>
      <c r="JB80" s="154">
        <v>0</v>
      </c>
      <c r="JC80" s="154">
        <v>0</v>
      </c>
      <c r="JD80" s="154">
        <v>0</v>
      </c>
      <c r="JE80" s="154">
        <v>0</v>
      </c>
      <c r="JF80" s="154">
        <v>0</v>
      </c>
      <c r="JG80" s="154">
        <v>0</v>
      </c>
      <c r="JH80" s="157">
        <f t="shared" si="230"/>
        <v>0</v>
      </c>
      <c r="JI80" s="161"/>
      <c r="JJ80" s="163">
        <v>0</v>
      </c>
      <c r="JK80" s="164">
        <v>0</v>
      </c>
      <c r="JL80" s="154">
        <v>0</v>
      </c>
      <c r="JM80" s="154">
        <v>0</v>
      </c>
      <c r="JN80" s="154">
        <v>0</v>
      </c>
      <c r="JO80" s="154">
        <v>0</v>
      </c>
      <c r="JP80" s="154">
        <v>0</v>
      </c>
      <c r="JQ80" s="154">
        <v>0</v>
      </c>
      <c r="JR80" s="154">
        <v>0</v>
      </c>
      <c r="JS80" s="154">
        <v>0</v>
      </c>
      <c r="JT80" s="154">
        <v>0</v>
      </c>
      <c r="JU80" s="154">
        <v>0</v>
      </c>
      <c r="JV80" s="157">
        <f t="shared" si="231"/>
        <v>0</v>
      </c>
      <c r="JW80" s="161"/>
      <c r="JX80" s="163">
        <v>0</v>
      </c>
      <c r="JY80" s="164">
        <v>0</v>
      </c>
      <c r="JZ80" s="154">
        <v>0</v>
      </c>
      <c r="KA80" s="154">
        <v>0</v>
      </c>
      <c r="KB80" s="154">
        <v>0</v>
      </c>
      <c r="KC80" s="154">
        <v>0</v>
      </c>
      <c r="KD80" s="154">
        <v>0</v>
      </c>
      <c r="KE80" s="154">
        <v>0</v>
      </c>
      <c r="KF80" s="154">
        <v>0</v>
      </c>
      <c r="KG80" s="154">
        <v>0</v>
      </c>
      <c r="KH80" s="154">
        <v>0</v>
      </c>
      <c r="KI80" s="154">
        <v>0</v>
      </c>
      <c r="KJ80" s="157">
        <f t="shared" si="232"/>
        <v>0</v>
      </c>
      <c r="KK80" s="161"/>
      <c r="KL80" s="163">
        <v>0</v>
      </c>
      <c r="KM80" s="164">
        <v>0</v>
      </c>
      <c r="KN80" s="154">
        <v>0</v>
      </c>
      <c r="KO80" s="154">
        <v>0</v>
      </c>
      <c r="KP80" s="154">
        <v>0</v>
      </c>
      <c r="KQ80" s="154">
        <v>0</v>
      </c>
      <c r="KR80" s="154">
        <v>0</v>
      </c>
      <c r="KS80" s="154">
        <v>0</v>
      </c>
      <c r="KT80" s="154">
        <v>0</v>
      </c>
      <c r="KU80" s="154">
        <v>0</v>
      </c>
      <c r="KV80" s="154">
        <v>0</v>
      </c>
      <c r="KW80" s="154">
        <v>0</v>
      </c>
      <c r="KX80" s="157">
        <f t="shared" si="233"/>
        <v>0</v>
      </c>
      <c r="KY80" s="161"/>
      <c r="KZ80" s="163">
        <v>0</v>
      </c>
      <c r="LA80" s="164">
        <v>0</v>
      </c>
      <c r="LB80" s="154">
        <v>0</v>
      </c>
      <c r="LC80" s="154">
        <v>0</v>
      </c>
      <c r="LD80" s="154">
        <v>0</v>
      </c>
      <c r="LE80" s="154">
        <v>0</v>
      </c>
      <c r="LF80" s="154">
        <v>0</v>
      </c>
      <c r="LG80" s="154">
        <v>0</v>
      </c>
      <c r="LH80" s="154">
        <v>0</v>
      </c>
      <c r="LI80" s="154">
        <v>0</v>
      </c>
      <c r="LJ80" s="154">
        <v>0</v>
      </c>
      <c r="LK80" s="154">
        <v>0</v>
      </c>
      <c r="LL80" s="157">
        <f t="shared" si="234"/>
        <v>0</v>
      </c>
      <c r="LM80" s="161"/>
      <c r="LN80" s="163">
        <v>0</v>
      </c>
      <c r="LO80" s="164">
        <v>0</v>
      </c>
      <c r="LP80" s="154">
        <v>0</v>
      </c>
      <c r="LQ80" s="154">
        <v>0</v>
      </c>
      <c r="LR80" s="154">
        <v>0</v>
      </c>
      <c r="LS80" s="154">
        <v>0</v>
      </c>
      <c r="LT80" s="154">
        <v>0</v>
      </c>
      <c r="LU80" s="154">
        <v>0</v>
      </c>
      <c r="LV80" s="154">
        <v>0</v>
      </c>
      <c r="LW80" s="154">
        <v>0</v>
      </c>
      <c r="LX80" s="154">
        <v>0</v>
      </c>
      <c r="LY80" s="154">
        <v>0</v>
      </c>
      <c r="LZ80" s="157">
        <f t="shared" si="235"/>
        <v>0</v>
      </c>
      <c r="MA80" s="161"/>
      <c r="MB80" s="157">
        <f t="shared" si="240"/>
        <v>0</v>
      </c>
      <c r="MC80" s="157">
        <f t="shared" si="240"/>
        <v>0</v>
      </c>
      <c r="MD80" s="157">
        <f t="shared" si="240"/>
        <v>0</v>
      </c>
      <c r="ME80" s="157">
        <f t="shared" si="240"/>
        <v>0</v>
      </c>
      <c r="MF80" s="157">
        <f t="shared" si="240"/>
        <v>0</v>
      </c>
      <c r="MG80" s="157">
        <f t="shared" si="240"/>
        <v>0</v>
      </c>
      <c r="MH80" s="157">
        <f t="shared" si="240"/>
        <v>0</v>
      </c>
      <c r="MI80" s="157">
        <f t="shared" si="240"/>
        <v>0</v>
      </c>
      <c r="MJ80" s="157">
        <f t="shared" si="240"/>
        <v>0</v>
      </c>
      <c r="MK80" s="157">
        <f t="shared" si="240"/>
        <v>0</v>
      </c>
      <c r="ML80" s="157">
        <f t="shared" si="240"/>
        <v>0</v>
      </c>
      <c r="MM80" s="157">
        <f t="shared" si="240"/>
        <v>0</v>
      </c>
      <c r="MN80" s="157">
        <f t="shared" si="239"/>
        <v>0</v>
      </c>
    </row>
    <row r="81" spans="1:352" s="180" customFormat="1" x14ac:dyDescent="0.25">
      <c r="A81" s="98"/>
      <c r="B81" s="183"/>
      <c r="C81" s="98"/>
      <c r="D81" s="203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57"/>
      <c r="Q81" s="161"/>
      <c r="R81" s="203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57"/>
      <c r="AE81" s="161"/>
      <c r="AF81" s="203"/>
      <c r="AG81" s="177"/>
      <c r="AH81" s="177"/>
      <c r="AI81" s="177"/>
      <c r="AJ81" s="177"/>
      <c r="AK81" s="177"/>
      <c r="AL81" s="177"/>
      <c r="AM81" s="177"/>
      <c r="AN81" s="177"/>
      <c r="AO81" s="177"/>
      <c r="AP81" s="177"/>
      <c r="AQ81" s="177"/>
      <c r="AR81" s="157"/>
      <c r="AS81" s="161"/>
      <c r="AT81" s="203"/>
      <c r="AU81" s="177"/>
      <c r="AV81" s="177"/>
      <c r="AW81" s="177"/>
      <c r="AX81" s="177"/>
      <c r="AY81" s="177"/>
      <c r="AZ81" s="177"/>
      <c r="BA81" s="177"/>
      <c r="BB81" s="177"/>
      <c r="BC81" s="177"/>
      <c r="BD81" s="177"/>
      <c r="BE81" s="177"/>
      <c r="BF81" s="157"/>
      <c r="BG81" s="176"/>
      <c r="BH81" s="203"/>
      <c r="BI81" s="177"/>
      <c r="BJ81" s="177"/>
      <c r="BK81" s="177"/>
      <c r="BL81" s="177"/>
      <c r="BM81" s="177"/>
      <c r="BN81" s="177"/>
      <c r="BO81" s="177"/>
      <c r="BP81" s="177"/>
      <c r="BQ81" s="177"/>
      <c r="BR81" s="177"/>
      <c r="BS81" s="177"/>
      <c r="BT81" s="157"/>
      <c r="BU81" s="161"/>
      <c r="BV81" s="203"/>
      <c r="BW81" s="177"/>
      <c r="BX81" s="177"/>
      <c r="BY81" s="177"/>
      <c r="BZ81" s="177"/>
      <c r="CA81" s="177"/>
      <c r="CB81" s="177"/>
      <c r="CC81" s="177"/>
      <c r="CD81" s="177"/>
      <c r="CE81" s="177"/>
      <c r="CF81" s="177"/>
      <c r="CG81" s="177"/>
      <c r="CH81" s="157"/>
      <c r="CI81" s="161"/>
      <c r="CJ81" s="203"/>
      <c r="CK81" s="177"/>
      <c r="CL81" s="177"/>
      <c r="CM81" s="177"/>
      <c r="CN81" s="177"/>
      <c r="CO81" s="177"/>
      <c r="CP81" s="177"/>
      <c r="CQ81" s="177"/>
      <c r="CR81" s="177"/>
      <c r="CS81" s="177"/>
      <c r="CT81" s="177"/>
      <c r="CU81" s="177"/>
      <c r="CV81" s="157"/>
      <c r="CW81" s="161"/>
      <c r="CX81" s="203"/>
      <c r="CY81" s="177"/>
      <c r="CZ81" s="177"/>
      <c r="DA81" s="177"/>
      <c r="DB81" s="177"/>
      <c r="DC81" s="177"/>
      <c r="DD81" s="177"/>
      <c r="DE81" s="177"/>
      <c r="DF81" s="177"/>
      <c r="DG81" s="177"/>
      <c r="DH81" s="177"/>
      <c r="DI81" s="177"/>
      <c r="DJ81" s="157"/>
      <c r="DK81" s="161"/>
      <c r="DL81" s="203"/>
      <c r="DM81" s="177"/>
      <c r="DN81" s="177"/>
      <c r="DO81" s="177"/>
      <c r="DP81" s="177"/>
      <c r="DQ81" s="177"/>
      <c r="DR81" s="177"/>
      <c r="DS81" s="177"/>
      <c r="DT81" s="177"/>
      <c r="DU81" s="177"/>
      <c r="DV81" s="177"/>
      <c r="DW81" s="177"/>
      <c r="DX81" s="157"/>
      <c r="DY81" s="161"/>
      <c r="DZ81" s="203"/>
      <c r="EA81" s="177"/>
      <c r="EB81" s="177"/>
      <c r="EC81" s="177"/>
      <c r="ED81" s="177"/>
      <c r="EE81" s="177"/>
      <c r="EF81" s="177"/>
      <c r="EG81" s="177"/>
      <c r="EH81" s="177"/>
      <c r="EI81" s="177"/>
      <c r="EJ81" s="177"/>
      <c r="EK81" s="177"/>
      <c r="EL81" s="157"/>
      <c r="EM81" s="161"/>
      <c r="EN81" s="203"/>
      <c r="EO81" s="177"/>
      <c r="EP81" s="177"/>
      <c r="EQ81" s="177"/>
      <c r="ER81" s="177"/>
      <c r="ES81" s="177"/>
      <c r="ET81" s="177"/>
      <c r="EU81" s="177"/>
      <c r="EV81" s="177"/>
      <c r="EW81" s="177"/>
      <c r="EX81" s="177"/>
      <c r="EY81" s="177"/>
      <c r="EZ81" s="157"/>
      <c r="FA81" s="161"/>
      <c r="FB81" s="203"/>
      <c r="FC81" s="177"/>
      <c r="FD81" s="177"/>
      <c r="FE81" s="177"/>
      <c r="FF81" s="177"/>
      <c r="FG81" s="177"/>
      <c r="FH81" s="177"/>
      <c r="FI81" s="177"/>
      <c r="FJ81" s="177"/>
      <c r="FK81" s="177"/>
      <c r="FL81" s="177"/>
      <c r="FM81" s="177"/>
      <c r="FN81" s="157"/>
      <c r="FO81" s="161"/>
      <c r="FP81" s="203"/>
      <c r="FQ81" s="177"/>
      <c r="FR81" s="177"/>
      <c r="FS81" s="177"/>
      <c r="FT81" s="177"/>
      <c r="FU81" s="177"/>
      <c r="FV81" s="177"/>
      <c r="FW81" s="177"/>
      <c r="FX81" s="177"/>
      <c r="FY81" s="177"/>
      <c r="FZ81" s="177"/>
      <c r="GA81" s="177"/>
      <c r="GB81" s="157"/>
      <c r="GC81" s="161"/>
      <c r="GD81" s="203"/>
      <c r="GE81" s="177"/>
      <c r="GF81" s="177"/>
      <c r="GG81" s="177"/>
      <c r="GH81" s="177"/>
      <c r="GI81" s="177"/>
      <c r="GJ81" s="177"/>
      <c r="GK81" s="177"/>
      <c r="GL81" s="177"/>
      <c r="GM81" s="177"/>
      <c r="GN81" s="177"/>
      <c r="GO81" s="177"/>
      <c r="GP81" s="157"/>
      <c r="GQ81" s="161"/>
      <c r="GR81" s="203"/>
      <c r="GS81" s="177"/>
      <c r="GT81" s="177"/>
      <c r="GU81" s="177"/>
      <c r="GV81" s="177"/>
      <c r="GW81" s="177"/>
      <c r="GX81" s="177"/>
      <c r="GY81" s="177"/>
      <c r="GZ81" s="177"/>
      <c r="HA81" s="177"/>
      <c r="HB81" s="177"/>
      <c r="HC81" s="177"/>
      <c r="HD81" s="157"/>
      <c r="HE81" s="161"/>
      <c r="HF81" s="203"/>
      <c r="HG81" s="177"/>
      <c r="HH81" s="177"/>
      <c r="HI81" s="177"/>
      <c r="HJ81" s="177"/>
      <c r="HK81" s="177"/>
      <c r="HL81" s="177"/>
      <c r="HM81" s="177"/>
      <c r="HN81" s="177"/>
      <c r="HO81" s="177"/>
      <c r="HP81" s="177"/>
      <c r="HQ81" s="177"/>
      <c r="HR81" s="157"/>
      <c r="HS81" s="161"/>
      <c r="HT81" s="203"/>
      <c r="HU81" s="177"/>
      <c r="HV81" s="177"/>
      <c r="HW81" s="177"/>
      <c r="HX81" s="177"/>
      <c r="HY81" s="177"/>
      <c r="HZ81" s="177"/>
      <c r="IA81" s="177"/>
      <c r="IB81" s="177"/>
      <c r="IC81" s="177"/>
      <c r="ID81" s="177"/>
      <c r="IE81" s="177"/>
      <c r="IF81" s="157"/>
      <c r="IG81" s="161"/>
      <c r="IH81" s="203"/>
      <c r="II81" s="177"/>
      <c r="IJ81" s="177"/>
      <c r="IK81" s="177"/>
      <c r="IL81" s="177"/>
      <c r="IM81" s="177"/>
      <c r="IN81" s="177"/>
      <c r="IO81" s="177"/>
      <c r="IP81" s="177"/>
      <c r="IQ81" s="177"/>
      <c r="IR81" s="177"/>
      <c r="IS81" s="177"/>
      <c r="IT81" s="157"/>
      <c r="IU81" s="161"/>
      <c r="IV81" s="203"/>
      <c r="IW81" s="177"/>
      <c r="IX81" s="177"/>
      <c r="IY81" s="177"/>
      <c r="IZ81" s="177"/>
      <c r="JA81" s="177"/>
      <c r="JB81" s="177"/>
      <c r="JC81" s="177"/>
      <c r="JD81" s="177"/>
      <c r="JE81" s="177"/>
      <c r="JF81" s="177"/>
      <c r="JG81" s="177"/>
      <c r="JH81" s="157"/>
      <c r="JI81" s="161"/>
      <c r="JJ81" s="203"/>
      <c r="JK81" s="177"/>
      <c r="JL81" s="177"/>
      <c r="JM81" s="177"/>
      <c r="JN81" s="177"/>
      <c r="JO81" s="177"/>
      <c r="JP81" s="177"/>
      <c r="JQ81" s="177"/>
      <c r="JR81" s="177"/>
      <c r="JS81" s="177"/>
      <c r="JT81" s="177"/>
      <c r="JU81" s="177"/>
      <c r="JV81" s="157"/>
      <c r="JW81" s="161"/>
      <c r="JX81" s="203"/>
      <c r="JY81" s="177"/>
      <c r="JZ81" s="177"/>
      <c r="KA81" s="177"/>
      <c r="KB81" s="177"/>
      <c r="KC81" s="177"/>
      <c r="KD81" s="177"/>
      <c r="KE81" s="177"/>
      <c r="KF81" s="177"/>
      <c r="KG81" s="177"/>
      <c r="KH81" s="177"/>
      <c r="KI81" s="177"/>
      <c r="KJ81" s="157"/>
      <c r="KK81" s="161"/>
      <c r="KL81" s="203"/>
      <c r="KM81" s="177"/>
      <c r="KN81" s="177"/>
      <c r="KO81" s="177"/>
      <c r="KP81" s="177"/>
      <c r="KQ81" s="177"/>
      <c r="KR81" s="177"/>
      <c r="KS81" s="177"/>
      <c r="KT81" s="177"/>
      <c r="KU81" s="177"/>
      <c r="KV81" s="177"/>
      <c r="KW81" s="177"/>
      <c r="KX81" s="157"/>
      <c r="KY81" s="161"/>
      <c r="KZ81" s="203"/>
      <c r="LA81" s="177"/>
      <c r="LB81" s="177"/>
      <c r="LC81" s="177"/>
      <c r="LD81" s="177"/>
      <c r="LE81" s="177"/>
      <c r="LF81" s="177"/>
      <c r="LG81" s="177"/>
      <c r="LH81" s="177"/>
      <c r="LI81" s="177"/>
      <c r="LJ81" s="177"/>
      <c r="LK81" s="177"/>
      <c r="LL81" s="157"/>
      <c r="LM81" s="161"/>
      <c r="LN81" s="203"/>
      <c r="LO81" s="177"/>
      <c r="LP81" s="177"/>
      <c r="LQ81" s="177"/>
      <c r="LR81" s="177"/>
      <c r="LS81" s="177"/>
      <c r="LT81" s="177"/>
      <c r="LU81" s="177"/>
      <c r="LV81" s="177"/>
      <c r="LW81" s="177"/>
      <c r="LX81" s="177"/>
      <c r="LY81" s="177"/>
      <c r="LZ81" s="157"/>
      <c r="MA81" s="161"/>
      <c r="MB81" s="157"/>
      <c r="MC81" s="157"/>
      <c r="MD81" s="157"/>
      <c r="ME81" s="157"/>
      <c r="MF81" s="157"/>
      <c r="MG81" s="157"/>
      <c r="MH81" s="157"/>
      <c r="MI81" s="157"/>
      <c r="MJ81" s="157"/>
      <c r="MK81" s="157"/>
      <c r="ML81" s="157"/>
      <c r="MM81" s="157"/>
      <c r="MN81" s="157"/>
    </row>
    <row r="82" spans="1:352" s="180" customFormat="1" x14ac:dyDescent="0.3">
      <c r="A82" s="98"/>
      <c r="B82" s="187" t="s">
        <v>214</v>
      </c>
      <c r="C82" s="98"/>
      <c r="D82" s="167">
        <f>SUM(D60:D81)</f>
        <v>308956.36043143476</v>
      </c>
      <c r="E82" s="168">
        <f t="shared" ref="E82:O82" si="241">SUM(E60:E81)</f>
        <v>288857.63424095861</v>
      </c>
      <c r="F82" s="168">
        <f t="shared" si="241"/>
        <v>305190.08133090567</v>
      </c>
      <c r="G82" s="168">
        <f t="shared" si="241"/>
        <v>293699.31635974167</v>
      </c>
      <c r="H82" s="168">
        <f t="shared" si="241"/>
        <v>297409.00453793479</v>
      </c>
      <c r="I82" s="168">
        <f t="shared" si="241"/>
        <v>304646.43932580267</v>
      </c>
      <c r="J82" s="168">
        <f t="shared" si="241"/>
        <v>356144.45519881858</v>
      </c>
      <c r="K82" s="168">
        <f t="shared" si="241"/>
        <v>306414.83116520511</v>
      </c>
      <c r="L82" s="168">
        <f t="shared" si="241"/>
        <v>497016.06989536382</v>
      </c>
      <c r="M82" s="168">
        <f t="shared" si="241"/>
        <v>305206.49783187179</v>
      </c>
      <c r="N82" s="168">
        <f t="shared" si="241"/>
        <v>309521.97402234795</v>
      </c>
      <c r="O82" s="168">
        <f t="shared" si="241"/>
        <v>297334.63539519231</v>
      </c>
      <c r="P82" s="169">
        <f>+SUBTOTAL(9,D82:O82)</f>
        <v>3870397.2997355778</v>
      </c>
      <c r="Q82" s="161"/>
      <c r="R82" s="167">
        <f>SUM(R60:R81)</f>
        <v>30926.52004463119</v>
      </c>
      <c r="S82" s="168">
        <f t="shared" ref="S82:AC82" si="242">SUM(S60:S81)</f>
        <v>28847.341473202614</v>
      </c>
      <c r="T82" s="168">
        <f t="shared" si="242"/>
        <v>30536.904965266105</v>
      </c>
      <c r="U82" s="168">
        <f t="shared" si="242"/>
        <v>29348.205140662929</v>
      </c>
      <c r="V82" s="168">
        <f t="shared" si="242"/>
        <v>29731.96598668291</v>
      </c>
      <c r="W82" s="168">
        <f t="shared" si="242"/>
        <v>30480.666137152002</v>
      </c>
      <c r="X82" s="168">
        <f t="shared" si="242"/>
        <v>35808.047089532949</v>
      </c>
      <c r="Y82" s="168">
        <f t="shared" si="242"/>
        <v>30663.603223986735</v>
      </c>
      <c r="Z82" s="168">
        <f t="shared" si="242"/>
        <v>50380.972747796259</v>
      </c>
      <c r="AA82" s="168">
        <f t="shared" si="242"/>
        <v>30538.603223986735</v>
      </c>
      <c r="AB82" s="168">
        <f t="shared" si="242"/>
        <v>30985.031795415307</v>
      </c>
      <c r="AC82" s="168">
        <f t="shared" si="242"/>
        <v>29724.272627088863</v>
      </c>
      <c r="AD82" s="169">
        <f>+SUBTOTAL(9,R82:AC82)</f>
        <v>387972.13445540465</v>
      </c>
      <c r="AE82" s="161"/>
      <c r="AF82" s="167">
        <f>SUM(AF60:AF81)</f>
        <v>30926.52004463119</v>
      </c>
      <c r="AG82" s="168">
        <f t="shared" ref="AG82:AQ82" si="243">SUM(AG60:AG81)</f>
        <v>28847.341473202614</v>
      </c>
      <c r="AH82" s="168">
        <f t="shared" si="243"/>
        <v>30536.904965266105</v>
      </c>
      <c r="AI82" s="168">
        <f t="shared" si="243"/>
        <v>29348.205140662929</v>
      </c>
      <c r="AJ82" s="168">
        <f t="shared" si="243"/>
        <v>29731.96598668291</v>
      </c>
      <c r="AK82" s="168">
        <f t="shared" si="243"/>
        <v>30480.666137152002</v>
      </c>
      <c r="AL82" s="168">
        <f t="shared" si="243"/>
        <v>35808.047089532949</v>
      </c>
      <c r="AM82" s="168">
        <f t="shared" si="243"/>
        <v>30663.603223986735</v>
      </c>
      <c r="AN82" s="168">
        <f t="shared" si="243"/>
        <v>50380.972747796259</v>
      </c>
      <c r="AO82" s="168">
        <f t="shared" si="243"/>
        <v>30538.603223986735</v>
      </c>
      <c r="AP82" s="168">
        <f t="shared" si="243"/>
        <v>30985.031795415307</v>
      </c>
      <c r="AQ82" s="168">
        <f t="shared" si="243"/>
        <v>29724.272627088863</v>
      </c>
      <c r="AR82" s="169">
        <f>+SUBTOTAL(9,AF82:AQ82)</f>
        <v>387972.13445540465</v>
      </c>
      <c r="AS82" s="161"/>
      <c r="AT82" s="167">
        <f>SUM(AT60:AT81)</f>
        <v>75165.680029754134</v>
      </c>
      <c r="AU82" s="168">
        <f t="shared" ref="AU82:BE82" si="244">SUM(AU60:AU81)</f>
        <v>73779.560982135081</v>
      </c>
      <c r="AV82" s="168">
        <f t="shared" si="244"/>
        <v>74905.936643510751</v>
      </c>
      <c r="AW82" s="168">
        <f t="shared" si="244"/>
        <v>74113.470093775308</v>
      </c>
      <c r="AX82" s="168">
        <f t="shared" si="244"/>
        <v>74369.310657788621</v>
      </c>
      <c r="AY82" s="168">
        <f t="shared" si="244"/>
        <v>74868.444091434692</v>
      </c>
      <c r="AZ82" s="168">
        <f t="shared" si="244"/>
        <v>78420.031393021985</v>
      </c>
      <c r="BA82" s="168">
        <f t="shared" si="244"/>
        <v>74990.402149324495</v>
      </c>
      <c r="BB82" s="168">
        <f t="shared" si="244"/>
        <v>88135.31516519752</v>
      </c>
      <c r="BC82" s="168">
        <f t="shared" si="244"/>
        <v>74907.068815991181</v>
      </c>
      <c r="BD82" s="168">
        <f t="shared" si="244"/>
        <v>75204.687863610219</v>
      </c>
      <c r="BE82" s="168">
        <f t="shared" si="244"/>
        <v>74364.181751392593</v>
      </c>
      <c r="BF82" s="169">
        <f>+SUBTOTAL(9,AT82:BE82)</f>
        <v>913224.08963693643</v>
      </c>
      <c r="BG82" s="176"/>
      <c r="BH82" s="167">
        <f>SUM(BH60:BH81)</f>
        <v>154632.60022315593</v>
      </c>
      <c r="BI82" s="168">
        <f t="shared" ref="BI82:BS82" si="245">SUM(BI60:BI81)</f>
        <v>144236.70736601306</v>
      </c>
      <c r="BJ82" s="168">
        <f t="shared" si="245"/>
        <v>152684.52482633051</v>
      </c>
      <c r="BK82" s="168">
        <f t="shared" si="245"/>
        <v>146741.02570331463</v>
      </c>
      <c r="BL82" s="168">
        <f t="shared" si="245"/>
        <v>148659.82993341456</v>
      </c>
      <c r="BM82" s="168">
        <f t="shared" si="245"/>
        <v>152403.33068576001</v>
      </c>
      <c r="BN82" s="168">
        <f t="shared" si="245"/>
        <v>179040.23544766477</v>
      </c>
      <c r="BO82" s="168">
        <f t="shared" si="245"/>
        <v>153318.01611993369</v>
      </c>
      <c r="BP82" s="168">
        <f t="shared" si="245"/>
        <v>251904.86373898128</v>
      </c>
      <c r="BQ82" s="168">
        <f t="shared" si="245"/>
        <v>152693.01611993369</v>
      </c>
      <c r="BR82" s="168">
        <f t="shared" si="245"/>
        <v>154925.15897707653</v>
      </c>
      <c r="BS82" s="168">
        <f t="shared" si="245"/>
        <v>148621.36313544432</v>
      </c>
      <c r="BT82" s="169">
        <f>+SUBTOTAL(9,BH82:BS82)</f>
        <v>1939860.6722770229</v>
      </c>
      <c r="BU82" s="161"/>
      <c r="BV82" s="167">
        <f>SUM(BV60:BV81)</f>
        <v>170308.84001487709</v>
      </c>
      <c r="BW82" s="168">
        <f t="shared" ref="BW82:CG82" si="246">SUM(BW60:BW81)</f>
        <v>169615.78049106753</v>
      </c>
      <c r="BX82" s="168">
        <f t="shared" si="246"/>
        <v>170178.96832175535</v>
      </c>
      <c r="BY82" s="168">
        <f t="shared" si="246"/>
        <v>169782.73504688762</v>
      </c>
      <c r="BZ82" s="168">
        <f t="shared" si="246"/>
        <v>169910.65532889427</v>
      </c>
      <c r="CA82" s="168">
        <f t="shared" si="246"/>
        <v>170160.2220457173</v>
      </c>
      <c r="CB82" s="168">
        <f t="shared" si="246"/>
        <v>171936.01569651096</v>
      </c>
      <c r="CC82" s="168">
        <f t="shared" si="246"/>
        <v>170221.20107466224</v>
      </c>
      <c r="CD82" s="168">
        <f t="shared" si="246"/>
        <v>176793.65758259871</v>
      </c>
      <c r="CE82" s="168">
        <f t="shared" si="246"/>
        <v>170179.53440799555</v>
      </c>
      <c r="CF82" s="168">
        <f t="shared" si="246"/>
        <v>170328.34393180508</v>
      </c>
      <c r="CG82" s="168">
        <f t="shared" si="246"/>
        <v>169908.09087569627</v>
      </c>
      <c r="CH82" s="169">
        <f>+SUBTOTAL(9,BV82:CG82)</f>
        <v>2049324.0448184679</v>
      </c>
      <c r="CI82" s="161"/>
      <c r="CJ82" s="167">
        <f>SUM(CJ60:CJ81)</f>
        <v>158397.24016364769</v>
      </c>
      <c r="CK82" s="168">
        <f t="shared" ref="CK82:CU82" si="247">SUM(CK60:CK81)</f>
        <v>150773.58540174292</v>
      </c>
      <c r="CL82" s="168">
        <f t="shared" si="247"/>
        <v>156968.65153930907</v>
      </c>
      <c r="CM82" s="168">
        <f t="shared" si="247"/>
        <v>152610.08551576408</v>
      </c>
      <c r="CN82" s="168">
        <f t="shared" si="247"/>
        <v>154017.20861783734</v>
      </c>
      <c r="CO82" s="168">
        <f t="shared" si="247"/>
        <v>156762.44250289068</v>
      </c>
      <c r="CP82" s="168">
        <f t="shared" si="247"/>
        <v>176296.17266162083</v>
      </c>
      <c r="CQ82" s="168">
        <f t="shared" si="247"/>
        <v>157433.21182128473</v>
      </c>
      <c r="CR82" s="168">
        <f t="shared" si="247"/>
        <v>229730.2334085863</v>
      </c>
      <c r="CS82" s="168">
        <f t="shared" si="247"/>
        <v>156974.87848795138</v>
      </c>
      <c r="CT82" s="168">
        <f t="shared" si="247"/>
        <v>158611.78324985615</v>
      </c>
      <c r="CU82" s="168">
        <f t="shared" si="247"/>
        <v>153988.99963265919</v>
      </c>
      <c r="CV82" s="169">
        <f>+SUBTOTAL(9,CJ82:CU82)</f>
        <v>1962564.4930031504</v>
      </c>
      <c r="CW82" s="161"/>
      <c r="CX82" s="167">
        <f>SUM(CX60:CX81)</f>
        <v>330607.52041655779</v>
      </c>
      <c r="CY82" s="168">
        <f t="shared" ref="CY82:DI82" si="248">SUM(CY60:CY81)</f>
        <v>311201.85374989104</v>
      </c>
      <c r="CZ82" s="168">
        <f t="shared" si="248"/>
        <v>326971.11300915031</v>
      </c>
      <c r="DA82" s="168">
        <f t="shared" si="248"/>
        <v>315876.58131285408</v>
      </c>
      <c r="DB82" s="168">
        <f t="shared" si="248"/>
        <v>319458.34920904052</v>
      </c>
      <c r="DC82" s="168">
        <f t="shared" si="248"/>
        <v>326446.21728008537</v>
      </c>
      <c r="DD82" s="168">
        <f t="shared" si="248"/>
        <v>376168.43950230762</v>
      </c>
      <c r="DE82" s="168">
        <f t="shared" si="248"/>
        <v>328153.63009054289</v>
      </c>
      <c r="DF82" s="168">
        <f t="shared" si="248"/>
        <v>512182.41231276514</v>
      </c>
      <c r="DG82" s="168">
        <f t="shared" si="248"/>
        <v>326986.96342387627</v>
      </c>
      <c r="DH82" s="168">
        <f t="shared" si="248"/>
        <v>331153.63009054289</v>
      </c>
      <c r="DI82" s="168">
        <f t="shared" si="248"/>
        <v>319386.54451949609</v>
      </c>
      <c r="DJ82" s="169">
        <f>+SUBTOTAL(9,CX82:DI82)</f>
        <v>4124593.2549171103</v>
      </c>
      <c r="DK82" s="161"/>
      <c r="DL82" s="167">
        <f>SUM(DL60:DL81)</f>
        <v>599545.94441655779</v>
      </c>
      <c r="DM82" s="168">
        <f t="shared" ref="DM82:DW82" si="249">SUM(DM60:DM81)</f>
        <v>429109.45374989114</v>
      </c>
      <c r="DN82" s="168">
        <f t="shared" si="249"/>
        <v>423730.87300915044</v>
      </c>
      <c r="DO82" s="168">
        <f t="shared" si="249"/>
        <v>286504.58131285408</v>
      </c>
      <c r="DP82" s="168">
        <f t="shared" si="249"/>
        <v>290086.34920904052</v>
      </c>
      <c r="DQ82" s="168">
        <f t="shared" si="249"/>
        <v>297074.21728008537</v>
      </c>
      <c r="DR82" s="168">
        <f t="shared" si="249"/>
        <v>645106.86350230768</v>
      </c>
      <c r="DS82" s="168">
        <f t="shared" si="249"/>
        <v>298781.63009054289</v>
      </c>
      <c r="DT82" s="168">
        <f t="shared" si="249"/>
        <v>482810.41231276514</v>
      </c>
      <c r="DU82" s="168">
        <f t="shared" si="249"/>
        <v>297614.96342387627</v>
      </c>
      <c r="DV82" s="168">
        <f t="shared" si="249"/>
        <v>301781.63009054289</v>
      </c>
      <c r="DW82" s="168">
        <f t="shared" si="249"/>
        <v>290014.54451949609</v>
      </c>
      <c r="DX82" s="169">
        <f>+SUBTOTAL(9,DL82:DW82)</f>
        <v>4642161.46291711</v>
      </c>
      <c r="DY82" s="161"/>
      <c r="DZ82" s="167">
        <f>SUM(DZ60:DZ81)</f>
        <v>10308.840014877063</v>
      </c>
      <c r="EA82" s="168">
        <f t="shared" ref="EA82:EK82" si="250">SUM(EA60:EA81)</f>
        <v>9615.7804910675386</v>
      </c>
      <c r="EB82" s="168">
        <f t="shared" si="250"/>
        <v>10178.96832175537</v>
      </c>
      <c r="EC82" s="168">
        <f t="shared" si="250"/>
        <v>278242.81504688773</v>
      </c>
      <c r="ED82" s="168">
        <f t="shared" si="250"/>
        <v>9910.6553288943051</v>
      </c>
      <c r="EE82" s="168">
        <f t="shared" si="250"/>
        <v>10160.222045717335</v>
      </c>
      <c r="EF82" s="168">
        <f t="shared" si="250"/>
        <v>11936.015696510985</v>
      </c>
      <c r="EG82" s="168">
        <f t="shared" si="250"/>
        <v>10221.201074662247</v>
      </c>
      <c r="EH82" s="168">
        <f t="shared" si="250"/>
        <v>16793.657582598753</v>
      </c>
      <c r="EI82" s="168">
        <f t="shared" si="250"/>
        <v>10179.534407995579</v>
      </c>
      <c r="EJ82" s="168">
        <f t="shared" si="250"/>
        <v>10328.343931805104</v>
      </c>
      <c r="EK82" s="168">
        <f t="shared" si="250"/>
        <v>9908.0908756962872</v>
      </c>
      <c r="EL82" s="169">
        <f>+SUBTOTAL(9,DZ82:EK82)</f>
        <v>397784.12481846829</v>
      </c>
      <c r="EM82" s="161"/>
      <c r="EN82" s="167">
        <f>SUM(EN60:EN81)</f>
        <v>20617.680029754127</v>
      </c>
      <c r="EO82" s="168">
        <f t="shared" ref="EO82:EY82" si="251">SUM(EO60:EO81)</f>
        <v>19231.560982135077</v>
      </c>
      <c r="EP82" s="168">
        <f t="shared" si="251"/>
        <v>20357.93664351074</v>
      </c>
      <c r="EQ82" s="168">
        <f t="shared" si="251"/>
        <v>19565.47009377529</v>
      </c>
      <c r="ER82" s="168">
        <f t="shared" si="251"/>
        <v>19821.31065778861</v>
      </c>
      <c r="ES82" s="168">
        <f t="shared" si="251"/>
        <v>20320.444091434671</v>
      </c>
      <c r="ET82" s="168">
        <f t="shared" si="251"/>
        <v>23872.031393021971</v>
      </c>
      <c r="EU82" s="168">
        <f t="shared" si="251"/>
        <v>20442.402149324495</v>
      </c>
      <c r="EV82" s="168">
        <f t="shared" si="251"/>
        <v>33587.315165197506</v>
      </c>
      <c r="EW82" s="168">
        <f t="shared" si="251"/>
        <v>20359.068815991159</v>
      </c>
      <c r="EX82" s="168">
        <f t="shared" si="251"/>
        <v>20656.687863610208</v>
      </c>
      <c r="EY82" s="168">
        <f t="shared" si="251"/>
        <v>19816.181751392574</v>
      </c>
      <c r="EZ82" s="169">
        <f>+SUBTOTAL(9,EN82:EY82)</f>
        <v>258648.08963693643</v>
      </c>
      <c r="FA82" s="161"/>
      <c r="FB82" s="167">
        <f>SUM(FB60:FB81)</f>
        <v>10308.840014877063</v>
      </c>
      <c r="FC82" s="168">
        <f t="shared" ref="FC82:FM82" si="252">SUM(FC60:FC81)</f>
        <v>9615.7804910675386</v>
      </c>
      <c r="FD82" s="168">
        <f t="shared" si="252"/>
        <v>10178.96832175537</v>
      </c>
      <c r="FE82" s="168">
        <f t="shared" si="252"/>
        <v>9782.7350468876448</v>
      </c>
      <c r="FF82" s="168">
        <f t="shared" si="252"/>
        <v>9910.6553288943051</v>
      </c>
      <c r="FG82" s="168">
        <f t="shared" si="252"/>
        <v>10160.222045717335</v>
      </c>
      <c r="FH82" s="168">
        <f t="shared" si="252"/>
        <v>11936.015696510985</v>
      </c>
      <c r="FI82" s="168">
        <f t="shared" si="252"/>
        <v>10221.201074662247</v>
      </c>
      <c r="FJ82" s="168">
        <f t="shared" si="252"/>
        <v>16793.657582598753</v>
      </c>
      <c r="FK82" s="168">
        <f t="shared" si="252"/>
        <v>10179.534407995579</v>
      </c>
      <c r="FL82" s="168">
        <f t="shared" si="252"/>
        <v>10328.343931805104</v>
      </c>
      <c r="FM82" s="168">
        <f t="shared" si="252"/>
        <v>9908.0908756962872</v>
      </c>
      <c r="FN82" s="169">
        <f>+SUBTOTAL(9,FB82:FM82)</f>
        <v>129324.04481846822</v>
      </c>
      <c r="FO82" s="161"/>
      <c r="FP82" s="167">
        <f>SUM(FP60:FP81)</f>
        <v>72161.880104139447</v>
      </c>
      <c r="FQ82" s="168">
        <f t="shared" ref="FQ82:GA82" si="253">SUM(FQ60:FQ81)</f>
        <v>67310.463437472761</v>
      </c>
      <c r="FR82" s="168">
        <f t="shared" si="253"/>
        <v>71252.778252287579</v>
      </c>
      <c r="FS82" s="168">
        <f t="shared" si="253"/>
        <v>68479.145328213519</v>
      </c>
      <c r="FT82" s="168">
        <f t="shared" si="253"/>
        <v>69374.58730226013</v>
      </c>
      <c r="FU82" s="168">
        <f t="shared" si="253"/>
        <v>71121.554320021343</v>
      </c>
      <c r="FV82" s="168">
        <f t="shared" si="253"/>
        <v>83552.109875576905</v>
      </c>
      <c r="FW82" s="168">
        <f t="shared" si="253"/>
        <v>71548.407522635724</v>
      </c>
      <c r="FX82" s="168">
        <f t="shared" si="253"/>
        <v>117555.60307819129</v>
      </c>
      <c r="FY82" s="168">
        <f t="shared" si="253"/>
        <v>71256.740855969067</v>
      </c>
      <c r="FZ82" s="168">
        <f t="shared" si="253"/>
        <v>72298.407522635724</v>
      </c>
      <c r="GA82" s="168">
        <f t="shared" si="253"/>
        <v>69356.636129874023</v>
      </c>
      <c r="GB82" s="169">
        <f>+SUBTOTAL(9,FP82:GA82)</f>
        <v>905268.31372927758</v>
      </c>
      <c r="GC82" s="161"/>
      <c r="GD82" s="167">
        <f>SUM(GD60:GD81)</f>
        <v>10308.840014877063</v>
      </c>
      <c r="GE82" s="168">
        <f t="shared" ref="GE82:GO82" si="254">SUM(GE60:GE81)</f>
        <v>9615.7804910675386</v>
      </c>
      <c r="GF82" s="168">
        <f t="shared" si="254"/>
        <v>10178.96832175537</v>
      </c>
      <c r="GG82" s="168">
        <f t="shared" si="254"/>
        <v>9782.7350468876448</v>
      </c>
      <c r="GH82" s="168">
        <f t="shared" si="254"/>
        <v>9910.6553288943051</v>
      </c>
      <c r="GI82" s="168">
        <f t="shared" si="254"/>
        <v>10160.222045717335</v>
      </c>
      <c r="GJ82" s="168">
        <f t="shared" si="254"/>
        <v>11936.015696510985</v>
      </c>
      <c r="GK82" s="168">
        <f t="shared" si="254"/>
        <v>10221.201074662247</v>
      </c>
      <c r="GL82" s="168">
        <f t="shared" si="254"/>
        <v>16793.657582598753</v>
      </c>
      <c r="GM82" s="168">
        <f t="shared" si="254"/>
        <v>10179.534407995579</v>
      </c>
      <c r="GN82" s="168">
        <f t="shared" si="254"/>
        <v>10328.343931805104</v>
      </c>
      <c r="GO82" s="168">
        <f t="shared" si="254"/>
        <v>9908.0908756962872</v>
      </c>
      <c r="GP82" s="169">
        <f>+SUBTOTAL(9,GD82:GO82)</f>
        <v>129324.04481846822</v>
      </c>
      <c r="GQ82" s="161"/>
      <c r="GR82" s="167">
        <f>SUM(GR60:GR81)</f>
        <v>-73491.299444587057</v>
      </c>
      <c r="GS82" s="168">
        <f t="shared" ref="GS82:HC82" si="255">SUM(GS60:GS81)</f>
        <v>-163941.29944458706</v>
      </c>
      <c r="GT82" s="168">
        <f t="shared" si="255"/>
        <v>272933.70055541297</v>
      </c>
      <c r="GU82" s="168">
        <f t="shared" si="255"/>
        <v>272933.70055541297</v>
      </c>
      <c r="GV82" s="168">
        <f t="shared" si="255"/>
        <v>272933.70055541297</v>
      </c>
      <c r="GW82" s="168">
        <f t="shared" si="255"/>
        <v>272933.70055541297</v>
      </c>
      <c r="GX82" s="168">
        <f t="shared" si="255"/>
        <v>272933.70055541297</v>
      </c>
      <c r="GY82" s="168">
        <f t="shared" si="255"/>
        <v>272933.70055541297</v>
      </c>
      <c r="GZ82" s="168">
        <f t="shared" si="255"/>
        <v>272933.70055541297</v>
      </c>
      <c r="HA82" s="168">
        <f t="shared" si="255"/>
        <v>272933.70055541297</v>
      </c>
      <c r="HB82" s="168">
        <f t="shared" si="255"/>
        <v>272933.70055541297</v>
      </c>
      <c r="HC82" s="168">
        <f t="shared" si="255"/>
        <v>272933.70055541297</v>
      </c>
      <c r="HD82" s="169">
        <f>+SUBTOTAL(9,GR82:HC82)*0</f>
        <v>0</v>
      </c>
      <c r="HE82" s="161"/>
      <c r="HF82" s="167">
        <f>SUM(HF60:HF81)</f>
        <v>41235.360059508253</v>
      </c>
      <c r="HG82" s="168">
        <f t="shared" ref="HG82:HQ82" si="256">SUM(HG60:HG81)</f>
        <v>38463.121964270154</v>
      </c>
      <c r="HH82" s="168">
        <f t="shared" si="256"/>
        <v>40715.873287021481</v>
      </c>
      <c r="HI82" s="168">
        <f t="shared" si="256"/>
        <v>39130.940187550579</v>
      </c>
      <c r="HJ82" s="168">
        <f t="shared" si="256"/>
        <v>39642.62131557722</v>
      </c>
      <c r="HK82" s="168">
        <f t="shared" si="256"/>
        <v>40640.888182869341</v>
      </c>
      <c r="HL82" s="168">
        <f t="shared" si="256"/>
        <v>47744.062786043942</v>
      </c>
      <c r="HM82" s="168">
        <f t="shared" si="256"/>
        <v>40884.804298648989</v>
      </c>
      <c r="HN82" s="168">
        <f t="shared" si="256"/>
        <v>67174.630330395012</v>
      </c>
      <c r="HO82" s="168">
        <f t="shared" si="256"/>
        <v>40718.137631982318</v>
      </c>
      <c r="HP82" s="168">
        <f t="shared" si="256"/>
        <v>41313.375727220417</v>
      </c>
      <c r="HQ82" s="168">
        <f t="shared" si="256"/>
        <v>39632.363502785149</v>
      </c>
      <c r="HR82" s="169">
        <f>+SUBTOTAL(9,HF82:HQ82)</f>
        <v>517296.17927387287</v>
      </c>
      <c r="HS82" s="161"/>
      <c r="HT82" s="167">
        <f>SUM(HT60:HT81)</f>
        <v>10308.840014877063</v>
      </c>
      <c r="HU82" s="168">
        <f t="shared" ref="HU82:IE82" si="257">SUM(HU60:HU81)</f>
        <v>9615.7804910675386</v>
      </c>
      <c r="HV82" s="168">
        <f t="shared" si="257"/>
        <v>10178.96832175537</v>
      </c>
      <c r="HW82" s="168">
        <f t="shared" si="257"/>
        <v>9782.7350468876448</v>
      </c>
      <c r="HX82" s="168">
        <f t="shared" si="257"/>
        <v>9910.6553288943051</v>
      </c>
      <c r="HY82" s="168">
        <f t="shared" si="257"/>
        <v>10160.222045717335</v>
      </c>
      <c r="HZ82" s="168">
        <f t="shared" si="257"/>
        <v>11936.015696510985</v>
      </c>
      <c r="IA82" s="168">
        <f t="shared" si="257"/>
        <v>10221.201074662247</v>
      </c>
      <c r="IB82" s="168">
        <f t="shared" si="257"/>
        <v>16793.657582598753</v>
      </c>
      <c r="IC82" s="168">
        <f t="shared" si="257"/>
        <v>10179.534407995579</v>
      </c>
      <c r="ID82" s="168">
        <f t="shared" si="257"/>
        <v>10328.343931805104</v>
      </c>
      <c r="IE82" s="168">
        <f t="shared" si="257"/>
        <v>9908.0908756962872</v>
      </c>
      <c r="IF82" s="169">
        <f>+SUBTOTAL(9,HT82:IE82)</f>
        <v>129324.04481846822</v>
      </c>
      <c r="IG82" s="161"/>
      <c r="IH82" s="167">
        <f>SUM(IH60:IH81)</f>
        <v>10308.840014877063</v>
      </c>
      <c r="II82" s="168">
        <f t="shared" ref="II82:IS82" si="258">SUM(II60:II81)</f>
        <v>9615.7804910675386</v>
      </c>
      <c r="IJ82" s="168">
        <f t="shared" si="258"/>
        <v>10178.96832175537</v>
      </c>
      <c r="IK82" s="168">
        <f t="shared" si="258"/>
        <v>9782.7350468876448</v>
      </c>
      <c r="IL82" s="168">
        <f t="shared" si="258"/>
        <v>9910.6553288943051</v>
      </c>
      <c r="IM82" s="168">
        <f t="shared" si="258"/>
        <v>10160.222045717335</v>
      </c>
      <c r="IN82" s="168">
        <f t="shared" si="258"/>
        <v>11936.015696510985</v>
      </c>
      <c r="IO82" s="168">
        <f t="shared" si="258"/>
        <v>10221.201074662247</v>
      </c>
      <c r="IP82" s="168">
        <f t="shared" si="258"/>
        <v>16793.657582598753</v>
      </c>
      <c r="IQ82" s="168">
        <f t="shared" si="258"/>
        <v>10179.534407995579</v>
      </c>
      <c r="IR82" s="168">
        <f t="shared" si="258"/>
        <v>10328.343931805104</v>
      </c>
      <c r="IS82" s="168">
        <f t="shared" si="258"/>
        <v>9908.0908756962872</v>
      </c>
      <c r="IT82" s="169">
        <f>+SUBTOTAL(9,IH82:IS82)</f>
        <v>129324.04481846822</v>
      </c>
      <c r="IU82" s="161"/>
      <c r="IV82" s="167">
        <f>SUM(IV60:IV81)</f>
        <v>72161.880104139447</v>
      </c>
      <c r="IW82" s="168">
        <f t="shared" ref="IW82:JG82" si="259">SUM(IW60:IW81)</f>
        <v>67310.463437472761</v>
      </c>
      <c r="IX82" s="168">
        <f t="shared" si="259"/>
        <v>71252.778252287579</v>
      </c>
      <c r="IY82" s="168">
        <f t="shared" si="259"/>
        <v>68479.145328213519</v>
      </c>
      <c r="IZ82" s="168">
        <f t="shared" si="259"/>
        <v>69374.58730226013</v>
      </c>
      <c r="JA82" s="168">
        <f t="shared" si="259"/>
        <v>71121.554320021343</v>
      </c>
      <c r="JB82" s="168">
        <f t="shared" si="259"/>
        <v>83552.109875576905</v>
      </c>
      <c r="JC82" s="168">
        <f t="shared" si="259"/>
        <v>71548.407522635724</v>
      </c>
      <c r="JD82" s="168">
        <f t="shared" si="259"/>
        <v>117555.60307819129</v>
      </c>
      <c r="JE82" s="168">
        <f t="shared" si="259"/>
        <v>71256.740855969067</v>
      </c>
      <c r="JF82" s="168">
        <f t="shared" si="259"/>
        <v>72298.407522635724</v>
      </c>
      <c r="JG82" s="168">
        <f t="shared" si="259"/>
        <v>69356.636129874023</v>
      </c>
      <c r="JH82" s="169">
        <f>+SUBTOTAL(9,IV82:JG82)</f>
        <v>905268.31372927758</v>
      </c>
      <c r="JI82" s="161"/>
      <c r="JJ82" s="167">
        <f>SUM(JJ60:JJ81)</f>
        <v>113397.24016364769</v>
      </c>
      <c r="JK82" s="168">
        <f t="shared" ref="JK82:JU82" si="260">SUM(JK60:JK81)</f>
        <v>105773.58540174292</v>
      </c>
      <c r="JL82" s="168">
        <f t="shared" si="260"/>
        <v>111968.65153930907</v>
      </c>
      <c r="JM82" s="168">
        <f t="shared" si="260"/>
        <v>107610.08551576409</v>
      </c>
      <c r="JN82" s="168">
        <f t="shared" si="260"/>
        <v>109017.20861783736</v>
      </c>
      <c r="JO82" s="168">
        <f t="shared" si="260"/>
        <v>111762.44250289068</v>
      </c>
      <c r="JP82" s="168">
        <f t="shared" si="260"/>
        <v>131296.17266162086</v>
      </c>
      <c r="JQ82" s="168">
        <f t="shared" si="260"/>
        <v>112433.21182128471</v>
      </c>
      <c r="JR82" s="168">
        <f t="shared" si="260"/>
        <v>184730.2334085863</v>
      </c>
      <c r="JS82" s="168">
        <f t="shared" si="260"/>
        <v>111974.87848795138</v>
      </c>
      <c r="JT82" s="168">
        <f t="shared" si="260"/>
        <v>113611.78324985615</v>
      </c>
      <c r="JU82" s="168">
        <f t="shared" si="260"/>
        <v>108988.99963265916</v>
      </c>
      <c r="JV82" s="169">
        <f>+SUBTOTAL(9,JJ82:JU82)</f>
        <v>1422564.4930031504</v>
      </c>
      <c r="JW82" s="161"/>
      <c r="JX82" s="167">
        <f>SUM(JX60:JX81)</f>
        <v>51544.200074385313</v>
      </c>
      <c r="JY82" s="168">
        <f t="shared" ref="JY82:KI82" si="261">SUM(JY60:JY81)</f>
        <v>48078.902455337695</v>
      </c>
      <c r="JZ82" s="168">
        <f t="shared" si="261"/>
        <v>50894.841608776842</v>
      </c>
      <c r="KA82" s="168">
        <f t="shared" si="261"/>
        <v>48913.675234438226</v>
      </c>
      <c r="KB82" s="168">
        <f t="shared" si="261"/>
        <v>49553.276644471523</v>
      </c>
      <c r="KC82" s="168">
        <f t="shared" si="261"/>
        <v>50801.110228586673</v>
      </c>
      <c r="KD82" s="168">
        <f t="shared" si="261"/>
        <v>59680.078482554927</v>
      </c>
      <c r="KE82" s="168">
        <f t="shared" si="261"/>
        <v>51106.005373311236</v>
      </c>
      <c r="KF82" s="168">
        <f t="shared" si="261"/>
        <v>83968.287912993779</v>
      </c>
      <c r="KG82" s="168">
        <f t="shared" si="261"/>
        <v>50897.672039977901</v>
      </c>
      <c r="KH82" s="168">
        <f t="shared" si="261"/>
        <v>51641.719659025519</v>
      </c>
      <c r="KI82" s="168">
        <f t="shared" si="261"/>
        <v>49540.454378481438</v>
      </c>
      <c r="KJ82" s="169">
        <f>+SUBTOTAL(9,JX82:KI82)</f>
        <v>646620.22409234103</v>
      </c>
      <c r="KK82" s="161"/>
      <c r="KL82" s="167">
        <f>SUM(KL60:KL81)</f>
        <v>18368.680029754127</v>
      </c>
      <c r="KM82" s="168">
        <f t="shared" ref="KM82:KW82" si="262">SUM(KM60:KM81)</f>
        <v>16817.560982135077</v>
      </c>
      <c r="KN82" s="168">
        <f t="shared" si="262"/>
        <v>17943.93664351074</v>
      </c>
      <c r="KO82" s="168">
        <f t="shared" si="262"/>
        <v>17151.47009377529</v>
      </c>
      <c r="KP82" s="168">
        <f t="shared" si="262"/>
        <v>17407.31065778861</v>
      </c>
      <c r="KQ82" s="168">
        <f t="shared" si="262"/>
        <v>17906.444091434671</v>
      </c>
      <c r="KR82" s="168">
        <f t="shared" si="262"/>
        <v>21175.031393021971</v>
      </c>
      <c r="KS82" s="168">
        <f t="shared" si="262"/>
        <v>17745.402149324495</v>
      </c>
      <c r="KT82" s="168">
        <f t="shared" si="262"/>
        <v>30890.315165197509</v>
      </c>
      <c r="KU82" s="168">
        <f t="shared" si="262"/>
        <v>17662.068815991159</v>
      </c>
      <c r="KV82" s="168">
        <f t="shared" si="262"/>
        <v>17959.687863610208</v>
      </c>
      <c r="KW82" s="168">
        <f t="shared" si="262"/>
        <v>17119.181751392578</v>
      </c>
      <c r="KX82" s="169">
        <f>+SUBTOTAL(9,KL82:KW82)</f>
        <v>228147.08963693643</v>
      </c>
      <c r="KY82" s="161"/>
      <c r="KZ82" s="167">
        <f>SUM(KZ60:KZ81)</f>
        <v>12557.84001487706</v>
      </c>
      <c r="LA82" s="168">
        <f t="shared" ref="LA82:LK82" si="263">SUM(LA60:LA81)</f>
        <v>12029.780491067537</v>
      </c>
      <c r="LB82" s="168">
        <f t="shared" si="263"/>
        <v>12592.968321755368</v>
      </c>
      <c r="LC82" s="168">
        <f t="shared" si="263"/>
        <v>12196.735046887643</v>
      </c>
      <c r="LD82" s="168">
        <f t="shared" si="263"/>
        <v>12324.655328894303</v>
      </c>
      <c r="LE82" s="168">
        <f t="shared" si="263"/>
        <v>12574.222045717332</v>
      </c>
      <c r="LF82" s="168">
        <f t="shared" si="263"/>
        <v>14633.015696510984</v>
      </c>
      <c r="LG82" s="168">
        <f t="shared" si="263"/>
        <v>12918.201074662245</v>
      </c>
      <c r="LH82" s="168">
        <f t="shared" si="263"/>
        <v>19490.657582598753</v>
      </c>
      <c r="LI82" s="168">
        <f t="shared" si="263"/>
        <v>12876.534407995578</v>
      </c>
      <c r="LJ82" s="168">
        <f t="shared" si="263"/>
        <v>13025.343931805101</v>
      </c>
      <c r="LK82" s="168">
        <f t="shared" si="263"/>
        <v>12605.090875696287</v>
      </c>
      <c r="LL82" s="169">
        <f>+SUBTOTAL(9,KZ82:LK82)</f>
        <v>159825.04481846816</v>
      </c>
      <c r="LM82" s="161"/>
      <c r="LN82" s="167">
        <f>SUM(LN60:LN81)</f>
        <v>0</v>
      </c>
      <c r="LO82" s="168">
        <f t="shared" ref="LO82:LY82" si="264">SUM(LO60:LO81)</f>
        <v>0</v>
      </c>
      <c r="LP82" s="168">
        <f t="shared" si="264"/>
        <v>0</v>
      </c>
      <c r="LQ82" s="168">
        <f t="shared" si="264"/>
        <v>0</v>
      </c>
      <c r="LR82" s="168">
        <f t="shared" si="264"/>
        <v>0</v>
      </c>
      <c r="LS82" s="168">
        <f t="shared" si="264"/>
        <v>0</v>
      </c>
      <c r="LT82" s="168">
        <f t="shared" si="264"/>
        <v>0</v>
      </c>
      <c r="LU82" s="168">
        <f t="shared" si="264"/>
        <v>0</v>
      </c>
      <c r="LV82" s="168">
        <f t="shared" si="264"/>
        <v>0</v>
      </c>
      <c r="LW82" s="168">
        <f t="shared" si="264"/>
        <v>0</v>
      </c>
      <c r="LX82" s="168">
        <f t="shared" si="264"/>
        <v>0</v>
      </c>
      <c r="LY82" s="168">
        <f t="shared" si="264"/>
        <v>0</v>
      </c>
      <c r="LZ82" s="169">
        <f>+SUBTOTAL(9,LN82:LY82)</f>
        <v>0</v>
      </c>
      <c r="MA82" s="161"/>
      <c r="MB82" s="169">
        <f t="shared" ref="MB82:MC82" si="265">SUM(MB60:MB81)</f>
        <v>2239564.8869952513</v>
      </c>
      <c r="MC82" s="169">
        <f t="shared" si="265"/>
        <v>1884422.3010904896</v>
      </c>
      <c r="MD82" s="169">
        <f t="shared" ref="MD82:MN82" si="266">SUM(MD60:MD81)</f>
        <v>2392512.2653232939</v>
      </c>
      <c r="ME82" s="169">
        <f t="shared" si="266"/>
        <v>2469858.3282449869</v>
      </c>
      <c r="MF82" s="169">
        <f t="shared" si="266"/>
        <v>2222377.1744940788</v>
      </c>
      <c r="MG82" s="169">
        <f t="shared" si="266"/>
        <v>2263306.116053056</v>
      </c>
      <c r="MH82" s="169">
        <f t="shared" si="266"/>
        <v>2852846.6987832151</v>
      </c>
      <c r="MI82" s="169">
        <f t="shared" si="266"/>
        <v>2273306.6768000219</v>
      </c>
      <c r="MJ82" s="169">
        <f t="shared" si="266"/>
        <v>3351189.5441016089</v>
      </c>
      <c r="MK82" s="169">
        <f t="shared" si="266"/>
        <v>2266473.3434666884</v>
      </c>
      <c r="ML82" s="169">
        <f t="shared" si="266"/>
        <v>2290878.1053714501</v>
      </c>
      <c r="MM82" s="169">
        <f t="shared" si="266"/>
        <v>2221956.6041696044</v>
      </c>
      <c r="MN82" s="169">
        <f t="shared" si="266"/>
        <v>28728692.044893749</v>
      </c>
    </row>
    <row r="83" spans="1:352" s="180" customFormat="1" x14ac:dyDescent="0.25">
      <c r="A83" s="98"/>
      <c r="B83" s="183"/>
      <c r="C83" s="98"/>
      <c r="D83" s="203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204"/>
      <c r="Q83" s="205"/>
      <c r="R83" s="203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204"/>
      <c r="AE83" s="205"/>
      <c r="AF83" s="203"/>
      <c r="AG83" s="177"/>
      <c r="AH83" s="177"/>
      <c r="AI83" s="177"/>
      <c r="AJ83" s="177"/>
      <c r="AK83" s="177"/>
      <c r="AL83" s="177"/>
      <c r="AM83" s="177"/>
      <c r="AN83" s="177"/>
      <c r="AO83" s="177"/>
      <c r="AP83" s="177"/>
      <c r="AQ83" s="177"/>
      <c r="AR83" s="204"/>
      <c r="AS83" s="161"/>
      <c r="AT83" s="203"/>
      <c r="AU83" s="177"/>
      <c r="AV83" s="177"/>
      <c r="AW83" s="177"/>
      <c r="AX83" s="177"/>
      <c r="AY83" s="177"/>
      <c r="AZ83" s="177"/>
      <c r="BA83" s="177"/>
      <c r="BB83" s="177"/>
      <c r="BC83" s="177"/>
      <c r="BD83" s="177"/>
      <c r="BE83" s="177"/>
      <c r="BF83" s="204"/>
      <c r="BG83" s="176"/>
      <c r="BH83" s="203"/>
      <c r="BI83" s="177"/>
      <c r="BJ83" s="177"/>
      <c r="BK83" s="177"/>
      <c r="BL83" s="177"/>
      <c r="BM83" s="177"/>
      <c r="BN83" s="177"/>
      <c r="BO83" s="177"/>
      <c r="BP83" s="177"/>
      <c r="BQ83" s="177"/>
      <c r="BR83" s="177"/>
      <c r="BS83" s="177"/>
      <c r="BT83" s="204"/>
      <c r="BU83" s="161"/>
      <c r="BV83" s="203"/>
      <c r="BW83" s="177"/>
      <c r="BX83" s="177"/>
      <c r="BY83" s="177"/>
      <c r="BZ83" s="177"/>
      <c r="CA83" s="177"/>
      <c r="CB83" s="177"/>
      <c r="CC83" s="177"/>
      <c r="CD83" s="177"/>
      <c r="CE83" s="177"/>
      <c r="CF83" s="177"/>
      <c r="CG83" s="177"/>
      <c r="CH83" s="204"/>
      <c r="CI83" s="205"/>
      <c r="CJ83" s="203"/>
      <c r="CK83" s="177"/>
      <c r="CL83" s="177"/>
      <c r="CM83" s="177"/>
      <c r="CN83" s="177"/>
      <c r="CO83" s="177"/>
      <c r="CP83" s="177"/>
      <c r="CQ83" s="177"/>
      <c r="CR83" s="177"/>
      <c r="CS83" s="177"/>
      <c r="CT83" s="177"/>
      <c r="CU83" s="177"/>
      <c r="CV83" s="204"/>
      <c r="CW83" s="205"/>
      <c r="CX83" s="203"/>
      <c r="CY83" s="177"/>
      <c r="CZ83" s="177"/>
      <c r="DA83" s="177"/>
      <c r="DB83" s="177"/>
      <c r="DC83" s="177"/>
      <c r="DD83" s="177"/>
      <c r="DE83" s="177"/>
      <c r="DF83" s="177"/>
      <c r="DG83" s="177"/>
      <c r="DH83" s="177"/>
      <c r="DI83" s="177"/>
      <c r="DJ83" s="204"/>
      <c r="DK83" s="205"/>
      <c r="DL83" s="203"/>
      <c r="DM83" s="177"/>
      <c r="DN83" s="177"/>
      <c r="DO83" s="177"/>
      <c r="DP83" s="177"/>
      <c r="DQ83" s="177"/>
      <c r="DR83" s="177"/>
      <c r="DS83" s="177"/>
      <c r="DT83" s="177"/>
      <c r="DU83" s="177"/>
      <c r="DV83" s="177"/>
      <c r="DW83" s="177"/>
      <c r="DX83" s="204"/>
      <c r="DY83" s="205"/>
      <c r="DZ83" s="203"/>
      <c r="EA83" s="177"/>
      <c r="EB83" s="177"/>
      <c r="EC83" s="177"/>
      <c r="ED83" s="177"/>
      <c r="EE83" s="177"/>
      <c r="EF83" s="177"/>
      <c r="EG83" s="177"/>
      <c r="EH83" s="177"/>
      <c r="EI83" s="177"/>
      <c r="EJ83" s="177"/>
      <c r="EK83" s="177"/>
      <c r="EL83" s="204"/>
      <c r="EM83" s="205"/>
      <c r="EN83" s="203"/>
      <c r="EO83" s="177"/>
      <c r="EP83" s="177"/>
      <c r="EQ83" s="177"/>
      <c r="ER83" s="177"/>
      <c r="ES83" s="177"/>
      <c r="ET83" s="177"/>
      <c r="EU83" s="177"/>
      <c r="EV83" s="177"/>
      <c r="EW83" s="177"/>
      <c r="EX83" s="177"/>
      <c r="EY83" s="177"/>
      <c r="EZ83" s="204"/>
      <c r="FA83" s="205"/>
      <c r="FB83" s="203"/>
      <c r="FC83" s="177"/>
      <c r="FD83" s="177"/>
      <c r="FE83" s="177"/>
      <c r="FF83" s="177"/>
      <c r="FG83" s="177"/>
      <c r="FH83" s="177"/>
      <c r="FI83" s="177"/>
      <c r="FJ83" s="177"/>
      <c r="FK83" s="177"/>
      <c r="FL83" s="177"/>
      <c r="FM83" s="177"/>
      <c r="FN83" s="204"/>
      <c r="FO83" s="205"/>
      <c r="FP83" s="203"/>
      <c r="FQ83" s="177"/>
      <c r="FR83" s="177"/>
      <c r="FS83" s="177"/>
      <c r="FT83" s="177"/>
      <c r="FU83" s="177"/>
      <c r="FV83" s="177"/>
      <c r="FW83" s="177"/>
      <c r="FX83" s="177"/>
      <c r="FY83" s="177"/>
      <c r="FZ83" s="177"/>
      <c r="GA83" s="177"/>
      <c r="GB83" s="204"/>
      <c r="GC83" s="205"/>
      <c r="GD83" s="203">
        <f>+GD82+GR82</f>
        <v>-63182.459429709997</v>
      </c>
      <c r="GE83" s="177">
        <f>+GD83/83.92</f>
        <v>-752.88917337595319</v>
      </c>
      <c r="GF83" s="177">
        <f>+GE83-'[1]Actual YTD feb'!KL91</f>
        <v>-4863.3224177791553</v>
      </c>
      <c r="GG83" s="177"/>
      <c r="GH83" s="177"/>
      <c r="GI83" s="177"/>
      <c r="GJ83" s="177"/>
      <c r="GK83" s="177"/>
      <c r="GL83" s="177"/>
      <c r="GM83" s="177"/>
      <c r="GN83" s="177"/>
      <c r="GO83" s="177"/>
      <c r="GP83" s="204"/>
      <c r="GQ83" s="205"/>
      <c r="GR83" s="203"/>
      <c r="GS83" s="177"/>
      <c r="GT83" s="177"/>
      <c r="GU83" s="177"/>
      <c r="GV83" s="177"/>
      <c r="GW83" s="177"/>
      <c r="GX83" s="177"/>
      <c r="GY83" s="177"/>
      <c r="GZ83" s="177"/>
      <c r="HA83" s="177"/>
      <c r="HB83" s="177"/>
      <c r="HC83" s="177"/>
      <c r="HD83" s="204"/>
      <c r="HE83" s="205"/>
      <c r="HF83" s="203"/>
      <c r="HG83" s="177"/>
      <c r="HH83" s="177"/>
      <c r="HI83" s="177"/>
      <c r="HJ83" s="177"/>
      <c r="HK83" s="177"/>
      <c r="HL83" s="177"/>
      <c r="HM83" s="177"/>
      <c r="HN83" s="177"/>
      <c r="HO83" s="177"/>
      <c r="HP83" s="177"/>
      <c r="HQ83" s="177"/>
      <c r="HR83" s="204"/>
      <c r="HS83" s="205"/>
      <c r="HT83" s="203"/>
      <c r="HU83" s="177"/>
      <c r="HV83" s="177"/>
      <c r="HW83" s="177"/>
      <c r="HX83" s="177"/>
      <c r="HY83" s="177"/>
      <c r="HZ83" s="177"/>
      <c r="IA83" s="177"/>
      <c r="IB83" s="177"/>
      <c r="IC83" s="177"/>
      <c r="ID83" s="177"/>
      <c r="IE83" s="177"/>
      <c r="IF83" s="204"/>
      <c r="IG83" s="205"/>
      <c r="IH83" s="203"/>
      <c r="II83" s="177"/>
      <c r="IJ83" s="177"/>
      <c r="IK83" s="177"/>
      <c r="IL83" s="177"/>
      <c r="IM83" s="177"/>
      <c r="IN83" s="177"/>
      <c r="IO83" s="177"/>
      <c r="IP83" s="177"/>
      <c r="IQ83" s="177"/>
      <c r="IR83" s="177"/>
      <c r="IS83" s="177"/>
      <c r="IT83" s="204"/>
      <c r="IU83" s="205"/>
      <c r="IV83" s="203"/>
      <c r="IW83" s="177"/>
      <c r="IX83" s="177"/>
      <c r="IY83" s="177"/>
      <c r="IZ83" s="177"/>
      <c r="JA83" s="177"/>
      <c r="JB83" s="177"/>
      <c r="JC83" s="177"/>
      <c r="JD83" s="177"/>
      <c r="JE83" s="177"/>
      <c r="JF83" s="177"/>
      <c r="JG83" s="177"/>
      <c r="JH83" s="204"/>
      <c r="JI83" s="205"/>
      <c r="JJ83" s="203"/>
      <c r="JK83" s="177"/>
      <c r="JL83" s="177"/>
      <c r="JM83" s="177"/>
      <c r="JN83" s="177"/>
      <c r="JO83" s="177"/>
      <c r="JP83" s="177"/>
      <c r="JQ83" s="177"/>
      <c r="JR83" s="177"/>
      <c r="JS83" s="177"/>
      <c r="JT83" s="177"/>
      <c r="JU83" s="177"/>
      <c r="JV83" s="204"/>
      <c r="JW83" s="205"/>
      <c r="JX83" s="203"/>
      <c r="JY83" s="177"/>
      <c r="JZ83" s="177"/>
      <c r="KA83" s="177"/>
      <c r="KB83" s="177"/>
      <c r="KC83" s="177"/>
      <c r="KD83" s="177"/>
      <c r="KE83" s="177"/>
      <c r="KF83" s="177"/>
      <c r="KG83" s="177"/>
      <c r="KH83" s="177"/>
      <c r="KI83" s="177"/>
      <c r="KJ83" s="204"/>
      <c r="KK83" s="205"/>
      <c r="KL83" s="203"/>
      <c r="KM83" s="177"/>
      <c r="KN83" s="177"/>
      <c r="KO83" s="177"/>
      <c r="KP83" s="177"/>
      <c r="KQ83" s="177"/>
      <c r="KR83" s="177"/>
      <c r="KS83" s="177"/>
      <c r="KT83" s="177"/>
      <c r="KU83" s="177"/>
      <c r="KV83" s="177"/>
      <c r="KW83" s="177"/>
      <c r="KX83" s="204"/>
      <c r="KY83" s="205"/>
      <c r="KZ83" s="203"/>
      <c r="LA83" s="177"/>
      <c r="LB83" s="177"/>
      <c r="LC83" s="177"/>
      <c r="LD83" s="177"/>
      <c r="LE83" s="177"/>
      <c r="LF83" s="177"/>
      <c r="LG83" s="177"/>
      <c r="LH83" s="177"/>
      <c r="LI83" s="177"/>
      <c r="LJ83" s="177"/>
      <c r="LK83" s="177"/>
      <c r="LL83" s="204"/>
      <c r="LM83" s="205"/>
      <c r="LN83" s="203"/>
      <c r="LO83" s="177"/>
      <c r="LP83" s="177"/>
      <c r="LQ83" s="177"/>
      <c r="LR83" s="177"/>
      <c r="LS83" s="177"/>
      <c r="LT83" s="177"/>
      <c r="LU83" s="177"/>
      <c r="LV83" s="177"/>
      <c r="LW83" s="177"/>
      <c r="LX83" s="177"/>
      <c r="LY83" s="177"/>
      <c r="LZ83" s="204"/>
      <c r="MA83" s="205"/>
      <c r="MB83" s="204"/>
      <c r="MC83" s="204">
        <f>+MC82/83.92</f>
        <v>22454.984522050639</v>
      </c>
      <c r="MD83" s="204"/>
      <c r="ME83" s="204"/>
      <c r="MF83" s="204"/>
      <c r="MG83" s="204"/>
      <c r="MH83" s="204"/>
      <c r="MI83" s="204"/>
      <c r="MJ83" s="204"/>
      <c r="MK83" s="204"/>
      <c r="ML83" s="204"/>
      <c r="MM83" s="204"/>
      <c r="MN83" s="204"/>
    </row>
    <row r="84" spans="1:352" s="180" customFormat="1" x14ac:dyDescent="0.3">
      <c r="A84" s="98"/>
      <c r="B84" s="206" t="s">
        <v>105</v>
      </c>
      <c r="C84" s="202"/>
      <c r="D84" s="203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204"/>
      <c r="Q84" s="205"/>
      <c r="R84" s="203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204"/>
      <c r="AE84" s="205"/>
      <c r="AF84" s="203"/>
      <c r="AG84" s="177"/>
      <c r="AH84" s="177"/>
      <c r="AI84" s="177"/>
      <c r="AJ84" s="177"/>
      <c r="AK84" s="177"/>
      <c r="AL84" s="177"/>
      <c r="AM84" s="177"/>
      <c r="AN84" s="177"/>
      <c r="AO84" s="177"/>
      <c r="AP84" s="177"/>
      <c r="AQ84" s="177"/>
      <c r="AR84" s="204"/>
      <c r="AS84" s="161"/>
      <c r="AT84" s="203"/>
      <c r="AU84" s="177"/>
      <c r="AV84" s="177"/>
      <c r="AW84" s="177"/>
      <c r="AX84" s="177"/>
      <c r="AY84" s="177"/>
      <c r="AZ84" s="177"/>
      <c r="BA84" s="177"/>
      <c r="BB84" s="177"/>
      <c r="BC84" s="177"/>
      <c r="BD84" s="177"/>
      <c r="BE84" s="177"/>
      <c r="BF84" s="204"/>
      <c r="BG84" s="176"/>
      <c r="BH84" s="203"/>
      <c r="BI84" s="177"/>
      <c r="BJ84" s="177"/>
      <c r="BK84" s="177"/>
      <c r="BL84" s="177"/>
      <c r="BM84" s="177"/>
      <c r="BN84" s="177"/>
      <c r="BO84" s="177"/>
      <c r="BP84" s="177"/>
      <c r="BQ84" s="177"/>
      <c r="BR84" s="177"/>
      <c r="BS84" s="177"/>
      <c r="BT84" s="204"/>
      <c r="BU84" s="161"/>
      <c r="BV84" s="203"/>
      <c r="BW84" s="177"/>
      <c r="BX84" s="177"/>
      <c r="BY84" s="177"/>
      <c r="BZ84" s="177"/>
      <c r="CA84" s="177"/>
      <c r="CB84" s="177"/>
      <c r="CC84" s="177"/>
      <c r="CD84" s="177"/>
      <c r="CE84" s="177"/>
      <c r="CF84" s="177"/>
      <c r="CG84" s="177"/>
      <c r="CH84" s="204"/>
      <c r="CI84" s="205"/>
      <c r="CJ84" s="203"/>
      <c r="CK84" s="177"/>
      <c r="CL84" s="177"/>
      <c r="CM84" s="177"/>
      <c r="CN84" s="177"/>
      <c r="CO84" s="177"/>
      <c r="CP84" s="177"/>
      <c r="CQ84" s="177"/>
      <c r="CR84" s="177"/>
      <c r="CS84" s="177"/>
      <c r="CT84" s="177"/>
      <c r="CU84" s="177"/>
      <c r="CV84" s="204"/>
      <c r="CW84" s="205"/>
      <c r="CX84" s="203"/>
      <c r="CY84" s="177"/>
      <c r="CZ84" s="177"/>
      <c r="DA84" s="177"/>
      <c r="DB84" s="177"/>
      <c r="DC84" s="177"/>
      <c r="DD84" s="177"/>
      <c r="DE84" s="177"/>
      <c r="DF84" s="177"/>
      <c r="DG84" s="177"/>
      <c r="DH84" s="177"/>
      <c r="DI84" s="177"/>
      <c r="DJ84" s="204"/>
      <c r="DK84" s="205"/>
      <c r="DL84" s="203"/>
      <c r="DM84" s="177"/>
      <c r="DN84" s="177"/>
      <c r="DO84" s="177"/>
      <c r="DP84" s="177"/>
      <c r="DQ84" s="177"/>
      <c r="DR84" s="177"/>
      <c r="DS84" s="177"/>
      <c r="DT84" s="177"/>
      <c r="DU84" s="177"/>
      <c r="DV84" s="177"/>
      <c r="DW84" s="177"/>
      <c r="DX84" s="204"/>
      <c r="DY84" s="205"/>
      <c r="DZ84" s="203"/>
      <c r="EA84" s="177"/>
      <c r="EB84" s="177"/>
      <c r="EC84" s="177"/>
      <c r="ED84" s="177"/>
      <c r="EE84" s="177"/>
      <c r="EF84" s="177"/>
      <c r="EG84" s="177"/>
      <c r="EH84" s="177"/>
      <c r="EI84" s="177"/>
      <c r="EJ84" s="177"/>
      <c r="EK84" s="177"/>
      <c r="EL84" s="204"/>
      <c r="EM84" s="205"/>
      <c r="EN84" s="203"/>
      <c r="EO84" s="177"/>
      <c r="EP84" s="177"/>
      <c r="EQ84" s="177"/>
      <c r="ER84" s="177"/>
      <c r="ES84" s="177"/>
      <c r="ET84" s="177"/>
      <c r="EU84" s="177"/>
      <c r="EV84" s="177"/>
      <c r="EW84" s="177"/>
      <c r="EX84" s="177"/>
      <c r="EY84" s="177"/>
      <c r="EZ84" s="204"/>
      <c r="FA84" s="205"/>
      <c r="FB84" s="203"/>
      <c r="FC84" s="177"/>
      <c r="FD84" s="177"/>
      <c r="FE84" s="177"/>
      <c r="FF84" s="177"/>
      <c r="FG84" s="177"/>
      <c r="FH84" s="177"/>
      <c r="FI84" s="177"/>
      <c r="FJ84" s="177"/>
      <c r="FK84" s="177"/>
      <c r="FL84" s="177"/>
      <c r="FM84" s="177"/>
      <c r="FN84" s="204"/>
      <c r="FO84" s="205"/>
      <c r="FP84" s="203"/>
      <c r="FQ84" s="177"/>
      <c r="FR84" s="177"/>
      <c r="FS84" s="177"/>
      <c r="FT84" s="177"/>
      <c r="FU84" s="177"/>
      <c r="FV84" s="177"/>
      <c r="FW84" s="177"/>
      <c r="FX84" s="177"/>
      <c r="FY84" s="177"/>
      <c r="FZ84" s="177"/>
      <c r="GA84" s="177"/>
      <c r="GB84" s="204"/>
      <c r="GC84" s="205"/>
      <c r="GD84" s="203"/>
      <c r="GE84" s="177"/>
      <c r="GF84" s="177"/>
      <c r="GG84" s="177"/>
      <c r="GH84" s="177"/>
      <c r="GI84" s="177"/>
      <c r="GJ84" s="177"/>
      <c r="GK84" s="177"/>
      <c r="GL84" s="177"/>
      <c r="GM84" s="177"/>
      <c r="GN84" s="177"/>
      <c r="GO84" s="177"/>
      <c r="GP84" s="204"/>
      <c r="GQ84" s="205"/>
      <c r="GR84" s="203"/>
      <c r="GS84" s="177"/>
      <c r="GT84" s="177"/>
      <c r="GU84" s="177"/>
      <c r="GV84" s="177"/>
      <c r="GW84" s="177"/>
      <c r="GX84" s="177"/>
      <c r="GY84" s="177"/>
      <c r="GZ84" s="177"/>
      <c r="HA84" s="177"/>
      <c r="HB84" s="177"/>
      <c r="HC84" s="177"/>
      <c r="HD84" s="204"/>
      <c r="HE84" s="205"/>
      <c r="HF84" s="203"/>
      <c r="HG84" s="177"/>
      <c r="HH84" s="177"/>
      <c r="HI84" s="177"/>
      <c r="HJ84" s="177"/>
      <c r="HK84" s="177"/>
      <c r="HL84" s="177"/>
      <c r="HM84" s="177"/>
      <c r="HN84" s="177"/>
      <c r="HO84" s="177"/>
      <c r="HP84" s="177"/>
      <c r="HQ84" s="177"/>
      <c r="HR84" s="204"/>
      <c r="HS84" s="205"/>
      <c r="HT84" s="203"/>
      <c r="HU84" s="177"/>
      <c r="HV84" s="177"/>
      <c r="HW84" s="177"/>
      <c r="HX84" s="177"/>
      <c r="HY84" s="177"/>
      <c r="HZ84" s="177"/>
      <c r="IA84" s="177"/>
      <c r="IB84" s="177"/>
      <c r="IC84" s="177"/>
      <c r="ID84" s="177"/>
      <c r="IE84" s="177"/>
      <c r="IF84" s="204"/>
      <c r="IG84" s="205"/>
      <c r="IH84" s="203"/>
      <c r="II84" s="177"/>
      <c r="IJ84" s="177"/>
      <c r="IK84" s="177"/>
      <c r="IL84" s="177"/>
      <c r="IM84" s="177"/>
      <c r="IN84" s="177"/>
      <c r="IO84" s="177"/>
      <c r="IP84" s="177"/>
      <c r="IQ84" s="177"/>
      <c r="IR84" s="177"/>
      <c r="IS84" s="177"/>
      <c r="IT84" s="204"/>
      <c r="IU84" s="205"/>
      <c r="IV84" s="203"/>
      <c r="IW84" s="177"/>
      <c r="IX84" s="177"/>
      <c r="IY84" s="177"/>
      <c r="IZ84" s="177"/>
      <c r="JA84" s="177"/>
      <c r="JB84" s="177"/>
      <c r="JC84" s="177"/>
      <c r="JD84" s="177"/>
      <c r="JE84" s="177"/>
      <c r="JF84" s="177"/>
      <c r="JG84" s="177"/>
      <c r="JH84" s="204"/>
      <c r="JI84" s="205"/>
      <c r="JJ84" s="203"/>
      <c r="JK84" s="177"/>
      <c r="JL84" s="177"/>
      <c r="JM84" s="177"/>
      <c r="JN84" s="177"/>
      <c r="JO84" s="177"/>
      <c r="JP84" s="177"/>
      <c r="JQ84" s="177"/>
      <c r="JR84" s="177"/>
      <c r="JS84" s="177"/>
      <c r="JT84" s="177"/>
      <c r="JU84" s="177"/>
      <c r="JV84" s="204"/>
      <c r="JW84" s="205"/>
      <c r="JX84" s="203"/>
      <c r="JY84" s="177"/>
      <c r="JZ84" s="177"/>
      <c r="KA84" s="177"/>
      <c r="KB84" s="177"/>
      <c r="KC84" s="177"/>
      <c r="KD84" s="177"/>
      <c r="KE84" s="177"/>
      <c r="KF84" s="177"/>
      <c r="KG84" s="177"/>
      <c r="KH84" s="177"/>
      <c r="KI84" s="177"/>
      <c r="KJ84" s="204"/>
      <c r="KK84" s="205"/>
      <c r="KL84" s="203"/>
      <c r="KM84" s="177"/>
      <c r="KN84" s="177"/>
      <c r="KO84" s="177"/>
      <c r="KP84" s="177"/>
      <c r="KQ84" s="177"/>
      <c r="KR84" s="177"/>
      <c r="KS84" s="177"/>
      <c r="KT84" s="177"/>
      <c r="KU84" s="177"/>
      <c r="KV84" s="177"/>
      <c r="KW84" s="177"/>
      <c r="KX84" s="204"/>
      <c r="KY84" s="205"/>
      <c r="KZ84" s="203"/>
      <c r="LA84" s="177"/>
      <c r="LB84" s="177"/>
      <c r="LC84" s="177"/>
      <c r="LD84" s="177"/>
      <c r="LE84" s="177"/>
      <c r="LF84" s="177"/>
      <c r="LG84" s="177"/>
      <c r="LH84" s="177"/>
      <c r="LI84" s="177"/>
      <c r="LJ84" s="177"/>
      <c r="LK84" s="177"/>
      <c r="LL84" s="204"/>
      <c r="LM84" s="205"/>
      <c r="LN84" s="203"/>
      <c r="LO84" s="177"/>
      <c r="LP84" s="177"/>
      <c r="LQ84" s="177"/>
      <c r="LR84" s="177"/>
      <c r="LS84" s="177"/>
      <c r="LT84" s="177"/>
      <c r="LU84" s="177"/>
      <c r="LV84" s="177"/>
      <c r="LW84" s="177"/>
      <c r="LX84" s="177"/>
      <c r="LY84" s="177"/>
      <c r="LZ84" s="204"/>
      <c r="MA84" s="205"/>
      <c r="MB84" s="204"/>
      <c r="MC84" s="204"/>
      <c r="MD84" s="204"/>
      <c r="ME84" s="204"/>
      <c r="MF84" s="204"/>
      <c r="MG84" s="204"/>
      <c r="MH84" s="204"/>
      <c r="MI84" s="204"/>
      <c r="MJ84" s="204"/>
      <c r="MK84" s="204"/>
      <c r="ML84" s="204"/>
      <c r="MM84" s="204"/>
      <c r="MN84" s="204"/>
    </row>
    <row r="85" spans="1:352" s="180" customFormat="1" x14ac:dyDescent="0.25">
      <c r="A85" s="98"/>
      <c r="B85" s="70" t="s">
        <v>106</v>
      </c>
      <c r="C85" s="202"/>
      <c r="D85" s="163">
        <v>0</v>
      </c>
      <c r="E85" s="177">
        <v>0</v>
      </c>
      <c r="F85" s="177">
        <v>0</v>
      </c>
      <c r="G85" s="177">
        <v>0</v>
      </c>
      <c r="H85" s="177">
        <v>0</v>
      </c>
      <c r="I85" s="177">
        <v>0</v>
      </c>
      <c r="J85" s="177">
        <v>0</v>
      </c>
      <c r="K85" s="177">
        <v>0</v>
      </c>
      <c r="L85" s="177">
        <v>0</v>
      </c>
      <c r="M85" s="177">
        <v>0</v>
      </c>
      <c r="N85" s="177">
        <v>0</v>
      </c>
      <c r="O85" s="177">
        <v>0</v>
      </c>
      <c r="P85" s="204">
        <f t="shared" ref="P85:P92" si="267">+SUBTOTAL(9,D85:O85)</f>
        <v>0</v>
      </c>
      <c r="Q85" s="205"/>
      <c r="R85" s="163">
        <v>0</v>
      </c>
      <c r="S85" s="177">
        <v>0</v>
      </c>
      <c r="T85" s="177">
        <v>0</v>
      </c>
      <c r="U85" s="177">
        <v>0</v>
      </c>
      <c r="V85" s="177">
        <v>0</v>
      </c>
      <c r="W85" s="177">
        <v>0</v>
      </c>
      <c r="X85" s="177">
        <v>0</v>
      </c>
      <c r="Y85" s="177">
        <v>0</v>
      </c>
      <c r="Z85" s="177">
        <v>0</v>
      </c>
      <c r="AA85" s="177">
        <v>0</v>
      </c>
      <c r="AB85" s="177">
        <v>0</v>
      </c>
      <c r="AC85" s="177">
        <v>0</v>
      </c>
      <c r="AD85" s="204">
        <f t="shared" ref="AD85:AD92" si="268">+SUBTOTAL(9,R85:AC85)</f>
        <v>0</v>
      </c>
      <c r="AE85" s="205"/>
      <c r="AF85" s="163">
        <v>0</v>
      </c>
      <c r="AG85" s="177">
        <v>0</v>
      </c>
      <c r="AH85" s="177">
        <v>0</v>
      </c>
      <c r="AI85" s="177">
        <v>0</v>
      </c>
      <c r="AJ85" s="177">
        <v>0</v>
      </c>
      <c r="AK85" s="177">
        <v>0</v>
      </c>
      <c r="AL85" s="177">
        <v>0</v>
      </c>
      <c r="AM85" s="177">
        <v>0</v>
      </c>
      <c r="AN85" s="177">
        <v>0</v>
      </c>
      <c r="AO85" s="177">
        <v>0</v>
      </c>
      <c r="AP85" s="177">
        <v>0</v>
      </c>
      <c r="AQ85" s="177">
        <v>0</v>
      </c>
      <c r="AR85" s="204">
        <f t="shared" ref="AR85:AR92" si="269">+SUBTOTAL(9,AF85:AQ85)</f>
        <v>0</v>
      </c>
      <c r="AS85" s="161"/>
      <c r="AT85" s="163">
        <v>0</v>
      </c>
      <c r="AU85" s="177">
        <v>0</v>
      </c>
      <c r="AV85" s="177">
        <v>0</v>
      </c>
      <c r="AW85" s="177">
        <v>0</v>
      </c>
      <c r="AX85" s="177">
        <v>0</v>
      </c>
      <c r="AY85" s="177">
        <v>0</v>
      </c>
      <c r="AZ85" s="177">
        <v>0</v>
      </c>
      <c r="BA85" s="177">
        <v>0</v>
      </c>
      <c r="BB85" s="164">
        <v>0</v>
      </c>
      <c r="BC85" s="164">
        <v>0</v>
      </c>
      <c r="BD85" s="164">
        <v>0</v>
      </c>
      <c r="BE85" s="164">
        <v>0</v>
      </c>
      <c r="BF85" s="204">
        <f t="shared" ref="BF85:BF92" si="270">+SUBTOTAL(9,AT85:BE85)</f>
        <v>0</v>
      </c>
      <c r="BG85" s="176"/>
      <c r="BH85" s="163">
        <v>0</v>
      </c>
      <c r="BI85" s="164">
        <v>0</v>
      </c>
      <c r="BJ85" s="154">
        <v>0</v>
      </c>
      <c r="BK85" s="154">
        <v>0</v>
      </c>
      <c r="BL85" s="154">
        <v>0</v>
      </c>
      <c r="BM85" s="154">
        <v>0</v>
      </c>
      <c r="BN85" s="154">
        <v>0</v>
      </c>
      <c r="BO85" s="154">
        <v>0</v>
      </c>
      <c r="BP85" s="154">
        <v>0</v>
      </c>
      <c r="BQ85" s="154">
        <v>0</v>
      </c>
      <c r="BR85" s="154">
        <v>0</v>
      </c>
      <c r="BS85" s="154">
        <v>0</v>
      </c>
      <c r="BT85" s="204">
        <f t="shared" ref="BT85:BT92" si="271">+SUBTOTAL(9,BH85:BS85)</f>
        <v>0</v>
      </c>
      <c r="BU85" s="161"/>
      <c r="BV85" s="163">
        <v>0</v>
      </c>
      <c r="BW85" s="164">
        <v>0</v>
      </c>
      <c r="BX85" s="154">
        <v>0</v>
      </c>
      <c r="BY85" s="154">
        <v>0</v>
      </c>
      <c r="BZ85" s="154">
        <v>0</v>
      </c>
      <c r="CA85" s="154">
        <v>0</v>
      </c>
      <c r="CB85" s="154">
        <v>0</v>
      </c>
      <c r="CC85" s="154">
        <v>0</v>
      </c>
      <c r="CD85" s="154">
        <v>0</v>
      </c>
      <c r="CE85" s="154">
        <v>0</v>
      </c>
      <c r="CF85" s="154">
        <v>0</v>
      </c>
      <c r="CG85" s="154">
        <v>0</v>
      </c>
      <c r="CH85" s="204">
        <f t="shared" ref="CH85:CH92" si="272">+SUBTOTAL(9,BV85:CG85)</f>
        <v>0</v>
      </c>
      <c r="CI85" s="205"/>
      <c r="CJ85" s="163">
        <v>0</v>
      </c>
      <c r="CK85" s="164">
        <v>0</v>
      </c>
      <c r="CL85" s="154">
        <v>0</v>
      </c>
      <c r="CM85" s="154">
        <v>0</v>
      </c>
      <c r="CN85" s="154">
        <v>0</v>
      </c>
      <c r="CO85" s="154">
        <v>0</v>
      </c>
      <c r="CP85" s="154">
        <v>0</v>
      </c>
      <c r="CQ85" s="154">
        <v>0</v>
      </c>
      <c r="CR85" s="154">
        <v>0</v>
      </c>
      <c r="CS85" s="154">
        <v>0</v>
      </c>
      <c r="CT85" s="154">
        <v>0</v>
      </c>
      <c r="CU85" s="154">
        <v>0</v>
      </c>
      <c r="CV85" s="204">
        <f t="shared" ref="CV85:CV92" si="273">+SUBTOTAL(9,CJ85:CU85)</f>
        <v>0</v>
      </c>
      <c r="CW85" s="205"/>
      <c r="CX85" s="163">
        <v>0</v>
      </c>
      <c r="CY85" s="164">
        <v>0</v>
      </c>
      <c r="CZ85" s="154">
        <v>0</v>
      </c>
      <c r="DA85" s="154">
        <v>0</v>
      </c>
      <c r="DB85" s="154">
        <v>0</v>
      </c>
      <c r="DC85" s="154">
        <v>0</v>
      </c>
      <c r="DD85" s="154">
        <v>0</v>
      </c>
      <c r="DE85" s="154">
        <v>0</v>
      </c>
      <c r="DF85" s="154">
        <v>0</v>
      </c>
      <c r="DG85" s="154">
        <v>0</v>
      </c>
      <c r="DH85" s="154">
        <v>0</v>
      </c>
      <c r="DI85" s="154">
        <v>0</v>
      </c>
      <c r="DJ85" s="204">
        <f t="shared" ref="DJ85:DJ92" si="274">+SUBTOTAL(9,CX85:DI85)</f>
        <v>0</v>
      </c>
      <c r="DK85" s="205"/>
      <c r="DL85" s="163">
        <v>0</v>
      </c>
      <c r="DM85" s="164">
        <v>0</v>
      </c>
      <c r="DN85" s="154">
        <v>0</v>
      </c>
      <c r="DO85" s="154">
        <v>0</v>
      </c>
      <c r="DP85" s="154">
        <v>0</v>
      </c>
      <c r="DQ85" s="154">
        <v>0</v>
      </c>
      <c r="DR85" s="154">
        <v>0</v>
      </c>
      <c r="DS85" s="154">
        <v>0</v>
      </c>
      <c r="DT85" s="154">
        <v>0</v>
      </c>
      <c r="DU85" s="154">
        <v>0</v>
      </c>
      <c r="DV85" s="154">
        <v>0</v>
      </c>
      <c r="DW85" s="154">
        <v>0</v>
      </c>
      <c r="DX85" s="204">
        <f t="shared" ref="DX85:DX92" si="275">+SUBTOTAL(9,DL85:DW85)</f>
        <v>0</v>
      </c>
      <c r="DY85" s="205"/>
      <c r="DZ85" s="163">
        <v>0</v>
      </c>
      <c r="EA85" s="164">
        <v>0</v>
      </c>
      <c r="EB85" s="154">
        <v>0</v>
      </c>
      <c r="EC85" s="154">
        <v>0</v>
      </c>
      <c r="ED85" s="154">
        <v>0</v>
      </c>
      <c r="EE85" s="154">
        <v>0</v>
      </c>
      <c r="EF85" s="154">
        <v>0</v>
      </c>
      <c r="EG85" s="154">
        <v>0</v>
      </c>
      <c r="EH85" s="154">
        <v>0</v>
      </c>
      <c r="EI85" s="154">
        <v>0</v>
      </c>
      <c r="EJ85" s="154">
        <v>0</v>
      </c>
      <c r="EK85" s="154">
        <v>0</v>
      </c>
      <c r="EL85" s="204">
        <f t="shared" ref="EL85:EL92" si="276">+SUBTOTAL(9,DZ85:EK85)</f>
        <v>0</v>
      </c>
      <c r="EM85" s="205"/>
      <c r="EN85" s="163">
        <v>0</v>
      </c>
      <c r="EO85" s="164">
        <v>0</v>
      </c>
      <c r="EP85" s="154">
        <v>0</v>
      </c>
      <c r="EQ85" s="154">
        <v>0</v>
      </c>
      <c r="ER85" s="154">
        <v>0</v>
      </c>
      <c r="ES85" s="154">
        <v>0</v>
      </c>
      <c r="ET85" s="154">
        <v>0</v>
      </c>
      <c r="EU85" s="154">
        <v>0</v>
      </c>
      <c r="EV85" s="154">
        <v>0</v>
      </c>
      <c r="EW85" s="154">
        <v>0</v>
      </c>
      <c r="EX85" s="154">
        <v>0</v>
      </c>
      <c r="EY85" s="154">
        <v>0</v>
      </c>
      <c r="EZ85" s="204">
        <f t="shared" ref="EZ85:EZ92" si="277">+SUBTOTAL(9,EN85:EY85)</f>
        <v>0</v>
      </c>
      <c r="FA85" s="205"/>
      <c r="FB85" s="163">
        <v>0</v>
      </c>
      <c r="FC85" s="164">
        <v>0</v>
      </c>
      <c r="FD85" s="154">
        <v>0</v>
      </c>
      <c r="FE85" s="154">
        <v>0</v>
      </c>
      <c r="FF85" s="154">
        <v>0</v>
      </c>
      <c r="FG85" s="154">
        <v>0</v>
      </c>
      <c r="FH85" s="154">
        <v>0</v>
      </c>
      <c r="FI85" s="154">
        <v>0</v>
      </c>
      <c r="FJ85" s="154">
        <v>0</v>
      </c>
      <c r="FK85" s="154">
        <v>0</v>
      </c>
      <c r="FL85" s="154">
        <v>0</v>
      </c>
      <c r="FM85" s="154">
        <v>0</v>
      </c>
      <c r="FN85" s="204">
        <f t="shared" ref="FN85:FN92" si="278">+SUBTOTAL(9,FB85:FM85)</f>
        <v>0</v>
      </c>
      <c r="FO85" s="205"/>
      <c r="FP85" s="163">
        <v>0</v>
      </c>
      <c r="FQ85" s="164">
        <v>0</v>
      </c>
      <c r="FR85" s="154">
        <v>0</v>
      </c>
      <c r="FS85" s="154">
        <v>0</v>
      </c>
      <c r="FT85" s="154">
        <v>0</v>
      </c>
      <c r="FU85" s="154">
        <v>0</v>
      </c>
      <c r="FV85" s="154">
        <v>0</v>
      </c>
      <c r="FW85" s="154">
        <v>0</v>
      </c>
      <c r="FX85" s="154">
        <v>0</v>
      </c>
      <c r="FY85" s="154">
        <v>0</v>
      </c>
      <c r="FZ85" s="154">
        <v>0</v>
      </c>
      <c r="GA85" s="154">
        <v>0</v>
      </c>
      <c r="GB85" s="204">
        <f t="shared" ref="GB85:GB92" si="279">+SUBTOTAL(9,FP85:GA85)</f>
        <v>0</v>
      </c>
      <c r="GC85" s="205"/>
      <c r="GD85" s="163">
        <v>0</v>
      </c>
      <c r="GE85" s="164">
        <v>0</v>
      </c>
      <c r="GF85" s="154">
        <v>0</v>
      </c>
      <c r="GG85" s="154">
        <v>0</v>
      </c>
      <c r="GH85" s="154">
        <v>0</v>
      </c>
      <c r="GI85" s="154">
        <v>0</v>
      </c>
      <c r="GJ85" s="154">
        <v>0</v>
      </c>
      <c r="GK85" s="154">
        <v>0</v>
      </c>
      <c r="GL85" s="154">
        <v>0</v>
      </c>
      <c r="GM85" s="154">
        <v>0</v>
      </c>
      <c r="GN85" s="154">
        <v>0</v>
      </c>
      <c r="GO85" s="154">
        <v>0</v>
      </c>
      <c r="GP85" s="204">
        <f t="shared" ref="GP85:GP92" si="280">+SUBTOTAL(9,GD85:GO85)</f>
        <v>0</v>
      </c>
      <c r="GQ85" s="205"/>
      <c r="GR85" s="163">
        <v>0</v>
      </c>
      <c r="GS85" s="164">
        <v>0</v>
      </c>
      <c r="GT85" s="154">
        <v>0</v>
      </c>
      <c r="GU85" s="154">
        <v>0</v>
      </c>
      <c r="GV85" s="154">
        <v>0</v>
      </c>
      <c r="GW85" s="154">
        <v>0</v>
      </c>
      <c r="GX85" s="154">
        <v>0</v>
      </c>
      <c r="GY85" s="154">
        <v>0</v>
      </c>
      <c r="GZ85" s="154">
        <v>0</v>
      </c>
      <c r="HA85" s="154">
        <v>0</v>
      </c>
      <c r="HB85" s="154">
        <v>0</v>
      </c>
      <c r="HC85" s="154">
        <v>0</v>
      </c>
      <c r="HD85" s="204">
        <f t="shared" ref="HD85:HD86" si="281">+SUBTOTAL(9,GR85:HC85)</f>
        <v>0</v>
      </c>
      <c r="HE85" s="205"/>
      <c r="HF85" s="163">
        <v>0</v>
      </c>
      <c r="HG85" s="164">
        <v>0</v>
      </c>
      <c r="HH85" s="154">
        <v>0</v>
      </c>
      <c r="HI85" s="154">
        <v>0</v>
      </c>
      <c r="HJ85" s="154">
        <v>0</v>
      </c>
      <c r="HK85" s="154">
        <v>0</v>
      </c>
      <c r="HL85" s="154">
        <v>0</v>
      </c>
      <c r="HM85" s="154">
        <v>0</v>
      </c>
      <c r="HN85" s="154">
        <v>0</v>
      </c>
      <c r="HO85" s="154">
        <v>0</v>
      </c>
      <c r="HP85" s="154">
        <v>0</v>
      </c>
      <c r="HQ85" s="154">
        <v>0</v>
      </c>
      <c r="HR85" s="204">
        <f t="shared" ref="HR85:HR92" si="282">+SUBTOTAL(9,HF85:HQ85)</f>
        <v>0</v>
      </c>
      <c r="HS85" s="205"/>
      <c r="HT85" s="163">
        <v>0</v>
      </c>
      <c r="HU85" s="164">
        <v>0</v>
      </c>
      <c r="HV85" s="154">
        <v>0</v>
      </c>
      <c r="HW85" s="154">
        <v>0</v>
      </c>
      <c r="HX85" s="154">
        <v>0</v>
      </c>
      <c r="HY85" s="154">
        <v>0</v>
      </c>
      <c r="HZ85" s="154">
        <v>0</v>
      </c>
      <c r="IA85" s="154">
        <v>0</v>
      </c>
      <c r="IB85" s="154">
        <v>0</v>
      </c>
      <c r="IC85" s="154">
        <v>0</v>
      </c>
      <c r="ID85" s="154">
        <v>0</v>
      </c>
      <c r="IE85" s="154">
        <v>0</v>
      </c>
      <c r="IF85" s="204">
        <f t="shared" ref="IF85:IF92" si="283">+SUBTOTAL(9,HT85:IE85)</f>
        <v>0</v>
      </c>
      <c r="IG85" s="205"/>
      <c r="IH85" s="163">
        <v>0</v>
      </c>
      <c r="II85" s="164">
        <v>0</v>
      </c>
      <c r="IJ85" s="154">
        <v>0</v>
      </c>
      <c r="IK85" s="154">
        <v>0</v>
      </c>
      <c r="IL85" s="154">
        <v>0</v>
      </c>
      <c r="IM85" s="154">
        <v>0</v>
      </c>
      <c r="IN85" s="154">
        <v>0</v>
      </c>
      <c r="IO85" s="154">
        <v>0</v>
      </c>
      <c r="IP85" s="154">
        <v>0</v>
      </c>
      <c r="IQ85" s="154">
        <v>0</v>
      </c>
      <c r="IR85" s="154">
        <v>0</v>
      </c>
      <c r="IS85" s="154">
        <v>0</v>
      </c>
      <c r="IT85" s="204">
        <f t="shared" ref="IT85:IT92" si="284">+SUBTOTAL(9,IH85:IS85)</f>
        <v>0</v>
      </c>
      <c r="IU85" s="205"/>
      <c r="IV85" s="163">
        <v>0</v>
      </c>
      <c r="IW85" s="164">
        <v>0</v>
      </c>
      <c r="IX85" s="154">
        <v>0</v>
      </c>
      <c r="IY85" s="154">
        <v>0</v>
      </c>
      <c r="IZ85" s="154">
        <v>0</v>
      </c>
      <c r="JA85" s="154">
        <v>0</v>
      </c>
      <c r="JB85" s="154">
        <v>0</v>
      </c>
      <c r="JC85" s="154">
        <v>0</v>
      </c>
      <c r="JD85" s="154">
        <v>0</v>
      </c>
      <c r="JE85" s="154">
        <v>0</v>
      </c>
      <c r="JF85" s="154">
        <v>0</v>
      </c>
      <c r="JG85" s="154">
        <v>0</v>
      </c>
      <c r="JH85" s="204">
        <f t="shared" ref="JH85:JH92" si="285">+SUBTOTAL(9,IV85:JG85)</f>
        <v>0</v>
      </c>
      <c r="JI85" s="205"/>
      <c r="JJ85" s="163">
        <v>0</v>
      </c>
      <c r="JK85" s="164">
        <v>0</v>
      </c>
      <c r="JL85" s="154">
        <v>0</v>
      </c>
      <c r="JM85" s="154">
        <v>0</v>
      </c>
      <c r="JN85" s="154">
        <v>0</v>
      </c>
      <c r="JO85" s="154">
        <v>0</v>
      </c>
      <c r="JP85" s="154">
        <v>0</v>
      </c>
      <c r="JQ85" s="154">
        <v>0</v>
      </c>
      <c r="JR85" s="154">
        <v>0</v>
      </c>
      <c r="JS85" s="154">
        <v>0</v>
      </c>
      <c r="JT85" s="154">
        <v>0</v>
      </c>
      <c r="JU85" s="154">
        <v>0</v>
      </c>
      <c r="JV85" s="204">
        <f t="shared" ref="JV85:JV92" si="286">+SUBTOTAL(9,JJ85:JU85)</f>
        <v>0</v>
      </c>
      <c r="JW85" s="205"/>
      <c r="JX85" s="163">
        <v>0</v>
      </c>
      <c r="JY85" s="164">
        <v>0</v>
      </c>
      <c r="JZ85" s="154">
        <v>0</v>
      </c>
      <c r="KA85" s="154">
        <v>0</v>
      </c>
      <c r="KB85" s="154">
        <v>0</v>
      </c>
      <c r="KC85" s="154">
        <v>0</v>
      </c>
      <c r="KD85" s="154">
        <v>0</v>
      </c>
      <c r="KE85" s="154">
        <v>0</v>
      </c>
      <c r="KF85" s="154">
        <v>0</v>
      </c>
      <c r="KG85" s="154">
        <v>0</v>
      </c>
      <c r="KH85" s="154">
        <v>0</v>
      </c>
      <c r="KI85" s="154">
        <v>0</v>
      </c>
      <c r="KJ85" s="204">
        <f t="shared" ref="KJ85:KJ92" si="287">+SUBTOTAL(9,JX85:KI85)</f>
        <v>0</v>
      </c>
      <c r="KK85" s="205"/>
      <c r="KL85" s="163">
        <v>0</v>
      </c>
      <c r="KM85" s="164">
        <v>0</v>
      </c>
      <c r="KN85" s="154">
        <v>0</v>
      </c>
      <c r="KO85" s="154">
        <v>0</v>
      </c>
      <c r="KP85" s="154">
        <v>0</v>
      </c>
      <c r="KQ85" s="154">
        <v>0</v>
      </c>
      <c r="KR85" s="154">
        <v>0</v>
      </c>
      <c r="KS85" s="154">
        <v>0</v>
      </c>
      <c r="KT85" s="154">
        <v>0</v>
      </c>
      <c r="KU85" s="154">
        <v>0</v>
      </c>
      <c r="KV85" s="154">
        <v>0</v>
      </c>
      <c r="KW85" s="154">
        <v>0</v>
      </c>
      <c r="KX85" s="204">
        <f t="shared" ref="KX85:KX92" si="288">+SUBTOTAL(9,KL85:KW85)</f>
        <v>0</v>
      </c>
      <c r="KY85" s="205"/>
      <c r="KZ85" s="163">
        <v>0</v>
      </c>
      <c r="LA85" s="164">
        <v>0</v>
      </c>
      <c r="LB85" s="154">
        <v>0</v>
      </c>
      <c r="LC85" s="154">
        <v>0</v>
      </c>
      <c r="LD85" s="154">
        <v>0</v>
      </c>
      <c r="LE85" s="154">
        <v>0</v>
      </c>
      <c r="LF85" s="154">
        <v>0</v>
      </c>
      <c r="LG85" s="154">
        <v>0</v>
      </c>
      <c r="LH85" s="154">
        <v>0</v>
      </c>
      <c r="LI85" s="154">
        <v>0</v>
      </c>
      <c r="LJ85" s="154">
        <v>0</v>
      </c>
      <c r="LK85" s="154">
        <v>0</v>
      </c>
      <c r="LL85" s="204">
        <f t="shared" ref="LL85:LL92" si="289">+SUBTOTAL(9,KZ85:LK85)</f>
        <v>0</v>
      </c>
      <c r="LM85" s="205"/>
      <c r="LN85" s="163">
        <v>0</v>
      </c>
      <c r="LO85" s="164">
        <v>0</v>
      </c>
      <c r="LP85" s="154">
        <v>0</v>
      </c>
      <c r="LQ85" s="154">
        <v>0</v>
      </c>
      <c r="LR85" s="154">
        <v>0</v>
      </c>
      <c r="LS85" s="154">
        <v>0</v>
      </c>
      <c r="LT85" s="154">
        <v>0</v>
      </c>
      <c r="LU85" s="154">
        <v>0</v>
      </c>
      <c r="LV85" s="154">
        <v>0</v>
      </c>
      <c r="LW85" s="154">
        <v>0</v>
      </c>
      <c r="LX85" s="154">
        <v>0</v>
      </c>
      <c r="LY85" s="154">
        <v>0</v>
      </c>
      <c r="LZ85" s="204">
        <f t="shared" ref="LZ85:LZ92" si="290">+SUBTOTAL(9,LN85:LY85)</f>
        <v>0</v>
      </c>
      <c r="MA85" s="205"/>
      <c r="MB85" s="157">
        <f t="shared" ref="MB85:MM92" si="291">SUMIF($D$6:$LY$6,MB$3,$D85:$LY85)</f>
        <v>0</v>
      </c>
      <c r="MC85" s="157">
        <f t="shared" si="291"/>
        <v>0</v>
      </c>
      <c r="MD85" s="157">
        <f t="shared" si="291"/>
        <v>0</v>
      </c>
      <c r="ME85" s="157">
        <f t="shared" si="291"/>
        <v>0</v>
      </c>
      <c r="MF85" s="157">
        <f t="shared" si="291"/>
        <v>0</v>
      </c>
      <c r="MG85" s="157">
        <f t="shared" si="291"/>
        <v>0</v>
      </c>
      <c r="MH85" s="157">
        <f t="shared" si="291"/>
        <v>0</v>
      </c>
      <c r="MI85" s="157">
        <f t="shared" si="291"/>
        <v>0</v>
      </c>
      <c r="MJ85" s="157">
        <f t="shared" si="291"/>
        <v>0</v>
      </c>
      <c r="MK85" s="157">
        <f t="shared" si="291"/>
        <v>0</v>
      </c>
      <c r="ML85" s="157">
        <f t="shared" si="291"/>
        <v>0</v>
      </c>
      <c r="MM85" s="157">
        <f t="shared" si="291"/>
        <v>0</v>
      </c>
      <c r="MN85" s="157">
        <f t="shared" ref="MN85:MN92" si="292">SUM(MB85:MM85)</f>
        <v>0</v>
      </c>
    </row>
    <row r="86" spans="1:352" s="180" customFormat="1" x14ac:dyDescent="0.25">
      <c r="A86" s="98"/>
      <c r="B86" s="64" t="s">
        <v>107</v>
      </c>
      <c r="C86" s="202"/>
      <c r="D86" s="163">
        <v>0</v>
      </c>
      <c r="E86" s="177">
        <v>0</v>
      </c>
      <c r="F86" s="177">
        <v>0</v>
      </c>
      <c r="G86" s="177">
        <v>0</v>
      </c>
      <c r="H86" s="177">
        <v>0</v>
      </c>
      <c r="I86" s="177">
        <v>0</v>
      </c>
      <c r="J86" s="177">
        <v>0</v>
      </c>
      <c r="K86" s="177">
        <v>0</v>
      </c>
      <c r="L86" s="177">
        <v>0</v>
      </c>
      <c r="M86" s="177">
        <v>0</v>
      </c>
      <c r="N86" s="177">
        <v>0</v>
      </c>
      <c r="O86" s="177">
        <v>0</v>
      </c>
      <c r="P86" s="204">
        <f t="shared" si="267"/>
        <v>0</v>
      </c>
      <c r="Q86" s="205"/>
      <c r="R86" s="163">
        <v>0</v>
      </c>
      <c r="S86" s="177">
        <v>0</v>
      </c>
      <c r="T86" s="177">
        <v>0</v>
      </c>
      <c r="U86" s="177">
        <v>0</v>
      </c>
      <c r="V86" s="177">
        <v>0</v>
      </c>
      <c r="W86" s="177">
        <v>0</v>
      </c>
      <c r="X86" s="177">
        <v>0</v>
      </c>
      <c r="Y86" s="177">
        <v>0</v>
      </c>
      <c r="Z86" s="177">
        <v>0</v>
      </c>
      <c r="AA86" s="177">
        <v>0</v>
      </c>
      <c r="AB86" s="177">
        <v>0</v>
      </c>
      <c r="AC86" s="177">
        <v>0</v>
      </c>
      <c r="AD86" s="204">
        <f t="shared" si="268"/>
        <v>0</v>
      </c>
      <c r="AE86" s="205"/>
      <c r="AF86" s="163">
        <v>0</v>
      </c>
      <c r="AG86" s="177">
        <v>0</v>
      </c>
      <c r="AH86" s="177">
        <v>0</v>
      </c>
      <c r="AI86" s="177">
        <v>0</v>
      </c>
      <c r="AJ86" s="177">
        <v>0</v>
      </c>
      <c r="AK86" s="177">
        <v>0</v>
      </c>
      <c r="AL86" s="177">
        <v>0</v>
      </c>
      <c r="AM86" s="177">
        <v>0</v>
      </c>
      <c r="AN86" s="177">
        <v>0</v>
      </c>
      <c r="AO86" s="177">
        <v>0</v>
      </c>
      <c r="AP86" s="177">
        <v>0</v>
      </c>
      <c r="AQ86" s="177">
        <v>0</v>
      </c>
      <c r="AR86" s="204">
        <f t="shared" si="269"/>
        <v>0</v>
      </c>
      <c r="AS86" s="161"/>
      <c r="AT86" s="163">
        <v>0</v>
      </c>
      <c r="AU86" s="177">
        <v>0</v>
      </c>
      <c r="AV86" s="177">
        <v>0</v>
      </c>
      <c r="AW86" s="177">
        <v>0</v>
      </c>
      <c r="AX86" s="177">
        <v>0</v>
      </c>
      <c r="AY86" s="177">
        <v>0</v>
      </c>
      <c r="AZ86" s="177">
        <v>0</v>
      </c>
      <c r="BA86" s="177">
        <v>0</v>
      </c>
      <c r="BB86" s="177">
        <v>0</v>
      </c>
      <c r="BC86" s="177">
        <v>0</v>
      </c>
      <c r="BD86" s="177">
        <v>0</v>
      </c>
      <c r="BE86" s="177">
        <v>0</v>
      </c>
      <c r="BF86" s="204">
        <f t="shared" si="270"/>
        <v>0</v>
      </c>
      <c r="BG86" s="176"/>
      <c r="BH86" s="163">
        <v>0</v>
      </c>
      <c r="BI86" s="164">
        <v>0</v>
      </c>
      <c r="BJ86" s="154">
        <v>0</v>
      </c>
      <c r="BK86" s="154">
        <v>0</v>
      </c>
      <c r="BL86" s="154">
        <v>0</v>
      </c>
      <c r="BM86" s="154">
        <v>0</v>
      </c>
      <c r="BN86" s="154">
        <v>0</v>
      </c>
      <c r="BO86" s="154">
        <v>0</v>
      </c>
      <c r="BP86" s="154">
        <v>0</v>
      </c>
      <c r="BQ86" s="154">
        <v>0</v>
      </c>
      <c r="BR86" s="154">
        <v>0</v>
      </c>
      <c r="BS86" s="154">
        <v>0</v>
      </c>
      <c r="BT86" s="204">
        <f t="shared" si="271"/>
        <v>0</v>
      </c>
      <c r="BU86" s="161"/>
      <c r="BV86" s="163">
        <v>0</v>
      </c>
      <c r="BW86" s="164">
        <v>0</v>
      </c>
      <c r="BX86" s="154">
        <v>0</v>
      </c>
      <c r="BY86" s="154">
        <v>0</v>
      </c>
      <c r="BZ86" s="154">
        <v>0</v>
      </c>
      <c r="CA86" s="154">
        <v>0</v>
      </c>
      <c r="CB86" s="154">
        <v>0</v>
      </c>
      <c r="CC86" s="154">
        <v>0</v>
      </c>
      <c r="CD86" s="154">
        <v>0</v>
      </c>
      <c r="CE86" s="154">
        <v>0</v>
      </c>
      <c r="CF86" s="154">
        <v>0</v>
      </c>
      <c r="CG86" s="154">
        <v>0</v>
      </c>
      <c r="CH86" s="204">
        <f t="shared" si="272"/>
        <v>0</v>
      </c>
      <c r="CI86" s="205"/>
      <c r="CJ86" s="163">
        <v>0</v>
      </c>
      <c r="CK86" s="164">
        <v>0</v>
      </c>
      <c r="CL86" s="154">
        <v>0</v>
      </c>
      <c r="CM86" s="154">
        <v>0</v>
      </c>
      <c r="CN86" s="154">
        <v>0</v>
      </c>
      <c r="CO86" s="154">
        <v>0</v>
      </c>
      <c r="CP86" s="154">
        <v>0</v>
      </c>
      <c r="CQ86" s="154">
        <v>0</v>
      </c>
      <c r="CR86" s="154">
        <v>0</v>
      </c>
      <c r="CS86" s="154">
        <v>0</v>
      </c>
      <c r="CT86" s="154">
        <v>0</v>
      </c>
      <c r="CU86" s="154">
        <v>0</v>
      </c>
      <c r="CV86" s="204">
        <f t="shared" si="273"/>
        <v>0</v>
      </c>
      <c r="CW86" s="205"/>
      <c r="CX86" s="163">
        <v>0</v>
      </c>
      <c r="CY86" s="164">
        <v>0</v>
      </c>
      <c r="CZ86" s="154">
        <v>0</v>
      </c>
      <c r="DA86" s="154">
        <v>0</v>
      </c>
      <c r="DB86" s="154">
        <v>0</v>
      </c>
      <c r="DC86" s="154">
        <v>0</v>
      </c>
      <c r="DD86" s="154">
        <v>0</v>
      </c>
      <c r="DE86" s="154">
        <v>0</v>
      </c>
      <c r="DF86" s="154">
        <v>0</v>
      </c>
      <c r="DG86" s="154">
        <v>0</v>
      </c>
      <c r="DH86" s="154">
        <v>0</v>
      </c>
      <c r="DI86" s="154">
        <v>0</v>
      </c>
      <c r="DJ86" s="204">
        <f t="shared" si="274"/>
        <v>0</v>
      </c>
      <c r="DK86" s="205"/>
      <c r="DL86" s="163">
        <v>0</v>
      </c>
      <c r="DM86" s="164">
        <v>0</v>
      </c>
      <c r="DN86" s="154">
        <v>0</v>
      </c>
      <c r="DO86" s="154">
        <v>0</v>
      </c>
      <c r="DP86" s="154">
        <v>0</v>
      </c>
      <c r="DQ86" s="154">
        <v>0</v>
      </c>
      <c r="DR86" s="154">
        <v>0</v>
      </c>
      <c r="DS86" s="154">
        <v>0</v>
      </c>
      <c r="DT86" s="154">
        <v>0</v>
      </c>
      <c r="DU86" s="154">
        <v>0</v>
      </c>
      <c r="DV86" s="154">
        <v>0</v>
      </c>
      <c r="DW86" s="154">
        <v>0</v>
      </c>
      <c r="DX86" s="204">
        <f t="shared" si="275"/>
        <v>0</v>
      </c>
      <c r="DY86" s="205"/>
      <c r="DZ86" s="163">
        <v>0</v>
      </c>
      <c r="EA86" s="164">
        <v>0</v>
      </c>
      <c r="EB86" s="154">
        <v>0</v>
      </c>
      <c r="EC86" s="154">
        <v>0</v>
      </c>
      <c r="ED86" s="154">
        <v>0</v>
      </c>
      <c r="EE86" s="154">
        <v>0</v>
      </c>
      <c r="EF86" s="154">
        <v>0</v>
      </c>
      <c r="EG86" s="154">
        <v>0</v>
      </c>
      <c r="EH86" s="154">
        <v>0</v>
      </c>
      <c r="EI86" s="154">
        <v>0</v>
      </c>
      <c r="EJ86" s="154">
        <v>0</v>
      </c>
      <c r="EK86" s="154">
        <v>0</v>
      </c>
      <c r="EL86" s="204">
        <f t="shared" si="276"/>
        <v>0</v>
      </c>
      <c r="EM86" s="205"/>
      <c r="EN86" s="163">
        <v>0</v>
      </c>
      <c r="EO86" s="164">
        <v>0</v>
      </c>
      <c r="EP86" s="154">
        <v>0</v>
      </c>
      <c r="EQ86" s="154">
        <v>0</v>
      </c>
      <c r="ER86" s="154">
        <v>0</v>
      </c>
      <c r="ES86" s="154">
        <v>0</v>
      </c>
      <c r="ET86" s="154">
        <v>0</v>
      </c>
      <c r="EU86" s="154">
        <v>0</v>
      </c>
      <c r="EV86" s="154">
        <v>0</v>
      </c>
      <c r="EW86" s="154">
        <v>0</v>
      </c>
      <c r="EX86" s="154">
        <v>0</v>
      </c>
      <c r="EY86" s="154">
        <v>0</v>
      </c>
      <c r="EZ86" s="204">
        <f t="shared" si="277"/>
        <v>0</v>
      </c>
      <c r="FA86" s="205"/>
      <c r="FB86" s="163">
        <v>0</v>
      </c>
      <c r="FC86" s="164">
        <v>0</v>
      </c>
      <c r="FD86" s="154">
        <v>0</v>
      </c>
      <c r="FE86" s="154">
        <v>0</v>
      </c>
      <c r="FF86" s="154">
        <v>0</v>
      </c>
      <c r="FG86" s="154">
        <v>0</v>
      </c>
      <c r="FH86" s="154">
        <v>0</v>
      </c>
      <c r="FI86" s="154">
        <v>0</v>
      </c>
      <c r="FJ86" s="154">
        <v>0</v>
      </c>
      <c r="FK86" s="154">
        <v>0</v>
      </c>
      <c r="FL86" s="154">
        <v>0</v>
      </c>
      <c r="FM86" s="154">
        <v>0</v>
      </c>
      <c r="FN86" s="204">
        <f t="shared" si="278"/>
        <v>0</v>
      </c>
      <c r="FO86" s="205"/>
      <c r="FP86" s="163">
        <v>0</v>
      </c>
      <c r="FQ86" s="164">
        <v>0</v>
      </c>
      <c r="FR86" s="154">
        <v>0</v>
      </c>
      <c r="FS86" s="154">
        <v>0</v>
      </c>
      <c r="FT86" s="154">
        <v>0</v>
      </c>
      <c r="FU86" s="154">
        <v>0</v>
      </c>
      <c r="FV86" s="154">
        <v>0</v>
      </c>
      <c r="FW86" s="154">
        <v>0</v>
      </c>
      <c r="FX86" s="154">
        <v>0</v>
      </c>
      <c r="FY86" s="154">
        <v>0</v>
      </c>
      <c r="FZ86" s="154">
        <v>0</v>
      </c>
      <c r="GA86" s="154">
        <v>0</v>
      </c>
      <c r="GB86" s="204">
        <f t="shared" si="279"/>
        <v>0</v>
      </c>
      <c r="GC86" s="205"/>
      <c r="GD86" s="163">
        <v>0</v>
      </c>
      <c r="GE86" s="164">
        <v>0</v>
      </c>
      <c r="GF86" s="154">
        <v>0</v>
      </c>
      <c r="GG86" s="154">
        <v>0</v>
      </c>
      <c r="GH86" s="154">
        <v>0</v>
      </c>
      <c r="GI86" s="154">
        <v>0</v>
      </c>
      <c r="GJ86" s="154">
        <v>0</v>
      </c>
      <c r="GK86" s="154">
        <v>0</v>
      </c>
      <c r="GL86" s="154">
        <v>0</v>
      </c>
      <c r="GM86" s="154">
        <v>0</v>
      </c>
      <c r="GN86" s="154">
        <v>0</v>
      </c>
      <c r="GO86" s="154">
        <v>0</v>
      </c>
      <c r="GP86" s="204">
        <f t="shared" si="280"/>
        <v>0</v>
      </c>
      <c r="GQ86" s="205"/>
      <c r="GR86" s="163">
        <v>0</v>
      </c>
      <c r="GS86" s="164">
        <v>0</v>
      </c>
      <c r="GT86" s="154">
        <v>0</v>
      </c>
      <c r="GU86" s="154">
        <v>0</v>
      </c>
      <c r="GV86" s="154">
        <v>0</v>
      </c>
      <c r="GW86" s="154">
        <v>0</v>
      </c>
      <c r="GX86" s="154">
        <v>0</v>
      </c>
      <c r="GY86" s="154">
        <v>0</v>
      </c>
      <c r="GZ86" s="154">
        <v>0</v>
      </c>
      <c r="HA86" s="154">
        <v>0</v>
      </c>
      <c r="HB86" s="154">
        <v>0</v>
      </c>
      <c r="HC86" s="154">
        <v>0</v>
      </c>
      <c r="HD86" s="204">
        <f t="shared" si="281"/>
        <v>0</v>
      </c>
      <c r="HE86" s="205"/>
      <c r="HF86" s="163">
        <v>0</v>
      </c>
      <c r="HG86" s="164">
        <v>0</v>
      </c>
      <c r="HH86" s="154">
        <v>0</v>
      </c>
      <c r="HI86" s="154">
        <v>0</v>
      </c>
      <c r="HJ86" s="154">
        <v>0</v>
      </c>
      <c r="HK86" s="154">
        <v>0</v>
      </c>
      <c r="HL86" s="154">
        <v>0</v>
      </c>
      <c r="HM86" s="154">
        <v>0</v>
      </c>
      <c r="HN86" s="154">
        <v>0</v>
      </c>
      <c r="HO86" s="154">
        <v>0</v>
      </c>
      <c r="HP86" s="154">
        <v>0</v>
      </c>
      <c r="HQ86" s="154">
        <v>0</v>
      </c>
      <c r="HR86" s="204">
        <f t="shared" si="282"/>
        <v>0</v>
      </c>
      <c r="HS86" s="205"/>
      <c r="HT86" s="163">
        <v>0</v>
      </c>
      <c r="HU86" s="164">
        <v>0</v>
      </c>
      <c r="HV86" s="154">
        <v>0</v>
      </c>
      <c r="HW86" s="154">
        <v>0</v>
      </c>
      <c r="HX86" s="154">
        <v>0</v>
      </c>
      <c r="HY86" s="154">
        <v>0</v>
      </c>
      <c r="HZ86" s="154">
        <v>0</v>
      </c>
      <c r="IA86" s="154">
        <v>0</v>
      </c>
      <c r="IB86" s="154">
        <v>0</v>
      </c>
      <c r="IC86" s="154">
        <v>0</v>
      </c>
      <c r="ID86" s="154">
        <v>0</v>
      </c>
      <c r="IE86" s="154">
        <v>0</v>
      </c>
      <c r="IF86" s="204">
        <f t="shared" si="283"/>
        <v>0</v>
      </c>
      <c r="IG86" s="205"/>
      <c r="IH86" s="163">
        <v>0</v>
      </c>
      <c r="II86" s="164">
        <v>0</v>
      </c>
      <c r="IJ86" s="154">
        <v>0</v>
      </c>
      <c r="IK86" s="154">
        <v>0</v>
      </c>
      <c r="IL86" s="154">
        <v>0</v>
      </c>
      <c r="IM86" s="154">
        <v>0</v>
      </c>
      <c r="IN86" s="154">
        <v>0</v>
      </c>
      <c r="IO86" s="154">
        <v>0</v>
      </c>
      <c r="IP86" s="154">
        <v>0</v>
      </c>
      <c r="IQ86" s="154">
        <v>0</v>
      </c>
      <c r="IR86" s="154">
        <v>0</v>
      </c>
      <c r="IS86" s="154">
        <v>0</v>
      </c>
      <c r="IT86" s="204">
        <f t="shared" si="284"/>
        <v>0</v>
      </c>
      <c r="IU86" s="205"/>
      <c r="IV86" s="163">
        <v>0</v>
      </c>
      <c r="IW86" s="164">
        <v>0</v>
      </c>
      <c r="IX86" s="154">
        <v>0</v>
      </c>
      <c r="IY86" s="154">
        <v>0</v>
      </c>
      <c r="IZ86" s="154">
        <v>0</v>
      </c>
      <c r="JA86" s="154">
        <v>0</v>
      </c>
      <c r="JB86" s="154">
        <v>0</v>
      </c>
      <c r="JC86" s="154">
        <v>0</v>
      </c>
      <c r="JD86" s="154">
        <v>0</v>
      </c>
      <c r="JE86" s="154">
        <v>0</v>
      </c>
      <c r="JF86" s="154">
        <v>0</v>
      </c>
      <c r="JG86" s="154">
        <v>0</v>
      </c>
      <c r="JH86" s="204">
        <f t="shared" si="285"/>
        <v>0</v>
      </c>
      <c r="JI86" s="205"/>
      <c r="JJ86" s="163">
        <v>0</v>
      </c>
      <c r="JK86" s="164">
        <v>0</v>
      </c>
      <c r="JL86" s="154">
        <v>0</v>
      </c>
      <c r="JM86" s="154">
        <v>0</v>
      </c>
      <c r="JN86" s="154">
        <v>0</v>
      </c>
      <c r="JO86" s="154">
        <v>0</v>
      </c>
      <c r="JP86" s="154">
        <v>0</v>
      </c>
      <c r="JQ86" s="154">
        <v>0</v>
      </c>
      <c r="JR86" s="154">
        <v>0</v>
      </c>
      <c r="JS86" s="154">
        <v>0</v>
      </c>
      <c r="JT86" s="154">
        <v>0</v>
      </c>
      <c r="JU86" s="154">
        <v>0</v>
      </c>
      <c r="JV86" s="204">
        <f t="shared" si="286"/>
        <v>0</v>
      </c>
      <c r="JW86" s="205"/>
      <c r="JX86" s="163">
        <v>0</v>
      </c>
      <c r="JY86" s="164">
        <v>0</v>
      </c>
      <c r="JZ86" s="154">
        <v>0</v>
      </c>
      <c r="KA86" s="154">
        <v>0</v>
      </c>
      <c r="KB86" s="154">
        <v>0</v>
      </c>
      <c r="KC86" s="154">
        <v>0</v>
      </c>
      <c r="KD86" s="154">
        <v>0</v>
      </c>
      <c r="KE86" s="154">
        <v>0</v>
      </c>
      <c r="KF86" s="154">
        <v>0</v>
      </c>
      <c r="KG86" s="154">
        <v>0</v>
      </c>
      <c r="KH86" s="154">
        <v>0</v>
      </c>
      <c r="KI86" s="154">
        <v>0</v>
      </c>
      <c r="KJ86" s="204">
        <f t="shared" si="287"/>
        <v>0</v>
      </c>
      <c r="KK86" s="205"/>
      <c r="KL86" s="163">
        <v>0</v>
      </c>
      <c r="KM86" s="164">
        <v>0</v>
      </c>
      <c r="KN86" s="154">
        <v>0</v>
      </c>
      <c r="KO86" s="154">
        <v>0</v>
      </c>
      <c r="KP86" s="154">
        <v>0</v>
      </c>
      <c r="KQ86" s="154">
        <v>0</v>
      </c>
      <c r="KR86" s="154">
        <v>0</v>
      </c>
      <c r="KS86" s="154">
        <v>0</v>
      </c>
      <c r="KT86" s="154">
        <v>0</v>
      </c>
      <c r="KU86" s="154">
        <v>0</v>
      </c>
      <c r="KV86" s="154">
        <v>0</v>
      </c>
      <c r="KW86" s="154">
        <v>0</v>
      </c>
      <c r="KX86" s="204">
        <f t="shared" si="288"/>
        <v>0</v>
      </c>
      <c r="KY86" s="205"/>
      <c r="KZ86" s="163">
        <v>0</v>
      </c>
      <c r="LA86" s="164">
        <v>0</v>
      </c>
      <c r="LB86" s="154">
        <v>0</v>
      </c>
      <c r="LC86" s="154">
        <v>0</v>
      </c>
      <c r="LD86" s="154">
        <v>0</v>
      </c>
      <c r="LE86" s="154">
        <v>0</v>
      </c>
      <c r="LF86" s="154">
        <v>0</v>
      </c>
      <c r="LG86" s="154">
        <v>0</v>
      </c>
      <c r="LH86" s="154">
        <v>0</v>
      </c>
      <c r="LI86" s="154">
        <v>0</v>
      </c>
      <c r="LJ86" s="154">
        <v>0</v>
      </c>
      <c r="LK86" s="154">
        <v>0</v>
      </c>
      <c r="LL86" s="204">
        <f t="shared" si="289"/>
        <v>0</v>
      </c>
      <c r="LM86" s="205"/>
      <c r="LN86" s="163">
        <v>0</v>
      </c>
      <c r="LO86" s="164">
        <v>0</v>
      </c>
      <c r="LP86" s="154">
        <v>0</v>
      </c>
      <c r="LQ86" s="154">
        <v>0</v>
      </c>
      <c r="LR86" s="154">
        <v>0</v>
      </c>
      <c r="LS86" s="154">
        <v>0</v>
      </c>
      <c r="LT86" s="154">
        <v>0</v>
      </c>
      <c r="LU86" s="154">
        <v>0</v>
      </c>
      <c r="LV86" s="154">
        <v>0</v>
      </c>
      <c r="LW86" s="154">
        <v>0</v>
      </c>
      <c r="LX86" s="154">
        <v>0</v>
      </c>
      <c r="LY86" s="154">
        <v>0</v>
      </c>
      <c r="LZ86" s="204">
        <f t="shared" si="290"/>
        <v>0</v>
      </c>
      <c r="MA86" s="205"/>
      <c r="MB86" s="157">
        <f t="shared" si="291"/>
        <v>0</v>
      </c>
      <c r="MC86" s="157">
        <f t="shared" si="291"/>
        <v>0</v>
      </c>
      <c r="MD86" s="157">
        <f t="shared" si="291"/>
        <v>0</v>
      </c>
      <c r="ME86" s="157">
        <f t="shared" si="291"/>
        <v>0</v>
      </c>
      <c r="MF86" s="157">
        <f t="shared" si="291"/>
        <v>0</v>
      </c>
      <c r="MG86" s="157">
        <f t="shared" si="291"/>
        <v>0</v>
      </c>
      <c r="MH86" s="157">
        <f t="shared" si="291"/>
        <v>0</v>
      </c>
      <c r="MI86" s="157">
        <f t="shared" si="291"/>
        <v>0</v>
      </c>
      <c r="MJ86" s="157">
        <f t="shared" si="291"/>
        <v>0</v>
      </c>
      <c r="MK86" s="157">
        <f t="shared" si="291"/>
        <v>0</v>
      </c>
      <c r="ML86" s="157">
        <f t="shared" si="291"/>
        <v>0</v>
      </c>
      <c r="MM86" s="157">
        <f t="shared" si="291"/>
        <v>0</v>
      </c>
      <c r="MN86" s="157">
        <f t="shared" si="292"/>
        <v>0</v>
      </c>
    </row>
    <row r="87" spans="1:352" s="180" customFormat="1" x14ac:dyDescent="0.25">
      <c r="A87" s="98"/>
      <c r="B87" s="64" t="s">
        <v>108</v>
      </c>
      <c r="C87" s="202"/>
      <c r="D87" s="163">
        <v>358480.79049744899</v>
      </c>
      <c r="E87" s="177">
        <v>361368.76956270478</v>
      </c>
      <c r="F87" s="177">
        <v>341877.75908651418</v>
      </c>
      <c r="G87" s="177">
        <v>339702.26769762533</v>
      </c>
      <c r="H87" s="177">
        <v>342069.58973907155</v>
      </c>
      <c r="I87" s="177">
        <v>336947.98719938897</v>
      </c>
      <c r="J87" s="177">
        <v>330441.45973907149</v>
      </c>
      <c r="K87" s="177">
        <v>332953.62066940661</v>
      </c>
      <c r="L87" s="177">
        <v>332662.9831297241</v>
      </c>
      <c r="M87" s="177">
        <v>313054.71368527948</v>
      </c>
      <c r="N87" s="177">
        <v>289995.25965718681</v>
      </c>
      <c r="O87" s="177">
        <v>289072.59358575824</v>
      </c>
      <c r="P87" s="204">
        <f t="shared" si="267"/>
        <v>3968627.7942491798</v>
      </c>
      <c r="Q87" s="205"/>
      <c r="R87" s="163">
        <v>37084.219706632655</v>
      </c>
      <c r="S87" s="177">
        <v>37382.976161659113</v>
      </c>
      <c r="T87" s="177">
        <v>35366.664733087673</v>
      </c>
      <c r="U87" s="177">
        <v>35141.613899754346</v>
      </c>
      <c r="V87" s="177">
        <v>35386.509283352229</v>
      </c>
      <c r="W87" s="177">
        <v>34856.688330971272</v>
      </c>
      <c r="X87" s="177">
        <v>34183.599283352218</v>
      </c>
      <c r="Y87" s="177">
        <v>34443.478000283438</v>
      </c>
      <c r="Z87" s="177">
        <v>34413.412047902493</v>
      </c>
      <c r="AA87" s="177">
        <v>32384.970381235809</v>
      </c>
      <c r="AB87" s="177">
        <v>29999.509619708981</v>
      </c>
      <c r="AC87" s="177">
        <v>29904.061405423265</v>
      </c>
      <c r="AD87" s="204">
        <f t="shared" si="268"/>
        <v>410547.70285336347</v>
      </c>
      <c r="AE87" s="205"/>
      <c r="AF87" s="163">
        <v>37084.219706632655</v>
      </c>
      <c r="AG87" s="177">
        <v>37382.976161659113</v>
      </c>
      <c r="AH87" s="177">
        <v>35366.664733087673</v>
      </c>
      <c r="AI87" s="177">
        <v>35141.613899754346</v>
      </c>
      <c r="AJ87" s="177">
        <v>35386.509283352229</v>
      </c>
      <c r="AK87" s="177">
        <v>34856.688330971272</v>
      </c>
      <c r="AL87" s="177">
        <v>34183.599283352218</v>
      </c>
      <c r="AM87" s="177">
        <v>34443.478000283438</v>
      </c>
      <c r="AN87" s="177">
        <v>34413.412047902493</v>
      </c>
      <c r="AO87" s="177">
        <v>32384.970381235809</v>
      </c>
      <c r="AP87" s="177">
        <v>29999.509619708981</v>
      </c>
      <c r="AQ87" s="177">
        <v>29904.061405423265</v>
      </c>
      <c r="AR87" s="204">
        <f t="shared" si="269"/>
        <v>410547.70285336347</v>
      </c>
      <c r="AS87" s="161"/>
      <c r="AT87" s="163">
        <v>24722.813137755104</v>
      </c>
      <c r="AU87" s="177">
        <v>24921.984107772743</v>
      </c>
      <c r="AV87" s="177">
        <v>23577.776488725118</v>
      </c>
      <c r="AW87" s="177">
        <v>23427.742599836231</v>
      </c>
      <c r="AX87" s="177">
        <v>23591.006188901487</v>
      </c>
      <c r="AY87" s="177">
        <v>23237.792220647516</v>
      </c>
      <c r="AZ87" s="177">
        <v>22789.066188901481</v>
      </c>
      <c r="BA87" s="177">
        <v>22962.318666855626</v>
      </c>
      <c r="BB87" s="177">
        <v>22942.274698601661</v>
      </c>
      <c r="BC87" s="177">
        <v>21589.980254157206</v>
      </c>
      <c r="BD87" s="177">
        <v>19999.673079805987</v>
      </c>
      <c r="BE87" s="177">
        <v>19936.040936948844</v>
      </c>
      <c r="BF87" s="204">
        <f t="shared" si="270"/>
        <v>273698.46856890904</v>
      </c>
      <c r="BG87" s="176"/>
      <c r="BH87" s="163">
        <v>185421.09853316328</v>
      </c>
      <c r="BI87" s="164">
        <v>186914.88080829557</v>
      </c>
      <c r="BJ87" s="154">
        <v>176833.32366543839</v>
      </c>
      <c r="BK87" s="154">
        <v>175708.06949877174</v>
      </c>
      <c r="BL87" s="154">
        <v>176932.54641676115</v>
      </c>
      <c r="BM87" s="154">
        <v>174283.44165485637</v>
      </c>
      <c r="BN87" s="154">
        <v>170917.9964167611</v>
      </c>
      <c r="BO87" s="154">
        <v>172217.3900014172</v>
      </c>
      <c r="BP87" s="154">
        <v>172067.06023951244</v>
      </c>
      <c r="BQ87" s="154">
        <v>161924.85190617904</v>
      </c>
      <c r="BR87" s="154">
        <v>149997.54809854491</v>
      </c>
      <c r="BS87" s="154">
        <v>149520.30702711633</v>
      </c>
      <c r="BT87" s="204">
        <f t="shared" si="271"/>
        <v>2052738.5142668174</v>
      </c>
      <c r="BU87" s="161"/>
      <c r="BV87" s="163">
        <v>12361.406568877552</v>
      </c>
      <c r="BW87" s="164">
        <v>12460.992053886372</v>
      </c>
      <c r="BX87" s="154">
        <v>11788.888244362559</v>
      </c>
      <c r="BY87" s="154">
        <v>11713.871299918115</v>
      </c>
      <c r="BZ87" s="154">
        <v>11795.503094450743</v>
      </c>
      <c r="CA87" s="154">
        <v>11618.896110323758</v>
      </c>
      <c r="CB87" s="154">
        <v>11394.53309445074</v>
      </c>
      <c r="CC87" s="154">
        <v>11481.159333427813</v>
      </c>
      <c r="CD87" s="154">
        <v>11471.13734930083</v>
      </c>
      <c r="CE87" s="154">
        <v>10794.990127078603</v>
      </c>
      <c r="CF87" s="154">
        <v>9999.8365399029935</v>
      </c>
      <c r="CG87" s="154">
        <v>9968.0204684744222</v>
      </c>
      <c r="CH87" s="204">
        <f t="shared" si="272"/>
        <v>136849.23428445452</v>
      </c>
      <c r="CI87" s="205"/>
      <c r="CJ87" s="163">
        <v>135975.47225765308</v>
      </c>
      <c r="CK87" s="164">
        <v>137070.9125927501</v>
      </c>
      <c r="CL87" s="154">
        <v>129677.77068798814</v>
      </c>
      <c r="CM87" s="154">
        <v>128852.58429909927</v>
      </c>
      <c r="CN87" s="154">
        <v>129750.53403895818</v>
      </c>
      <c r="CO87" s="154">
        <v>127807.85721356134</v>
      </c>
      <c r="CP87" s="154">
        <v>125339.86403895814</v>
      </c>
      <c r="CQ87" s="154">
        <v>126292.75266770595</v>
      </c>
      <c r="CR87" s="154">
        <v>126182.51084230913</v>
      </c>
      <c r="CS87" s="154">
        <v>118744.89139786463</v>
      </c>
      <c r="CT87" s="154">
        <v>109998.20193893294</v>
      </c>
      <c r="CU87" s="154">
        <v>109648.22515321865</v>
      </c>
      <c r="CV87" s="204">
        <f t="shared" si="273"/>
        <v>1505341.5771289996</v>
      </c>
      <c r="CW87" s="205"/>
      <c r="CX87" s="163">
        <v>346119.38392857148</v>
      </c>
      <c r="CY87" s="164">
        <v>348907.77750881843</v>
      </c>
      <c r="CZ87" s="154">
        <v>330088.87084215163</v>
      </c>
      <c r="DA87" s="154">
        <v>327988.39639770723</v>
      </c>
      <c r="DB87" s="154">
        <v>330274.08664462081</v>
      </c>
      <c r="DC87" s="154">
        <v>325329.09108906524</v>
      </c>
      <c r="DD87" s="154">
        <v>319046.92664462072</v>
      </c>
      <c r="DE87" s="154">
        <v>321472.46133597876</v>
      </c>
      <c r="DF87" s="154">
        <v>321191.84578042326</v>
      </c>
      <c r="DG87" s="154">
        <v>302259.72355820087</v>
      </c>
      <c r="DH87" s="154">
        <v>279995.42311728385</v>
      </c>
      <c r="DI87" s="154">
        <v>279104.57311728381</v>
      </c>
      <c r="DJ87" s="204">
        <f t="shared" si="274"/>
        <v>3831778.5599647262</v>
      </c>
      <c r="DK87" s="205"/>
      <c r="DL87" s="163">
        <v>346119.38392857148</v>
      </c>
      <c r="DM87" s="164">
        <v>348907.77750881843</v>
      </c>
      <c r="DN87" s="154">
        <v>330088.87084215163</v>
      </c>
      <c r="DO87" s="154">
        <v>327988.39639770723</v>
      </c>
      <c r="DP87" s="154">
        <v>330274.08664462081</v>
      </c>
      <c r="DQ87" s="154">
        <v>325329.09108906524</v>
      </c>
      <c r="DR87" s="154">
        <v>319046.92664462072</v>
      </c>
      <c r="DS87" s="154">
        <v>321472.46133597876</v>
      </c>
      <c r="DT87" s="154">
        <v>321191.84578042326</v>
      </c>
      <c r="DU87" s="154">
        <v>302259.72355820087</v>
      </c>
      <c r="DV87" s="154">
        <v>279995.42311728385</v>
      </c>
      <c r="DW87" s="154">
        <v>279104.57311728381</v>
      </c>
      <c r="DX87" s="204">
        <f t="shared" si="275"/>
        <v>3831778.5599647262</v>
      </c>
      <c r="DY87" s="205"/>
      <c r="DZ87" s="163">
        <v>12361.406568877552</v>
      </c>
      <c r="EA87" s="164">
        <v>12460.992053886372</v>
      </c>
      <c r="EB87" s="154">
        <v>11788.888244362559</v>
      </c>
      <c r="EC87" s="154">
        <v>11713.871299918115</v>
      </c>
      <c r="ED87" s="154">
        <v>11795.503094450743</v>
      </c>
      <c r="EE87" s="154">
        <v>11618.896110323758</v>
      </c>
      <c r="EF87" s="154">
        <v>11394.53309445074</v>
      </c>
      <c r="EG87" s="154">
        <v>11481.159333427813</v>
      </c>
      <c r="EH87" s="154">
        <v>11471.13734930083</v>
      </c>
      <c r="EI87" s="154">
        <v>10794.990127078603</v>
      </c>
      <c r="EJ87" s="154">
        <v>9999.8365399029935</v>
      </c>
      <c r="EK87" s="154">
        <v>9968.0204684744222</v>
      </c>
      <c r="EL87" s="204">
        <f t="shared" si="276"/>
        <v>136849.23428445452</v>
      </c>
      <c r="EM87" s="205"/>
      <c r="EN87" s="163">
        <v>24722.813137755104</v>
      </c>
      <c r="EO87" s="164">
        <v>24921.984107772743</v>
      </c>
      <c r="EP87" s="154">
        <v>23577.776488725118</v>
      </c>
      <c r="EQ87" s="154">
        <v>23427.742599836231</v>
      </c>
      <c r="ER87" s="154">
        <v>23591.006188901487</v>
      </c>
      <c r="ES87" s="154">
        <v>23237.792220647516</v>
      </c>
      <c r="ET87" s="154">
        <v>22789.066188901481</v>
      </c>
      <c r="EU87" s="154">
        <v>22962.318666855626</v>
      </c>
      <c r="EV87" s="154">
        <v>22942.274698601661</v>
      </c>
      <c r="EW87" s="154">
        <v>21589.980254157206</v>
      </c>
      <c r="EX87" s="154">
        <v>19999.673079805987</v>
      </c>
      <c r="EY87" s="154">
        <v>19936.040936948844</v>
      </c>
      <c r="EZ87" s="204">
        <f t="shared" si="277"/>
        <v>273698.46856890904</v>
      </c>
      <c r="FA87" s="205"/>
      <c r="FB87" s="163">
        <v>12361.406568877552</v>
      </c>
      <c r="FC87" s="164">
        <v>12460.992053886372</v>
      </c>
      <c r="FD87" s="154">
        <v>11788.888244362559</v>
      </c>
      <c r="FE87" s="154">
        <v>11713.871299918115</v>
      </c>
      <c r="FF87" s="154">
        <v>11795.503094450743</v>
      </c>
      <c r="FG87" s="154">
        <v>11618.896110323758</v>
      </c>
      <c r="FH87" s="154">
        <v>11394.53309445074</v>
      </c>
      <c r="FI87" s="154">
        <v>11481.159333427813</v>
      </c>
      <c r="FJ87" s="154">
        <v>11471.13734930083</v>
      </c>
      <c r="FK87" s="154">
        <v>10794.990127078603</v>
      </c>
      <c r="FL87" s="154">
        <v>9999.8365399029935</v>
      </c>
      <c r="FM87" s="154">
        <v>9968.0204684744222</v>
      </c>
      <c r="FN87" s="204">
        <f t="shared" si="278"/>
        <v>136849.23428445452</v>
      </c>
      <c r="FO87" s="205"/>
      <c r="FP87" s="163">
        <v>86529.84598214287</v>
      </c>
      <c r="FQ87" s="164">
        <v>87226.944377204607</v>
      </c>
      <c r="FR87" s="154">
        <v>82522.217710537909</v>
      </c>
      <c r="FS87" s="154">
        <v>81997.099099426807</v>
      </c>
      <c r="FT87" s="154">
        <v>82568.521661155202</v>
      </c>
      <c r="FU87" s="154">
        <v>81332.272772266311</v>
      </c>
      <c r="FV87" s="154">
        <v>79761.73166115518</v>
      </c>
      <c r="FW87" s="154">
        <v>80368.11533399469</v>
      </c>
      <c r="FX87" s="154">
        <v>80297.961445105815</v>
      </c>
      <c r="FY87" s="154">
        <v>75564.930889550218</v>
      </c>
      <c r="FZ87" s="154">
        <v>69998.855779320962</v>
      </c>
      <c r="GA87" s="154">
        <v>69776.143279320953</v>
      </c>
      <c r="GB87" s="204">
        <f t="shared" si="279"/>
        <v>957944.63999118155</v>
      </c>
      <c r="GC87" s="205"/>
      <c r="GD87" s="163">
        <v>12361.406568877552</v>
      </c>
      <c r="GE87" s="164">
        <v>12460.992053886372</v>
      </c>
      <c r="GF87" s="154">
        <v>11788.888244362559</v>
      </c>
      <c r="GG87" s="154">
        <v>11713.871299918115</v>
      </c>
      <c r="GH87" s="154">
        <v>11795.503094450743</v>
      </c>
      <c r="GI87" s="154">
        <v>11618.896110323758</v>
      </c>
      <c r="GJ87" s="154">
        <v>11394.53309445074</v>
      </c>
      <c r="GK87" s="154">
        <v>11481.159333427813</v>
      </c>
      <c r="GL87" s="154">
        <v>11471.13734930083</v>
      </c>
      <c r="GM87" s="154">
        <v>10794.990127078603</v>
      </c>
      <c r="GN87" s="154">
        <v>9999.8365399029935</v>
      </c>
      <c r="GO87" s="154">
        <v>9968.0204684744222</v>
      </c>
      <c r="GP87" s="204">
        <f t="shared" si="280"/>
        <v>136849.23428445452</v>
      </c>
      <c r="GQ87" s="205"/>
      <c r="GR87" s="163">
        <v>0</v>
      </c>
      <c r="GS87" s="164">
        <v>0</v>
      </c>
      <c r="GT87" s="154">
        <v>1279612.1593291406</v>
      </c>
      <c r="GU87" s="154">
        <v>1279612.1593291406</v>
      </c>
      <c r="GV87" s="154">
        <v>1279612.1593291406</v>
      </c>
      <c r="GW87" s="154">
        <v>1279612.1593291406</v>
      </c>
      <c r="GX87" s="154">
        <v>1279612.1593291406</v>
      </c>
      <c r="GY87" s="154">
        <v>1279612.1593291406</v>
      </c>
      <c r="GZ87" s="154">
        <v>1279612.1593291406</v>
      </c>
      <c r="HA87" s="154">
        <v>1279612.1593291406</v>
      </c>
      <c r="HB87" s="154">
        <v>1279612.1593291406</v>
      </c>
      <c r="HC87" s="154">
        <v>1279612.1593291406</v>
      </c>
      <c r="HD87" s="204">
        <f>+SUBTOTAL(9,GR87:HC87)*0</f>
        <v>0</v>
      </c>
      <c r="HE87" s="205"/>
      <c r="HF87" s="163">
        <v>49445.626275510207</v>
      </c>
      <c r="HG87" s="164">
        <v>49843.968215545487</v>
      </c>
      <c r="HH87" s="154">
        <v>47155.552977450236</v>
      </c>
      <c r="HI87" s="154">
        <v>46855.485199672461</v>
      </c>
      <c r="HJ87" s="154">
        <v>47182.012377802974</v>
      </c>
      <c r="HK87" s="154">
        <v>46475.584441295032</v>
      </c>
      <c r="HL87" s="154">
        <v>45578.132377802962</v>
      </c>
      <c r="HM87" s="154">
        <v>45924.637333711253</v>
      </c>
      <c r="HN87" s="154">
        <v>45884.549397203322</v>
      </c>
      <c r="HO87" s="154">
        <v>43179.960508314412</v>
      </c>
      <c r="HP87" s="154">
        <v>39999.346159611974</v>
      </c>
      <c r="HQ87" s="154">
        <v>39872.081873897689</v>
      </c>
      <c r="HR87" s="204">
        <f t="shared" si="282"/>
        <v>547396.93713781808</v>
      </c>
      <c r="HS87" s="205"/>
      <c r="HT87" s="163">
        <v>12361.406568877552</v>
      </c>
      <c r="HU87" s="164">
        <v>12460.992053886372</v>
      </c>
      <c r="HV87" s="154">
        <v>11788.888244362559</v>
      </c>
      <c r="HW87" s="154">
        <v>11713.871299918115</v>
      </c>
      <c r="HX87" s="154">
        <v>11795.503094450743</v>
      </c>
      <c r="HY87" s="154">
        <v>11618.896110323758</v>
      </c>
      <c r="HZ87" s="154">
        <v>11394.53309445074</v>
      </c>
      <c r="IA87" s="154">
        <v>11481.159333427813</v>
      </c>
      <c r="IB87" s="154">
        <v>11471.13734930083</v>
      </c>
      <c r="IC87" s="154">
        <v>10794.990127078603</v>
      </c>
      <c r="ID87" s="154">
        <v>9999.8365399029935</v>
      </c>
      <c r="IE87" s="154">
        <v>9968.0204684744222</v>
      </c>
      <c r="IF87" s="204">
        <f t="shared" si="283"/>
        <v>136849.23428445452</v>
      </c>
      <c r="IG87" s="205"/>
      <c r="IH87" s="163">
        <v>12361.406568877552</v>
      </c>
      <c r="II87" s="164">
        <v>12460.992053886372</v>
      </c>
      <c r="IJ87" s="154">
        <v>11788.888244362559</v>
      </c>
      <c r="IK87" s="154">
        <v>11713.871299918115</v>
      </c>
      <c r="IL87" s="154">
        <v>11795.503094450743</v>
      </c>
      <c r="IM87" s="154">
        <v>11618.896110323758</v>
      </c>
      <c r="IN87" s="154">
        <v>11394.53309445074</v>
      </c>
      <c r="IO87" s="154">
        <v>11481.159333427813</v>
      </c>
      <c r="IP87" s="154">
        <v>11471.13734930083</v>
      </c>
      <c r="IQ87" s="154">
        <v>10794.990127078603</v>
      </c>
      <c r="IR87" s="154">
        <v>9999.8365399029935</v>
      </c>
      <c r="IS87" s="154">
        <v>9968.0204684744222</v>
      </c>
      <c r="IT87" s="204">
        <f t="shared" si="284"/>
        <v>136849.23428445452</v>
      </c>
      <c r="IU87" s="205"/>
      <c r="IV87" s="163">
        <v>86529.84598214287</v>
      </c>
      <c r="IW87" s="164">
        <v>87226.944377204607</v>
      </c>
      <c r="IX87" s="154">
        <v>82522.217710537909</v>
      </c>
      <c r="IY87" s="154">
        <v>81997.099099426807</v>
      </c>
      <c r="IZ87" s="154">
        <v>82568.521661155202</v>
      </c>
      <c r="JA87" s="154">
        <v>81332.272772266311</v>
      </c>
      <c r="JB87" s="154">
        <v>79761.73166115518</v>
      </c>
      <c r="JC87" s="154">
        <v>80368.11533399469</v>
      </c>
      <c r="JD87" s="154">
        <v>80297.961445105815</v>
      </c>
      <c r="JE87" s="154">
        <v>75564.930889550218</v>
      </c>
      <c r="JF87" s="154">
        <v>69998.855779320962</v>
      </c>
      <c r="JG87" s="154">
        <v>69776.143279320953</v>
      </c>
      <c r="JH87" s="204">
        <f t="shared" si="285"/>
        <v>957944.63999118155</v>
      </c>
      <c r="JI87" s="205"/>
      <c r="JJ87" s="163">
        <v>135975.47225765308</v>
      </c>
      <c r="JK87" s="164">
        <v>137070.9125927501</v>
      </c>
      <c r="JL87" s="154">
        <v>129677.77068798814</v>
      </c>
      <c r="JM87" s="154">
        <v>128852.58429909927</v>
      </c>
      <c r="JN87" s="154">
        <v>129750.53403895818</v>
      </c>
      <c r="JO87" s="154">
        <v>127807.85721356134</v>
      </c>
      <c r="JP87" s="154">
        <v>125339.86403895814</v>
      </c>
      <c r="JQ87" s="154">
        <v>126292.75266770595</v>
      </c>
      <c r="JR87" s="154">
        <v>126182.51084230913</v>
      </c>
      <c r="JS87" s="154">
        <v>118744.89139786463</v>
      </c>
      <c r="JT87" s="154">
        <v>109998.20193893294</v>
      </c>
      <c r="JU87" s="154">
        <v>109648.22515321865</v>
      </c>
      <c r="JV87" s="204">
        <f t="shared" si="286"/>
        <v>1505341.5771289996</v>
      </c>
      <c r="JW87" s="205"/>
      <c r="JX87" s="163">
        <v>61807.032844387759</v>
      </c>
      <c r="JY87" s="164">
        <v>62304.96026943186</v>
      </c>
      <c r="JZ87" s="154">
        <v>58944.441221812798</v>
      </c>
      <c r="KA87" s="154">
        <v>58569.356499590576</v>
      </c>
      <c r="KB87" s="154">
        <v>58977.515472253719</v>
      </c>
      <c r="KC87" s="154">
        <v>58094.480551618792</v>
      </c>
      <c r="KD87" s="154">
        <v>56972.665472253706</v>
      </c>
      <c r="KE87" s="154">
        <v>57405.796667139068</v>
      </c>
      <c r="KF87" s="154">
        <v>57355.686746504151</v>
      </c>
      <c r="KG87" s="154">
        <v>53974.950635393019</v>
      </c>
      <c r="KH87" s="154">
        <v>49999.182699514968</v>
      </c>
      <c r="KI87" s="154">
        <v>49840.102342372113</v>
      </c>
      <c r="KJ87" s="204">
        <f t="shared" si="287"/>
        <v>684246.17142227245</v>
      </c>
      <c r="KK87" s="205"/>
      <c r="KL87" s="163">
        <v>24722.813137755104</v>
      </c>
      <c r="KM87" s="164">
        <v>24921.984107772743</v>
      </c>
      <c r="KN87" s="154">
        <v>23577.776488725118</v>
      </c>
      <c r="KO87" s="154">
        <v>23427.742599836231</v>
      </c>
      <c r="KP87" s="154">
        <v>23591.006188901487</v>
      </c>
      <c r="KQ87" s="154">
        <v>23237.792220647516</v>
      </c>
      <c r="KR87" s="154">
        <v>22789.066188901481</v>
      </c>
      <c r="KS87" s="154">
        <v>22962.318666855626</v>
      </c>
      <c r="KT87" s="154">
        <v>22942.274698601661</v>
      </c>
      <c r="KU87" s="154">
        <v>21589.980254157206</v>
      </c>
      <c r="KV87" s="154">
        <v>19999.673079805987</v>
      </c>
      <c r="KW87" s="154">
        <v>19936.040936948844</v>
      </c>
      <c r="KX87" s="204">
        <f t="shared" si="288"/>
        <v>273698.46856890904</v>
      </c>
      <c r="KY87" s="205"/>
      <c r="KZ87" s="163">
        <v>12361.406568877552</v>
      </c>
      <c r="LA87" s="164">
        <v>12460.992053886372</v>
      </c>
      <c r="LB87" s="154">
        <v>11788.888244362559</v>
      </c>
      <c r="LC87" s="154">
        <v>11713.871299918115</v>
      </c>
      <c r="LD87" s="154">
        <v>11795.503094450743</v>
      </c>
      <c r="LE87" s="154">
        <v>11618.896110323758</v>
      </c>
      <c r="LF87" s="154">
        <v>11394.53309445074</v>
      </c>
      <c r="LG87" s="154">
        <v>11481.159333427813</v>
      </c>
      <c r="LH87" s="154">
        <v>11471.13734930083</v>
      </c>
      <c r="LI87" s="154">
        <v>10794.990127078603</v>
      </c>
      <c r="LJ87" s="154">
        <v>9999.8365399029935</v>
      </c>
      <c r="LK87" s="154">
        <v>9968.0204684744222</v>
      </c>
      <c r="LL87" s="204">
        <f t="shared" si="289"/>
        <v>136849.23428445452</v>
      </c>
      <c r="LM87" s="205"/>
      <c r="LN87" s="163">
        <v>0</v>
      </c>
      <c r="LO87" s="164">
        <v>0</v>
      </c>
      <c r="LP87" s="154">
        <v>0</v>
      </c>
      <c r="LQ87" s="154">
        <v>0</v>
      </c>
      <c r="LR87" s="154">
        <v>0</v>
      </c>
      <c r="LS87" s="154">
        <v>0</v>
      </c>
      <c r="LT87" s="154">
        <v>0</v>
      </c>
      <c r="LU87" s="154">
        <v>0</v>
      </c>
      <c r="LV87" s="154">
        <v>0</v>
      </c>
      <c r="LW87" s="154">
        <v>0</v>
      </c>
      <c r="LX87" s="154">
        <v>0</v>
      </c>
      <c r="LY87" s="154">
        <v>0</v>
      </c>
      <c r="LZ87" s="204">
        <f t="shared" si="290"/>
        <v>0</v>
      </c>
      <c r="MA87" s="205"/>
      <c r="MB87" s="157">
        <f t="shared" si="291"/>
        <v>2027270.6772959188</v>
      </c>
      <c r="MC87" s="157">
        <f t="shared" si="291"/>
        <v>2043602.6968373656</v>
      </c>
      <c r="MD87" s="157">
        <f t="shared" si="291"/>
        <v>3212989.8314045994</v>
      </c>
      <c r="ME87" s="157">
        <f t="shared" si="291"/>
        <v>3200687.0525157116</v>
      </c>
      <c r="MF87" s="157">
        <f t="shared" si="291"/>
        <v>3214074.6668190621</v>
      </c>
      <c r="MG87" s="157">
        <f t="shared" si="291"/>
        <v>3185111.1214222368</v>
      </c>
      <c r="MH87" s="157">
        <f t="shared" si="291"/>
        <v>3148315.5868190625</v>
      </c>
      <c r="MI87" s="157">
        <f t="shared" si="291"/>
        <v>3162522.2900113026</v>
      </c>
      <c r="MJ87" s="157">
        <f t="shared" si="291"/>
        <v>3160878.6846144767</v>
      </c>
      <c r="MK87" s="157">
        <f t="shared" si="291"/>
        <v>3049990.5401700311</v>
      </c>
      <c r="ML87" s="157">
        <f t="shared" si="291"/>
        <v>2919585.3518732316</v>
      </c>
      <c r="MM87" s="157">
        <f t="shared" si="291"/>
        <v>2914367.5161589454</v>
      </c>
      <c r="MN87" s="157">
        <f t="shared" si="292"/>
        <v>35239396.01594194</v>
      </c>
    </row>
    <row r="88" spans="1:352" s="180" customFormat="1" x14ac:dyDescent="0.25">
      <c r="A88" s="98"/>
      <c r="B88" s="64" t="s">
        <v>109</v>
      </c>
      <c r="C88" s="202"/>
      <c r="D88" s="163">
        <v>0</v>
      </c>
      <c r="E88" s="177">
        <v>0</v>
      </c>
      <c r="F88" s="177">
        <v>0</v>
      </c>
      <c r="G88" s="177">
        <v>0</v>
      </c>
      <c r="H88" s="177">
        <v>0</v>
      </c>
      <c r="I88" s="177">
        <v>0</v>
      </c>
      <c r="J88" s="177">
        <v>0</v>
      </c>
      <c r="K88" s="177">
        <v>0</v>
      </c>
      <c r="L88" s="177">
        <v>0</v>
      </c>
      <c r="M88" s="177">
        <v>0</v>
      </c>
      <c r="N88" s="177">
        <v>0</v>
      </c>
      <c r="O88" s="177">
        <v>0</v>
      </c>
      <c r="P88" s="204">
        <f t="shared" si="267"/>
        <v>0</v>
      </c>
      <c r="Q88" s="205"/>
      <c r="R88" s="163">
        <v>0</v>
      </c>
      <c r="S88" s="177">
        <v>0</v>
      </c>
      <c r="T88" s="177">
        <v>0</v>
      </c>
      <c r="U88" s="177">
        <v>0</v>
      </c>
      <c r="V88" s="177">
        <v>0</v>
      </c>
      <c r="W88" s="177">
        <v>0</v>
      </c>
      <c r="X88" s="177">
        <v>0</v>
      </c>
      <c r="Y88" s="177">
        <v>0</v>
      </c>
      <c r="Z88" s="177">
        <v>0</v>
      </c>
      <c r="AA88" s="177">
        <v>0</v>
      </c>
      <c r="AB88" s="177">
        <v>0</v>
      </c>
      <c r="AC88" s="177">
        <v>0</v>
      </c>
      <c r="AD88" s="204">
        <f t="shared" si="268"/>
        <v>0</v>
      </c>
      <c r="AE88" s="205"/>
      <c r="AF88" s="163">
        <v>0</v>
      </c>
      <c r="AG88" s="177">
        <v>0</v>
      </c>
      <c r="AH88" s="177">
        <v>0</v>
      </c>
      <c r="AI88" s="177">
        <v>0</v>
      </c>
      <c r="AJ88" s="177">
        <v>0</v>
      </c>
      <c r="AK88" s="177">
        <v>0</v>
      </c>
      <c r="AL88" s="177">
        <v>0</v>
      </c>
      <c r="AM88" s="177">
        <v>0</v>
      </c>
      <c r="AN88" s="177">
        <v>0</v>
      </c>
      <c r="AO88" s="177">
        <v>0</v>
      </c>
      <c r="AP88" s="177">
        <v>0</v>
      </c>
      <c r="AQ88" s="177">
        <v>0</v>
      </c>
      <c r="AR88" s="204">
        <f t="shared" si="269"/>
        <v>0</v>
      </c>
      <c r="AS88" s="161"/>
      <c r="AT88" s="163">
        <v>0</v>
      </c>
      <c r="AU88" s="177">
        <v>0</v>
      </c>
      <c r="AV88" s="177">
        <v>0</v>
      </c>
      <c r="AW88" s="177">
        <v>0</v>
      </c>
      <c r="AX88" s="177">
        <v>0</v>
      </c>
      <c r="AY88" s="177">
        <v>0</v>
      </c>
      <c r="AZ88" s="177">
        <v>0</v>
      </c>
      <c r="BA88" s="177">
        <v>0</v>
      </c>
      <c r="BB88" s="177">
        <v>0</v>
      </c>
      <c r="BC88" s="177">
        <v>0</v>
      </c>
      <c r="BD88" s="177">
        <v>0</v>
      </c>
      <c r="BE88" s="177">
        <v>0</v>
      </c>
      <c r="BF88" s="204">
        <f t="shared" si="270"/>
        <v>0</v>
      </c>
      <c r="BG88" s="176"/>
      <c r="BH88" s="163">
        <v>0</v>
      </c>
      <c r="BI88" s="164">
        <v>0</v>
      </c>
      <c r="BJ88" s="154">
        <v>0</v>
      </c>
      <c r="BK88" s="154">
        <v>0</v>
      </c>
      <c r="BL88" s="154">
        <v>0</v>
      </c>
      <c r="BM88" s="154">
        <v>0</v>
      </c>
      <c r="BN88" s="154">
        <v>0</v>
      </c>
      <c r="BO88" s="154">
        <v>0</v>
      </c>
      <c r="BP88" s="154">
        <v>0</v>
      </c>
      <c r="BQ88" s="154">
        <v>0</v>
      </c>
      <c r="BR88" s="154">
        <v>0</v>
      </c>
      <c r="BS88" s="154">
        <v>0</v>
      </c>
      <c r="BT88" s="204">
        <f t="shared" si="271"/>
        <v>0</v>
      </c>
      <c r="BU88" s="161"/>
      <c r="BV88" s="163">
        <v>0</v>
      </c>
      <c r="BW88" s="164">
        <v>0</v>
      </c>
      <c r="BX88" s="154">
        <v>0</v>
      </c>
      <c r="BY88" s="154">
        <v>0</v>
      </c>
      <c r="BZ88" s="154">
        <v>0</v>
      </c>
      <c r="CA88" s="154">
        <v>0</v>
      </c>
      <c r="CB88" s="154">
        <v>0</v>
      </c>
      <c r="CC88" s="154">
        <v>0</v>
      </c>
      <c r="CD88" s="154">
        <v>0</v>
      </c>
      <c r="CE88" s="154">
        <v>0</v>
      </c>
      <c r="CF88" s="154">
        <v>0</v>
      </c>
      <c r="CG88" s="154">
        <v>0</v>
      </c>
      <c r="CH88" s="204">
        <f t="shared" si="272"/>
        <v>0</v>
      </c>
      <c r="CI88" s="205"/>
      <c r="CJ88" s="163">
        <v>0</v>
      </c>
      <c r="CK88" s="164">
        <v>0</v>
      </c>
      <c r="CL88" s="154">
        <v>0</v>
      </c>
      <c r="CM88" s="154">
        <v>0</v>
      </c>
      <c r="CN88" s="154">
        <v>0</v>
      </c>
      <c r="CO88" s="154">
        <v>0</v>
      </c>
      <c r="CP88" s="154">
        <v>0</v>
      </c>
      <c r="CQ88" s="154">
        <v>0</v>
      </c>
      <c r="CR88" s="154">
        <v>0</v>
      </c>
      <c r="CS88" s="154">
        <v>0</v>
      </c>
      <c r="CT88" s="154">
        <v>0</v>
      </c>
      <c r="CU88" s="154">
        <v>0</v>
      </c>
      <c r="CV88" s="204">
        <f t="shared" si="273"/>
        <v>0</v>
      </c>
      <c r="CW88" s="205"/>
      <c r="CX88" s="163">
        <v>0</v>
      </c>
      <c r="CY88" s="164">
        <v>0</v>
      </c>
      <c r="CZ88" s="154">
        <v>0</v>
      </c>
      <c r="DA88" s="154">
        <v>0</v>
      </c>
      <c r="DB88" s="154">
        <v>0</v>
      </c>
      <c r="DC88" s="154">
        <v>0</v>
      </c>
      <c r="DD88" s="154">
        <v>0</v>
      </c>
      <c r="DE88" s="154">
        <v>0</v>
      </c>
      <c r="DF88" s="154">
        <v>0</v>
      </c>
      <c r="DG88" s="154">
        <v>0</v>
      </c>
      <c r="DH88" s="154">
        <v>0</v>
      </c>
      <c r="DI88" s="154">
        <v>0</v>
      </c>
      <c r="DJ88" s="204">
        <f t="shared" si="274"/>
        <v>0</v>
      </c>
      <c r="DK88" s="205"/>
      <c r="DL88" s="163">
        <v>0</v>
      </c>
      <c r="DM88" s="164">
        <v>0</v>
      </c>
      <c r="DN88" s="154">
        <v>0</v>
      </c>
      <c r="DO88" s="154">
        <v>0</v>
      </c>
      <c r="DP88" s="154">
        <v>0</v>
      </c>
      <c r="DQ88" s="154">
        <v>0</v>
      </c>
      <c r="DR88" s="154">
        <v>0</v>
      </c>
      <c r="DS88" s="154">
        <v>0</v>
      </c>
      <c r="DT88" s="154">
        <v>0</v>
      </c>
      <c r="DU88" s="154">
        <v>0</v>
      </c>
      <c r="DV88" s="154">
        <v>0</v>
      </c>
      <c r="DW88" s="154">
        <v>0</v>
      </c>
      <c r="DX88" s="204">
        <f t="shared" si="275"/>
        <v>0</v>
      </c>
      <c r="DY88" s="205"/>
      <c r="DZ88" s="163">
        <v>0</v>
      </c>
      <c r="EA88" s="164">
        <v>0</v>
      </c>
      <c r="EB88" s="154">
        <v>0</v>
      </c>
      <c r="EC88" s="154">
        <v>0</v>
      </c>
      <c r="ED88" s="154">
        <v>0</v>
      </c>
      <c r="EE88" s="154">
        <v>0</v>
      </c>
      <c r="EF88" s="154">
        <v>0</v>
      </c>
      <c r="EG88" s="154">
        <v>0</v>
      </c>
      <c r="EH88" s="154">
        <v>0</v>
      </c>
      <c r="EI88" s="154">
        <v>0</v>
      </c>
      <c r="EJ88" s="154">
        <v>0</v>
      </c>
      <c r="EK88" s="154">
        <v>0</v>
      </c>
      <c r="EL88" s="204">
        <f t="shared" si="276"/>
        <v>0</v>
      </c>
      <c r="EM88" s="205"/>
      <c r="EN88" s="163">
        <v>0</v>
      </c>
      <c r="EO88" s="164">
        <v>0</v>
      </c>
      <c r="EP88" s="154">
        <v>0</v>
      </c>
      <c r="EQ88" s="154">
        <v>0</v>
      </c>
      <c r="ER88" s="154">
        <v>0</v>
      </c>
      <c r="ES88" s="154">
        <v>0</v>
      </c>
      <c r="ET88" s="154">
        <v>0</v>
      </c>
      <c r="EU88" s="154">
        <v>0</v>
      </c>
      <c r="EV88" s="154">
        <v>0</v>
      </c>
      <c r="EW88" s="154">
        <v>0</v>
      </c>
      <c r="EX88" s="154">
        <v>0</v>
      </c>
      <c r="EY88" s="154">
        <v>0</v>
      </c>
      <c r="EZ88" s="204">
        <f t="shared" si="277"/>
        <v>0</v>
      </c>
      <c r="FA88" s="205"/>
      <c r="FB88" s="163">
        <v>0</v>
      </c>
      <c r="FC88" s="164">
        <v>0</v>
      </c>
      <c r="FD88" s="154">
        <v>0</v>
      </c>
      <c r="FE88" s="154">
        <v>0</v>
      </c>
      <c r="FF88" s="154">
        <v>0</v>
      </c>
      <c r="FG88" s="154">
        <v>0</v>
      </c>
      <c r="FH88" s="154">
        <v>0</v>
      </c>
      <c r="FI88" s="154">
        <v>0</v>
      </c>
      <c r="FJ88" s="154">
        <v>0</v>
      </c>
      <c r="FK88" s="154">
        <v>0</v>
      </c>
      <c r="FL88" s="154">
        <v>0</v>
      </c>
      <c r="FM88" s="154">
        <v>0</v>
      </c>
      <c r="FN88" s="204">
        <f t="shared" si="278"/>
        <v>0</v>
      </c>
      <c r="FO88" s="205"/>
      <c r="FP88" s="163">
        <v>0</v>
      </c>
      <c r="FQ88" s="164">
        <v>0</v>
      </c>
      <c r="FR88" s="154">
        <v>0</v>
      </c>
      <c r="FS88" s="154">
        <v>0</v>
      </c>
      <c r="FT88" s="154">
        <v>0</v>
      </c>
      <c r="FU88" s="154">
        <v>0</v>
      </c>
      <c r="FV88" s="154">
        <v>0</v>
      </c>
      <c r="FW88" s="154">
        <v>0</v>
      </c>
      <c r="FX88" s="154">
        <v>0</v>
      </c>
      <c r="FY88" s="154">
        <v>0</v>
      </c>
      <c r="FZ88" s="154">
        <v>0</v>
      </c>
      <c r="GA88" s="154">
        <v>0</v>
      </c>
      <c r="GB88" s="204">
        <f t="shared" si="279"/>
        <v>0</v>
      </c>
      <c r="GC88" s="205"/>
      <c r="GD88" s="163">
        <v>0</v>
      </c>
      <c r="GE88" s="164">
        <v>0</v>
      </c>
      <c r="GF88" s="154">
        <v>0</v>
      </c>
      <c r="GG88" s="154">
        <v>0</v>
      </c>
      <c r="GH88" s="154">
        <v>0</v>
      </c>
      <c r="GI88" s="154">
        <v>0</v>
      </c>
      <c r="GJ88" s="154">
        <v>0</v>
      </c>
      <c r="GK88" s="154">
        <v>0</v>
      </c>
      <c r="GL88" s="154">
        <v>0</v>
      </c>
      <c r="GM88" s="154">
        <v>0</v>
      </c>
      <c r="GN88" s="154">
        <v>0</v>
      </c>
      <c r="GO88" s="154">
        <v>0</v>
      </c>
      <c r="GP88" s="204">
        <f t="shared" si="280"/>
        <v>0</v>
      </c>
      <c r="GQ88" s="205"/>
      <c r="GR88" s="163">
        <v>0</v>
      </c>
      <c r="GS88" s="164">
        <v>0</v>
      </c>
      <c r="GT88" s="154">
        <v>0</v>
      </c>
      <c r="GU88" s="154">
        <v>0</v>
      </c>
      <c r="GV88" s="154">
        <v>0</v>
      </c>
      <c r="GW88" s="154">
        <v>0</v>
      </c>
      <c r="GX88" s="154">
        <v>0</v>
      </c>
      <c r="GY88" s="154">
        <v>0</v>
      </c>
      <c r="GZ88" s="154">
        <v>0</v>
      </c>
      <c r="HA88" s="154">
        <v>0</v>
      </c>
      <c r="HB88" s="154">
        <v>0</v>
      </c>
      <c r="HC88" s="154">
        <v>0</v>
      </c>
      <c r="HD88" s="204">
        <f t="shared" ref="HD88:HD134" si="293">+SUBTOTAL(9,GR88:HC88)*0</f>
        <v>0</v>
      </c>
      <c r="HE88" s="205"/>
      <c r="HF88" s="163">
        <v>0</v>
      </c>
      <c r="HG88" s="164">
        <v>0</v>
      </c>
      <c r="HH88" s="154">
        <v>0</v>
      </c>
      <c r="HI88" s="154">
        <v>0</v>
      </c>
      <c r="HJ88" s="154">
        <v>0</v>
      </c>
      <c r="HK88" s="154">
        <v>0</v>
      </c>
      <c r="HL88" s="154">
        <v>0</v>
      </c>
      <c r="HM88" s="154">
        <v>0</v>
      </c>
      <c r="HN88" s="154">
        <v>0</v>
      </c>
      <c r="HO88" s="154">
        <v>0</v>
      </c>
      <c r="HP88" s="154">
        <v>0</v>
      </c>
      <c r="HQ88" s="154">
        <v>0</v>
      </c>
      <c r="HR88" s="204">
        <f t="shared" si="282"/>
        <v>0</v>
      </c>
      <c r="HS88" s="205"/>
      <c r="HT88" s="163">
        <v>0</v>
      </c>
      <c r="HU88" s="164">
        <v>0</v>
      </c>
      <c r="HV88" s="154">
        <v>0</v>
      </c>
      <c r="HW88" s="154">
        <v>0</v>
      </c>
      <c r="HX88" s="154">
        <v>0</v>
      </c>
      <c r="HY88" s="154">
        <v>0</v>
      </c>
      <c r="HZ88" s="154">
        <v>0</v>
      </c>
      <c r="IA88" s="154">
        <v>0</v>
      </c>
      <c r="IB88" s="154">
        <v>0</v>
      </c>
      <c r="IC88" s="154">
        <v>0</v>
      </c>
      <c r="ID88" s="154">
        <v>0</v>
      </c>
      <c r="IE88" s="154">
        <v>0</v>
      </c>
      <c r="IF88" s="204">
        <f t="shared" si="283"/>
        <v>0</v>
      </c>
      <c r="IG88" s="205"/>
      <c r="IH88" s="163">
        <v>0</v>
      </c>
      <c r="II88" s="164">
        <v>0</v>
      </c>
      <c r="IJ88" s="154">
        <v>0</v>
      </c>
      <c r="IK88" s="154">
        <v>0</v>
      </c>
      <c r="IL88" s="154">
        <v>0</v>
      </c>
      <c r="IM88" s="154">
        <v>0</v>
      </c>
      <c r="IN88" s="154">
        <v>0</v>
      </c>
      <c r="IO88" s="154">
        <v>0</v>
      </c>
      <c r="IP88" s="154">
        <v>0</v>
      </c>
      <c r="IQ88" s="154">
        <v>0</v>
      </c>
      <c r="IR88" s="154">
        <v>0</v>
      </c>
      <c r="IS88" s="154">
        <v>0</v>
      </c>
      <c r="IT88" s="204">
        <f t="shared" si="284"/>
        <v>0</v>
      </c>
      <c r="IU88" s="205"/>
      <c r="IV88" s="163">
        <v>0</v>
      </c>
      <c r="IW88" s="164">
        <v>0</v>
      </c>
      <c r="IX88" s="154">
        <v>0</v>
      </c>
      <c r="IY88" s="154">
        <v>0</v>
      </c>
      <c r="IZ88" s="154">
        <v>0</v>
      </c>
      <c r="JA88" s="154">
        <v>0</v>
      </c>
      <c r="JB88" s="154">
        <v>0</v>
      </c>
      <c r="JC88" s="154">
        <v>0</v>
      </c>
      <c r="JD88" s="154">
        <v>0</v>
      </c>
      <c r="JE88" s="154">
        <v>0</v>
      </c>
      <c r="JF88" s="154">
        <v>0</v>
      </c>
      <c r="JG88" s="154">
        <v>0</v>
      </c>
      <c r="JH88" s="204">
        <f t="shared" si="285"/>
        <v>0</v>
      </c>
      <c r="JI88" s="205"/>
      <c r="JJ88" s="163">
        <v>0</v>
      </c>
      <c r="JK88" s="164">
        <v>0</v>
      </c>
      <c r="JL88" s="154">
        <v>0</v>
      </c>
      <c r="JM88" s="154">
        <v>0</v>
      </c>
      <c r="JN88" s="154">
        <v>0</v>
      </c>
      <c r="JO88" s="154">
        <v>0</v>
      </c>
      <c r="JP88" s="154">
        <v>0</v>
      </c>
      <c r="JQ88" s="154">
        <v>0</v>
      </c>
      <c r="JR88" s="154">
        <v>0</v>
      </c>
      <c r="JS88" s="154">
        <v>0</v>
      </c>
      <c r="JT88" s="154">
        <v>0</v>
      </c>
      <c r="JU88" s="154">
        <v>0</v>
      </c>
      <c r="JV88" s="204">
        <f t="shared" si="286"/>
        <v>0</v>
      </c>
      <c r="JW88" s="205"/>
      <c r="JX88" s="163">
        <v>0</v>
      </c>
      <c r="JY88" s="164">
        <v>0</v>
      </c>
      <c r="JZ88" s="154">
        <v>0</v>
      </c>
      <c r="KA88" s="154">
        <v>0</v>
      </c>
      <c r="KB88" s="154">
        <v>0</v>
      </c>
      <c r="KC88" s="154">
        <v>0</v>
      </c>
      <c r="KD88" s="154">
        <v>0</v>
      </c>
      <c r="KE88" s="154">
        <v>0</v>
      </c>
      <c r="KF88" s="154">
        <v>0</v>
      </c>
      <c r="KG88" s="154">
        <v>0</v>
      </c>
      <c r="KH88" s="154">
        <v>0</v>
      </c>
      <c r="KI88" s="154">
        <v>0</v>
      </c>
      <c r="KJ88" s="204">
        <f t="shared" si="287"/>
        <v>0</v>
      </c>
      <c r="KK88" s="205"/>
      <c r="KL88" s="163">
        <v>0</v>
      </c>
      <c r="KM88" s="164">
        <v>0</v>
      </c>
      <c r="KN88" s="154">
        <v>0</v>
      </c>
      <c r="KO88" s="154">
        <v>0</v>
      </c>
      <c r="KP88" s="154">
        <v>0</v>
      </c>
      <c r="KQ88" s="154">
        <v>0</v>
      </c>
      <c r="KR88" s="154">
        <v>0</v>
      </c>
      <c r="KS88" s="154">
        <v>0</v>
      </c>
      <c r="KT88" s="154">
        <v>0</v>
      </c>
      <c r="KU88" s="154">
        <v>0</v>
      </c>
      <c r="KV88" s="154">
        <v>0</v>
      </c>
      <c r="KW88" s="154">
        <v>0</v>
      </c>
      <c r="KX88" s="204">
        <f t="shared" si="288"/>
        <v>0</v>
      </c>
      <c r="KY88" s="205"/>
      <c r="KZ88" s="163">
        <v>0</v>
      </c>
      <c r="LA88" s="164">
        <v>0</v>
      </c>
      <c r="LB88" s="154">
        <v>0</v>
      </c>
      <c r="LC88" s="154">
        <v>0</v>
      </c>
      <c r="LD88" s="154">
        <v>0</v>
      </c>
      <c r="LE88" s="154">
        <v>0</v>
      </c>
      <c r="LF88" s="154">
        <v>0</v>
      </c>
      <c r="LG88" s="154">
        <v>0</v>
      </c>
      <c r="LH88" s="154">
        <v>0</v>
      </c>
      <c r="LI88" s="154">
        <v>0</v>
      </c>
      <c r="LJ88" s="154">
        <v>0</v>
      </c>
      <c r="LK88" s="154">
        <v>0</v>
      </c>
      <c r="LL88" s="204">
        <f t="shared" si="289"/>
        <v>0</v>
      </c>
      <c r="LM88" s="205"/>
      <c r="LN88" s="163">
        <v>0</v>
      </c>
      <c r="LO88" s="164">
        <v>0</v>
      </c>
      <c r="LP88" s="154">
        <v>0</v>
      </c>
      <c r="LQ88" s="154">
        <v>0</v>
      </c>
      <c r="LR88" s="154">
        <v>0</v>
      </c>
      <c r="LS88" s="154">
        <v>0</v>
      </c>
      <c r="LT88" s="154">
        <v>0</v>
      </c>
      <c r="LU88" s="154">
        <v>0</v>
      </c>
      <c r="LV88" s="154">
        <v>0</v>
      </c>
      <c r="LW88" s="154">
        <v>0</v>
      </c>
      <c r="LX88" s="154">
        <v>0</v>
      </c>
      <c r="LY88" s="154">
        <v>0</v>
      </c>
      <c r="LZ88" s="204">
        <f t="shared" si="290"/>
        <v>0</v>
      </c>
      <c r="MA88" s="205"/>
      <c r="MB88" s="157">
        <f t="shared" si="291"/>
        <v>0</v>
      </c>
      <c r="MC88" s="157">
        <f t="shared" si="291"/>
        <v>0</v>
      </c>
      <c r="MD88" s="157">
        <f t="shared" si="291"/>
        <v>0</v>
      </c>
      <c r="ME88" s="157">
        <f t="shared" si="291"/>
        <v>0</v>
      </c>
      <c r="MF88" s="157">
        <f t="shared" si="291"/>
        <v>0</v>
      </c>
      <c r="MG88" s="157">
        <f t="shared" si="291"/>
        <v>0</v>
      </c>
      <c r="MH88" s="157">
        <f t="shared" si="291"/>
        <v>0</v>
      </c>
      <c r="MI88" s="157">
        <f t="shared" si="291"/>
        <v>0</v>
      </c>
      <c r="MJ88" s="157">
        <f t="shared" si="291"/>
        <v>0</v>
      </c>
      <c r="MK88" s="157">
        <f t="shared" si="291"/>
        <v>0</v>
      </c>
      <c r="ML88" s="157">
        <f t="shared" si="291"/>
        <v>0</v>
      </c>
      <c r="MM88" s="157">
        <f t="shared" si="291"/>
        <v>0</v>
      </c>
      <c r="MN88" s="157">
        <f t="shared" si="292"/>
        <v>0</v>
      </c>
    </row>
    <row r="89" spans="1:352" s="180" customFormat="1" x14ac:dyDescent="0.25">
      <c r="A89" s="98"/>
      <c r="B89" s="64" t="s">
        <v>110</v>
      </c>
      <c r="C89" s="202"/>
      <c r="D89" s="163">
        <v>0</v>
      </c>
      <c r="E89" s="177">
        <v>0</v>
      </c>
      <c r="F89" s="177">
        <v>0</v>
      </c>
      <c r="G89" s="177">
        <v>0</v>
      </c>
      <c r="H89" s="177">
        <v>0</v>
      </c>
      <c r="I89" s="177">
        <v>0</v>
      </c>
      <c r="J89" s="177">
        <v>0</v>
      </c>
      <c r="K89" s="177">
        <v>0</v>
      </c>
      <c r="L89" s="177">
        <v>0</v>
      </c>
      <c r="M89" s="177">
        <v>0</v>
      </c>
      <c r="N89" s="177">
        <v>0</v>
      </c>
      <c r="O89" s="177">
        <v>0</v>
      </c>
      <c r="P89" s="204">
        <f t="shared" si="267"/>
        <v>0</v>
      </c>
      <c r="Q89" s="205"/>
      <c r="R89" s="163">
        <v>0</v>
      </c>
      <c r="S89" s="177">
        <v>0</v>
      </c>
      <c r="T89" s="177">
        <v>0</v>
      </c>
      <c r="U89" s="177">
        <v>0</v>
      </c>
      <c r="V89" s="177">
        <v>0</v>
      </c>
      <c r="W89" s="177">
        <v>0</v>
      </c>
      <c r="X89" s="177">
        <v>0</v>
      </c>
      <c r="Y89" s="177">
        <v>0</v>
      </c>
      <c r="Z89" s="177">
        <v>0</v>
      </c>
      <c r="AA89" s="177">
        <v>0</v>
      </c>
      <c r="AB89" s="177">
        <v>0</v>
      </c>
      <c r="AC89" s="177">
        <v>0</v>
      </c>
      <c r="AD89" s="204">
        <f t="shared" si="268"/>
        <v>0</v>
      </c>
      <c r="AE89" s="205"/>
      <c r="AF89" s="163">
        <v>0</v>
      </c>
      <c r="AG89" s="177">
        <v>0</v>
      </c>
      <c r="AH89" s="177">
        <v>0</v>
      </c>
      <c r="AI89" s="177">
        <v>0</v>
      </c>
      <c r="AJ89" s="177">
        <v>0</v>
      </c>
      <c r="AK89" s="177">
        <v>0</v>
      </c>
      <c r="AL89" s="177">
        <v>0</v>
      </c>
      <c r="AM89" s="177">
        <v>0</v>
      </c>
      <c r="AN89" s="177">
        <v>0</v>
      </c>
      <c r="AO89" s="177">
        <v>0</v>
      </c>
      <c r="AP89" s="177">
        <v>0</v>
      </c>
      <c r="AQ89" s="177">
        <v>0</v>
      </c>
      <c r="AR89" s="204">
        <f t="shared" si="269"/>
        <v>0</v>
      </c>
      <c r="AS89" s="161"/>
      <c r="AT89" s="163">
        <v>0</v>
      </c>
      <c r="AU89" s="177">
        <v>0</v>
      </c>
      <c r="AV89" s="177">
        <v>0</v>
      </c>
      <c r="AW89" s="177">
        <v>0</v>
      </c>
      <c r="AX89" s="177">
        <v>0</v>
      </c>
      <c r="AY89" s="177">
        <v>0</v>
      </c>
      <c r="AZ89" s="177">
        <v>0</v>
      </c>
      <c r="BA89" s="177">
        <v>0</v>
      </c>
      <c r="BB89" s="177">
        <v>0</v>
      </c>
      <c r="BC89" s="177">
        <v>0</v>
      </c>
      <c r="BD89" s="177">
        <v>0</v>
      </c>
      <c r="BE89" s="177">
        <v>0</v>
      </c>
      <c r="BF89" s="204">
        <f t="shared" si="270"/>
        <v>0</v>
      </c>
      <c r="BG89" s="176"/>
      <c r="BH89" s="163">
        <v>0</v>
      </c>
      <c r="BI89" s="164">
        <v>0</v>
      </c>
      <c r="BJ89" s="154">
        <v>0</v>
      </c>
      <c r="BK89" s="154">
        <v>0</v>
      </c>
      <c r="BL89" s="154">
        <v>0</v>
      </c>
      <c r="BM89" s="154">
        <v>0</v>
      </c>
      <c r="BN89" s="154">
        <v>0</v>
      </c>
      <c r="BO89" s="154">
        <v>0</v>
      </c>
      <c r="BP89" s="154">
        <v>0</v>
      </c>
      <c r="BQ89" s="154">
        <v>0</v>
      </c>
      <c r="BR89" s="154">
        <v>0</v>
      </c>
      <c r="BS89" s="154">
        <v>0</v>
      </c>
      <c r="BT89" s="204">
        <f t="shared" si="271"/>
        <v>0</v>
      </c>
      <c r="BU89" s="161"/>
      <c r="BV89" s="163">
        <v>0</v>
      </c>
      <c r="BW89" s="164">
        <v>0</v>
      </c>
      <c r="BX89" s="154">
        <v>0</v>
      </c>
      <c r="BY89" s="154">
        <v>0</v>
      </c>
      <c r="BZ89" s="154">
        <v>0</v>
      </c>
      <c r="CA89" s="154">
        <v>0</v>
      </c>
      <c r="CB89" s="154">
        <v>0</v>
      </c>
      <c r="CC89" s="154">
        <v>0</v>
      </c>
      <c r="CD89" s="154">
        <v>0</v>
      </c>
      <c r="CE89" s="154">
        <v>0</v>
      </c>
      <c r="CF89" s="154">
        <v>0</v>
      </c>
      <c r="CG89" s="154">
        <v>0</v>
      </c>
      <c r="CH89" s="204">
        <f t="shared" si="272"/>
        <v>0</v>
      </c>
      <c r="CI89" s="205"/>
      <c r="CJ89" s="163">
        <v>0</v>
      </c>
      <c r="CK89" s="164">
        <v>0</v>
      </c>
      <c r="CL89" s="154">
        <v>0</v>
      </c>
      <c r="CM89" s="154">
        <v>0</v>
      </c>
      <c r="CN89" s="154">
        <v>0</v>
      </c>
      <c r="CO89" s="154">
        <v>0</v>
      </c>
      <c r="CP89" s="154">
        <v>0</v>
      </c>
      <c r="CQ89" s="154">
        <v>0</v>
      </c>
      <c r="CR89" s="154">
        <v>0</v>
      </c>
      <c r="CS89" s="154">
        <v>0</v>
      </c>
      <c r="CT89" s="154">
        <v>0</v>
      </c>
      <c r="CU89" s="154">
        <v>0</v>
      </c>
      <c r="CV89" s="204">
        <f t="shared" si="273"/>
        <v>0</v>
      </c>
      <c r="CW89" s="205"/>
      <c r="CX89" s="163">
        <v>0</v>
      </c>
      <c r="CY89" s="164">
        <v>0</v>
      </c>
      <c r="CZ89" s="154">
        <v>0</v>
      </c>
      <c r="DA89" s="154">
        <v>0</v>
      </c>
      <c r="DB89" s="154">
        <v>0</v>
      </c>
      <c r="DC89" s="154">
        <v>0</v>
      </c>
      <c r="DD89" s="154">
        <v>0</v>
      </c>
      <c r="DE89" s="154">
        <v>0</v>
      </c>
      <c r="DF89" s="154">
        <v>0</v>
      </c>
      <c r="DG89" s="154">
        <v>0</v>
      </c>
      <c r="DH89" s="154">
        <v>0</v>
      </c>
      <c r="DI89" s="154">
        <v>0</v>
      </c>
      <c r="DJ89" s="204">
        <f t="shared" si="274"/>
        <v>0</v>
      </c>
      <c r="DK89" s="205"/>
      <c r="DL89" s="163">
        <v>0</v>
      </c>
      <c r="DM89" s="164">
        <v>0</v>
      </c>
      <c r="DN89" s="154">
        <v>0</v>
      </c>
      <c r="DO89" s="154">
        <v>0</v>
      </c>
      <c r="DP89" s="154">
        <v>0</v>
      </c>
      <c r="DQ89" s="154">
        <v>0</v>
      </c>
      <c r="DR89" s="154">
        <v>0</v>
      </c>
      <c r="DS89" s="154">
        <v>0</v>
      </c>
      <c r="DT89" s="154">
        <v>0</v>
      </c>
      <c r="DU89" s="154">
        <v>0</v>
      </c>
      <c r="DV89" s="154">
        <v>0</v>
      </c>
      <c r="DW89" s="154">
        <v>0</v>
      </c>
      <c r="DX89" s="204">
        <f t="shared" si="275"/>
        <v>0</v>
      </c>
      <c r="DY89" s="205"/>
      <c r="DZ89" s="163">
        <v>0</v>
      </c>
      <c r="EA89" s="164">
        <v>0</v>
      </c>
      <c r="EB89" s="154">
        <v>0</v>
      </c>
      <c r="EC89" s="154">
        <v>0</v>
      </c>
      <c r="ED89" s="154">
        <v>0</v>
      </c>
      <c r="EE89" s="154">
        <v>0</v>
      </c>
      <c r="EF89" s="154">
        <v>0</v>
      </c>
      <c r="EG89" s="154">
        <v>0</v>
      </c>
      <c r="EH89" s="154">
        <v>0</v>
      </c>
      <c r="EI89" s="154">
        <v>0</v>
      </c>
      <c r="EJ89" s="154">
        <v>0</v>
      </c>
      <c r="EK89" s="154">
        <v>0</v>
      </c>
      <c r="EL89" s="204">
        <f t="shared" si="276"/>
        <v>0</v>
      </c>
      <c r="EM89" s="205"/>
      <c r="EN89" s="163">
        <v>0</v>
      </c>
      <c r="EO89" s="164">
        <v>0</v>
      </c>
      <c r="EP89" s="154">
        <v>0</v>
      </c>
      <c r="EQ89" s="154">
        <v>0</v>
      </c>
      <c r="ER89" s="154">
        <v>0</v>
      </c>
      <c r="ES89" s="154">
        <v>0</v>
      </c>
      <c r="ET89" s="154">
        <v>0</v>
      </c>
      <c r="EU89" s="154">
        <v>0</v>
      </c>
      <c r="EV89" s="154">
        <v>0</v>
      </c>
      <c r="EW89" s="154">
        <v>0</v>
      </c>
      <c r="EX89" s="154">
        <v>0</v>
      </c>
      <c r="EY89" s="154">
        <v>0</v>
      </c>
      <c r="EZ89" s="204">
        <f t="shared" si="277"/>
        <v>0</v>
      </c>
      <c r="FA89" s="205"/>
      <c r="FB89" s="163">
        <v>0</v>
      </c>
      <c r="FC89" s="164">
        <v>0</v>
      </c>
      <c r="FD89" s="154">
        <v>0</v>
      </c>
      <c r="FE89" s="154">
        <v>0</v>
      </c>
      <c r="FF89" s="154">
        <v>0</v>
      </c>
      <c r="FG89" s="154">
        <v>0</v>
      </c>
      <c r="FH89" s="154">
        <v>0</v>
      </c>
      <c r="FI89" s="154">
        <v>0</v>
      </c>
      <c r="FJ89" s="154">
        <v>0</v>
      </c>
      <c r="FK89" s="154">
        <v>0</v>
      </c>
      <c r="FL89" s="154">
        <v>0</v>
      </c>
      <c r="FM89" s="154">
        <v>0</v>
      </c>
      <c r="FN89" s="204">
        <f t="shared" si="278"/>
        <v>0</v>
      </c>
      <c r="FO89" s="205"/>
      <c r="FP89" s="163">
        <v>0</v>
      </c>
      <c r="FQ89" s="164">
        <v>0</v>
      </c>
      <c r="FR89" s="154">
        <v>0</v>
      </c>
      <c r="FS89" s="154">
        <v>0</v>
      </c>
      <c r="FT89" s="154">
        <v>0</v>
      </c>
      <c r="FU89" s="154">
        <v>0</v>
      </c>
      <c r="FV89" s="154">
        <v>0</v>
      </c>
      <c r="FW89" s="154">
        <v>0</v>
      </c>
      <c r="FX89" s="154">
        <v>0</v>
      </c>
      <c r="FY89" s="154">
        <v>0</v>
      </c>
      <c r="FZ89" s="154">
        <v>0</v>
      </c>
      <c r="GA89" s="154">
        <v>0</v>
      </c>
      <c r="GB89" s="204">
        <f t="shared" si="279"/>
        <v>0</v>
      </c>
      <c r="GC89" s="205"/>
      <c r="GD89" s="163">
        <v>0</v>
      </c>
      <c r="GE89" s="164">
        <v>0</v>
      </c>
      <c r="GF89" s="154">
        <v>0</v>
      </c>
      <c r="GG89" s="154">
        <v>0</v>
      </c>
      <c r="GH89" s="154">
        <v>0</v>
      </c>
      <c r="GI89" s="154">
        <v>0</v>
      </c>
      <c r="GJ89" s="154">
        <v>0</v>
      </c>
      <c r="GK89" s="154">
        <v>0</v>
      </c>
      <c r="GL89" s="154">
        <v>0</v>
      </c>
      <c r="GM89" s="154">
        <v>0</v>
      </c>
      <c r="GN89" s="154">
        <v>0</v>
      </c>
      <c r="GO89" s="154">
        <v>0</v>
      </c>
      <c r="GP89" s="204">
        <f t="shared" si="280"/>
        <v>0</v>
      </c>
      <c r="GQ89" s="205"/>
      <c r="GR89" s="163">
        <v>0</v>
      </c>
      <c r="GS89" s="164">
        <v>0</v>
      </c>
      <c r="GT89" s="154">
        <v>0</v>
      </c>
      <c r="GU89" s="154">
        <v>0</v>
      </c>
      <c r="GV89" s="154">
        <v>0</v>
      </c>
      <c r="GW89" s="154">
        <v>0</v>
      </c>
      <c r="GX89" s="154">
        <v>0</v>
      </c>
      <c r="GY89" s="154">
        <v>0</v>
      </c>
      <c r="GZ89" s="154">
        <v>0</v>
      </c>
      <c r="HA89" s="154">
        <v>0</v>
      </c>
      <c r="HB89" s="154">
        <v>0</v>
      </c>
      <c r="HC89" s="154">
        <v>0</v>
      </c>
      <c r="HD89" s="204">
        <f t="shared" si="293"/>
        <v>0</v>
      </c>
      <c r="HE89" s="205"/>
      <c r="HF89" s="163">
        <v>0</v>
      </c>
      <c r="HG89" s="164">
        <v>0</v>
      </c>
      <c r="HH89" s="154">
        <v>0</v>
      </c>
      <c r="HI89" s="154">
        <v>0</v>
      </c>
      <c r="HJ89" s="154">
        <v>0</v>
      </c>
      <c r="HK89" s="154">
        <v>0</v>
      </c>
      <c r="HL89" s="154">
        <v>0</v>
      </c>
      <c r="HM89" s="154">
        <v>0</v>
      </c>
      <c r="HN89" s="154">
        <v>0</v>
      </c>
      <c r="HO89" s="154">
        <v>0</v>
      </c>
      <c r="HP89" s="154">
        <v>0</v>
      </c>
      <c r="HQ89" s="154">
        <v>0</v>
      </c>
      <c r="HR89" s="204">
        <f t="shared" si="282"/>
        <v>0</v>
      </c>
      <c r="HS89" s="205"/>
      <c r="HT89" s="163">
        <v>0</v>
      </c>
      <c r="HU89" s="164">
        <v>0</v>
      </c>
      <c r="HV89" s="154">
        <v>0</v>
      </c>
      <c r="HW89" s="154">
        <v>0</v>
      </c>
      <c r="HX89" s="154">
        <v>0</v>
      </c>
      <c r="HY89" s="154">
        <v>0</v>
      </c>
      <c r="HZ89" s="154">
        <v>0</v>
      </c>
      <c r="IA89" s="154">
        <v>0</v>
      </c>
      <c r="IB89" s="154">
        <v>0</v>
      </c>
      <c r="IC89" s="154">
        <v>0</v>
      </c>
      <c r="ID89" s="154">
        <v>0</v>
      </c>
      <c r="IE89" s="154">
        <v>0</v>
      </c>
      <c r="IF89" s="204">
        <f t="shared" si="283"/>
        <v>0</v>
      </c>
      <c r="IG89" s="205"/>
      <c r="IH89" s="163">
        <v>0</v>
      </c>
      <c r="II89" s="164">
        <v>0</v>
      </c>
      <c r="IJ89" s="154">
        <v>0</v>
      </c>
      <c r="IK89" s="154">
        <v>0</v>
      </c>
      <c r="IL89" s="154">
        <v>0</v>
      </c>
      <c r="IM89" s="154">
        <v>0</v>
      </c>
      <c r="IN89" s="154">
        <v>0</v>
      </c>
      <c r="IO89" s="154">
        <v>0</v>
      </c>
      <c r="IP89" s="154">
        <v>0</v>
      </c>
      <c r="IQ89" s="154">
        <v>0</v>
      </c>
      <c r="IR89" s="154">
        <v>0</v>
      </c>
      <c r="IS89" s="154">
        <v>0</v>
      </c>
      <c r="IT89" s="204">
        <f t="shared" si="284"/>
        <v>0</v>
      </c>
      <c r="IU89" s="205"/>
      <c r="IV89" s="163">
        <v>0</v>
      </c>
      <c r="IW89" s="164">
        <v>0</v>
      </c>
      <c r="IX89" s="154">
        <v>0</v>
      </c>
      <c r="IY89" s="154">
        <v>0</v>
      </c>
      <c r="IZ89" s="154">
        <v>0</v>
      </c>
      <c r="JA89" s="154">
        <v>0</v>
      </c>
      <c r="JB89" s="154">
        <v>0</v>
      </c>
      <c r="JC89" s="154">
        <v>0</v>
      </c>
      <c r="JD89" s="154">
        <v>0</v>
      </c>
      <c r="JE89" s="154">
        <v>0</v>
      </c>
      <c r="JF89" s="154">
        <v>0</v>
      </c>
      <c r="JG89" s="154">
        <v>0</v>
      </c>
      <c r="JH89" s="204">
        <f t="shared" si="285"/>
        <v>0</v>
      </c>
      <c r="JI89" s="205"/>
      <c r="JJ89" s="163">
        <v>0</v>
      </c>
      <c r="JK89" s="164">
        <v>0</v>
      </c>
      <c r="JL89" s="154">
        <v>0</v>
      </c>
      <c r="JM89" s="154">
        <v>0</v>
      </c>
      <c r="JN89" s="154">
        <v>0</v>
      </c>
      <c r="JO89" s="154">
        <v>0</v>
      </c>
      <c r="JP89" s="154">
        <v>0</v>
      </c>
      <c r="JQ89" s="154">
        <v>0</v>
      </c>
      <c r="JR89" s="154">
        <v>0</v>
      </c>
      <c r="JS89" s="154">
        <v>0</v>
      </c>
      <c r="JT89" s="154">
        <v>0</v>
      </c>
      <c r="JU89" s="154">
        <v>0</v>
      </c>
      <c r="JV89" s="204">
        <f t="shared" si="286"/>
        <v>0</v>
      </c>
      <c r="JW89" s="205"/>
      <c r="JX89" s="163">
        <v>0</v>
      </c>
      <c r="JY89" s="164">
        <v>0</v>
      </c>
      <c r="JZ89" s="154">
        <v>0</v>
      </c>
      <c r="KA89" s="154">
        <v>0</v>
      </c>
      <c r="KB89" s="154">
        <v>0</v>
      </c>
      <c r="KC89" s="154">
        <v>0</v>
      </c>
      <c r="KD89" s="154">
        <v>0</v>
      </c>
      <c r="KE89" s="154">
        <v>0</v>
      </c>
      <c r="KF89" s="154">
        <v>0</v>
      </c>
      <c r="KG89" s="154">
        <v>0</v>
      </c>
      <c r="KH89" s="154">
        <v>0</v>
      </c>
      <c r="KI89" s="154">
        <v>0</v>
      </c>
      <c r="KJ89" s="204">
        <f t="shared" si="287"/>
        <v>0</v>
      </c>
      <c r="KK89" s="205"/>
      <c r="KL89" s="163">
        <v>0</v>
      </c>
      <c r="KM89" s="164">
        <v>0</v>
      </c>
      <c r="KN89" s="154">
        <v>0</v>
      </c>
      <c r="KO89" s="154">
        <v>0</v>
      </c>
      <c r="KP89" s="154">
        <v>0</v>
      </c>
      <c r="KQ89" s="154">
        <v>0</v>
      </c>
      <c r="KR89" s="154">
        <v>0</v>
      </c>
      <c r="KS89" s="154">
        <v>0</v>
      </c>
      <c r="KT89" s="154">
        <v>0</v>
      </c>
      <c r="KU89" s="154">
        <v>0</v>
      </c>
      <c r="KV89" s="154">
        <v>0</v>
      </c>
      <c r="KW89" s="154">
        <v>0</v>
      </c>
      <c r="KX89" s="204">
        <f t="shared" si="288"/>
        <v>0</v>
      </c>
      <c r="KY89" s="205"/>
      <c r="KZ89" s="163">
        <v>0</v>
      </c>
      <c r="LA89" s="164">
        <v>0</v>
      </c>
      <c r="LB89" s="154">
        <v>0</v>
      </c>
      <c r="LC89" s="154">
        <v>0</v>
      </c>
      <c r="LD89" s="154">
        <v>0</v>
      </c>
      <c r="LE89" s="154">
        <v>0</v>
      </c>
      <c r="LF89" s="154">
        <v>0</v>
      </c>
      <c r="LG89" s="154">
        <v>0</v>
      </c>
      <c r="LH89" s="154">
        <v>0</v>
      </c>
      <c r="LI89" s="154">
        <v>0</v>
      </c>
      <c r="LJ89" s="154">
        <v>0</v>
      </c>
      <c r="LK89" s="154">
        <v>0</v>
      </c>
      <c r="LL89" s="204">
        <f t="shared" si="289"/>
        <v>0</v>
      </c>
      <c r="LM89" s="205"/>
      <c r="LN89" s="163">
        <v>0</v>
      </c>
      <c r="LO89" s="164">
        <v>0</v>
      </c>
      <c r="LP89" s="154">
        <v>0</v>
      </c>
      <c r="LQ89" s="154">
        <v>0</v>
      </c>
      <c r="LR89" s="154">
        <v>0</v>
      </c>
      <c r="LS89" s="154">
        <v>0</v>
      </c>
      <c r="LT89" s="154">
        <v>0</v>
      </c>
      <c r="LU89" s="154">
        <v>0</v>
      </c>
      <c r="LV89" s="154">
        <v>0</v>
      </c>
      <c r="LW89" s="154">
        <v>0</v>
      </c>
      <c r="LX89" s="154">
        <v>0</v>
      </c>
      <c r="LY89" s="154">
        <v>0</v>
      </c>
      <c r="LZ89" s="204">
        <f t="shared" si="290"/>
        <v>0</v>
      </c>
      <c r="MA89" s="205"/>
      <c r="MB89" s="157">
        <f t="shared" si="291"/>
        <v>0</v>
      </c>
      <c r="MC89" s="157">
        <f t="shared" si="291"/>
        <v>0</v>
      </c>
      <c r="MD89" s="157">
        <f t="shared" si="291"/>
        <v>0</v>
      </c>
      <c r="ME89" s="157">
        <f t="shared" si="291"/>
        <v>0</v>
      </c>
      <c r="MF89" s="157">
        <f t="shared" si="291"/>
        <v>0</v>
      </c>
      <c r="MG89" s="157">
        <f t="shared" si="291"/>
        <v>0</v>
      </c>
      <c r="MH89" s="157">
        <f t="shared" si="291"/>
        <v>0</v>
      </c>
      <c r="MI89" s="157">
        <f t="shared" si="291"/>
        <v>0</v>
      </c>
      <c r="MJ89" s="157">
        <f t="shared" si="291"/>
        <v>0</v>
      </c>
      <c r="MK89" s="157">
        <f t="shared" si="291"/>
        <v>0</v>
      </c>
      <c r="ML89" s="157">
        <f t="shared" si="291"/>
        <v>0</v>
      </c>
      <c r="MM89" s="157">
        <f t="shared" si="291"/>
        <v>0</v>
      </c>
      <c r="MN89" s="157">
        <f t="shared" si="292"/>
        <v>0</v>
      </c>
    </row>
    <row r="90" spans="1:352" x14ac:dyDescent="0.25">
      <c r="A90" s="98"/>
      <c r="B90" s="182" t="s">
        <v>111</v>
      </c>
      <c r="C90" s="202"/>
      <c r="D90" s="163">
        <v>0</v>
      </c>
      <c r="E90" s="177">
        <v>0</v>
      </c>
      <c r="F90" s="177">
        <v>0</v>
      </c>
      <c r="G90" s="177">
        <v>0</v>
      </c>
      <c r="H90" s="177">
        <v>0</v>
      </c>
      <c r="I90" s="177">
        <v>0</v>
      </c>
      <c r="J90" s="177">
        <v>0</v>
      </c>
      <c r="K90" s="177">
        <v>0</v>
      </c>
      <c r="L90" s="177">
        <v>0</v>
      </c>
      <c r="M90" s="177">
        <v>0</v>
      </c>
      <c r="N90" s="177">
        <v>0</v>
      </c>
      <c r="O90" s="177">
        <v>0</v>
      </c>
      <c r="P90" s="204">
        <f t="shared" si="267"/>
        <v>0</v>
      </c>
      <c r="Q90" s="205"/>
      <c r="R90" s="163">
        <v>0</v>
      </c>
      <c r="S90" s="177">
        <v>0</v>
      </c>
      <c r="T90" s="177">
        <v>0</v>
      </c>
      <c r="U90" s="177">
        <v>0</v>
      </c>
      <c r="V90" s="177">
        <v>0</v>
      </c>
      <c r="W90" s="177">
        <v>0</v>
      </c>
      <c r="X90" s="177">
        <v>0</v>
      </c>
      <c r="Y90" s="177">
        <v>0</v>
      </c>
      <c r="Z90" s="177">
        <v>0</v>
      </c>
      <c r="AA90" s="177">
        <v>0</v>
      </c>
      <c r="AB90" s="177">
        <v>0</v>
      </c>
      <c r="AC90" s="177">
        <v>0</v>
      </c>
      <c r="AD90" s="204">
        <f t="shared" si="268"/>
        <v>0</v>
      </c>
      <c r="AE90" s="205"/>
      <c r="AF90" s="163">
        <v>0</v>
      </c>
      <c r="AG90" s="177">
        <v>0</v>
      </c>
      <c r="AH90" s="177">
        <v>0</v>
      </c>
      <c r="AI90" s="177">
        <v>0</v>
      </c>
      <c r="AJ90" s="177">
        <v>0</v>
      </c>
      <c r="AK90" s="177">
        <v>0</v>
      </c>
      <c r="AL90" s="177">
        <v>0</v>
      </c>
      <c r="AM90" s="177">
        <v>0</v>
      </c>
      <c r="AN90" s="177">
        <v>0</v>
      </c>
      <c r="AO90" s="177">
        <v>0</v>
      </c>
      <c r="AP90" s="177">
        <v>0</v>
      </c>
      <c r="AQ90" s="177">
        <v>0</v>
      </c>
      <c r="AR90" s="204">
        <f t="shared" si="269"/>
        <v>0</v>
      </c>
      <c r="AT90" s="163">
        <v>0</v>
      </c>
      <c r="AU90" s="177">
        <v>0</v>
      </c>
      <c r="AV90" s="177">
        <v>0</v>
      </c>
      <c r="AW90" s="177">
        <v>0</v>
      </c>
      <c r="AX90" s="177">
        <v>0</v>
      </c>
      <c r="AY90" s="177">
        <v>0</v>
      </c>
      <c r="AZ90" s="177">
        <v>0</v>
      </c>
      <c r="BA90" s="177">
        <v>0</v>
      </c>
      <c r="BB90" s="177">
        <v>0</v>
      </c>
      <c r="BC90" s="177">
        <v>0</v>
      </c>
      <c r="BD90" s="177">
        <v>0</v>
      </c>
      <c r="BE90" s="177">
        <v>0</v>
      </c>
      <c r="BF90" s="204">
        <f t="shared" si="270"/>
        <v>0</v>
      </c>
      <c r="BH90" s="163">
        <v>0</v>
      </c>
      <c r="BI90" s="164">
        <v>0</v>
      </c>
      <c r="BJ90" s="154">
        <v>0</v>
      </c>
      <c r="BK90" s="154">
        <v>0</v>
      </c>
      <c r="BL90" s="154">
        <v>0</v>
      </c>
      <c r="BM90" s="154">
        <v>0</v>
      </c>
      <c r="BN90" s="154">
        <v>0</v>
      </c>
      <c r="BO90" s="154">
        <v>0</v>
      </c>
      <c r="BP90" s="154">
        <v>0</v>
      </c>
      <c r="BQ90" s="154">
        <v>0</v>
      </c>
      <c r="BR90" s="154">
        <v>0</v>
      </c>
      <c r="BS90" s="154">
        <v>0</v>
      </c>
      <c r="BT90" s="204">
        <f t="shared" si="271"/>
        <v>0</v>
      </c>
      <c r="BV90" s="163">
        <v>0</v>
      </c>
      <c r="BW90" s="164">
        <v>0</v>
      </c>
      <c r="BX90" s="154">
        <v>0</v>
      </c>
      <c r="BY90" s="154">
        <v>0</v>
      </c>
      <c r="BZ90" s="154">
        <v>0</v>
      </c>
      <c r="CA90" s="154">
        <v>0</v>
      </c>
      <c r="CB90" s="154">
        <v>0</v>
      </c>
      <c r="CC90" s="154">
        <v>0</v>
      </c>
      <c r="CD90" s="154">
        <v>0</v>
      </c>
      <c r="CE90" s="154">
        <v>0</v>
      </c>
      <c r="CF90" s="154">
        <v>0</v>
      </c>
      <c r="CG90" s="154">
        <v>0</v>
      </c>
      <c r="CH90" s="204">
        <f t="shared" si="272"/>
        <v>0</v>
      </c>
      <c r="CI90" s="205"/>
      <c r="CJ90" s="163">
        <v>0</v>
      </c>
      <c r="CK90" s="164">
        <v>0</v>
      </c>
      <c r="CL90" s="154">
        <v>0</v>
      </c>
      <c r="CM90" s="154">
        <v>0</v>
      </c>
      <c r="CN90" s="154">
        <v>0</v>
      </c>
      <c r="CO90" s="154">
        <v>0</v>
      </c>
      <c r="CP90" s="154">
        <v>0</v>
      </c>
      <c r="CQ90" s="154">
        <v>0</v>
      </c>
      <c r="CR90" s="154">
        <v>0</v>
      </c>
      <c r="CS90" s="154">
        <v>0</v>
      </c>
      <c r="CT90" s="154">
        <v>0</v>
      </c>
      <c r="CU90" s="154">
        <v>0</v>
      </c>
      <c r="CV90" s="204">
        <f t="shared" si="273"/>
        <v>0</v>
      </c>
      <c r="CW90" s="205"/>
      <c r="CX90" s="163">
        <v>0</v>
      </c>
      <c r="CY90" s="164">
        <v>0</v>
      </c>
      <c r="CZ90" s="154">
        <v>0</v>
      </c>
      <c r="DA90" s="154">
        <v>0</v>
      </c>
      <c r="DB90" s="154">
        <v>0</v>
      </c>
      <c r="DC90" s="154">
        <v>0</v>
      </c>
      <c r="DD90" s="154">
        <v>0</v>
      </c>
      <c r="DE90" s="154">
        <v>0</v>
      </c>
      <c r="DF90" s="154">
        <v>0</v>
      </c>
      <c r="DG90" s="154">
        <v>0</v>
      </c>
      <c r="DH90" s="154">
        <v>0</v>
      </c>
      <c r="DI90" s="154">
        <v>0</v>
      </c>
      <c r="DJ90" s="204">
        <f t="shared" si="274"/>
        <v>0</v>
      </c>
      <c r="DK90" s="205"/>
      <c r="DL90" s="163">
        <v>0</v>
      </c>
      <c r="DM90" s="164">
        <v>0</v>
      </c>
      <c r="DN90" s="154">
        <v>0</v>
      </c>
      <c r="DO90" s="154">
        <v>0</v>
      </c>
      <c r="DP90" s="154">
        <v>0</v>
      </c>
      <c r="DQ90" s="154">
        <v>0</v>
      </c>
      <c r="DR90" s="154">
        <v>0</v>
      </c>
      <c r="DS90" s="154">
        <v>0</v>
      </c>
      <c r="DT90" s="154">
        <v>0</v>
      </c>
      <c r="DU90" s="154">
        <v>0</v>
      </c>
      <c r="DV90" s="154">
        <v>0</v>
      </c>
      <c r="DW90" s="154">
        <v>0</v>
      </c>
      <c r="DX90" s="204">
        <f t="shared" si="275"/>
        <v>0</v>
      </c>
      <c r="DY90" s="205"/>
      <c r="DZ90" s="163">
        <v>0</v>
      </c>
      <c r="EA90" s="164">
        <v>0</v>
      </c>
      <c r="EB90" s="154">
        <v>0</v>
      </c>
      <c r="EC90" s="154">
        <v>0</v>
      </c>
      <c r="ED90" s="154">
        <v>0</v>
      </c>
      <c r="EE90" s="154">
        <v>0</v>
      </c>
      <c r="EF90" s="154">
        <v>0</v>
      </c>
      <c r="EG90" s="154">
        <v>0</v>
      </c>
      <c r="EH90" s="154">
        <v>0</v>
      </c>
      <c r="EI90" s="154">
        <v>0</v>
      </c>
      <c r="EJ90" s="154">
        <v>0</v>
      </c>
      <c r="EK90" s="154">
        <v>0</v>
      </c>
      <c r="EL90" s="204">
        <f t="shared" si="276"/>
        <v>0</v>
      </c>
      <c r="EM90" s="205"/>
      <c r="EN90" s="163">
        <v>0</v>
      </c>
      <c r="EO90" s="164">
        <v>0</v>
      </c>
      <c r="EP90" s="154">
        <v>0</v>
      </c>
      <c r="EQ90" s="154">
        <v>0</v>
      </c>
      <c r="ER90" s="154">
        <v>0</v>
      </c>
      <c r="ES90" s="154">
        <v>0</v>
      </c>
      <c r="ET90" s="154">
        <v>0</v>
      </c>
      <c r="EU90" s="154">
        <v>0</v>
      </c>
      <c r="EV90" s="154">
        <v>0</v>
      </c>
      <c r="EW90" s="154">
        <v>0</v>
      </c>
      <c r="EX90" s="154">
        <v>0</v>
      </c>
      <c r="EY90" s="154">
        <v>0</v>
      </c>
      <c r="EZ90" s="204">
        <f t="shared" si="277"/>
        <v>0</v>
      </c>
      <c r="FA90" s="205"/>
      <c r="FB90" s="163">
        <v>0</v>
      </c>
      <c r="FC90" s="164">
        <v>0</v>
      </c>
      <c r="FD90" s="154">
        <v>0</v>
      </c>
      <c r="FE90" s="154">
        <v>0</v>
      </c>
      <c r="FF90" s="154">
        <v>0</v>
      </c>
      <c r="FG90" s="154">
        <v>0</v>
      </c>
      <c r="FH90" s="154">
        <v>0</v>
      </c>
      <c r="FI90" s="154">
        <v>0</v>
      </c>
      <c r="FJ90" s="154">
        <v>0</v>
      </c>
      <c r="FK90" s="154">
        <v>0</v>
      </c>
      <c r="FL90" s="154">
        <v>0</v>
      </c>
      <c r="FM90" s="154">
        <v>0</v>
      </c>
      <c r="FN90" s="204">
        <f t="shared" si="278"/>
        <v>0</v>
      </c>
      <c r="FO90" s="205"/>
      <c r="FP90" s="163">
        <v>0</v>
      </c>
      <c r="FQ90" s="164">
        <v>0</v>
      </c>
      <c r="FR90" s="154">
        <v>0</v>
      </c>
      <c r="FS90" s="154">
        <v>0</v>
      </c>
      <c r="FT90" s="154">
        <v>0</v>
      </c>
      <c r="FU90" s="154">
        <v>0</v>
      </c>
      <c r="FV90" s="154">
        <v>0</v>
      </c>
      <c r="FW90" s="154">
        <v>0</v>
      </c>
      <c r="FX90" s="154">
        <v>0</v>
      </c>
      <c r="FY90" s="154">
        <v>0</v>
      </c>
      <c r="FZ90" s="154">
        <v>0</v>
      </c>
      <c r="GA90" s="154">
        <v>0</v>
      </c>
      <c r="GB90" s="204">
        <f t="shared" si="279"/>
        <v>0</v>
      </c>
      <c r="GC90" s="205"/>
      <c r="GD90" s="163">
        <v>0</v>
      </c>
      <c r="GE90" s="164">
        <v>0</v>
      </c>
      <c r="GF90" s="154">
        <v>0</v>
      </c>
      <c r="GG90" s="154">
        <v>0</v>
      </c>
      <c r="GH90" s="154">
        <v>0</v>
      </c>
      <c r="GI90" s="154">
        <v>0</v>
      </c>
      <c r="GJ90" s="154">
        <v>0</v>
      </c>
      <c r="GK90" s="154">
        <v>0</v>
      </c>
      <c r="GL90" s="154">
        <v>0</v>
      </c>
      <c r="GM90" s="154">
        <v>0</v>
      </c>
      <c r="GN90" s="154">
        <v>0</v>
      </c>
      <c r="GO90" s="154">
        <v>0</v>
      </c>
      <c r="GP90" s="204">
        <f t="shared" si="280"/>
        <v>0</v>
      </c>
      <c r="GQ90" s="205"/>
      <c r="GR90" s="163">
        <v>0</v>
      </c>
      <c r="GS90" s="164">
        <v>0</v>
      </c>
      <c r="GT90" s="154">
        <v>0</v>
      </c>
      <c r="GU90" s="154">
        <v>0</v>
      </c>
      <c r="GV90" s="154">
        <v>0</v>
      </c>
      <c r="GW90" s="154">
        <v>0</v>
      </c>
      <c r="GX90" s="154">
        <v>0</v>
      </c>
      <c r="GY90" s="154">
        <v>0</v>
      </c>
      <c r="GZ90" s="154">
        <v>0</v>
      </c>
      <c r="HA90" s="154">
        <v>0</v>
      </c>
      <c r="HB90" s="154">
        <v>0</v>
      </c>
      <c r="HC90" s="154">
        <v>0</v>
      </c>
      <c r="HD90" s="204">
        <f t="shared" si="293"/>
        <v>0</v>
      </c>
      <c r="HE90" s="205"/>
      <c r="HF90" s="163">
        <v>0</v>
      </c>
      <c r="HG90" s="164">
        <v>0</v>
      </c>
      <c r="HH90" s="154">
        <v>0</v>
      </c>
      <c r="HI90" s="154">
        <v>0</v>
      </c>
      <c r="HJ90" s="154">
        <v>0</v>
      </c>
      <c r="HK90" s="154">
        <v>0</v>
      </c>
      <c r="HL90" s="154">
        <v>0</v>
      </c>
      <c r="HM90" s="154">
        <v>0</v>
      </c>
      <c r="HN90" s="154">
        <v>0</v>
      </c>
      <c r="HO90" s="154">
        <v>0</v>
      </c>
      <c r="HP90" s="154">
        <v>0</v>
      </c>
      <c r="HQ90" s="154">
        <v>0</v>
      </c>
      <c r="HR90" s="204">
        <f t="shared" si="282"/>
        <v>0</v>
      </c>
      <c r="HS90" s="205"/>
      <c r="HT90" s="163">
        <v>0</v>
      </c>
      <c r="HU90" s="164">
        <v>0</v>
      </c>
      <c r="HV90" s="154">
        <v>0</v>
      </c>
      <c r="HW90" s="154">
        <v>0</v>
      </c>
      <c r="HX90" s="154">
        <v>0</v>
      </c>
      <c r="HY90" s="154">
        <v>0</v>
      </c>
      <c r="HZ90" s="154">
        <v>0</v>
      </c>
      <c r="IA90" s="154">
        <v>0</v>
      </c>
      <c r="IB90" s="154">
        <v>0</v>
      </c>
      <c r="IC90" s="154">
        <v>0</v>
      </c>
      <c r="ID90" s="154">
        <v>0</v>
      </c>
      <c r="IE90" s="154">
        <v>0</v>
      </c>
      <c r="IF90" s="204">
        <f t="shared" si="283"/>
        <v>0</v>
      </c>
      <c r="IG90" s="205"/>
      <c r="IH90" s="163">
        <v>0</v>
      </c>
      <c r="II90" s="164">
        <v>0</v>
      </c>
      <c r="IJ90" s="154">
        <v>0</v>
      </c>
      <c r="IK90" s="154">
        <v>0</v>
      </c>
      <c r="IL90" s="154">
        <v>0</v>
      </c>
      <c r="IM90" s="154">
        <v>0</v>
      </c>
      <c r="IN90" s="154">
        <v>0</v>
      </c>
      <c r="IO90" s="154">
        <v>0</v>
      </c>
      <c r="IP90" s="154">
        <v>0</v>
      </c>
      <c r="IQ90" s="154">
        <v>0</v>
      </c>
      <c r="IR90" s="154">
        <v>0</v>
      </c>
      <c r="IS90" s="154">
        <v>0</v>
      </c>
      <c r="IT90" s="204">
        <f t="shared" si="284"/>
        <v>0</v>
      </c>
      <c r="IU90" s="205"/>
      <c r="IV90" s="163">
        <v>0</v>
      </c>
      <c r="IW90" s="164">
        <v>0</v>
      </c>
      <c r="IX90" s="154">
        <v>0</v>
      </c>
      <c r="IY90" s="154">
        <v>0</v>
      </c>
      <c r="IZ90" s="154">
        <v>0</v>
      </c>
      <c r="JA90" s="154">
        <v>0</v>
      </c>
      <c r="JB90" s="154">
        <v>0</v>
      </c>
      <c r="JC90" s="154">
        <v>0</v>
      </c>
      <c r="JD90" s="154">
        <v>0</v>
      </c>
      <c r="JE90" s="154">
        <v>0</v>
      </c>
      <c r="JF90" s="154">
        <v>0</v>
      </c>
      <c r="JG90" s="154">
        <v>0</v>
      </c>
      <c r="JH90" s="204">
        <f t="shared" si="285"/>
        <v>0</v>
      </c>
      <c r="JI90" s="205"/>
      <c r="JJ90" s="163">
        <v>0</v>
      </c>
      <c r="JK90" s="164">
        <v>0</v>
      </c>
      <c r="JL90" s="154">
        <v>0</v>
      </c>
      <c r="JM90" s="154">
        <v>0</v>
      </c>
      <c r="JN90" s="154">
        <v>0</v>
      </c>
      <c r="JO90" s="154">
        <v>0</v>
      </c>
      <c r="JP90" s="154">
        <v>0</v>
      </c>
      <c r="JQ90" s="154">
        <v>0</v>
      </c>
      <c r="JR90" s="154">
        <v>0</v>
      </c>
      <c r="JS90" s="154">
        <v>0</v>
      </c>
      <c r="JT90" s="154">
        <v>0</v>
      </c>
      <c r="JU90" s="154">
        <v>0</v>
      </c>
      <c r="JV90" s="204">
        <f t="shared" si="286"/>
        <v>0</v>
      </c>
      <c r="JW90" s="205"/>
      <c r="JX90" s="163">
        <v>0</v>
      </c>
      <c r="JY90" s="164">
        <v>0</v>
      </c>
      <c r="JZ90" s="154">
        <v>0</v>
      </c>
      <c r="KA90" s="154">
        <v>0</v>
      </c>
      <c r="KB90" s="154">
        <v>0</v>
      </c>
      <c r="KC90" s="154">
        <v>0</v>
      </c>
      <c r="KD90" s="154">
        <v>0</v>
      </c>
      <c r="KE90" s="154">
        <v>0</v>
      </c>
      <c r="KF90" s="154">
        <v>0</v>
      </c>
      <c r="KG90" s="154">
        <v>0</v>
      </c>
      <c r="KH90" s="154">
        <v>0</v>
      </c>
      <c r="KI90" s="154">
        <v>0</v>
      </c>
      <c r="KJ90" s="204">
        <f t="shared" si="287"/>
        <v>0</v>
      </c>
      <c r="KK90" s="205"/>
      <c r="KL90" s="163">
        <v>0</v>
      </c>
      <c r="KM90" s="164">
        <v>0</v>
      </c>
      <c r="KN90" s="154">
        <v>0</v>
      </c>
      <c r="KO90" s="154">
        <v>0</v>
      </c>
      <c r="KP90" s="154">
        <v>0</v>
      </c>
      <c r="KQ90" s="154">
        <v>0</v>
      </c>
      <c r="KR90" s="154">
        <v>0</v>
      </c>
      <c r="KS90" s="154">
        <v>0</v>
      </c>
      <c r="KT90" s="154">
        <v>0</v>
      </c>
      <c r="KU90" s="154">
        <v>0</v>
      </c>
      <c r="KV90" s="154">
        <v>0</v>
      </c>
      <c r="KW90" s="154">
        <v>0</v>
      </c>
      <c r="KX90" s="204">
        <f t="shared" si="288"/>
        <v>0</v>
      </c>
      <c r="KY90" s="205"/>
      <c r="KZ90" s="163">
        <v>0</v>
      </c>
      <c r="LA90" s="164">
        <v>0</v>
      </c>
      <c r="LB90" s="154">
        <v>0</v>
      </c>
      <c r="LC90" s="154">
        <v>0</v>
      </c>
      <c r="LD90" s="154">
        <v>0</v>
      </c>
      <c r="LE90" s="154">
        <v>0</v>
      </c>
      <c r="LF90" s="154">
        <v>0</v>
      </c>
      <c r="LG90" s="154">
        <v>0</v>
      </c>
      <c r="LH90" s="154">
        <v>0</v>
      </c>
      <c r="LI90" s="154">
        <v>0</v>
      </c>
      <c r="LJ90" s="154">
        <v>0</v>
      </c>
      <c r="LK90" s="154">
        <v>0</v>
      </c>
      <c r="LL90" s="204">
        <f t="shared" si="289"/>
        <v>0</v>
      </c>
      <c r="LM90" s="205"/>
      <c r="LN90" s="163">
        <v>0</v>
      </c>
      <c r="LO90" s="164">
        <v>0</v>
      </c>
      <c r="LP90" s="154">
        <v>0</v>
      </c>
      <c r="LQ90" s="154">
        <v>0</v>
      </c>
      <c r="LR90" s="154">
        <v>0</v>
      </c>
      <c r="LS90" s="154">
        <v>0</v>
      </c>
      <c r="LT90" s="154">
        <v>0</v>
      </c>
      <c r="LU90" s="154">
        <v>0</v>
      </c>
      <c r="LV90" s="154">
        <v>0</v>
      </c>
      <c r="LW90" s="154">
        <v>0</v>
      </c>
      <c r="LX90" s="154">
        <v>0</v>
      </c>
      <c r="LY90" s="154">
        <v>0</v>
      </c>
      <c r="LZ90" s="204">
        <f t="shared" si="290"/>
        <v>0</v>
      </c>
      <c r="MA90" s="205"/>
      <c r="MB90" s="157">
        <f t="shared" si="291"/>
        <v>0</v>
      </c>
      <c r="MC90" s="157">
        <f t="shared" si="291"/>
        <v>0</v>
      </c>
      <c r="MD90" s="157">
        <f t="shared" si="291"/>
        <v>0</v>
      </c>
      <c r="ME90" s="157">
        <f t="shared" si="291"/>
        <v>0</v>
      </c>
      <c r="MF90" s="157">
        <f t="shared" si="291"/>
        <v>0</v>
      </c>
      <c r="MG90" s="157">
        <f t="shared" si="291"/>
        <v>0</v>
      </c>
      <c r="MH90" s="157">
        <f t="shared" si="291"/>
        <v>0</v>
      </c>
      <c r="MI90" s="157">
        <f t="shared" si="291"/>
        <v>0</v>
      </c>
      <c r="MJ90" s="157">
        <f t="shared" si="291"/>
        <v>0</v>
      </c>
      <c r="MK90" s="157">
        <f t="shared" si="291"/>
        <v>0</v>
      </c>
      <c r="ML90" s="157">
        <f t="shared" si="291"/>
        <v>0</v>
      </c>
      <c r="MM90" s="157">
        <f t="shared" si="291"/>
        <v>0</v>
      </c>
      <c r="MN90" s="157">
        <f t="shared" si="292"/>
        <v>0</v>
      </c>
    </row>
    <row r="91" spans="1:352" x14ac:dyDescent="0.25">
      <c r="A91" s="98"/>
      <c r="B91" s="178" t="s">
        <v>112</v>
      </c>
      <c r="C91" s="202"/>
      <c r="D91" s="163">
        <v>0</v>
      </c>
      <c r="E91" s="177">
        <v>0</v>
      </c>
      <c r="F91" s="177">
        <v>0</v>
      </c>
      <c r="G91" s="177">
        <v>0</v>
      </c>
      <c r="H91" s="177">
        <v>0</v>
      </c>
      <c r="I91" s="177">
        <v>0</v>
      </c>
      <c r="J91" s="177">
        <v>0</v>
      </c>
      <c r="K91" s="177">
        <v>0</v>
      </c>
      <c r="L91" s="177">
        <v>0</v>
      </c>
      <c r="M91" s="177">
        <v>0</v>
      </c>
      <c r="N91" s="177">
        <v>0</v>
      </c>
      <c r="O91" s="177">
        <v>0</v>
      </c>
      <c r="P91" s="204">
        <f t="shared" si="267"/>
        <v>0</v>
      </c>
      <c r="Q91" s="205"/>
      <c r="R91" s="163">
        <v>0</v>
      </c>
      <c r="S91" s="177">
        <v>0</v>
      </c>
      <c r="T91" s="177">
        <v>0</v>
      </c>
      <c r="U91" s="177">
        <v>0</v>
      </c>
      <c r="V91" s="177">
        <v>0</v>
      </c>
      <c r="W91" s="177">
        <v>0</v>
      </c>
      <c r="X91" s="177">
        <v>0</v>
      </c>
      <c r="Y91" s="177">
        <v>0</v>
      </c>
      <c r="Z91" s="177">
        <v>0</v>
      </c>
      <c r="AA91" s="177">
        <v>0</v>
      </c>
      <c r="AB91" s="177">
        <v>0</v>
      </c>
      <c r="AC91" s="177">
        <v>0</v>
      </c>
      <c r="AD91" s="204">
        <f t="shared" si="268"/>
        <v>0</v>
      </c>
      <c r="AE91" s="205"/>
      <c r="AF91" s="163">
        <v>0</v>
      </c>
      <c r="AG91" s="177">
        <v>0</v>
      </c>
      <c r="AH91" s="177">
        <v>0</v>
      </c>
      <c r="AI91" s="177">
        <v>0</v>
      </c>
      <c r="AJ91" s="177">
        <v>0</v>
      </c>
      <c r="AK91" s="177">
        <v>0</v>
      </c>
      <c r="AL91" s="177">
        <v>0</v>
      </c>
      <c r="AM91" s="177">
        <v>0</v>
      </c>
      <c r="AN91" s="177">
        <v>0</v>
      </c>
      <c r="AO91" s="177">
        <v>0</v>
      </c>
      <c r="AP91" s="177">
        <v>0</v>
      </c>
      <c r="AQ91" s="177">
        <v>0</v>
      </c>
      <c r="AR91" s="204">
        <f t="shared" si="269"/>
        <v>0</v>
      </c>
      <c r="AT91" s="163">
        <v>0</v>
      </c>
      <c r="AU91" s="177">
        <v>0</v>
      </c>
      <c r="AV91" s="177">
        <v>0</v>
      </c>
      <c r="AW91" s="177">
        <v>0</v>
      </c>
      <c r="AX91" s="177">
        <v>0</v>
      </c>
      <c r="AY91" s="177">
        <v>0</v>
      </c>
      <c r="AZ91" s="177">
        <v>0</v>
      </c>
      <c r="BA91" s="177">
        <v>0</v>
      </c>
      <c r="BB91" s="177">
        <v>0</v>
      </c>
      <c r="BC91" s="177">
        <v>0</v>
      </c>
      <c r="BD91" s="177">
        <v>0</v>
      </c>
      <c r="BE91" s="177">
        <v>0</v>
      </c>
      <c r="BF91" s="204">
        <f t="shared" si="270"/>
        <v>0</v>
      </c>
      <c r="BH91" s="163">
        <v>0</v>
      </c>
      <c r="BI91" s="164">
        <v>0</v>
      </c>
      <c r="BJ91" s="154">
        <v>0</v>
      </c>
      <c r="BK91" s="154">
        <v>0</v>
      </c>
      <c r="BL91" s="154">
        <v>0</v>
      </c>
      <c r="BM91" s="154">
        <v>0</v>
      </c>
      <c r="BN91" s="154">
        <v>0</v>
      </c>
      <c r="BO91" s="154">
        <v>0</v>
      </c>
      <c r="BP91" s="154">
        <v>0</v>
      </c>
      <c r="BQ91" s="154">
        <v>0</v>
      </c>
      <c r="BR91" s="154">
        <v>0</v>
      </c>
      <c r="BS91" s="154">
        <v>0</v>
      </c>
      <c r="BT91" s="204">
        <f t="shared" si="271"/>
        <v>0</v>
      </c>
      <c r="BV91" s="163">
        <v>0</v>
      </c>
      <c r="BW91" s="164">
        <v>0</v>
      </c>
      <c r="BX91" s="154">
        <v>0</v>
      </c>
      <c r="BY91" s="154">
        <v>0</v>
      </c>
      <c r="BZ91" s="154">
        <v>0</v>
      </c>
      <c r="CA91" s="154">
        <v>0</v>
      </c>
      <c r="CB91" s="154">
        <v>0</v>
      </c>
      <c r="CC91" s="154">
        <v>0</v>
      </c>
      <c r="CD91" s="154">
        <v>0</v>
      </c>
      <c r="CE91" s="154">
        <v>0</v>
      </c>
      <c r="CF91" s="154">
        <v>0</v>
      </c>
      <c r="CG91" s="154">
        <v>0</v>
      </c>
      <c r="CH91" s="204">
        <f t="shared" si="272"/>
        <v>0</v>
      </c>
      <c r="CI91" s="205"/>
      <c r="CJ91" s="163">
        <v>0</v>
      </c>
      <c r="CK91" s="164">
        <v>0</v>
      </c>
      <c r="CL91" s="154">
        <v>0</v>
      </c>
      <c r="CM91" s="154">
        <v>0</v>
      </c>
      <c r="CN91" s="154">
        <v>0</v>
      </c>
      <c r="CO91" s="154">
        <v>0</v>
      </c>
      <c r="CP91" s="154">
        <v>0</v>
      </c>
      <c r="CQ91" s="154">
        <v>0</v>
      </c>
      <c r="CR91" s="154">
        <v>0</v>
      </c>
      <c r="CS91" s="154">
        <v>0</v>
      </c>
      <c r="CT91" s="154">
        <v>0</v>
      </c>
      <c r="CU91" s="154">
        <v>0</v>
      </c>
      <c r="CV91" s="204">
        <f t="shared" si="273"/>
        <v>0</v>
      </c>
      <c r="CW91" s="205"/>
      <c r="CX91" s="163">
        <v>0</v>
      </c>
      <c r="CY91" s="164">
        <v>0</v>
      </c>
      <c r="CZ91" s="154">
        <v>0</v>
      </c>
      <c r="DA91" s="154">
        <v>0</v>
      </c>
      <c r="DB91" s="154">
        <v>0</v>
      </c>
      <c r="DC91" s="154">
        <v>0</v>
      </c>
      <c r="DD91" s="154">
        <v>0</v>
      </c>
      <c r="DE91" s="154">
        <v>0</v>
      </c>
      <c r="DF91" s="154">
        <v>0</v>
      </c>
      <c r="DG91" s="154">
        <v>0</v>
      </c>
      <c r="DH91" s="154">
        <v>0</v>
      </c>
      <c r="DI91" s="154">
        <v>0</v>
      </c>
      <c r="DJ91" s="204">
        <f t="shared" si="274"/>
        <v>0</v>
      </c>
      <c r="DK91" s="205"/>
      <c r="DL91" s="163">
        <v>0</v>
      </c>
      <c r="DM91" s="164">
        <v>0</v>
      </c>
      <c r="DN91" s="154">
        <v>0</v>
      </c>
      <c r="DO91" s="154">
        <v>0</v>
      </c>
      <c r="DP91" s="154">
        <v>0</v>
      </c>
      <c r="DQ91" s="154">
        <v>0</v>
      </c>
      <c r="DR91" s="154">
        <v>0</v>
      </c>
      <c r="DS91" s="154">
        <v>0</v>
      </c>
      <c r="DT91" s="154">
        <v>0</v>
      </c>
      <c r="DU91" s="154">
        <v>0</v>
      </c>
      <c r="DV91" s="154">
        <v>0</v>
      </c>
      <c r="DW91" s="154">
        <v>0</v>
      </c>
      <c r="DX91" s="204">
        <f t="shared" si="275"/>
        <v>0</v>
      </c>
      <c r="DY91" s="205"/>
      <c r="DZ91" s="163">
        <v>0</v>
      </c>
      <c r="EA91" s="164">
        <v>0</v>
      </c>
      <c r="EB91" s="154">
        <v>0</v>
      </c>
      <c r="EC91" s="154">
        <v>0</v>
      </c>
      <c r="ED91" s="154">
        <v>0</v>
      </c>
      <c r="EE91" s="154">
        <v>0</v>
      </c>
      <c r="EF91" s="154">
        <v>0</v>
      </c>
      <c r="EG91" s="154">
        <v>0</v>
      </c>
      <c r="EH91" s="154">
        <v>0</v>
      </c>
      <c r="EI91" s="154">
        <v>0</v>
      </c>
      <c r="EJ91" s="154">
        <v>0</v>
      </c>
      <c r="EK91" s="154">
        <v>0</v>
      </c>
      <c r="EL91" s="204">
        <f t="shared" si="276"/>
        <v>0</v>
      </c>
      <c r="EM91" s="205"/>
      <c r="EN91" s="163">
        <v>0</v>
      </c>
      <c r="EO91" s="164">
        <v>0</v>
      </c>
      <c r="EP91" s="154">
        <v>0</v>
      </c>
      <c r="EQ91" s="154">
        <v>0</v>
      </c>
      <c r="ER91" s="154">
        <v>0</v>
      </c>
      <c r="ES91" s="154">
        <v>0</v>
      </c>
      <c r="ET91" s="154">
        <v>0</v>
      </c>
      <c r="EU91" s="154">
        <v>0</v>
      </c>
      <c r="EV91" s="154">
        <v>0</v>
      </c>
      <c r="EW91" s="154">
        <v>0</v>
      </c>
      <c r="EX91" s="154">
        <v>0</v>
      </c>
      <c r="EY91" s="154">
        <v>0</v>
      </c>
      <c r="EZ91" s="204">
        <f t="shared" si="277"/>
        <v>0</v>
      </c>
      <c r="FA91" s="205"/>
      <c r="FB91" s="163">
        <v>0</v>
      </c>
      <c r="FC91" s="164">
        <v>0</v>
      </c>
      <c r="FD91" s="154">
        <v>0</v>
      </c>
      <c r="FE91" s="154">
        <v>0</v>
      </c>
      <c r="FF91" s="154">
        <v>0</v>
      </c>
      <c r="FG91" s="154">
        <v>0</v>
      </c>
      <c r="FH91" s="154">
        <v>0</v>
      </c>
      <c r="FI91" s="154">
        <v>0</v>
      </c>
      <c r="FJ91" s="154">
        <v>0</v>
      </c>
      <c r="FK91" s="154">
        <v>0</v>
      </c>
      <c r="FL91" s="154">
        <v>0</v>
      </c>
      <c r="FM91" s="154">
        <v>0</v>
      </c>
      <c r="FN91" s="204">
        <f t="shared" si="278"/>
        <v>0</v>
      </c>
      <c r="FO91" s="205"/>
      <c r="FP91" s="163">
        <v>0</v>
      </c>
      <c r="FQ91" s="164">
        <v>0</v>
      </c>
      <c r="FR91" s="154">
        <v>0</v>
      </c>
      <c r="FS91" s="154">
        <v>0</v>
      </c>
      <c r="FT91" s="154">
        <v>0</v>
      </c>
      <c r="FU91" s="154">
        <v>0</v>
      </c>
      <c r="FV91" s="154">
        <v>0</v>
      </c>
      <c r="FW91" s="154">
        <v>0</v>
      </c>
      <c r="FX91" s="154">
        <v>0</v>
      </c>
      <c r="FY91" s="154">
        <v>0</v>
      </c>
      <c r="FZ91" s="154">
        <v>0</v>
      </c>
      <c r="GA91" s="154">
        <v>0</v>
      </c>
      <c r="GB91" s="204">
        <f t="shared" si="279"/>
        <v>0</v>
      </c>
      <c r="GC91" s="205"/>
      <c r="GD91" s="163">
        <v>0</v>
      </c>
      <c r="GE91" s="164">
        <v>0</v>
      </c>
      <c r="GF91" s="154">
        <v>0</v>
      </c>
      <c r="GG91" s="154">
        <v>0</v>
      </c>
      <c r="GH91" s="154">
        <v>0</v>
      </c>
      <c r="GI91" s="154">
        <v>0</v>
      </c>
      <c r="GJ91" s="154">
        <v>0</v>
      </c>
      <c r="GK91" s="154">
        <v>0</v>
      </c>
      <c r="GL91" s="154">
        <v>0</v>
      </c>
      <c r="GM91" s="154">
        <v>0</v>
      </c>
      <c r="GN91" s="154">
        <v>0</v>
      </c>
      <c r="GO91" s="154">
        <v>0</v>
      </c>
      <c r="GP91" s="204">
        <f t="shared" si="280"/>
        <v>0</v>
      </c>
      <c r="GQ91" s="205"/>
      <c r="GR91" s="163">
        <v>0</v>
      </c>
      <c r="GS91" s="164">
        <v>0</v>
      </c>
      <c r="GT91" s="154">
        <v>0</v>
      </c>
      <c r="GU91" s="154">
        <v>0</v>
      </c>
      <c r="GV91" s="154">
        <v>0</v>
      </c>
      <c r="GW91" s="154">
        <v>0</v>
      </c>
      <c r="GX91" s="154">
        <v>0</v>
      </c>
      <c r="GY91" s="154">
        <v>0</v>
      </c>
      <c r="GZ91" s="154">
        <v>0</v>
      </c>
      <c r="HA91" s="154">
        <v>0</v>
      </c>
      <c r="HB91" s="154">
        <v>0</v>
      </c>
      <c r="HC91" s="154">
        <v>0</v>
      </c>
      <c r="HD91" s="204">
        <f t="shared" si="293"/>
        <v>0</v>
      </c>
      <c r="HE91" s="205"/>
      <c r="HF91" s="163">
        <v>0</v>
      </c>
      <c r="HG91" s="164">
        <v>0</v>
      </c>
      <c r="HH91" s="154">
        <v>0</v>
      </c>
      <c r="HI91" s="154">
        <v>0</v>
      </c>
      <c r="HJ91" s="154">
        <v>0</v>
      </c>
      <c r="HK91" s="154">
        <v>0</v>
      </c>
      <c r="HL91" s="154">
        <v>0</v>
      </c>
      <c r="HM91" s="154">
        <v>0</v>
      </c>
      <c r="HN91" s="154">
        <v>0</v>
      </c>
      <c r="HO91" s="154">
        <v>0</v>
      </c>
      <c r="HP91" s="154">
        <v>0</v>
      </c>
      <c r="HQ91" s="154">
        <v>0</v>
      </c>
      <c r="HR91" s="204">
        <f t="shared" si="282"/>
        <v>0</v>
      </c>
      <c r="HS91" s="205"/>
      <c r="HT91" s="163">
        <v>0</v>
      </c>
      <c r="HU91" s="164">
        <v>0</v>
      </c>
      <c r="HV91" s="154">
        <v>0</v>
      </c>
      <c r="HW91" s="154">
        <v>0</v>
      </c>
      <c r="HX91" s="154">
        <v>0</v>
      </c>
      <c r="HY91" s="154">
        <v>0</v>
      </c>
      <c r="HZ91" s="154">
        <v>0</v>
      </c>
      <c r="IA91" s="154">
        <v>0</v>
      </c>
      <c r="IB91" s="154">
        <v>0</v>
      </c>
      <c r="IC91" s="154">
        <v>0</v>
      </c>
      <c r="ID91" s="154">
        <v>0</v>
      </c>
      <c r="IE91" s="154">
        <v>0</v>
      </c>
      <c r="IF91" s="204">
        <f t="shared" si="283"/>
        <v>0</v>
      </c>
      <c r="IG91" s="205"/>
      <c r="IH91" s="163">
        <v>0</v>
      </c>
      <c r="II91" s="164">
        <v>0</v>
      </c>
      <c r="IJ91" s="154">
        <v>0</v>
      </c>
      <c r="IK91" s="154">
        <v>0</v>
      </c>
      <c r="IL91" s="154">
        <v>0</v>
      </c>
      <c r="IM91" s="154">
        <v>0</v>
      </c>
      <c r="IN91" s="154">
        <v>0</v>
      </c>
      <c r="IO91" s="154">
        <v>0</v>
      </c>
      <c r="IP91" s="154">
        <v>0</v>
      </c>
      <c r="IQ91" s="154">
        <v>0</v>
      </c>
      <c r="IR91" s="154">
        <v>0</v>
      </c>
      <c r="IS91" s="154">
        <v>0</v>
      </c>
      <c r="IT91" s="204">
        <f t="shared" si="284"/>
        <v>0</v>
      </c>
      <c r="IU91" s="205"/>
      <c r="IV91" s="163">
        <v>0</v>
      </c>
      <c r="IW91" s="164">
        <v>0</v>
      </c>
      <c r="IX91" s="154">
        <v>0</v>
      </c>
      <c r="IY91" s="154">
        <v>0</v>
      </c>
      <c r="IZ91" s="154">
        <v>0</v>
      </c>
      <c r="JA91" s="154">
        <v>0</v>
      </c>
      <c r="JB91" s="154">
        <v>0</v>
      </c>
      <c r="JC91" s="154">
        <v>0</v>
      </c>
      <c r="JD91" s="154">
        <v>0</v>
      </c>
      <c r="JE91" s="154">
        <v>0</v>
      </c>
      <c r="JF91" s="154">
        <v>0</v>
      </c>
      <c r="JG91" s="154">
        <v>0</v>
      </c>
      <c r="JH91" s="204">
        <f t="shared" si="285"/>
        <v>0</v>
      </c>
      <c r="JI91" s="205"/>
      <c r="JJ91" s="163">
        <v>0</v>
      </c>
      <c r="JK91" s="164">
        <v>0</v>
      </c>
      <c r="JL91" s="154">
        <v>0</v>
      </c>
      <c r="JM91" s="154">
        <v>0</v>
      </c>
      <c r="JN91" s="154">
        <v>0</v>
      </c>
      <c r="JO91" s="154">
        <v>0</v>
      </c>
      <c r="JP91" s="154">
        <v>0</v>
      </c>
      <c r="JQ91" s="154">
        <v>0</v>
      </c>
      <c r="JR91" s="154">
        <v>0</v>
      </c>
      <c r="JS91" s="154">
        <v>0</v>
      </c>
      <c r="JT91" s="154">
        <v>0</v>
      </c>
      <c r="JU91" s="154">
        <v>0</v>
      </c>
      <c r="JV91" s="204">
        <f t="shared" si="286"/>
        <v>0</v>
      </c>
      <c r="JW91" s="205"/>
      <c r="JX91" s="163">
        <v>0</v>
      </c>
      <c r="JY91" s="164">
        <v>0</v>
      </c>
      <c r="JZ91" s="154">
        <v>0</v>
      </c>
      <c r="KA91" s="154">
        <v>0</v>
      </c>
      <c r="KB91" s="154">
        <v>0</v>
      </c>
      <c r="KC91" s="154">
        <v>0</v>
      </c>
      <c r="KD91" s="154">
        <v>0</v>
      </c>
      <c r="KE91" s="154">
        <v>0</v>
      </c>
      <c r="KF91" s="154">
        <v>0</v>
      </c>
      <c r="KG91" s="154">
        <v>0</v>
      </c>
      <c r="KH91" s="154">
        <v>0</v>
      </c>
      <c r="KI91" s="154">
        <v>0</v>
      </c>
      <c r="KJ91" s="204">
        <f t="shared" si="287"/>
        <v>0</v>
      </c>
      <c r="KK91" s="205"/>
      <c r="KL91" s="163">
        <v>0</v>
      </c>
      <c r="KM91" s="164">
        <v>0</v>
      </c>
      <c r="KN91" s="154">
        <v>0</v>
      </c>
      <c r="KO91" s="154">
        <v>0</v>
      </c>
      <c r="KP91" s="154">
        <v>0</v>
      </c>
      <c r="KQ91" s="154">
        <v>0</v>
      </c>
      <c r="KR91" s="154">
        <v>0</v>
      </c>
      <c r="KS91" s="154">
        <v>0</v>
      </c>
      <c r="KT91" s="154">
        <v>0</v>
      </c>
      <c r="KU91" s="154">
        <v>0</v>
      </c>
      <c r="KV91" s="154">
        <v>0</v>
      </c>
      <c r="KW91" s="154">
        <v>0</v>
      </c>
      <c r="KX91" s="204">
        <f t="shared" si="288"/>
        <v>0</v>
      </c>
      <c r="KY91" s="205"/>
      <c r="KZ91" s="163">
        <v>0</v>
      </c>
      <c r="LA91" s="164">
        <v>0</v>
      </c>
      <c r="LB91" s="154">
        <v>0</v>
      </c>
      <c r="LC91" s="154">
        <v>0</v>
      </c>
      <c r="LD91" s="154">
        <v>0</v>
      </c>
      <c r="LE91" s="154">
        <v>0</v>
      </c>
      <c r="LF91" s="154">
        <v>0</v>
      </c>
      <c r="LG91" s="154">
        <v>0</v>
      </c>
      <c r="LH91" s="154">
        <v>0</v>
      </c>
      <c r="LI91" s="154">
        <v>0</v>
      </c>
      <c r="LJ91" s="154">
        <v>0</v>
      </c>
      <c r="LK91" s="154">
        <v>0</v>
      </c>
      <c r="LL91" s="204">
        <f t="shared" si="289"/>
        <v>0</v>
      </c>
      <c r="LM91" s="205"/>
      <c r="LN91" s="163">
        <v>0</v>
      </c>
      <c r="LO91" s="164">
        <v>0</v>
      </c>
      <c r="LP91" s="154">
        <v>0</v>
      </c>
      <c r="LQ91" s="154">
        <v>0</v>
      </c>
      <c r="LR91" s="154">
        <v>0</v>
      </c>
      <c r="LS91" s="154">
        <v>0</v>
      </c>
      <c r="LT91" s="154">
        <v>0</v>
      </c>
      <c r="LU91" s="154">
        <v>0</v>
      </c>
      <c r="LV91" s="154">
        <v>0</v>
      </c>
      <c r="LW91" s="154">
        <v>0</v>
      </c>
      <c r="LX91" s="154">
        <v>0</v>
      </c>
      <c r="LY91" s="154">
        <v>0</v>
      </c>
      <c r="LZ91" s="204">
        <f t="shared" si="290"/>
        <v>0</v>
      </c>
      <c r="MA91" s="205"/>
      <c r="MB91" s="157">
        <f t="shared" si="291"/>
        <v>0</v>
      </c>
      <c r="MC91" s="157">
        <f t="shared" si="291"/>
        <v>0</v>
      </c>
      <c r="MD91" s="157">
        <f t="shared" si="291"/>
        <v>0</v>
      </c>
      <c r="ME91" s="157">
        <f t="shared" si="291"/>
        <v>0</v>
      </c>
      <c r="MF91" s="157">
        <f t="shared" si="291"/>
        <v>0</v>
      </c>
      <c r="MG91" s="157">
        <f t="shared" si="291"/>
        <v>0</v>
      </c>
      <c r="MH91" s="157">
        <f t="shared" si="291"/>
        <v>0</v>
      </c>
      <c r="MI91" s="157">
        <f t="shared" si="291"/>
        <v>0</v>
      </c>
      <c r="MJ91" s="157">
        <f t="shared" si="291"/>
        <v>0</v>
      </c>
      <c r="MK91" s="157">
        <f t="shared" si="291"/>
        <v>0</v>
      </c>
      <c r="ML91" s="157">
        <f t="shared" si="291"/>
        <v>0</v>
      </c>
      <c r="MM91" s="157">
        <f t="shared" si="291"/>
        <v>0</v>
      </c>
      <c r="MN91" s="157">
        <f t="shared" si="292"/>
        <v>0</v>
      </c>
    </row>
    <row r="92" spans="1:352" x14ac:dyDescent="0.25">
      <c r="A92" s="98"/>
      <c r="B92" s="178" t="s">
        <v>113</v>
      </c>
      <c r="C92" s="202"/>
      <c r="D92" s="163">
        <v>0</v>
      </c>
      <c r="E92" s="177">
        <v>0</v>
      </c>
      <c r="F92" s="177">
        <v>0</v>
      </c>
      <c r="G92" s="177">
        <v>0</v>
      </c>
      <c r="H92" s="177">
        <v>0</v>
      </c>
      <c r="I92" s="177">
        <v>0</v>
      </c>
      <c r="J92" s="177">
        <v>0</v>
      </c>
      <c r="K92" s="177">
        <v>0</v>
      </c>
      <c r="L92" s="177">
        <v>0</v>
      </c>
      <c r="M92" s="177">
        <v>0</v>
      </c>
      <c r="N92" s="177">
        <v>0</v>
      </c>
      <c r="O92" s="177">
        <v>0</v>
      </c>
      <c r="P92" s="204">
        <f t="shared" si="267"/>
        <v>0</v>
      </c>
      <c r="Q92" s="205"/>
      <c r="R92" s="163">
        <v>0</v>
      </c>
      <c r="S92" s="177">
        <v>0</v>
      </c>
      <c r="T92" s="177">
        <v>0</v>
      </c>
      <c r="U92" s="177">
        <v>0</v>
      </c>
      <c r="V92" s="177">
        <v>0</v>
      </c>
      <c r="W92" s="177">
        <v>0</v>
      </c>
      <c r="X92" s="177">
        <v>0</v>
      </c>
      <c r="Y92" s="177">
        <v>0</v>
      </c>
      <c r="Z92" s="177">
        <v>0</v>
      </c>
      <c r="AA92" s="177">
        <v>0</v>
      </c>
      <c r="AB92" s="177">
        <v>0</v>
      </c>
      <c r="AC92" s="177">
        <v>0</v>
      </c>
      <c r="AD92" s="204">
        <f t="shared" si="268"/>
        <v>0</v>
      </c>
      <c r="AE92" s="205"/>
      <c r="AF92" s="163">
        <v>0</v>
      </c>
      <c r="AG92" s="177">
        <v>0</v>
      </c>
      <c r="AH92" s="177">
        <v>0</v>
      </c>
      <c r="AI92" s="177">
        <v>0</v>
      </c>
      <c r="AJ92" s="177">
        <v>0</v>
      </c>
      <c r="AK92" s="177">
        <v>0</v>
      </c>
      <c r="AL92" s="177">
        <v>0</v>
      </c>
      <c r="AM92" s="177">
        <v>0</v>
      </c>
      <c r="AN92" s="177">
        <v>0</v>
      </c>
      <c r="AO92" s="177">
        <v>0</v>
      </c>
      <c r="AP92" s="177">
        <v>0</v>
      </c>
      <c r="AQ92" s="177">
        <v>0</v>
      </c>
      <c r="AR92" s="204">
        <f t="shared" si="269"/>
        <v>0</v>
      </c>
      <c r="AT92" s="163">
        <v>0</v>
      </c>
      <c r="AU92" s="177">
        <v>0</v>
      </c>
      <c r="AV92" s="177">
        <v>0</v>
      </c>
      <c r="AW92" s="177">
        <v>0</v>
      </c>
      <c r="AX92" s="177">
        <v>0</v>
      </c>
      <c r="AY92" s="177">
        <v>0</v>
      </c>
      <c r="AZ92" s="177">
        <v>0</v>
      </c>
      <c r="BA92" s="177">
        <v>0</v>
      </c>
      <c r="BB92" s="177">
        <v>0</v>
      </c>
      <c r="BC92" s="177">
        <v>0</v>
      </c>
      <c r="BD92" s="177">
        <v>0</v>
      </c>
      <c r="BE92" s="177">
        <v>0</v>
      </c>
      <c r="BF92" s="204">
        <f t="shared" si="270"/>
        <v>0</v>
      </c>
      <c r="BH92" s="163">
        <v>0</v>
      </c>
      <c r="BI92" s="164">
        <v>0</v>
      </c>
      <c r="BJ92" s="154">
        <v>0</v>
      </c>
      <c r="BK92" s="154">
        <v>0</v>
      </c>
      <c r="BL92" s="154">
        <v>0</v>
      </c>
      <c r="BM92" s="154">
        <v>0</v>
      </c>
      <c r="BN92" s="154">
        <v>0</v>
      </c>
      <c r="BO92" s="154">
        <v>0</v>
      </c>
      <c r="BP92" s="154">
        <v>0</v>
      </c>
      <c r="BQ92" s="154">
        <v>0</v>
      </c>
      <c r="BR92" s="154">
        <v>0</v>
      </c>
      <c r="BS92" s="154">
        <v>0</v>
      </c>
      <c r="BT92" s="204">
        <f t="shared" si="271"/>
        <v>0</v>
      </c>
      <c r="BV92" s="163">
        <v>0</v>
      </c>
      <c r="BW92" s="164">
        <v>0</v>
      </c>
      <c r="BX92" s="154">
        <v>0</v>
      </c>
      <c r="BY92" s="154">
        <v>0</v>
      </c>
      <c r="BZ92" s="154">
        <v>0</v>
      </c>
      <c r="CA92" s="154">
        <v>0</v>
      </c>
      <c r="CB92" s="154">
        <v>0</v>
      </c>
      <c r="CC92" s="154">
        <v>0</v>
      </c>
      <c r="CD92" s="154">
        <v>0</v>
      </c>
      <c r="CE92" s="154">
        <v>0</v>
      </c>
      <c r="CF92" s="154">
        <v>0</v>
      </c>
      <c r="CG92" s="154">
        <v>0</v>
      </c>
      <c r="CH92" s="204">
        <f t="shared" si="272"/>
        <v>0</v>
      </c>
      <c r="CI92" s="205"/>
      <c r="CJ92" s="163">
        <v>0</v>
      </c>
      <c r="CK92" s="164">
        <v>0</v>
      </c>
      <c r="CL92" s="154">
        <v>0</v>
      </c>
      <c r="CM92" s="154">
        <v>0</v>
      </c>
      <c r="CN92" s="154">
        <v>0</v>
      </c>
      <c r="CO92" s="154">
        <v>0</v>
      </c>
      <c r="CP92" s="154">
        <v>0</v>
      </c>
      <c r="CQ92" s="154">
        <v>0</v>
      </c>
      <c r="CR92" s="154">
        <v>0</v>
      </c>
      <c r="CS92" s="154">
        <v>0</v>
      </c>
      <c r="CT92" s="154">
        <v>0</v>
      </c>
      <c r="CU92" s="154">
        <v>0</v>
      </c>
      <c r="CV92" s="204">
        <f t="shared" si="273"/>
        <v>0</v>
      </c>
      <c r="CW92" s="205"/>
      <c r="CX92" s="163">
        <v>0</v>
      </c>
      <c r="CY92" s="164">
        <v>0</v>
      </c>
      <c r="CZ92" s="154">
        <v>0</v>
      </c>
      <c r="DA92" s="154">
        <v>0</v>
      </c>
      <c r="DB92" s="154">
        <v>0</v>
      </c>
      <c r="DC92" s="154">
        <v>0</v>
      </c>
      <c r="DD92" s="154">
        <v>0</v>
      </c>
      <c r="DE92" s="154">
        <v>0</v>
      </c>
      <c r="DF92" s="154">
        <v>0</v>
      </c>
      <c r="DG92" s="154">
        <v>0</v>
      </c>
      <c r="DH92" s="154">
        <v>0</v>
      </c>
      <c r="DI92" s="154">
        <v>0</v>
      </c>
      <c r="DJ92" s="204">
        <f t="shared" si="274"/>
        <v>0</v>
      </c>
      <c r="DK92" s="205"/>
      <c r="DL92" s="163">
        <v>0</v>
      </c>
      <c r="DM92" s="164">
        <v>0</v>
      </c>
      <c r="DN92" s="154">
        <v>0</v>
      </c>
      <c r="DO92" s="154">
        <v>0</v>
      </c>
      <c r="DP92" s="154">
        <v>0</v>
      </c>
      <c r="DQ92" s="154">
        <v>0</v>
      </c>
      <c r="DR92" s="154">
        <v>0</v>
      </c>
      <c r="DS92" s="154">
        <v>0</v>
      </c>
      <c r="DT92" s="154">
        <v>0</v>
      </c>
      <c r="DU92" s="154">
        <v>0</v>
      </c>
      <c r="DV92" s="154">
        <v>0</v>
      </c>
      <c r="DW92" s="154">
        <v>0</v>
      </c>
      <c r="DX92" s="204">
        <f t="shared" si="275"/>
        <v>0</v>
      </c>
      <c r="DY92" s="205"/>
      <c r="DZ92" s="163">
        <v>0</v>
      </c>
      <c r="EA92" s="164">
        <v>0</v>
      </c>
      <c r="EB92" s="154">
        <v>0</v>
      </c>
      <c r="EC92" s="154">
        <v>0</v>
      </c>
      <c r="ED92" s="154">
        <v>0</v>
      </c>
      <c r="EE92" s="154">
        <v>0</v>
      </c>
      <c r="EF92" s="154">
        <v>0</v>
      </c>
      <c r="EG92" s="154">
        <v>0</v>
      </c>
      <c r="EH92" s="154">
        <v>0</v>
      </c>
      <c r="EI92" s="154">
        <v>0</v>
      </c>
      <c r="EJ92" s="154">
        <v>0</v>
      </c>
      <c r="EK92" s="154">
        <v>0</v>
      </c>
      <c r="EL92" s="204">
        <f t="shared" si="276"/>
        <v>0</v>
      </c>
      <c r="EM92" s="205"/>
      <c r="EN92" s="163">
        <v>0</v>
      </c>
      <c r="EO92" s="164">
        <v>0</v>
      </c>
      <c r="EP92" s="154">
        <v>0</v>
      </c>
      <c r="EQ92" s="154">
        <v>0</v>
      </c>
      <c r="ER92" s="154">
        <v>0</v>
      </c>
      <c r="ES92" s="154">
        <v>0</v>
      </c>
      <c r="ET92" s="154">
        <v>0</v>
      </c>
      <c r="EU92" s="154">
        <v>0</v>
      </c>
      <c r="EV92" s="154">
        <v>0</v>
      </c>
      <c r="EW92" s="154">
        <v>0</v>
      </c>
      <c r="EX92" s="154">
        <v>0</v>
      </c>
      <c r="EY92" s="154">
        <v>0</v>
      </c>
      <c r="EZ92" s="204">
        <f t="shared" si="277"/>
        <v>0</v>
      </c>
      <c r="FA92" s="205"/>
      <c r="FB92" s="163">
        <v>0</v>
      </c>
      <c r="FC92" s="164">
        <v>0</v>
      </c>
      <c r="FD92" s="154">
        <v>0</v>
      </c>
      <c r="FE92" s="154">
        <v>0</v>
      </c>
      <c r="FF92" s="154">
        <v>0</v>
      </c>
      <c r="FG92" s="154">
        <v>0</v>
      </c>
      <c r="FH92" s="154">
        <v>0</v>
      </c>
      <c r="FI92" s="154">
        <v>0</v>
      </c>
      <c r="FJ92" s="154">
        <v>0</v>
      </c>
      <c r="FK92" s="154">
        <v>0</v>
      </c>
      <c r="FL92" s="154">
        <v>0</v>
      </c>
      <c r="FM92" s="154">
        <v>0</v>
      </c>
      <c r="FN92" s="204">
        <f t="shared" si="278"/>
        <v>0</v>
      </c>
      <c r="FO92" s="205"/>
      <c r="FP92" s="163">
        <v>0</v>
      </c>
      <c r="FQ92" s="164">
        <v>0</v>
      </c>
      <c r="FR92" s="154">
        <v>0</v>
      </c>
      <c r="FS92" s="154">
        <v>0</v>
      </c>
      <c r="FT92" s="154">
        <v>0</v>
      </c>
      <c r="FU92" s="154">
        <v>0</v>
      </c>
      <c r="FV92" s="154">
        <v>0</v>
      </c>
      <c r="FW92" s="154">
        <v>0</v>
      </c>
      <c r="FX92" s="154">
        <v>0</v>
      </c>
      <c r="FY92" s="154">
        <v>0</v>
      </c>
      <c r="FZ92" s="154">
        <v>0</v>
      </c>
      <c r="GA92" s="154">
        <v>0</v>
      </c>
      <c r="GB92" s="204">
        <f t="shared" si="279"/>
        <v>0</v>
      </c>
      <c r="GC92" s="205"/>
      <c r="GD92" s="163">
        <v>0</v>
      </c>
      <c r="GE92" s="164">
        <v>0</v>
      </c>
      <c r="GF92" s="154">
        <v>0</v>
      </c>
      <c r="GG92" s="154">
        <v>0</v>
      </c>
      <c r="GH92" s="154">
        <v>0</v>
      </c>
      <c r="GI92" s="154">
        <v>0</v>
      </c>
      <c r="GJ92" s="154">
        <v>0</v>
      </c>
      <c r="GK92" s="154">
        <v>0</v>
      </c>
      <c r="GL92" s="154">
        <v>0</v>
      </c>
      <c r="GM92" s="154">
        <v>0</v>
      </c>
      <c r="GN92" s="154">
        <v>0</v>
      </c>
      <c r="GO92" s="154">
        <v>0</v>
      </c>
      <c r="GP92" s="204">
        <f t="shared" si="280"/>
        <v>0</v>
      </c>
      <c r="GQ92" s="205"/>
      <c r="GR92" s="163">
        <v>0</v>
      </c>
      <c r="GS92" s="164">
        <v>0</v>
      </c>
      <c r="GT92" s="154">
        <v>0</v>
      </c>
      <c r="GU92" s="154">
        <v>0</v>
      </c>
      <c r="GV92" s="154">
        <v>0</v>
      </c>
      <c r="GW92" s="154">
        <v>0</v>
      </c>
      <c r="GX92" s="154">
        <v>0</v>
      </c>
      <c r="GY92" s="154">
        <v>0</v>
      </c>
      <c r="GZ92" s="154">
        <v>0</v>
      </c>
      <c r="HA92" s="154">
        <v>0</v>
      </c>
      <c r="HB92" s="154">
        <v>0</v>
      </c>
      <c r="HC92" s="154">
        <v>0</v>
      </c>
      <c r="HD92" s="204">
        <f t="shared" si="293"/>
        <v>0</v>
      </c>
      <c r="HE92" s="205"/>
      <c r="HF92" s="163">
        <v>0</v>
      </c>
      <c r="HG92" s="164">
        <v>0</v>
      </c>
      <c r="HH92" s="154">
        <v>0</v>
      </c>
      <c r="HI92" s="154">
        <v>0</v>
      </c>
      <c r="HJ92" s="154">
        <v>0</v>
      </c>
      <c r="HK92" s="154">
        <v>0</v>
      </c>
      <c r="HL92" s="154">
        <v>0</v>
      </c>
      <c r="HM92" s="154">
        <v>0</v>
      </c>
      <c r="HN92" s="154">
        <v>0</v>
      </c>
      <c r="HO92" s="154">
        <v>0</v>
      </c>
      <c r="HP92" s="154">
        <v>0</v>
      </c>
      <c r="HQ92" s="154">
        <v>0</v>
      </c>
      <c r="HR92" s="204">
        <f t="shared" si="282"/>
        <v>0</v>
      </c>
      <c r="HS92" s="205"/>
      <c r="HT92" s="163">
        <v>0</v>
      </c>
      <c r="HU92" s="164">
        <v>0</v>
      </c>
      <c r="HV92" s="154">
        <v>0</v>
      </c>
      <c r="HW92" s="154">
        <v>0</v>
      </c>
      <c r="HX92" s="154">
        <v>0</v>
      </c>
      <c r="HY92" s="154">
        <v>0</v>
      </c>
      <c r="HZ92" s="154">
        <v>0</v>
      </c>
      <c r="IA92" s="154">
        <v>0</v>
      </c>
      <c r="IB92" s="154">
        <v>0</v>
      </c>
      <c r="IC92" s="154">
        <v>0</v>
      </c>
      <c r="ID92" s="154">
        <v>0</v>
      </c>
      <c r="IE92" s="154">
        <v>0</v>
      </c>
      <c r="IF92" s="204">
        <f t="shared" si="283"/>
        <v>0</v>
      </c>
      <c r="IG92" s="205"/>
      <c r="IH92" s="163">
        <v>0</v>
      </c>
      <c r="II92" s="164">
        <v>0</v>
      </c>
      <c r="IJ92" s="154">
        <v>0</v>
      </c>
      <c r="IK92" s="154">
        <v>0</v>
      </c>
      <c r="IL92" s="154">
        <v>0</v>
      </c>
      <c r="IM92" s="154">
        <v>0</v>
      </c>
      <c r="IN92" s="154">
        <v>0</v>
      </c>
      <c r="IO92" s="154">
        <v>0</v>
      </c>
      <c r="IP92" s="154">
        <v>0</v>
      </c>
      <c r="IQ92" s="154">
        <v>0</v>
      </c>
      <c r="IR92" s="154">
        <v>0</v>
      </c>
      <c r="IS92" s="154">
        <v>0</v>
      </c>
      <c r="IT92" s="204">
        <f t="shared" si="284"/>
        <v>0</v>
      </c>
      <c r="IU92" s="205"/>
      <c r="IV92" s="163">
        <v>0</v>
      </c>
      <c r="IW92" s="164">
        <v>0</v>
      </c>
      <c r="IX92" s="154">
        <v>0</v>
      </c>
      <c r="IY92" s="154">
        <v>0</v>
      </c>
      <c r="IZ92" s="154">
        <v>0</v>
      </c>
      <c r="JA92" s="154">
        <v>0</v>
      </c>
      <c r="JB92" s="154">
        <v>0</v>
      </c>
      <c r="JC92" s="154">
        <v>0</v>
      </c>
      <c r="JD92" s="154">
        <v>0</v>
      </c>
      <c r="JE92" s="154">
        <v>0</v>
      </c>
      <c r="JF92" s="154">
        <v>0</v>
      </c>
      <c r="JG92" s="154">
        <v>0</v>
      </c>
      <c r="JH92" s="204">
        <f t="shared" si="285"/>
        <v>0</v>
      </c>
      <c r="JI92" s="205"/>
      <c r="JJ92" s="163">
        <v>0</v>
      </c>
      <c r="JK92" s="164">
        <v>0</v>
      </c>
      <c r="JL92" s="154">
        <v>0</v>
      </c>
      <c r="JM92" s="154">
        <v>0</v>
      </c>
      <c r="JN92" s="154">
        <v>0</v>
      </c>
      <c r="JO92" s="154">
        <v>0</v>
      </c>
      <c r="JP92" s="154">
        <v>0</v>
      </c>
      <c r="JQ92" s="154">
        <v>0</v>
      </c>
      <c r="JR92" s="154">
        <v>0</v>
      </c>
      <c r="JS92" s="154">
        <v>0</v>
      </c>
      <c r="JT92" s="154">
        <v>0</v>
      </c>
      <c r="JU92" s="154">
        <v>0</v>
      </c>
      <c r="JV92" s="204">
        <f t="shared" si="286"/>
        <v>0</v>
      </c>
      <c r="JW92" s="205"/>
      <c r="JX92" s="163">
        <v>0</v>
      </c>
      <c r="JY92" s="164">
        <v>0</v>
      </c>
      <c r="JZ92" s="154">
        <v>0</v>
      </c>
      <c r="KA92" s="154">
        <v>0</v>
      </c>
      <c r="KB92" s="154">
        <v>0</v>
      </c>
      <c r="KC92" s="154">
        <v>0</v>
      </c>
      <c r="KD92" s="154">
        <v>0</v>
      </c>
      <c r="KE92" s="154">
        <v>0</v>
      </c>
      <c r="KF92" s="154">
        <v>0</v>
      </c>
      <c r="KG92" s="154">
        <v>0</v>
      </c>
      <c r="KH92" s="154">
        <v>0</v>
      </c>
      <c r="KI92" s="154">
        <v>0</v>
      </c>
      <c r="KJ92" s="204">
        <f t="shared" si="287"/>
        <v>0</v>
      </c>
      <c r="KK92" s="205"/>
      <c r="KL92" s="163">
        <v>0</v>
      </c>
      <c r="KM92" s="164">
        <v>0</v>
      </c>
      <c r="KN92" s="154">
        <v>0</v>
      </c>
      <c r="KO92" s="154">
        <v>0</v>
      </c>
      <c r="KP92" s="154">
        <v>0</v>
      </c>
      <c r="KQ92" s="154">
        <v>0</v>
      </c>
      <c r="KR92" s="154">
        <v>0</v>
      </c>
      <c r="KS92" s="154">
        <v>0</v>
      </c>
      <c r="KT92" s="154">
        <v>0</v>
      </c>
      <c r="KU92" s="154">
        <v>0</v>
      </c>
      <c r="KV92" s="154">
        <v>0</v>
      </c>
      <c r="KW92" s="154">
        <v>0</v>
      </c>
      <c r="KX92" s="204">
        <f t="shared" si="288"/>
        <v>0</v>
      </c>
      <c r="KY92" s="205"/>
      <c r="KZ92" s="163">
        <v>0</v>
      </c>
      <c r="LA92" s="164">
        <v>0</v>
      </c>
      <c r="LB92" s="154">
        <v>0</v>
      </c>
      <c r="LC92" s="154">
        <v>0</v>
      </c>
      <c r="LD92" s="154">
        <v>0</v>
      </c>
      <c r="LE92" s="154">
        <v>0</v>
      </c>
      <c r="LF92" s="154">
        <v>0</v>
      </c>
      <c r="LG92" s="154">
        <v>0</v>
      </c>
      <c r="LH92" s="154">
        <v>0</v>
      </c>
      <c r="LI92" s="154">
        <v>0</v>
      </c>
      <c r="LJ92" s="154">
        <v>0</v>
      </c>
      <c r="LK92" s="154">
        <v>0</v>
      </c>
      <c r="LL92" s="204">
        <f t="shared" si="289"/>
        <v>0</v>
      </c>
      <c r="LM92" s="205"/>
      <c r="LN92" s="163">
        <v>0</v>
      </c>
      <c r="LO92" s="164">
        <v>0</v>
      </c>
      <c r="LP92" s="154">
        <v>0</v>
      </c>
      <c r="LQ92" s="154">
        <v>0</v>
      </c>
      <c r="LR92" s="154">
        <v>0</v>
      </c>
      <c r="LS92" s="154">
        <v>0</v>
      </c>
      <c r="LT92" s="154">
        <v>0</v>
      </c>
      <c r="LU92" s="154">
        <v>0</v>
      </c>
      <c r="LV92" s="154">
        <v>0</v>
      </c>
      <c r="LW92" s="154">
        <v>0</v>
      </c>
      <c r="LX92" s="154">
        <v>0</v>
      </c>
      <c r="LY92" s="154">
        <v>0</v>
      </c>
      <c r="LZ92" s="204">
        <f t="shared" si="290"/>
        <v>0</v>
      </c>
      <c r="MA92" s="205"/>
      <c r="MB92" s="157">
        <f t="shared" si="291"/>
        <v>0</v>
      </c>
      <c r="MC92" s="157">
        <f t="shared" si="291"/>
        <v>0</v>
      </c>
      <c r="MD92" s="157">
        <f t="shared" si="291"/>
        <v>0</v>
      </c>
      <c r="ME92" s="157">
        <f t="shared" si="291"/>
        <v>0</v>
      </c>
      <c r="MF92" s="157">
        <f t="shared" si="291"/>
        <v>0</v>
      </c>
      <c r="MG92" s="157">
        <f t="shared" si="291"/>
        <v>0</v>
      </c>
      <c r="MH92" s="157">
        <f t="shared" si="291"/>
        <v>0</v>
      </c>
      <c r="MI92" s="157">
        <f t="shared" si="291"/>
        <v>0</v>
      </c>
      <c r="MJ92" s="157">
        <f t="shared" si="291"/>
        <v>0</v>
      </c>
      <c r="MK92" s="157">
        <f t="shared" si="291"/>
        <v>0</v>
      </c>
      <c r="ML92" s="157">
        <f t="shared" si="291"/>
        <v>0</v>
      </c>
      <c r="MM92" s="157">
        <f t="shared" si="291"/>
        <v>0</v>
      </c>
      <c r="MN92" s="157">
        <f t="shared" si="292"/>
        <v>0</v>
      </c>
    </row>
    <row r="93" spans="1:352" x14ac:dyDescent="0.25">
      <c r="A93" s="98"/>
      <c r="B93" s="183"/>
      <c r="C93" s="98"/>
      <c r="D93" s="153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7"/>
      <c r="Q93" s="161"/>
      <c r="R93" s="153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7"/>
      <c r="AE93" s="161"/>
      <c r="AF93" s="153"/>
      <c r="AG93" s="154"/>
      <c r="AH93" s="154"/>
      <c r="AI93" s="154"/>
      <c r="AJ93" s="154"/>
      <c r="AK93" s="154"/>
      <c r="AL93" s="154"/>
      <c r="AM93" s="154"/>
      <c r="AN93" s="154"/>
      <c r="AO93" s="154"/>
      <c r="AP93" s="154"/>
      <c r="AQ93" s="154"/>
      <c r="AR93" s="157"/>
      <c r="AT93" s="153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7"/>
      <c r="BH93" s="153"/>
      <c r="BI93" s="154"/>
      <c r="BJ93" s="154"/>
      <c r="BK93" s="154"/>
      <c r="BL93" s="154"/>
      <c r="BM93" s="154"/>
      <c r="BN93" s="154"/>
      <c r="BO93" s="154"/>
      <c r="BP93" s="154"/>
      <c r="BQ93" s="154"/>
      <c r="BR93" s="154"/>
      <c r="BS93" s="154"/>
      <c r="BT93" s="157"/>
      <c r="BV93" s="153"/>
      <c r="BW93" s="154"/>
      <c r="BX93" s="154"/>
      <c r="BY93" s="154"/>
      <c r="BZ93" s="154"/>
      <c r="CA93" s="154"/>
      <c r="CB93" s="154"/>
      <c r="CC93" s="154"/>
      <c r="CD93" s="154"/>
      <c r="CE93" s="154"/>
      <c r="CF93" s="154"/>
      <c r="CG93" s="154"/>
      <c r="CH93" s="157"/>
      <c r="CI93" s="161"/>
      <c r="CJ93" s="153"/>
      <c r="CK93" s="154"/>
      <c r="CL93" s="154"/>
      <c r="CM93" s="154"/>
      <c r="CN93" s="154"/>
      <c r="CO93" s="154"/>
      <c r="CP93" s="154"/>
      <c r="CQ93" s="154"/>
      <c r="CR93" s="154"/>
      <c r="CS93" s="154"/>
      <c r="CT93" s="154"/>
      <c r="CU93" s="154"/>
      <c r="CV93" s="157"/>
      <c r="CW93" s="161"/>
      <c r="CX93" s="153"/>
      <c r="CY93" s="154"/>
      <c r="CZ93" s="154"/>
      <c r="DA93" s="154"/>
      <c r="DB93" s="154"/>
      <c r="DC93" s="154"/>
      <c r="DD93" s="154"/>
      <c r="DE93" s="154"/>
      <c r="DF93" s="154"/>
      <c r="DG93" s="154"/>
      <c r="DH93" s="154"/>
      <c r="DI93" s="154"/>
      <c r="DJ93" s="157"/>
      <c r="DK93" s="161"/>
      <c r="DL93" s="153"/>
      <c r="DM93" s="154"/>
      <c r="DN93" s="154"/>
      <c r="DO93" s="154"/>
      <c r="DP93" s="154"/>
      <c r="DQ93" s="154"/>
      <c r="DR93" s="154"/>
      <c r="DS93" s="154"/>
      <c r="DT93" s="154"/>
      <c r="DU93" s="154"/>
      <c r="DV93" s="154"/>
      <c r="DW93" s="154"/>
      <c r="DX93" s="157"/>
      <c r="DY93" s="161"/>
      <c r="DZ93" s="153"/>
      <c r="EA93" s="154"/>
      <c r="EB93" s="154"/>
      <c r="EC93" s="154"/>
      <c r="ED93" s="154"/>
      <c r="EE93" s="154"/>
      <c r="EF93" s="154"/>
      <c r="EG93" s="154"/>
      <c r="EH93" s="154"/>
      <c r="EI93" s="154"/>
      <c r="EJ93" s="154"/>
      <c r="EK93" s="154"/>
      <c r="EL93" s="157"/>
      <c r="EM93" s="161"/>
      <c r="EN93" s="153"/>
      <c r="EO93" s="154"/>
      <c r="EP93" s="154"/>
      <c r="EQ93" s="154"/>
      <c r="ER93" s="154"/>
      <c r="ES93" s="154"/>
      <c r="ET93" s="154"/>
      <c r="EU93" s="154"/>
      <c r="EV93" s="154"/>
      <c r="EW93" s="154"/>
      <c r="EX93" s="154"/>
      <c r="EY93" s="154"/>
      <c r="EZ93" s="157"/>
      <c r="FA93" s="161"/>
      <c r="FB93" s="153"/>
      <c r="FC93" s="154"/>
      <c r="FD93" s="154"/>
      <c r="FE93" s="154"/>
      <c r="FF93" s="154"/>
      <c r="FG93" s="154"/>
      <c r="FH93" s="154"/>
      <c r="FI93" s="154"/>
      <c r="FJ93" s="154"/>
      <c r="FK93" s="154"/>
      <c r="FL93" s="154"/>
      <c r="FM93" s="154"/>
      <c r="FN93" s="157"/>
      <c r="FO93" s="161"/>
      <c r="FP93" s="153"/>
      <c r="FQ93" s="154"/>
      <c r="FR93" s="154"/>
      <c r="FS93" s="154"/>
      <c r="FT93" s="154"/>
      <c r="FU93" s="154"/>
      <c r="FV93" s="154"/>
      <c r="FW93" s="154"/>
      <c r="FX93" s="154"/>
      <c r="FY93" s="154"/>
      <c r="FZ93" s="154"/>
      <c r="GA93" s="154"/>
      <c r="GB93" s="157"/>
      <c r="GC93" s="161"/>
      <c r="GD93" s="153"/>
      <c r="GE93" s="154"/>
      <c r="GF93" s="154"/>
      <c r="GG93" s="154"/>
      <c r="GH93" s="154"/>
      <c r="GI93" s="154"/>
      <c r="GJ93" s="154"/>
      <c r="GK93" s="154"/>
      <c r="GL93" s="154"/>
      <c r="GM93" s="154"/>
      <c r="GN93" s="154"/>
      <c r="GO93" s="154"/>
      <c r="GP93" s="157"/>
      <c r="GQ93" s="161"/>
      <c r="GR93" s="153"/>
      <c r="GS93" s="154"/>
      <c r="GT93" s="154"/>
      <c r="GU93" s="154"/>
      <c r="GV93" s="154"/>
      <c r="GW93" s="154"/>
      <c r="GX93" s="154"/>
      <c r="GY93" s="154"/>
      <c r="GZ93" s="154"/>
      <c r="HA93" s="154"/>
      <c r="HB93" s="154"/>
      <c r="HC93" s="154"/>
      <c r="HD93" s="157">
        <f t="shared" si="293"/>
        <v>0</v>
      </c>
      <c r="HE93" s="161"/>
      <c r="HF93" s="153"/>
      <c r="HG93" s="154"/>
      <c r="HH93" s="154"/>
      <c r="HI93" s="154"/>
      <c r="HJ93" s="154"/>
      <c r="HK93" s="154"/>
      <c r="HL93" s="154"/>
      <c r="HM93" s="154"/>
      <c r="HN93" s="154"/>
      <c r="HO93" s="154"/>
      <c r="HP93" s="154"/>
      <c r="HQ93" s="154"/>
      <c r="HR93" s="157"/>
      <c r="HS93" s="161"/>
      <c r="HT93" s="153"/>
      <c r="HU93" s="154"/>
      <c r="HV93" s="154"/>
      <c r="HW93" s="154"/>
      <c r="HX93" s="154"/>
      <c r="HY93" s="154"/>
      <c r="HZ93" s="154"/>
      <c r="IA93" s="154"/>
      <c r="IB93" s="154"/>
      <c r="IC93" s="154"/>
      <c r="ID93" s="154"/>
      <c r="IE93" s="154"/>
      <c r="IF93" s="157"/>
      <c r="IG93" s="161"/>
      <c r="IH93" s="153"/>
      <c r="II93" s="154"/>
      <c r="IJ93" s="154"/>
      <c r="IK93" s="154"/>
      <c r="IL93" s="154"/>
      <c r="IM93" s="154"/>
      <c r="IN93" s="154"/>
      <c r="IO93" s="154"/>
      <c r="IP93" s="154"/>
      <c r="IQ93" s="154"/>
      <c r="IR93" s="154"/>
      <c r="IS93" s="154"/>
      <c r="IT93" s="157"/>
      <c r="IU93" s="161"/>
      <c r="IV93" s="153"/>
      <c r="IW93" s="154"/>
      <c r="IX93" s="154"/>
      <c r="IY93" s="154"/>
      <c r="IZ93" s="154"/>
      <c r="JA93" s="154"/>
      <c r="JB93" s="154"/>
      <c r="JC93" s="154"/>
      <c r="JD93" s="154"/>
      <c r="JE93" s="154"/>
      <c r="JF93" s="154"/>
      <c r="JG93" s="154"/>
      <c r="JH93" s="157"/>
      <c r="JI93" s="161"/>
      <c r="JJ93" s="153"/>
      <c r="JK93" s="154"/>
      <c r="JL93" s="154"/>
      <c r="JM93" s="154"/>
      <c r="JN93" s="154"/>
      <c r="JO93" s="154"/>
      <c r="JP93" s="154"/>
      <c r="JQ93" s="154"/>
      <c r="JR93" s="154"/>
      <c r="JS93" s="154"/>
      <c r="JT93" s="154"/>
      <c r="JU93" s="154"/>
      <c r="JV93" s="157"/>
      <c r="JW93" s="161"/>
      <c r="JX93" s="153"/>
      <c r="JY93" s="154"/>
      <c r="JZ93" s="154"/>
      <c r="KA93" s="154"/>
      <c r="KB93" s="154"/>
      <c r="KC93" s="154"/>
      <c r="KD93" s="154"/>
      <c r="KE93" s="154"/>
      <c r="KF93" s="154"/>
      <c r="KG93" s="154"/>
      <c r="KH93" s="154"/>
      <c r="KI93" s="154"/>
      <c r="KJ93" s="157"/>
      <c r="KK93" s="161"/>
      <c r="KL93" s="153"/>
      <c r="KM93" s="154"/>
      <c r="KN93" s="154"/>
      <c r="KO93" s="154"/>
      <c r="KP93" s="154"/>
      <c r="KQ93" s="154"/>
      <c r="KR93" s="154"/>
      <c r="KS93" s="154"/>
      <c r="KT93" s="154"/>
      <c r="KU93" s="154"/>
      <c r="KV93" s="154"/>
      <c r="KW93" s="154"/>
      <c r="KX93" s="157"/>
      <c r="KY93" s="161"/>
      <c r="KZ93" s="153"/>
      <c r="LA93" s="154"/>
      <c r="LB93" s="154"/>
      <c r="LC93" s="154"/>
      <c r="LD93" s="154"/>
      <c r="LE93" s="154"/>
      <c r="LF93" s="154"/>
      <c r="LG93" s="154"/>
      <c r="LH93" s="154"/>
      <c r="LI93" s="154"/>
      <c r="LJ93" s="154"/>
      <c r="LK93" s="154"/>
      <c r="LL93" s="157"/>
      <c r="LM93" s="161"/>
      <c r="LN93" s="153"/>
      <c r="LO93" s="154"/>
      <c r="LP93" s="154"/>
      <c r="LQ93" s="154"/>
      <c r="LR93" s="154"/>
      <c r="LS93" s="154"/>
      <c r="LT93" s="154"/>
      <c r="LU93" s="154"/>
      <c r="LV93" s="154"/>
      <c r="LW93" s="154"/>
      <c r="LX93" s="154"/>
      <c r="LY93" s="154"/>
      <c r="LZ93" s="157"/>
      <c r="MA93" s="161"/>
      <c r="MB93" s="157"/>
      <c r="MC93" s="157"/>
      <c r="MD93" s="157"/>
      <c r="ME93" s="157"/>
      <c r="MF93" s="157"/>
      <c r="MG93" s="157"/>
      <c r="MH93" s="157"/>
      <c r="MI93" s="157"/>
      <c r="MJ93" s="157"/>
      <c r="MK93" s="157"/>
      <c r="ML93" s="157"/>
      <c r="MM93" s="157"/>
      <c r="MN93" s="157"/>
    </row>
    <row r="94" spans="1:352" x14ac:dyDescent="0.3">
      <c r="A94" s="98"/>
      <c r="B94" s="187" t="s">
        <v>215</v>
      </c>
      <c r="C94" s="98"/>
      <c r="D94" s="167">
        <f>SUM(D85:D93)</f>
        <v>358480.79049744899</v>
      </c>
      <c r="E94" s="168">
        <f t="shared" ref="E94:O94" si="294">SUM(E85:E93)</f>
        <v>361368.76956270478</v>
      </c>
      <c r="F94" s="168">
        <f t="shared" si="294"/>
        <v>341877.75908651418</v>
      </c>
      <c r="G94" s="168">
        <f t="shared" si="294"/>
        <v>339702.26769762533</v>
      </c>
      <c r="H94" s="168">
        <f t="shared" si="294"/>
        <v>342069.58973907155</v>
      </c>
      <c r="I94" s="168">
        <f t="shared" si="294"/>
        <v>336947.98719938897</v>
      </c>
      <c r="J94" s="168">
        <f t="shared" si="294"/>
        <v>330441.45973907149</v>
      </c>
      <c r="K94" s="168">
        <f t="shared" si="294"/>
        <v>332953.62066940661</v>
      </c>
      <c r="L94" s="168">
        <f t="shared" si="294"/>
        <v>332662.9831297241</v>
      </c>
      <c r="M94" s="168">
        <f t="shared" si="294"/>
        <v>313054.71368527948</v>
      </c>
      <c r="N94" s="168">
        <f t="shared" si="294"/>
        <v>289995.25965718681</v>
      </c>
      <c r="O94" s="168">
        <f t="shared" si="294"/>
        <v>289072.59358575824</v>
      </c>
      <c r="P94" s="212"/>
      <c r="Q94" s="213"/>
      <c r="R94" s="167">
        <f>SUM(R85:R93)</f>
        <v>37084.219706632655</v>
      </c>
      <c r="S94" s="168">
        <f t="shared" ref="S94:AC94" si="295">SUM(S85:S93)</f>
        <v>37382.976161659113</v>
      </c>
      <c r="T94" s="168">
        <f t="shared" si="295"/>
        <v>35366.664733087673</v>
      </c>
      <c r="U94" s="168">
        <f t="shared" si="295"/>
        <v>35141.613899754346</v>
      </c>
      <c r="V94" s="168">
        <f t="shared" si="295"/>
        <v>35386.509283352229</v>
      </c>
      <c r="W94" s="168">
        <f t="shared" si="295"/>
        <v>34856.688330971272</v>
      </c>
      <c r="X94" s="168">
        <f t="shared" si="295"/>
        <v>34183.599283352218</v>
      </c>
      <c r="Y94" s="168">
        <f t="shared" si="295"/>
        <v>34443.478000283438</v>
      </c>
      <c r="Z94" s="168">
        <f t="shared" si="295"/>
        <v>34413.412047902493</v>
      </c>
      <c r="AA94" s="168">
        <f t="shared" si="295"/>
        <v>32384.970381235809</v>
      </c>
      <c r="AB94" s="168">
        <f t="shared" si="295"/>
        <v>29999.509619708981</v>
      </c>
      <c r="AC94" s="168">
        <f t="shared" si="295"/>
        <v>29904.061405423265</v>
      </c>
      <c r="AD94" s="212">
        <f>+SUBTOTAL(9,R94:AC94)</f>
        <v>410547.70285336347</v>
      </c>
      <c r="AE94" s="213"/>
      <c r="AF94" s="167">
        <f>SUM(AF85:AF93)</f>
        <v>37084.219706632655</v>
      </c>
      <c r="AG94" s="168">
        <f t="shared" ref="AG94:AQ94" si="296">SUM(AG85:AG93)</f>
        <v>37382.976161659113</v>
      </c>
      <c r="AH94" s="168">
        <f t="shared" si="296"/>
        <v>35366.664733087673</v>
      </c>
      <c r="AI94" s="168">
        <f t="shared" si="296"/>
        <v>35141.613899754346</v>
      </c>
      <c r="AJ94" s="168">
        <f t="shared" si="296"/>
        <v>35386.509283352229</v>
      </c>
      <c r="AK94" s="168">
        <f t="shared" si="296"/>
        <v>34856.688330971272</v>
      </c>
      <c r="AL94" s="168">
        <f t="shared" si="296"/>
        <v>34183.599283352218</v>
      </c>
      <c r="AM94" s="168">
        <f t="shared" si="296"/>
        <v>34443.478000283438</v>
      </c>
      <c r="AN94" s="168">
        <f t="shared" si="296"/>
        <v>34413.412047902493</v>
      </c>
      <c r="AO94" s="168">
        <f t="shared" si="296"/>
        <v>32384.970381235809</v>
      </c>
      <c r="AP94" s="168">
        <f t="shared" si="296"/>
        <v>29999.509619708981</v>
      </c>
      <c r="AQ94" s="168">
        <f t="shared" si="296"/>
        <v>29904.061405423265</v>
      </c>
      <c r="AR94" s="212">
        <f>+SUBTOTAL(9,AF94:AQ94)</f>
        <v>410547.70285336347</v>
      </c>
      <c r="AT94" s="167">
        <f>SUM(AT85:AT93)</f>
        <v>24722.813137755104</v>
      </c>
      <c r="AU94" s="168">
        <f t="shared" ref="AU94:BE94" si="297">SUM(AU85:AU93)</f>
        <v>24921.984107772743</v>
      </c>
      <c r="AV94" s="168">
        <f t="shared" si="297"/>
        <v>23577.776488725118</v>
      </c>
      <c r="AW94" s="168">
        <f t="shared" si="297"/>
        <v>23427.742599836231</v>
      </c>
      <c r="AX94" s="168">
        <f t="shared" si="297"/>
        <v>23591.006188901487</v>
      </c>
      <c r="AY94" s="168">
        <f t="shared" si="297"/>
        <v>23237.792220647516</v>
      </c>
      <c r="AZ94" s="168">
        <f t="shared" si="297"/>
        <v>22789.066188901481</v>
      </c>
      <c r="BA94" s="168">
        <f t="shared" si="297"/>
        <v>22962.318666855626</v>
      </c>
      <c r="BB94" s="168">
        <f t="shared" si="297"/>
        <v>22942.274698601661</v>
      </c>
      <c r="BC94" s="168">
        <f t="shared" si="297"/>
        <v>21589.980254157206</v>
      </c>
      <c r="BD94" s="168">
        <f t="shared" si="297"/>
        <v>19999.673079805987</v>
      </c>
      <c r="BE94" s="168">
        <f t="shared" si="297"/>
        <v>19936.040936948844</v>
      </c>
      <c r="BF94" s="212">
        <f>+SUBTOTAL(9,AT94:BE94)</f>
        <v>273698.46856890904</v>
      </c>
      <c r="BH94" s="167">
        <f>SUM(BH85:BH93)</f>
        <v>185421.09853316328</v>
      </c>
      <c r="BI94" s="168">
        <f t="shared" ref="BI94:BS94" si="298">SUM(BI85:BI93)</f>
        <v>186914.88080829557</v>
      </c>
      <c r="BJ94" s="168">
        <f t="shared" si="298"/>
        <v>176833.32366543839</v>
      </c>
      <c r="BK94" s="168">
        <f t="shared" si="298"/>
        <v>175708.06949877174</v>
      </c>
      <c r="BL94" s="168">
        <f t="shared" si="298"/>
        <v>176932.54641676115</v>
      </c>
      <c r="BM94" s="168">
        <f t="shared" si="298"/>
        <v>174283.44165485637</v>
      </c>
      <c r="BN94" s="168">
        <f t="shared" si="298"/>
        <v>170917.9964167611</v>
      </c>
      <c r="BO94" s="168">
        <f t="shared" si="298"/>
        <v>172217.3900014172</v>
      </c>
      <c r="BP94" s="168">
        <f t="shared" si="298"/>
        <v>172067.06023951244</v>
      </c>
      <c r="BQ94" s="168">
        <f t="shared" si="298"/>
        <v>161924.85190617904</v>
      </c>
      <c r="BR94" s="168">
        <f t="shared" si="298"/>
        <v>149997.54809854491</v>
      </c>
      <c r="BS94" s="168">
        <f t="shared" si="298"/>
        <v>149520.30702711633</v>
      </c>
      <c r="BT94" s="212">
        <f>+SUBTOTAL(9,BH94:BS94)</f>
        <v>2052738.5142668174</v>
      </c>
      <c r="BV94" s="167">
        <f>SUM(BV85:BV93)</f>
        <v>12361.406568877552</v>
      </c>
      <c r="BW94" s="168">
        <f t="shared" ref="BW94:CG94" si="299">SUM(BW85:BW93)</f>
        <v>12460.992053886372</v>
      </c>
      <c r="BX94" s="168">
        <f t="shared" si="299"/>
        <v>11788.888244362559</v>
      </c>
      <c r="BY94" s="168">
        <f t="shared" si="299"/>
        <v>11713.871299918115</v>
      </c>
      <c r="BZ94" s="168">
        <f t="shared" si="299"/>
        <v>11795.503094450743</v>
      </c>
      <c r="CA94" s="168">
        <f t="shared" si="299"/>
        <v>11618.896110323758</v>
      </c>
      <c r="CB94" s="168">
        <f t="shared" si="299"/>
        <v>11394.53309445074</v>
      </c>
      <c r="CC94" s="168">
        <f t="shared" si="299"/>
        <v>11481.159333427813</v>
      </c>
      <c r="CD94" s="168">
        <f t="shared" si="299"/>
        <v>11471.13734930083</v>
      </c>
      <c r="CE94" s="168">
        <f t="shared" si="299"/>
        <v>10794.990127078603</v>
      </c>
      <c r="CF94" s="168">
        <f t="shared" si="299"/>
        <v>9999.8365399029935</v>
      </c>
      <c r="CG94" s="168">
        <f t="shared" si="299"/>
        <v>9968.0204684744222</v>
      </c>
      <c r="CH94" s="212">
        <f>+SUBTOTAL(9,BV94:CG94)</f>
        <v>136849.23428445452</v>
      </c>
      <c r="CI94" s="213"/>
      <c r="CJ94" s="167">
        <f>SUM(CJ85:CJ93)</f>
        <v>135975.47225765308</v>
      </c>
      <c r="CK94" s="168">
        <f t="shared" ref="CK94:CU94" si="300">SUM(CK85:CK93)</f>
        <v>137070.9125927501</v>
      </c>
      <c r="CL94" s="168">
        <f t="shared" si="300"/>
        <v>129677.77068798814</v>
      </c>
      <c r="CM94" s="168">
        <f t="shared" si="300"/>
        <v>128852.58429909927</v>
      </c>
      <c r="CN94" s="168">
        <f t="shared" si="300"/>
        <v>129750.53403895818</v>
      </c>
      <c r="CO94" s="168">
        <f t="shared" si="300"/>
        <v>127807.85721356134</v>
      </c>
      <c r="CP94" s="168">
        <f t="shared" si="300"/>
        <v>125339.86403895814</v>
      </c>
      <c r="CQ94" s="168">
        <f t="shared" si="300"/>
        <v>126292.75266770595</v>
      </c>
      <c r="CR94" s="168">
        <f t="shared" si="300"/>
        <v>126182.51084230913</v>
      </c>
      <c r="CS94" s="168">
        <f t="shared" si="300"/>
        <v>118744.89139786463</v>
      </c>
      <c r="CT94" s="168">
        <f t="shared" si="300"/>
        <v>109998.20193893294</v>
      </c>
      <c r="CU94" s="168">
        <f t="shared" si="300"/>
        <v>109648.22515321865</v>
      </c>
      <c r="CV94" s="212">
        <f>+SUBTOTAL(9,CJ94:CU94)</f>
        <v>1505341.5771289996</v>
      </c>
      <c r="CW94" s="213"/>
      <c r="CX94" s="167">
        <f>SUM(CX85:CX93)</f>
        <v>346119.38392857148</v>
      </c>
      <c r="CY94" s="168">
        <f t="shared" ref="CY94:DI94" si="301">SUM(CY85:CY93)</f>
        <v>348907.77750881843</v>
      </c>
      <c r="CZ94" s="168">
        <f t="shared" si="301"/>
        <v>330088.87084215163</v>
      </c>
      <c r="DA94" s="168">
        <f t="shared" si="301"/>
        <v>327988.39639770723</v>
      </c>
      <c r="DB94" s="168">
        <f t="shared" si="301"/>
        <v>330274.08664462081</v>
      </c>
      <c r="DC94" s="168">
        <f t="shared" si="301"/>
        <v>325329.09108906524</v>
      </c>
      <c r="DD94" s="168">
        <f t="shared" si="301"/>
        <v>319046.92664462072</v>
      </c>
      <c r="DE94" s="168">
        <f t="shared" si="301"/>
        <v>321472.46133597876</v>
      </c>
      <c r="DF94" s="168">
        <f t="shared" si="301"/>
        <v>321191.84578042326</v>
      </c>
      <c r="DG94" s="168">
        <f t="shared" si="301"/>
        <v>302259.72355820087</v>
      </c>
      <c r="DH94" s="168">
        <f t="shared" si="301"/>
        <v>279995.42311728385</v>
      </c>
      <c r="DI94" s="168">
        <f t="shared" si="301"/>
        <v>279104.57311728381</v>
      </c>
      <c r="DJ94" s="212">
        <f>+SUBTOTAL(9,CX94:DI94)</f>
        <v>3831778.5599647262</v>
      </c>
      <c r="DK94" s="213"/>
      <c r="DL94" s="167">
        <f>SUM(DL85:DL93)</f>
        <v>346119.38392857148</v>
      </c>
      <c r="DM94" s="168">
        <f t="shared" ref="DM94:DW94" si="302">SUM(DM85:DM93)</f>
        <v>348907.77750881843</v>
      </c>
      <c r="DN94" s="168">
        <f t="shared" si="302"/>
        <v>330088.87084215163</v>
      </c>
      <c r="DO94" s="168">
        <f t="shared" si="302"/>
        <v>327988.39639770723</v>
      </c>
      <c r="DP94" s="168">
        <f t="shared" si="302"/>
        <v>330274.08664462081</v>
      </c>
      <c r="DQ94" s="168">
        <f t="shared" si="302"/>
        <v>325329.09108906524</v>
      </c>
      <c r="DR94" s="168">
        <f t="shared" si="302"/>
        <v>319046.92664462072</v>
      </c>
      <c r="DS94" s="168">
        <f t="shared" si="302"/>
        <v>321472.46133597876</v>
      </c>
      <c r="DT94" s="168">
        <f t="shared" si="302"/>
        <v>321191.84578042326</v>
      </c>
      <c r="DU94" s="168">
        <f t="shared" si="302"/>
        <v>302259.72355820087</v>
      </c>
      <c r="DV94" s="168">
        <f t="shared" si="302"/>
        <v>279995.42311728385</v>
      </c>
      <c r="DW94" s="168">
        <f t="shared" si="302"/>
        <v>279104.57311728381</v>
      </c>
      <c r="DX94" s="212">
        <f>+SUBTOTAL(9,DL94:DW94)</f>
        <v>3831778.5599647262</v>
      </c>
      <c r="DY94" s="213"/>
      <c r="DZ94" s="167">
        <f>SUM(DZ85:DZ93)</f>
        <v>12361.406568877552</v>
      </c>
      <c r="EA94" s="168">
        <f t="shared" ref="EA94:EK94" si="303">SUM(EA85:EA93)</f>
        <v>12460.992053886372</v>
      </c>
      <c r="EB94" s="168">
        <f t="shared" si="303"/>
        <v>11788.888244362559</v>
      </c>
      <c r="EC94" s="168">
        <f t="shared" si="303"/>
        <v>11713.871299918115</v>
      </c>
      <c r="ED94" s="168">
        <f t="shared" si="303"/>
        <v>11795.503094450743</v>
      </c>
      <c r="EE94" s="168">
        <f t="shared" si="303"/>
        <v>11618.896110323758</v>
      </c>
      <c r="EF94" s="168">
        <f t="shared" si="303"/>
        <v>11394.53309445074</v>
      </c>
      <c r="EG94" s="168">
        <f t="shared" si="303"/>
        <v>11481.159333427813</v>
      </c>
      <c r="EH94" s="168">
        <f t="shared" si="303"/>
        <v>11471.13734930083</v>
      </c>
      <c r="EI94" s="168">
        <f t="shared" si="303"/>
        <v>10794.990127078603</v>
      </c>
      <c r="EJ94" s="168">
        <f t="shared" si="303"/>
        <v>9999.8365399029935</v>
      </c>
      <c r="EK94" s="168">
        <f t="shared" si="303"/>
        <v>9968.0204684744222</v>
      </c>
      <c r="EL94" s="212">
        <f>+SUBTOTAL(9,DZ94:EK94)</f>
        <v>136849.23428445452</v>
      </c>
      <c r="EM94" s="213"/>
      <c r="EN94" s="167">
        <f>SUM(EN85:EN93)</f>
        <v>24722.813137755104</v>
      </c>
      <c r="EO94" s="168">
        <f t="shared" ref="EO94:EY94" si="304">SUM(EO85:EO93)</f>
        <v>24921.984107772743</v>
      </c>
      <c r="EP94" s="168">
        <f t="shared" si="304"/>
        <v>23577.776488725118</v>
      </c>
      <c r="EQ94" s="168">
        <f t="shared" si="304"/>
        <v>23427.742599836231</v>
      </c>
      <c r="ER94" s="168">
        <f t="shared" si="304"/>
        <v>23591.006188901487</v>
      </c>
      <c r="ES94" s="168">
        <f t="shared" si="304"/>
        <v>23237.792220647516</v>
      </c>
      <c r="ET94" s="168">
        <f t="shared" si="304"/>
        <v>22789.066188901481</v>
      </c>
      <c r="EU94" s="168">
        <f t="shared" si="304"/>
        <v>22962.318666855626</v>
      </c>
      <c r="EV94" s="168">
        <f t="shared" si="304"/>
        <v>22942.274698601661</v>
      </c>
      <c r="EW94" s="168">
        <f t="shared" si="304"/>
        <v>21589.980254157206</v>
      </c>
      <c r="EX94" s="168">
        <f t="shared" si="304"/>
        <v>19999.673079805987</v>
      </c>
      <c r="EY94" s="168">
        <f t="shared" si="304"/>
        <v>19936.040936948844</v>
      </c>
      <c r="EZ94" s="212">
        <f>+SUBTOTAL(9,EN94:EY94)</f>
        <v>273698.46856890904</v>
      </c>
      <c r="FA94" s="213"/>
      <c r="FB94" s="167">
        <f>SUM(FB85:FB93)</f>
        <v>12361.406568877552</v>
      </c>
      <c r="FC94" s="168">
        <f t="shared" ref="FC94:FM94" si="305">SUM(FC85:FC93)</f>
        <v>12460.992053886372</v>
      </c>
      <c r="FD94" s="168">
        <f t="shared" si="305"/>
        <v>11788.888244362559</v>
      </c>
      <c r="FE94" s="168">
        <f t="shared" si="305"/>
        <v>11713.871299918115</v>
      </c>
      <c r="FF94" s="168">
        <f t="shared" si="305"/>
        <v>11795.503094450743</v>
      </c>
      <c r="FG94" s="168">
        <f t="shared" si="305"/>
        <v>11618.896110323758</v>
      </c>
      <c r="FH94" s="168">
        <f t="shared" si="305"/>
        <v>11394.53309445074</v>
      </c>
      <c r="FI94" s="168">
        <f t="shared" si="305"/>
        <v>11481.159333427813</v>
      </c>
      <c r="FJ94" s="168">
        <f t="shared" si="305"/>
        <v>11471.13734930083</v>
      </c>
      <c r="FK94" s="168">
        <f t="shared" si="305"/>
        <v>10794.990127078603</v>
      </c>
      <c r="FL94" s="168">
        <f t="shared" si="305"/>
        <v>9999.8365399029935</v>
      </c>
      <c r="FM94" s="168">
        <f t="shared" si="305"/>
        <v>9968.0204684744222</v>
      </c>
      <c r="FN94" s="212">
        <f>+SUBTOTAL(9,FB94:FM94)</f>
        <v>136849.23428445452</v>
      </c>
      <c r="FO94" s="213"/>
      <c r="FP94" s="167">
        <f>SUM(FP85:FP93)</f>
        <v>86529.84598214287</v>
      </c>
      <c r="FQ94" s="168">
        <f t="shared" ref="FQ94:GA94" si="306">SUM(FQ85:FQ93)</f>
        <v>87226.944377204607</v>
      </c>
      <c r="FR94" s="168">
        <f t="shared" si="306"/>
        <v>82522.217710537909</v>
      </c>
      <c r="FS94" s="168">
        <f t="shared" si="306"/>
        <v>81997.099099426807</v>
      </c>
      <c r="FT94" s="168">
        <f t="shared" si="306"/>
        <v>82568.521661155202</v>
      </c>
      <c r="FU94" s="168">
        <f t="shared" si="306"/>
        <v>81332.272772266311</v>
      </c>
      <c r="FV94" s="168">
        <f t="shared" si="306"/>
        <v>79761.73166115518</v>
      </c>
      <c r="FW94" s="168">
        <f t="shared" si="306"/>
        <v>80368.11533399469</v>
      </c>
      <c r="FX94" s="168">
        <f t="shared" si="306"/>
        <v>80297.961445105815</v>
      </c>
      <c r="FY94" s="168">
        <f t="shared" si="306"/>
        <v>75564.930889550218</v>
      </c>
      <c r="FZ94" s="168">
        <f t="shared" si="306"/>
        <v>69998.855779320962</v>
      </c>
      <c r="GA94" s="168">
        <f t="shared" si="306"/>
        <v>69776.143279320953</v>
      </c>
      <c r="GB94" s="212">
        <f>+SUBTOTAL(9,FP94:GA94)</f>
        <v>957944.63999118155</v>
      </c>
      <c r="GC94" s="213"/>
      <c r="GD94" s="167">
        <f>SUM(GD85:GD93)</f>
        <v>12361.406568877552</v>
      </c>
      <c r="GE94" s="168">
        <f t="shared" ref="GE94:GO94" si="307">SUM(GE85:GE93)</f>
        <v>12460.992053886372</v>
      </c>
      <c r="GF94" s="168">
        <f t="shared" si="307"/>
        <v>11788.888244362559</v>
      </c>
      <c r="GG94" s="168">
        <f t="shared" si="307"/>
        <v>11713.871299918115</v>
      </c>
      <c r="GH94" s="168">
        <f t="shared" si="307"/>
        <v>11795.503094450743</v>
      </c>
      <c r="GI94" s="168">
        <f t="shared" si="307"/>
        <v>11618.896110323758</v>
      </c>
      <c r="GJ94" s="168">
        <f t="shared" si="307"/>
        <v>11394.53309445074</v>
      </c>
      <c r="GK94" s="168">
        <f t="shared" si="307"/>
        <v>11481.159333427813</v>
      </c>
      <c r="GL94" s="168">
        <f t="shared" si="307"/>
        <v>11471.13734930083</v>
      </c>
      <c r="GM94" s="168">
        <f t="shared" si="307"/>
        <v>10794.990127078603</v>
      </c>
      <c r="GN94" s="168">
        <f t="shared" si="307"/>
        <v>9999.8365399029935</v>
      </c>
      <c r="GO94" s="168">
        <f t="shared" si="307"/>
        <v>9968.0204684744222</v>
      </c>
      <c r="GP94" s="212">
        <f>+SUBTOTAL(9,GD94:GO94)</f>
        <v>136849.23428445452</v>
      </c>
      <c r="GQ94" s="213"/>
      <c r="GR94" s="167">
        <f>SUM(GR85:GR93)</f>
        <v>0</v>
      </c>
      <c r="GS94" s="168">
        <f t="shared" ref="GS94:HC94" si="308">SUM(GS85:GS93)</f>
        <v>0</v>
      </c>
      <c r="GT94" s="168">
        <f t="shared" si="308"/>
        <v>1279612.1593291406</v>
      </c>
      <c r="GU94" s="168">
        <f t="shared" si="308"/>
        <v>1279612.1593291406</v>
      </c>
      <c r="GV94" s="168">
        <f t="shared" si="308"/>
        <v>1279612.1593291406</v>
      </c>
      <c r="GW94" s="168">
        <f t="shared" si="308"/>
        <v>1279612.1593291406</v>
      </c>
      <c r="GX94" s="168">
        <f t="shared" si="308"/>
        <v>1279612.1593291406</v>
      </c>
      <c r="GY94" s="168">
        <f t="shared" si="308"/>
        <v>1279612.1593291406</v>
      </c>
      <c r="GZ94" s="168">
        <f t="shared" si="308"/>
        <v>1279612.1593291406</v>
      </c>
      <c r="HA94" s="168">
        <f t="shared" si="308"/>
        <v>1279612.1593291406</v>
      </c>
      <c r="HB94" s="168">
        <f t="shared" si="308"/>
        <v>1279612.1593291406</v>
      </c>
      <c r="HC94" s="168">
        <f t="shared" si="308"/>
        <v>1279612.1593291406</v>
      </c>
      <c r="HD94" s="212">
        <f t="shared" si="293"/>
        <v>0</v>
      </c>
      <c r="HE94" s="213"/>
      <c r="HF94" s="167">
        <f>SUM(HF85:HF93)</f>
        <v>49445.626275510207</v>
      </c>
      <c r="HG94" s="168">
        <f t="shared" ref="HG94:HQ94" si="309">SUM(HG85:HG93)</f>
        <v>49843.968215545487</v>
      </c>
      <c r="HH94" s="168">
        <f t="shared" si="309"/>
        <v>47155.552977450236</v>
      </c>
      <c r="HI94" s="168">
        <f t="shared" si="309"/>
        <v>46855.485199672461</v>
      </c>
      <c r="HJ94" s="168">
        <f t="shared" si="309"/>
        <v>47182.012377802974</v>
      </c>
      <c r="HK94" s="168">
        <f t="shared" si="309"/>
        <v>46475.584441295032</v>
      </c>
      <c r="HL94" s="168">
        <f t="shared" si="309"/>
        <v>45578.132377802962</v>
      </c>
      <c r="HM94" s="168">
        <f t="shared" si="309"/>
        <v>45924.637333711253</v>
      </c>
      <c r="HN94" s="168">
        <f t="shared" si="309"/>
        <v>45884.549397203322</v>
      </c>
      <c r="HO94" s="168">
        <f t="shared" si="309"/>
        <v>43179.960508314412</v>
      </c>
      <c r="HP94" s="168">
        <f t="shared" si="309"/>
        <v>39999.346159611974</v>
      </c>
      <c r="HQ94" s="168">
        <f t="shared" si="309"/>
        <v>39872.081873897689</v>
      </c>
      <c r="HR94" s="212">
        <f>+SUBTOTAL(9,HF94:HQ94)</f>
        <v>547396.93713781808</v>
      </c>
      <c r="HS94" s="213"/>
      <c r="HT94" s="167">
        <f>SUM(HT85:HT93)</f>
        <v>12361.406568877552</v>
      </c>
      <c r="HU94" s="168">
        <f t="shared" ref="HU94:IE94" si="310">SUM(HU85:HU93)</f>
        <v>12460.992053886372</v>
      </c>
      <c r="HV94" s="168">
        <f t="shared" si="310"/>
        <v>11788.888244362559</v>
      </c>
      <c r="HW94" s="168">
        <f t="shared" si="310"/>
        <v>11713.871299918115</v>
      </c>
      <c r="HX94" s="168">
        <f t="shared" si="310"/>
        <v>11795.503094450743</v>
      </c>
      <c r="HY94" s="168">
        <f t="shared" si="310"/>
        <v>11618.896110323758</v>
      </c>
      <c r="HZ94" s="168">
        <f t="shared" si="310"/>
        <v>11394.53309445074</v>
      </c>
      <c r="IA94" s="168">
        <f t="shared" si="310"/>
        <v>11481.159333427813</v>
      </c>
      <c r="IB94" s="168">
        <f t="shared" si="310"/>
        <v>11471.13734930083</v>
      </c>
      <c r="IC94" s="168">
        <f t="shared" si="310"/>
        <v>10794.990127078603</v>
      </c>
      <c r="ID94" s="168">
        <f t="shared" si="310"/>
        <v>9999.8365399029935</v>
      </c>
      <c r="IE94" s="168">
        <f t="shared" si="310"/>
        <v>9968.0204684744222</v>
      </c>
      <c r="IF94" s="212">
        <f>+SUBTOTAL(9,HT94:IE94)</f>
        <v>136849.23428445452</v>
      </c>
      <c r="IG94" s="213"/>
      <c r="IH94" s="167">
        <f>SUM(IH85:IH93)</f>
        <v>12361.406568877552</v>
      </c>
      <c r="II94" s="168">
        <f t="shared" ref="II94:IS94" si="311">SUM(II85:II93)</f>
        <v>12460.992053886372</v>
      </c>
      <c r="IJ94" s="168">
        <f t="shared" si="311"/>
        <v>11788.888244362559</v>
      </c>
      <c r="IK94" s="168">
        <f t="shared" si="311"/>
        <v>11713.871299918115</v>
      </c>
      <c r="IL94" s="168">
        <f t="shared" si="311"/>
        <v>11795.503094450743</v>
      </c>
      <c r="IM94" s="168">
        <f t="shared" si="311"/>
        <v>11618.896110323758</v>
      </c>
      <c r="IN94" s="168">
        <f t="shared" si="311"/>
        <v>11394.53309445074</v>
      </c>
      <c r="IO94" s="168">
        <f t="shared" si="311"/>
        <v>11481.159333427813</v>
      </c>
      <c r="IP94" s="168">
        <f t="shared" si="311"/>
        <v>11471.13734930083</v>
      </c>
      <c r="IQ94" s="168">
        <f t="shared" si="311"/>
        <v>10794.990127078603</v>
      </c>
      <c r="IR94" s="168">
        <f t="shared" si="311"/>
        <v>9999.8365399029935</v>
      </c>
      <c r="IS94" s="168">
        <f t="shared" si="311"/>
        <v>9968.0204684744222</v>
      </c>
      <c r="IT94" s="212">
        <f>+SUBTOTAL(9,IH94:IS94)</f>
        <v>136849.23428445452</v>
      </c>
      <c r="IU94" s="213"/>
      <c r="IV94" s="167">
        <f>SUM(IV85:IV93)</f>
        <v>86529.84598214287</v>
      </c>
      <c r="IW94" s="168">
        <f t="shared" ref="IW94:JG94" si="312">SUM(IW85:IW93)</f>
        <v>87226.944377204607</v>
      </c>
      <c r="IX94" s="168">
        <f t="shared" si="312"/>
        <v>82522.217710537909</v>
      </c>
      <c r="IY94" s="168">
        <f t="shared" si="312"/>
        <v>81997.099099426807</v>
      </c>
      <c r="IZ94" s="168">
        <f t="shared" si="312"/>
        <v>82568.521661155202</v>
      </c>
      <c r="JA94" s="168">
        <f t="shared" si="312"/>
        <v>81332.272772266311</v>
      </c>
      <c r="JB94" s="168">
        <f t="shared" si="312"/>
        <v>79761.73166115518</v>
      </c>
      <c r="JC94" s="168">
        <f t="shared" si="312"/>
        <v>80368.11533399469</v>
      </c>
      <c r="JD94" s="168">
        <f t="shared" si="312"/>
        <v>80297.961445105815</v>
      </c>
      <c r="JE94" s="168">
        <f t="shared" si="312"/>
        <v>75564.930889550218</v>
      </c>
      <c r="JF94" s="168">
        <f t="shared" si="312"/>
        <v>69998.855779320962</v>
      </c>
      <c r="JG94" s="168">
        <f t="shared" si="312"/>
        <v>69776.143279320953</v>
      </c>
      <c r="JH94" s="212">
        <f>+SUBTOTAL(9,IV94:JG94)</f>
        <v>957944.63999118155</v>
      </c>
      <c r="JI94" s="213"/>
      <c r="JJ94" s="167">
        <f>SUM(JJ85:JJ93)</f>
        <v>135975.47225765308</v>
      </c>
      <c r="JK94" s="168">
        <f t="shared" ref="JK94:JU94" si="313">SUM(JK85:JK93)</f>
        <v>137070.9125927501</v>
      </c>
      <c r="JL94" s="168">
        <f t="shared" si="313"/>
        <v>129677.77068798814</v>
      </c>
      <c r="JM94" s="168">
        <f t="shared" si="313"/>
        <v>128852.58429909927</v>
      </c>
      <c r="JN94" s="168">
        <f t="shared" si="313"/>
        <v>129750.53403895818</v>
      </c>
      <c r="JO94" s="168">
        <f t="shared" si="313"/>
        <v>127807.85721356134</v>
      </c>
      <c r="JP94" s="168">
        <f t="shared" si="313"/>
        <v>125339.86403895814</v>
      </c>
      <c r="JQ94" s="168">
        <f t="shared" si="313"/>
        <v>126292.75266770595</v>
      </c>
      <c r="JR94" s="168">
        <f t="shared" si="313"/>
        <v>126182.51084230913</v>
      </c>
      <c r="JS94" s="168">
        <f t="shared" si="313"/>
        <v>118744.89139786463</v>
      </c>
      <c r="JT94" s="168">
        <f t="shared" si="313"/>
        <v>109998.20193893294</v>
      </c>
      <c r="JU94" s="168">
        <f t="shared" si="313"/>
        <v>109648.22515321865</v>
      </c>
      <c r="JV94" s="212">
        <f>+SUBTOTAL(9,JJ94:JU94)</f>
        <v>1505341.5771289996</v>
      </c>
      <c r="JW94" s="213"/>
      <c r="JX94" s="167">
        <f>SUM(JX85:JX93)</f>
        <v>61807.032844387759</v>
      </c>
      <c r="JY94" s="168">
        <f t="shared" ref="JY94:KI94" si="314">SUM(JY85:JY93)</f>
        <v>62304.96026943186</v>
      </c>
      <c r="JZ94" s="168">
        <f t="shared" si="314"/>
        <v>58944.441221812798</v>
      </c>
      <c r="KA94" s="168">
        <f t="shared" si="314"/>
        <v>58569.356499590576</v>
      </c>
      <c r="KB94" s="168">
        <f t="shared" si="314"/>
        <v>58977.515472253719</v>
      </c>
      <c r="KC94" s="168">
        <f t="shared" si="314"/>
        <v>58094.480551618792</v>
      </c>
      <c r="KD94" s="168">
        <f t="shared" si="314"/>
        <v>56972.665472253706</v>
      </c>
      <c r="KE94" s="168">
        <f t="shared" si="314"/>
        <v>57405.796667139068</v>
      </c>
      <c r="KF94" s="168">
        <f t="shared" si="314"/>
        <v>57355.686746504151</v>
      </c>
      <c r="KG94" s="168">
        <f t="shared" si="314"/>
        <v>53974.950635393019</v>
      </c>
      <c r="KH94" s="168">
        <f t="shared" si="314"/>
        <v>49999.182699514968</v>
      </c>
      <c r="KI94" s="168">
        <f t="shared" si="314"/>
        <v>49840.102342372113</v>
      </c>
      <c r="KJ94" s="212">
        <f>+SUBTOTAL(9,JX94:KI94)</f>
        <v>684246.17142227245</v>
      </c>
      <c r="KK94" s="213"/>
      <c r="KL94" s="167">
        <f>SUM(KL85:KL93)</f>
        <v>24722.813137755104</v>
      </c>
      <c r="KM94" s="168">
        <f t="shared" ref="KM94:KW94" si="315">SUM(KM85:KM93)</f>
        <v>24921.984107772743</v>
      </c>
      <c r="KN94" s="168">
        <f t="shared" si="315"/>
        <v>23577.776488725118</v>
      </c>
      <c r="KO94" s="168">
        <f t="shared" si="315"/>
        <v>23427.742599836231</v>
      </c>
      <c r="KP94" s="168">
        <f t="shared" si="315"/>
        <v>23591.006188901487</v>
      </c>
      <c r="KQ94" s="168">
        <f t="shared" si="315"/>
        <v>23237.792220647516</v>
      </c>
      <c r="KR94" s="168">
        <f t="shared" si="315"/>
        <v>22789.066188901481</v>
      </c>
      <c r="KS94" s="168">
        <f t="shared" si="315"/>
        <v>22962.318666855626</v>
      </c>
      <c r="KT94" s="168">
        <f t="shared" si="315"/>
        <v>22942.274698601661</v>
      </c>
      <c r="KU94" s="168">
        <f t="shared" si="315"/>
        <v>21589.980254157206</v>
      </c>
      <c r="KV94" s="168">
        <f t="shared" si="315"/>
        <v>19999.673079805987</v>
      </c>
      <c r="KW94" s="168">
        <f t="shared" si="315"/>
        <v>19936.040936948844</v>
      </c>
      <c r="KX94" s="212">
        <f>+SUBTOTAL(9,KL94:KW94)</f>
        <v>273698.46856890904</v>
      </c>
      <c r="KY94" s="213"/>
      <c r="KZ94" s="167">
        <f>SUM(KZ85:KZ93)</f>
        <v>12361.406568877552</v>
      </c>
      <c r="LA94" s="168">
        <f t="shared" ref="LA94:LK94" si="316">SUM(LA85:LA93)</f>
        <v>12460.992053886372</v>
      </c>
      <c r="LB94" s="168">
        <f t="shared" si="316"/>
        <v>11788.888244362559</v>
      </c>
      <c r="LC94" s="168">
        <f t="shared" si="316"/>
        <v>11713.871299918115</v>
      </c>
      <c r="LD94" s="168">
        <f t="shared" si="316"/>
        <v>11795.503094450743</v>
      </c>
      <c r="LE94" s="168">
        <f t="shared" si="316"/>
        <v>11618.896110323758</v>
      </c>
      <c r="LF94" s="168">
        <f t="shared" si="316"/>
        <v>11394.53309445074</v>
      </c>
      <c r="LG94" s="168">
        <f t="shared" si="316"/>
        <v>11481.159333427813</v>
      </c>
      <c r="LH94" s="168">
        <f t="shared" si="316"/>
        <v>11471.13734930083</v>
      </c>
      <c r="LI94" s="168">
        <f t="shared" si="316"/>
        <v>10794.990127078603</v>
      </c>
      <c r="LJ94" s="168">
        <f t="shared" si="316"/>
        <v>9999.8365399029935</v>
      </c>
      <c r="LK94" s="168">
        <f t="shared" si="316"/>
        <v>9968.0204684744222</v>
      </c>
      <c r="LL94" s="212">
        <f>+SUBTOTAL(9,KZ94:LK94)</f>
        <v>136849.23428445452</v>
      </c>
      <c r="LM94" s="213"/>
      <c r="LN94" s="167">
        <f>SUM(LN85:LN93)</f>
        <v>0</v>
      </c>
      <c r="LO94" s="168">
        <f t="shared" ref="LO94:LY94" si="317">SUM(LO85:LO93)</f>
        <v>0</v>
      </c>
      <c r="LP94" s="168">
        <f t="shared" si="317"/>
        <v>0</v>
      </c>
      <c r="LQ94" s="168">
        <f t="shared" si="317"/>
        <v>0</v>
      </c>
      <c r="LR94" s="168">
        <f t="shared" si="317"/>
        <v>0</v>
      </c>
      <c r="LS94" s="168">
        <f t="shared" si="317"/>
        <v>0</v>
      </c>
      <c r="LT94" s="168">
        <f t="shared" si="317"/>
        <v>0</v>
      </c>
      <c r="LU94" s="168">
        <f t="shared" si="317"/>
        <v>0</v>
      </c>
      <c r="LV94" s="168">
        <f t="shared" si="317"/>
        <v>0</v>
      </c>
      <c r="LW94" s="168">
        <f t="shared" si="317"/>
        <v>0</v>
      </c>
      <c r="LX94" s="168">
        <f t="shared" si="317"/>
        <v>0</v>
      </c>
      <c r="LY94" s="168">
        <f t="shared" si="317"/>
        <v>0</v>
      </c>
      <c r="LZ94" s="212">
        <f>+SUBTOTAL(9,LN94:LY94)</f>
        <v>0</v>
      </c>
      <c r="MA94" s="213"/>
      <c r="MB94" s="212">
        <f t="shared" ref="MB94:MC94" si="318">SUM(MB85:MB93)</f>
        <v>2027270.6772959188</v>
      </c>
      <c r="MC94" s="212">
        <f t="shared" si="318"/>
        <v>2043602.6968373656</v>
      </c>
      <c r="MD94" s="212">
        <f t="shared" ref="MD94:MN94" si="319">SUM(MD85:MD93)</f>
        <v>3212989.8314045994</v>
      </c>
      <c r="ME94" s="212">
        <f t="shared" si="319"/>
        <v>3200687.0525157116</v>
      </c>
      <c r="MF94" s="212">
        <f t="shared" si="319"/>
        <v>3214074.6668190621</v>
      </c>
      <c r="MG94" s="212">
        <f t="shared" si="319"/>
        <v>3185111.1214222368</v>
      </c>
      <c r="MH94" s="212">
        <f t="shared" si="319"/>
        <v>3148315.5868190625</v>
      </c>
      <c r="MI94" s="212">
        <f t="shared" si="319"/>
        <v>3162522.2900113026</v>
      </c>
      <c r="MJ94" s="212">
        <f t="shared" si="319"/>
        <v>3160878.6846144767</v>
      </c>
      <c r="MK94" s="212">
        <f t="shared" si="319"/>
        <v>3049990.5401700311</v>
      </c>
      <c r="ML94" s="212">
        <f t="shared" si="319"/>
        <v>2919585.3518732316</v>
      </c>
      <c r="MM94" s="212">
        <f t="shared" si="319"/>
        <v>2914367.5161589454</v>
      </c>
      <c r="MN94" s="212">
        <f t="shared" si="319"/>
        <v>35239396.01594194</v>
      </c>
    </row>
    <row r="95" spans="1:352" x14ac:dyDescent="0.3">
      <c r="A95" s="98"/>
      <c r="B95" s="187"/>
      <c r="C95" s="98"/>
      <c r="D95" s="153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7"/>
      <c r="Q95" s="161"/>
      <c r="R95" s="153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7"/>
      <c r="AE95" s="161"/>
      <c r="AF95" s="153"/>
      <c r="AG95" s="154"/>
      <c r="AH95" s="154"/>
      <c r="AI95" s="154"/>
      <c r="AJ95" s="154"/>
      <c r="AK95" s="154"/>
      <c r="AL95" s="154"/>
      <c r="AM95" s="154"/>
      <c r="AN95" s="154"/>
      <c r="AO95" s="154"/>
      <c r="AP95" s="154"/>
      <c r="AQ95" s="154"/>
      <c r="AR95" s="157"/>
      <c r="AT95" s="153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7"/>
      <c r="BH95" s="153"/>
      <c r="BI95" s="154"/>
      <c r="BJ95" s="154"/>
      <c r="BK95" s="154"/>
      <c r="BL95" s="154"/>
      <c r="BM95" s="154"/>
      <c r="BN95" s="154"/>
      <c r="BO95" s="154"/>
      <c r="BP95" s="154"/>
      <c r="BQ95" s="154"/>
      <c r="BR95" s="154"/>
      <c r="BS95" s="154"/>
      <c r="BT95" s="157"/>
      <c r="BV95" s="153"/>
      <c r="BW95" s="154"/>
      <c r="BX95" s="154"/>
      <c r="BY95" s="154"/>
      <c r="BZ95" s="154"/>
      <c r="CA95" s="154"/>
      <c r="CB95" s="154"/>
      <c r="CC95" s="154"/>
      <c r="CD95" s="154"/>
      <c r="CE95" s="154"/>
      <c r="CF95" s="154"/>
      <c r="CG95" s="154"/>
      <c r="CH95" s="157"/>
      <c r="CI95" s="161"/>
      <c r="CJ95" s="153"/>
      <c r="CK95" s="154"/>
      <c r="CL95" s="154"/>
      <c r="CM95" s="154"/>
      <c r="CN95" s="154"/>
      <c r="CO95" s="154"/>
      <c r="CP95" s="154"/>
      <c r="CQ95" s="154"/>
      <c r="CR95" s="154"/>
      <c r="CS95" s="154"/>
      <c r="CT95" s="154"/>
      <c r="CU95" s="154"/>
      <c r="CV95" s="157"/>
      <c r="CW95" s="161"/>
      <c r="CX95" s="153"/>
      <c r="CY95" s="154"/>
      <c r="CZ95" s="154"/>
      <c r="DA95" s="154"/>
      <c r="DB95" s="154"/>
      <c r="DC95" s="154"/>
      <c r="DD95" s="154"/>
      <c r="DE95" s="154"/>
      <c r="DF95" s="154"/>
      <c r="DG95" s="154"/>
      <c r="DH95" s="154"/>
      <c r="DI95" s="154"/>
      <c r="DJ95" s="157"/>
      <c r="DK95" s="161"/>
      <c r="DL95" s="153"/>
      <c r="DM95" s="154"/>
      <c r="DN95" s="154"/>
      <c r="DO95" s="154"/>
      <c r="DP95" s="154"/>
      <c r="DQ95" s="154"/>
      <c r="DR95" s="154"/>
      <c r="DS95" s="154"/>
      <c r="DT95" s="154"/>
      <c r="DU95" s="154"/>
      <c r="DV95" s="154"/>
      <c r="DW95" s="154"/>
      <c r="DX95" s="157"/>
      <c r="DY95" s="161"/>
      <c r="DZ95" s="153"/>
      <c r="EA95" s="154"/>
      <c r="EB95" s="154"/>
      <c r="EC95" s="154"/>
      <c r="ED95" s="154"/>
      <c r="EE95" s="154"/>
      <c r="EF95" s="154"/>
      <c r="EG95" s="154"/>
      <c r="EH95" s="154"/>
      <c r="EI95" s="154"/>
      <c r="EJ95" s="154"/>
      <c r="EK95" s="154"/>
      <c r="EL95" s="157"/>
      <c r="EM95" s="161"/>
      <c r="EN95" s="153"/>
      <c r="EO95" s="154"/>
      <c r="EP95" s="154"/>
      <c r="EQ95" s="154"/>
      <c r="ER95" s="154"/>
      <c r="ES95" s="154"/>
      <c r="ET95" s="154"/>
      <c r="EU95" s="154"/>
      <c r="EV95" s="154"/>
      <c r="EW95" s="154"/>
      <c r="EX95" s="154"/>
      <c r="EY95" s="154"/>
      <c r="EZ95" s="157"/>
      <c r="FA95" s="161"/>
      <c r="FB95" s="153"/>
      <c r="FC95" s="154"/>
      <c r="FD95" s="154"/>
      <c r="FE95" s="154"/>
      <c r="FF95" s="154"/>
      <c r="FG95" s="154"/>
      <c r="FH95" s="154"/>
      <c r="FI95" s="154"/>
      <c r="FJ95" s="154"/>
      <c r="FK95" s="154"/>
      <c r="FL95" s="154"/>
      <c r="FM95" s="154"/>
      <c r="FN95" s="157"/>
      <c r="FO95" s="161"/>
      <c r="FP95" s="153"/>
      <c r="FQ95" s="154"/>
      <c r="FR95" s="154"/>
      <c r="FS95" s="154"/>
      <c r="FT95" s="154"/>
      <c r="FU95" s="154"/>
      <c r="FV95" s="154"/>
      <c r="FW95" s="154"/>
      <c r="FX95" s="154"/>
      <c r="FY95" s="154"/>
      <c r="FZ95" s="154"/>
      <c r="GA95" s="154"/>
      <c r="GB95" s="157"/>
      <c r="GC95" s="161"/>
      <c r="GD95" s="203">
        <f>+GD94+GR94</f>
        <v>12361.406568877552</v>
      </c>
      <c r="GE95" s="177">
        <f>+GD95/83.92</f>
        <v>147.29988761770198</v>
      </c>
      <c r="GF95" s="154"/>
      <c r="GG95" s="154"/>
      <c r="GH95" s="154"/>
      <c r="GI95" s="154"/>
      <c r="GJ95" s="154"/>
      <c r="GK95" s="154"/>
      <c r="GL95" s="154"/>
      <c r="GM95" s="154"/>
      <c r="GN95" s="154"/>
      <c r="GO95" s="154"/>
      <c r="GP95" s="157"/>
      <c r="GQ95" s="161"/>
      <c r="GR95" s="153"/>
      <c r="GS95" s="154"/>
      <c r="GT95" s="154"/>
      <c r="GU95" s="154"/>
      <c r="GV95" s="154"/>
      <c r="GW95" s="154"/>
      <c r="GX95" s="154"/>
      <c r="GY95" s="154"/>
      <c r="GZ95" s="154"/>
      <c r="HA95" s="154"/>
      <c r="HB95" s="154"/>
      <c r="HC95" s="154"/>
      <c r="HD95" s="157">
        <f t="shared" si="293"/>
        <v>0</v>
      </c>
      <c r="HE95" s="161"/>
      <c r="HF95" s="153"/>
      <c r="HG95" s="154"/>
      <c r="HH95" s="154"/>
      <c r="HI95" s="154"/>
      <c r="HJ95" s="154"/>
      <c r="HK95" s="154"/>
      <c r="HL95" s="154"/>
      <c r="HM95" s="154"/>
      <c r="HN95" s="154"/>
      <c r="HO95" s="154"/>
      <c r="HP95" s="154"/>
      <c r="HQ95" s="154"/>
      <c r="HR95" s="157"/>
      <c r="HS95" s="161"/>
      <c r="HT95" s="153"/>
      <c r="HU95" s="154"/>
      <c r="HV95" s="154"/>
      <c r="HW95" s="154"/>
      <c r="HX95" s="154"/>
      <c r="HY95" s="154"/>
      <c r="HZ95" s="154"/>
      <c r="IA95" s="154"/>
      <c r="IB95" s="154"/>
      <c r="IC95" s="154"/>
      <c r="ID95" s="154"/>
      <c r="IE95" s="154"/>
      <c r="IF95" s="157"/>
      <c r="IG95" s="161"/>
      <c r="IH95" s="153"/>
      <c r="II95" s="154"/>
      <c r="IJ95" s="154"/>
      <c r="IK95" s="154"/>
      <c r="IL95" s="154"/>
      <c r="IM95" s="154"/>
      <c r="IN95" s="154"/>
      <c r="IO95" s="154"/>
      <c r="IP95" s="154"/>
      <c r="IQ95" s="154"/>
      <c r="IR95" s="154"/>
      <c r="IS95" s="154"/>
      <c r="IT95" s="157"/>
      <c r="IU95" s="161"/>
      <c r="IV95" s="153"/>
      <c r="IW95" s="154"/>
      <c r="IX95" s="154"/>
      <c r="IY95" s="154"/>
      <c r="IZ95" s="154"/>
      <c r="JA95" s="154"/>
      <c r="JB95" s="154"/>
      <c r="JC95" s="154"/>
      <c r="JD95" s="154"/>
      <c r="JE95" s="154"/>
      <c r="JF95" s="154"/>
      <c r="JG95" s="154"/>
      <c r="JH95" s="157"/>
      <c r="JI95" s="161"/>
      <c r="JJ95" s="153"/>
      <c r="JK95" s="154"/>
      <c r="JL95" s="154"/>
      <c r="JM95" s="154"/>
      <c r="JN95" s="154"/>
      <c r="JO95" s="154"/>
      <c r="JP95" s="154"/>
      <c r="JQ95" s="154"/>
      <c r="JR95" s="154"/>
      <c r="JS95" s="154"/>
      <c r="JT95" s="154"/>
      <c r="JU95" s="154"/>
      <c r="JV95" s="157"/>
      <c r="JW95" s="161"/>
      <c r="JX95" s="153"/>
      <c r="JY95" s="154"/>
      <c r="JZ95" s="154"/>
      <c r="KA95" s="154"/>
      <c r="KB95" s="154"/>
      <c r="KC95" s="154"/>
      <c r="KD95" s="154"/>
      <c r="KE95" s="154"/>
      <c r="KF95" s="154"/>
      <c r="KG95" s="154"/>
      <c r="KH95" s="154"/>
      <c r="KI95" s="154"/>
      <c r="KJ95" s="157"/>
      <c r="KK95" s="161"/>
      <c r="KL95" s="153"/>
      <c r="KM95" s="154"/>
      <c r="KN95" s="154"/>
      <c r="KO95" s="154"/>
      <c r="KP95" s="154"/>
      <c r="KQ95" s="154"/>
      <c r="KR95" s="154"/>
      <c r="KS95" s="154"/>
      <c r="KT95" s="154"/>
      <c r="KU95" s="154"/>
      <c r="KV95" s="154"/>
      <c r="KW95" s="154"/>
      <c r="KX95" s="157"/>
      <c r="KY95" s="161"/>
      <c r="KZ95" s="153"/>
      <c r="LA95" s="154"/>
      <c r="LB95" s="154"/>
      <c r="LC95" s="154"/>
      <c r="LD95" s="154"/>
      <c r="LE95" s="154"/>
      <c r="LF95" s="154"/>
      <c r="LG95" s="154"/>
      <c r="LH95" s="154"/>
      <c r="LI95" s="154"/>
      <c r="LJ95" s="154"/>
      <c r="LK95" s="154"/>
      <c r="LL95" s="157"/>
      <c r="LM95" s="161"/>
      <c r="LN95" s="153"/>
      <c r="LO95" s="154"/>
      <c r="LP95" s="154"/>
      <c r="LQ95" s="154"/>
      <c r="LR95" s="154"/>
      <c r="LS95" s="154"/>
      <c r="LT95" s="154"/>
      <c r="LU95" s="154"/>
      <c r="LV95" s="154"/>
      <c r="LW95" s="154"/>
      <c r="LX95" s="154"/>
      <c r="LY95" s="154"/>
      <c r="LZ95" s="157"/>
      <c r="MA95" s="161"/>
      <c r="MB95" s="157"/>
      <c r="MC95" s="157"/>
      <c r="MD95" s="157"/>
      <c r="ME95" s="157"/>
      <c r="MF95" s="157"/>
      <c r="MG95" s="157"/>
      <c r="MH95" s="157"/>
      <c r="MI95" s="157"/>
      <c r="MJ95" s="157"/>
      <c r="MK95" s="157"/>
      <c r="ML95" s="157"/>
      <c r="MM95" s="157"/>
      <c r="MN95" s="157"/>
    </row>
    <row r="96" spans="1:352" x14ac:dyDescent="0.25">
      <c r="A96" s="98"/>
      <c r="B96" s="181" t="s">
        <v>216</v>
      </c>
      <c r="C96" s="98"/>
      <c r="D96" s="163">
        <v>0</v>
      </c>
      <c r="E96" s="177">
        <v>0</v>
      </c>
      <c r="F96" s="177">
        <v>0</v>
      </c>
      <c r="G96" s="177">
        <v>0</v>
      </c>
      <c r="H96" s="177">
        <v>0</v>
      </c>
      <c r="I96" s="177">
        <v>0</v>
      </c>
      <c r="J96" s="177">
        <v>0</v>
      </c>
      <c r="K96" s="177">
        <v>0</v>
      </c>
      <c r="L96" s="177">
        <v>0</v>
      </c>
      <c r="M96" s="177">
        <v>0</v>
      </c>
      <c r="N96" s="177">
        <v>0</v>
      </c>
      <c r="O96" s="177">
        <v>0</v>
      </c>
      <c r="P96" s="204">
        <f>+SUBTOTAL(9,D96:O96)</f>
        <v>0</v>
      </c>
      <c r="Q96" s="205"/>
      <c r="R96" s="163">
        <v>0</v>
      </c>
      <c r="S96" s="177">
        <v>0</v>
      </c>
      <c r="T96" s="177">
        <v>0</v>
      </c>
      <c r="U96" s="177">
        <v>0</v>
      </c>
      <c r="V96" s="177">
        <v>0</v>
      </c>
      <c r="W96" s="177">
        <v>0</v>
      </c>
      <c r="X96" s="177">
        <v>0</v>
      </c>
      <c r="Y96" s="177">
        <v>0</v>
      </c>
      <c r="Z96" s="177">
        <v>0</v>
      </c>
      <c r="AA96" s="177">
        <v>0</v>
      </c>
      <c r="AB96" s="177">
        <v>0</v>
      </c>
      <c r="AC96" s="177">
        <v>0</v>
      </c>
      <c r="AD96" s="204">
        <f>+SUBTOTAL(9,R96:AC96)</f>
        <v>0</v>
      </c>
      <c r="AE96" s="205"/>
      <c r="AF96" s="163">
        <v>0</v>
      </c>
      <c r="AG96" s="177">
        <v>0</v>
      </c>
      <c r="AH96" s="177">
        <v>0</v>
      </c>
      <c r="AI96" s="177">
        <v>0</v>
      </c>
      <c r="AJ96" s="177">
        <v>0</v>
      </c>
      <c r="AK96" s="177">
        <v>0</v>
      </c>
      <c r="AL96" s="177">
        <v>0</v>
      </c>
      <c r="AM96" s="177">
        <v>0</v>
      </c>
      <c r="AN96" s="177">
        <v>0</v>
      </c>
      <c r="AO96" s="177">
        <v>0</v>
      </c>
      <c r="AP96" s="177">
        <v>0</v>
      </c>
      <c r="AQ96" s="177">
        <v>0</v>
      </c>
      <c r="AR96" s="204">
        <f>+SUBTOTAL(9,AF96:AQ96)</f>
        <v>0</v>
      </c>
      <c r="AT96" s="163">
        <v>0</v>
      </c>
      <c r="AU96" s="177">
        <v>0</v>
      </c>
      <c r="AV96" s="177">
        <v>0</v>
      </c>
      <c r="AW96" s="177">
        <v>0</v>
      </c>
      <c r="AX96" s="177">
        <v>0</v>
      </c>
      <c r="AY96" s="177">
        <v>0</v>
      </c>
      <c r="AZ96" s="177">
        <v>0</v>
      </c>
      <c r="BA96" s="177">
        <v>0</v>
      </c>
      <c r="BB96" s="177">
        <v>0</v>
      </c>
      <c r="BC96" s="177">
        <v>0</v>
      </c>
      <c r="BD96" s="177">
        <v>0</v>
      </c>
      <c r="BE96" s="177">
        <v>0</v>
      </c>
      <c r="BF96" s="204">
        <f>+SUBTOTAL(9,AT96:BE96)</f>
        <v>0</v>
      </c>
      <c r="BH96" s="163">
        <v>0</v>
      </c>
      <c r="BI96" s="164">
        <v>0</v>
      </c>
      <c r="BJ96" s="154">
        <v>0</v>
      </c>
      <c r="BK96" s="154">
        <v>0</v>
      </c>
      <c r="BL96" s="154">
        <v>0</v>
      </c>
      <c r="BM96" s="154">
        <v>0</v>
      </c>
      <c r="BN96" s="154">
        <v>0</v>
      </c>
      <c r="BO96" s="154">
        <v>0</v>
      </c>
      <c r="BP96" s="154">
        <v>0</v>
      </c>
      <c r="BQ96" s="154">
        <v>0</v>
      </c>
      <c r="BR96" s="154">
        <v>0</v>
      </c>
      <c r="BS96" s="154">
        <v>0</v>
      </c>
      <c r="BT96" s="204">
        <f>+SUBTOTAL(9,BH96:BS96)</f>
        <v>0</v>
      </c>
      <c r="BV96" s="163">
        <v>0</v>
      </c>
      <c r="BW96" s="164">
        <v>0</v>
      </c>
      <c r="BX96" s="154">
        <v>0</v>
      </c>
      <c r="BY96" s="154">
        <v>0</v>
      </c>
      <c r="BZ96" s="154">
        <v>0</v>
      </c>
      <c r="CA96" s="154">
        <v>0</v>
      </c>
      <c r="CB96" s="154">
        <v>0</v>
      </c>
      <c r="CC96" s="154">
        <v>0</v>
      </c>
      <c r="CD96" s="154">
        <v>0</v>
      </c>
      <c r="CE96" s="154">
        <v>0</v>
      </c>
      <c r="CF96" s="154">
        <v>0</v>
      </c>
      <c r="CG96" s="154">
        <v>0</v>
      </c>
      <c r="CH96" s="204">
        <f>+SUBTOTAL(9,BV96:CG96)</f>
        <v>0</v>
      </c>
      <c r="CI96" s="205"/>
      <c r="CJ96" s="163">
        <v>0</v>
      </c>
      <c r="CK96" s="164">
        <v>0</v>
      </c>
      <c r="CL96" s="154">
        <v>0</v>
      </c>
      <c r="CM96" s="154">
        <v>0</v>
      </c>
      <c r="CN96" s="154">
        <v>0</v>
      </c>
      <c r="CO96" s="154">
        <v>0</v>
      </c>
      <c r="CP96" s="154">
        <v>0</v>
      </c>
      <c r="CQ96" s="154">
        <v>0</v>
      </c>
      <c r="CR96" s="154">
        <v>0</v>
      </c>
      <c r="CS96" s="154">
        <v>0</v>
      </c>
      <c r="CT96" s="154">
        <v>0</v>
      </c>
      <c r="CU96" s="154">
        <v>0</v>
      </c>
      <c r="CV96" s="204">
        <f>+SUBTOTAL(9,CJ96:CU96)</f>
        <v>0</v>
      </c>
      <c r="CW96" s="205"/>
      <c r="CX96" s="163">
        <v>0</v>
      </c>
      <c r="CY96" s="164">
        <v>0</v>
      </c>
      <c r="CZ96" s="154">
        <v>0</v>
      </c>
      <c r="DA96" s="154">
        <v>0</v>
      </c>
      <c r="DB96" s="154">
        <v>0</v>
      </c>
      <c r="DC96" s="154">
        <v>0</v>
      </c>
      <c r="DD96" s="154">
        <v>0</v>
      </c>
      <c r="DE96" s="154">
        <v>0</v>
      </c>
      <c r="DF96" s="154">
        <v>0</v>
      </c>
      <c r="DG96" s="154">
        <v>0</v>
      </c>
      <c r="DH96" s="154">
        <v>0</v>
      </c>
      <c r="DI96" s="154">
        <v>0</v>
      </c>
      <c r="DJ96" s="204">
        <f>+SUBTOTAL(9,CX96:DI96)</f>
        <v>0</v>
      </c>
      <c r="DK96" s="205"/>
      <c r="DL96" s="163">
        <v>0</v>
      </c>
      <c r="DM96" s="164">
        <v>0</v>
      </c>
      <c r="DN96" s="154">
        <v>0</v>
      </c>
      <c r="DO96" s="154">
        <v>0</v>
      </c>
      <c r="DP96" s="154">
        <v>0</v>
      </c>
      <c r="DQ96" s="154">
        <v>0</v>
      </c>
      <c r="DR96" s="154">
        <v>0</v>
      </c>
      <c r="DS96" s="154">
        <v>0</v>
      </c>
      <c r="DT96" s="154">
        <v>0</v>
      </c>
      <c r="DU96" s="154">
        <v>0</v>
      </c>
      <c r="DV96" s="154">
        <v>0</v>
      </c>
      <c r="DW96" s="154">
        <v>0</v>
      </c>
      <c r="DX96" s="204">
        <f>+SUBTOTAL(9,DL96:DW96)</f>
        <v>0</v>
      </c>
      <c r="DY96" s="205"/>
      <c r="DZ96" s="163">
        <v>0</v>
      </c>
      <c r="EA96" s="164">
        <v>0</v>
      </c>
      <c r="EB96" s="154">
        <v>0</v>
      </c>
      <c r="EC96" s="154">
        <v>0</v>
      </c>
      <c r="ED96" s="154">
        <v>0</v>
      </c>
      <c r="EE96" s="154">
        <v>0</v>
      </c>
      <c r="EF96" s="154">
        <v>0</v>
      </c>
      <c r="EG96" s="154">
        <v>0</v>
      </c>
      <c r="EH96" s="154">
        <v>0</v>
      </c>
      <c r="EI96" s="154">
        <v>0</v>
      </c>
      <c r="EJ96" s="154">
        <v>0</v>
      </c>
      <c r="EK96" s="154">
        <v>0</v>
      </c>
      <c r="EL96" s="204">
        <f>+SUBTOTAL(9,DZ96:EK96)</f>
        <v>0</v>
      </c>
      <c r="EM96" s="205"/>
      <c r="EN96" s="163">
        <v>0</v>
      </c>
      <c r="EO96" s="164">
        <v>0</v>
      </c>
      <c r="EP96" s="154">
        <v>0</v>
      </c>
      <c r="EQ96" s="154">
        <v>0</v>
      </c>
      <c r="ER96" s="154">
        <v>0</v>
      </c>
      <c r="ES96" s="154">
        <v>0</v>
      </c>
      <c r="ET96" s="154">
        <v>0</v>
      </c>
      <c r="EU96" s="154">
        <v>0</v>
      </c>
      <c r="EV96" s="154">
        <v>0</v>
      </c>
      <c r="EW96" s="154">
        <v>0</v>
      </c>
      <c r="EX96" s="154">
        <v>0</v>
      </c>
      <c r="EY96" s="154">
        <v>0</v>
      </c>
      <c r="EZ96" s="204">
        <f>+SUBTOTAL(9,EN96:EY96)</f>
        <v>0</v>
      </c>
      <c r="FA96" s="205"/>
      <c r="FB96" s="163">
        <v>0</v>
      </c>
      <c r="FC96" s="164">
        <v>0</v>
      </c>
      <c r="FD96" s="154">
        <v>0</v>
      </c>
      <c r="FE96" s="154">
        <v>0</v>
      </c>
      <c r="FF96" s="154">
        <v>0</v>
      </c>
      <c r="FG96" s="154">
        <v>0</v>
      </c>
      <c r="FH96" s="154">
        <v>0</v>
      </c>
      <c r="FI96" s="154">
        <v>0</v>
      </c>
      <c r="FJ96" s="154">
        <v>0</v>
      </c>
      <c r="FK96" s="154">
        <v>0</v>
      </c>
      <c r="FL96" s="154">
        <v>0</v>
      </c>
      <c r="FM96" s="154">
        <v>0</v>
      </c>
      <c r="FN96" s="204">
        <f>+SUBTOTAL(9,FB96:FM96)</f>
        <v>0</v>
      </c>
      <c r="FO96" s="205"/>
      <c r="FP96" s="163">
        <v>0</v>
      </c>
      <c r="FQ96" s="164">
        <v>0</v>
      </c>
      <c r="FR96" s="154">
        <v>0</v>
      </c>
      <c r="FS96" s="154">
        <v>0</v>
      </c>
      <c r="FT96" s="154">
        <v>0</v>
      </c>
      <c r="FU96" s="154">
        <v>0</v>
      </c>
      <c r="FV96" s="154">
        <v>0</v>
      </c>
      <c r="FW96" s="154">
        <v>0</v>
      </c>
      <c r="FX96" s="154">
        <v>0</v>
      </c>
      <c r="FY96" s="154">
        <v>0</v>
      </c>
      <c r="FZ96" s="154">
        <v>0</v>
      </c>
      <c r="GA96" s="154">
        <v>0</v>
      </c>
      <c r="GB96" s="204">
        <f>+SUBTOTAL(9,FP96:GA96)</f>
        <v>0</v>
      </c>
      <c r="GC96" s="205"/>
      <c r="GD96" s="163">
        <v>0</v>
      </c>
      <c r="GE96" s="164">
        <v>0</v>
      </c>
      <c r="GF96" s="154">
        <v>0</v>
      </c>
      <c r="GG96" s="154">
        <v>0</v>
      </c>
      <c r="GH96" s="154">
        <v>0</v>
      </c>
      <c r="GI96" s="154">
        <v>0</v>
      </c>
      <c r="GJ96" s="154">
        <v>0</v>
      </c>
      <c r="GK96" s="154">
        <v>0</v>
      </c>
      <c r="GL96" s="154">
        <v>0</v>
      </c>
      <c r="GM96" s="154">
        <v>0</v>
      </c>
      <c r="GN96" s="154">
        <v>0</v>
      </c>
      <c r="GO96" s="154">
        <v>0</v>
      </c>
      <c r="GP96" s="204">
        <f>+SUBTOTAL(9,GD96:GO96)</f>
        <v>0</v>
      </c>
      <c r="GQ96" s="205"/>
      <c r="GR96" s="163">
        <v>0</v>
      </c>
      <c r="GS96" s="164">
        <v>0</v>
      </c>
      <c r="GT96" s="154">
        <v>0</v>
      </c>
      <c r="GU96" s="154">
        <v>0</v>
      </c>
      <c r="GV96" s="154">
        <v>0</v>
      </c>
      <c r="GW96" s="154">
        <v>0</v>
      </c>
      <c r="GX96" s="154">
        <v>0</v>
      </c>
      <c r="GY96" s="154">
        <v>0</v>
      </c>
      <c r="GZ96" s="154">
        <v>0</v>
      </c>
      <c r="HA96" s="154">
        <v>0</v>
      </c>
      <c r="HB96" s="154">
        <v>0</v>
      </c>
      <c r="HC96" s="154">
        <v>0</v>
      </c>
      <c r="HD96" s="204">
        <f t="shared" si="293"/>
        <v>0</v>
      </c>
      <c r="HE96" s="205"/>
      <c r="HF96" s="163">
        <v>0</v>
      </c>
      <c r="HG96" s="164">
        <v>0</v>
      </c>
      <c r="HH96" s="154">
        <v>0</v>
      </c>
      <c r="HI96" s="154">
        <v>0</v>
      </c>
      <c r="HJ96" s="154">
        <v>0</v>
      </c>
      <c r="HK96" s="154">
        <v>0</v>
      </c>
      <c r="HL96" s="154">
        <v>0</v>
      </c>
      <c r="HM96" s="154">
        <v>0</v>
      </c>
      <c r="HN96" s="154">
        <v>0</v>
      </c>
      <c r="HO96" s="154">
        <v>0</v>
      </c>
      <c r="HP96" s="154">
        <v>0</v>
      </c>
      <c r="HQ96" s="154">
        <v>0</v>
      </c>
      <c r="HR96" s="204">
        <f>+SUBTOTAL(9,HF96:HQ96)</f>
        <v>0</v>
      </c>
      <c r="HS96" s="205"/>
      <c r="HT96" s="163">
        <v>0</v>
      </c>
      <c r="HU96" s="164">
        <v>0</v>
      </c>
      <c r="HV96" s="154">
        <v>0</v>
      </c>
      <c r="HW96" s="154">
        <v>0</v>
      </c>
      <c r="HX96" s="154">
        <v>0</v>
      </c>
      <c r="HY96" s="154">
        <v>0</v>
      </c>
      <c r="HZ96" s="154">
        <v>0</v>
      </c>
      <c r="IA96" s="154">
        <v>0</v>
      </c>
      <c r="IB96" s="154">
        <v>0</v>
      </c>
      <c r="IC96" s="154">
        <v>0</v>
      </c>
      <c r="ID96" s="154">
        <v>0</v>
      </c>
      <c r="IE96" s="154">
        <v>0</v>
      </c>
      <c r="IF96" s="204">
        <f>+SUBTOTAL(9,HT96:IE96)</f>
        <v>0</v>
      </c>
      <c r="IG96" s="205"/>
      <c r="IH96" s="163">
        <v>0</v>
      </c>
      <c r="II96" s="164">
        <v>0</v>
      </c>
      <c r="IJ96" s="154">
        <v>0</v>
      </c>
      <c r="IK96" s="154">
        <v>0</v>
      </c>
      <c r="IL96" s="154">
        <v>0</v>
      </c>
      <c r="IM96" s="154">
        <v>0</v>
      </c>
      <c r="IN96" s="154">
        <v>0</v>
      </c>
      <c r="IO96" s="154">
        <v>0</v>
      </c>
      <c r="IP96" s="154">
        <v>0</v>
      </c>
      <c r="IQ96" s="154">
        <v>0</v>
      </c>
      <c r="IR96" s="154">
        <v>0</v>
      </c>
      <c r="IS96" s="154">
        <v>0</v>
      </c>
      <c r="IT96" s="204">
        <f>+SUBTOTAL(9,IH96:IS96)</f>
        <v>0</v>
      </c>
      <c r="IU96" s="205"/>
      <c r="IV96" s="163">
        <v>0</v>
      </c>
      <c r="IW96" s="164">
        <v>0</v>
      </c>
      <c r="IX96" s="154">
        <v>0</v>
      </c>
      <c r="IY96" s="154">
        <v>0</v>
      </c>
      <c r="IZ96" s="154">
        <v>0</v>
      </c>
      <c r="JA96" s="154">
        <v>0</v>
      </c>
      <c r="JB96" s="154">
        <v>0</v>
      </c>
      <c r="JC96" s="154">
        <v>0</v>
      </c>
      <c r="JD96" s="154">
        <v>0</v>
      </c>
      <c r="JE96" s="154">
        <v>0</v>
      </c>
      <c r="JF96" s="154">
        <v>0</v>
      </c>
      <c r="JG96" s="154">
        <v>0</v>
      </c>
      <c r="JH96" s="204">
        <f>+SUBTOTAL(9,IV96:JG96)</f>
        <v>0</v>
      </c>
      <c r="JI96" s="205"/>
      <c r="JJ96" s="163">
        <v>0</v>
      </c>
      <c r="JK96" s="164">
        <v>0</v>
      </c>
      <c r="JL96" s="154">
        <v>0</v>
      </c>
      <c r="JM96" s="154">
        <v>0</v>
      </c>
      <c r="JN96" s="154">
        <v>0</v>
      </c>
      <c r="JO96" s="154">
        <v>0</v>
      </c>
      <c r="JP96" s="154">
        <v>0</v>
      </c>
      <c r="JQ96" s="154">
        <v>0</v>
      </c>
      <c r="JR96" s="154">
        <v>0</v>
      </c>
      <c r="JS96" s="154">
        <v>0</v>
      </c>
      <c r="JT96" s="154">
        <v>0</v>
      </c>
      <c r="JU96" s="154">
        <v>0</v>
      </c>
      <c r="JV96" s="204">
        <f>+SUBTOTAL(9,JJ96:JU96)</f>
        <v>0</v>
      </c>
      <c r="JW96" s="205"/>
      <c r="JX96" s="163">
        <v>0</v>
      </c>
      <c r="JY96" s="164">
        <v>0</v>
      </c>
      <c r="JZ96" s="154">
        <v>0</v>
      </c>
      <c r="KA96" s="154">
        <v>0</v>
      </c>
      <c r="KB96" s="154">
        <v>0</v>
      </c>
      <c r="KC96" s="154">
        <v>0</v>
      </c>
      <c r="KD96" s="154">
        <v>0</v>
      </c>
      <c r="KE96" s="154">
        <v>0</v>
      </c>
      <c r="KF96" s="154">
        <v>0</v>
      </c>
      <c r="KG96" s="154">
        <v>0</v>
      </c>
      <c r="KH96" s="154">
        <v>0</v>
      </c>
      <c r="KI96" s="154">
        <v>0</v>
      </c>
      <c r="KJ96" s="204">
        <f>+SUBTOTAL(9,JX96:KI96)</f>
        <v>0</v>
      </c>
      <c r="KK96" s="205"/>
      <c r="KL96" s="163">
        <v>0</v>
      </c>
      <c r="KM96" s="164">
        <v>0</v>
      </c>
      <c r="KN96" s="154">
        <v>0</v>
      </c>
      <c r="KO96" s="154">
        <v>0</v>
      </c>
      <c r="KP96" s="154">
        <v>0</v>
      </c>
      <c r="KQ96" s="154">
        <v>0</v>
      </c>
      <c r="KR96" s="154">
        <v>0</v>
      </c>
      <c r="KS96" s="154">
        <v>0</v>
      </c>
      <c r="KT96" s="154">
        <v>0</v>
      </c>
      <c r="KU96" s="154">
        <v>0</v>
      </c>
      <c r="KV96" s="154">
        <v>0</v>
      </c>
      <c r="KW96" s="154">
        <v>0</v>
      </c>
      <c r="KX96" s="204">
        <f>+SUBTOTAL(9,KL96:KW96)</f>
        <v>0</v>
      </c>
      <c r="KY96" s="205"/>
      <c r="KZ96" s="163">
        <v>0</v>
      </c>
      <c r="LA96" s="164">
        <v>0</v>
      </c>
      <c r="LB96" s="154">
        <v>0</v>
      </c>
      <c r="LC96" s="154">
        <v>0</v>
      </c>
      <c r="LD96" s="154">
        <v>0</v>
      </c>
      <c r="LE96" s="154">
        <v>0</v>
      </c>
      <c r="LF96" s="154">
        <v>0</v>
      </c>
      <c r="LG96" s="154">
        <v>0</v>
      </c>
      <c r="LH96" s="154">
        <v>0</v>
      </c>
      <c r="LI96" s="154">
        <v>0</v>
      </c>
      <c r="LJ96" s="154">
        <v>0</v>
      </c>
      <c r="LK96" s="154">
        <v>0</v>
      </c>
      <c r="LL96" s="204">
        <f>+SUBTOTAL(9,KZ96:LK96)</f>
        <v>0</v>
      </c>
      <c r="LM96" s="205"/>
      <c r="LN96" s="163">
        <v>0</v>
      </c>
      <c r="LO96" s="164">
        <v>0</v>
      </c>
      <c r="LP96" s="154">
        <v>0</v>
      </c>
      <c r="LQ96" s="154">
        <v>0</v>
      </c>
      <c r="LR96" s="154">
        <v>0</v>
      </c>
      <c r="LS96" s="154">
        <v>0</v>
      </c>
      <c r="LT96" s="154">
        <v>0</v>
      </c>
      <c r="LU96" s="154">
        <v>0</v>
      </c>
      <c r="LV96" s="154">
        <v>0</v>
      </c>
      <c r="LW96" s="154">
        <v>0</v>
      </c>
      <c r="LX96" s="154">
        <v>0</v>
      </c>
      <c r="LY96" s="154">
        <v>0</v>
      </c>
      <c r="LZ96" s="204">
        <f>+SUBTOTAL(9,LN96:LY96)</f>
        <v>0</v>
      </c>
      <c r="MA96" s="205"/>
      <c r="MB96" s="157">
        <f t="shared" ref="MB96:MM96" si="320">SUMIF($D$6:$LY$6,MB$3,$D96:$LY96)</f>
        <v>0</v>
      </c>
      <c r="MC96" s="157">
        <f t="shared" si="320"/>
        <v>0</v>
      </c>
      <c r="MD96" s="157">
        <f t="shared" si="320"/>
        <v>0</v>
      </c>
      <c r="ME96" s="157">
        <f t="shared" si="320"/>
        <v>0</v>
      </c>
      <c r="MF96" s="157">
        <f t="shared" si="320"/>
        <v>0</v>
      </c>
      <c r="MG96" s="157">
        <f t="shared" si="320"/>
        <v>0</v>
      </c>
      <c r="MH96" s="157">
        <f t="shared" si="320"/>
        <v>0</v>
      </c>
      <c r="MI96" s="157">
        <f t="shared" si="320"/>
        <v>0</v>
      </c>
      <c r="MJ96" s="157">
        <f t="shared" si="320"/>
        <v>0</v>
      </c>
      <c r="MK96" s="157">
        <f t="shared" si="320"/>
        <v>0</v>
      </c>
      <c r="ML96" s="157">
        <f t="shared" si="320"/>
        <v>0</v>
      </c>
      <c r="MM96" s="157">
        <f t="shared" si="320"/>
        <v>0</v>
      </c>
      <c r="MN96" s="157">
        <f t="shared" ref="MN96" si="321">SUM(MB96:MM96)</f>
        <v>0</v>
      </c>
    </row>
    <row r="97" spans="1:352" x14ac:dyDescent="0.25">
      <c r="A97" s="98"/>
      <c r="B97" s="181"/>
      <c r="C97" s="98"/>
      <c r="D97" s="153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7"/>
      <c r="Q97" s="161"/>
      <c r="R97" s="153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7"/>
      <c r="AE97" s="161"/>
      <c r="AF97" s="153"/>
      <c r="AG97" s="154"/>
      <c r="AH97" s="154"/>
      <c r="AI97" s="154"/>
      <c r="AJ97" s="154"/>
      <c r="AK97" s="154"/>
      <c r="AL97" s="154"/>
      <c r="AM97" s="154"/>
      <c r="AN97" s="154"/>
      <c r="AO97" s="154"/>
      <c r="AP97" s="154"/>
      <c r="AQ97" s="154"/>
      <c r="AR97" s="157"/>
      <c r="AT97" s="153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/>
      <c r="BF97" s="157"/>
      <c r="BH97" s="153"/>
      <c r="BI97" s="154"/>
      <c r="BJ97" s="154"/>
      <c r="BK97" s="154"/>
      <c r="BL97" s="154"/>
      <c r="BM97" s="154"/>
      <c r="BN97" s="154"/>
      <c r="BO97" s="154"/>
      <c r="BP97" s="154"/>
      <c r="BQ97" s="154"/>
      <c r="BR97" s="154"/>
      <c r="BS97" s="154"/>
      <c r="BT97" s="157"/>
      <c r="BV97" s="153"/>
      <c r="BW97" s="154"/>
      <c r="BX97" s="154"/>
      <c r="BY97" s="154"/>
      <c r="BZ97" s="154"/>
      <c r="CA97" s="154"/>
      <c r="CB97" s="154"/>
      <c r="CC97" s="154"/>
      <c r="CD97" s="154"/>
      <c r="CE97" s="154"/>
      <c r="CF97" s="154"/>
      <c r="CG97" s="154"/>
      <c r="CH97" s="157"/>
      <c r="CI97" s="161"/>
      <c r="CJ97" s="153"/>
      <c r="CK97" s="154"/>
      <c r="CL97" s="154"/>
      <c r="CM97" s="154"/>
      <c r="CN97" s="154"/>
      <c r="CO97" s="154"/>
      <c r="CP97" s="154"/>
      <c r="CQ97" s="154"/>
      <c r="CR97" s="154"/>
      <c r="CS97" s="154"/>
      <c r="CT97" s="154"/>
      <c r="CU97" s="154"/>
      <c r="CV97" s="157"/>
      <c r="CW97" s="161"/>
      <c r="CX97" s="153"/>
      <c r="CY97" s="154"/>
      <c r="CZ97" s="154"/>
      <c r="DA97" s="154"/>
      <c r="DB97" s="154"/>
      <c r="DC97" s="154"/>
      <c r="DD97" s="154"/>
      <c r="DE97" s="154"/>
      <c r="DF97" s="154"/>
      <c r="DG97" s="154"/>
      <c r="DH97" s="154"/>
      <c r="DI97" s="154"/>
      <c r="DJ97" s="157"/>
      <c r="DK97" s="161"/>
      <c r="DL97" s="153"/>
      <c r="DM97" s="154"/>
      <c r="DN97" s="154"/>
      <c r="DO97" s="154"/>
      <c r="DP97" s="154"/>
      <c r="DQ97" s="154"/>
      <c r="DR97" s="154"/>
      <c r="DS97" s="154"/>
      <c r="DT97" s="154"/>
      <c r="DU97" s="154"/>
      <c r="DV97" s="154"/>
      <c r="DW97" s="154"/>
      <c r="DX97" s="157"/>
      <c r="DY97" s="161"/>
      <c r="DZ97" s="153"/>
      <c r="EA97" s="154"/>
      <c r="EB97" s="154"/>
      <c r="EC97" s="154"/>
      <c r="ED97" s="154"/>
      <c r="EE97" s="154"/>
      <c r="EF97" s="154"/>
      <c r="EG97" s="154"/>
      <c r="EH97" s="154"/>
      <c r="EI97" s="154"/>
      <c r="EJ97" s="154"/>
      <c r="EK97" s="154"/>
      <c r="EL97" s="157"/>
      <c r="EM97" s="161"/>
      <c r="EN97" s="153"/>
      <c r="EO97" s="154"/>
      <c r="EP97" s="154"/>
      <c r="EQ97" s="154"/>
      <c r="ER97" s="154"/>
      <c r="ES97" s="154"/>
      <c r="ET97" s="154"/>
      <c r="EU97" s="154"/>
      <c r="EV97" s="154"/>
      <c r="EW97" s="154"/>
      <c r="EX97" s="154"/>
      <c r="EY97" s="154"/>
      <c r="EZ97" s="157"/>
      <c r="FA97" s="161"/>
      <c r="FB97" s="153"/>
      <c r="FC97" s="154"/>
      <c r="FD97" s="154"/>
      <c r="FE97" s="154"/>
      <c r="FF97" s="154"/>
      <c r="FG97" s="154"/>
      <c r="FH97" s="154"/>
      <c r="FI97" s="154"/>
      <c r="FJ97" s="154"/>
      <c r="FK97" s="154"/>
      <c r="FL97" s="154"/>
      <c r="FM97" s="154"/>
      <c r="FN97" s="157"/>
      <c r="FO97" s="161"/>
      <c r="FP97" s="153"/>
      <c r="FQ97" s="154"/>
      <c r="FR97" s="154"/>
      <c r="FS97" s="154"/>
      <c r="FT97" s="154"/>
      <c r="FU97" s="154"/>
      <c r="FV97" s="154"/>
      <c r="FW97" s="154"/>
      <c r="FX97" s="154"/>
      <c r="FY97" s="154"/>
      <c r="FZ97" s="154"/>
      <c r="GA97" s="154"/>
      <c r="GB97" s="157"/>
      <c r="GC97" s="161"/>
      <c r="GD97" s="153"/>
      <c r="GE97" s="154"/>
      <c r="GF97" s="154"/>
      <c r="GG97" s="154"/>
      <c r="GH97" s="154"/>
      <c r="GI97" s="154"/>
      <c r="GJ97" s="154"/>
      <c r="GK97" s="154"/>
      <c r="GL97" s="154"/>
      <c r="GM97" s="154"/>
      <c r="GN97" s="154"/>
      <c r="GO97" s="154"/>
      <c r="GP97" s="157"/>
      <c r="GQ97" s="161"/>
      <c r="GR97" s="153"/>
      <c r="GS97" s="154"/>
      <c r="GT97" s="154"/>
      <c r="GU97" s="154"/>
      <c r="GV97" s="154"/>
      <c r="GW97" s="154"/>
      <c r="GX97" s="154"/>
      <c r="GY97" s="154"/>
      <c r="GZ97" s="154"/>
      <c r="HA97" s="154"/>
      <c r="HB97" s="154"/>
      <c r="HC97" s="154"/>
      <c r="HD97" s="157">
        <f t="shared" si="293"/>
        <v>0</v>
      </c>
      <c r="HE97" s="161"/>
      <c r="HF97" s="153"/>
      <c r="HG97" s="154"/>
      <c r="HH97" s="154"/>
      <c r="HI97" s="154"/>
      <c r="HJ97" s="154"/>
      <c r="HK97" s="154"/>
      <c r="HL97" s="154"/>
      <c r="HM97" s="154"/>
      <c r="HN97" s="154"/>
      <c r="HO97" s="154"/>
      <c r="HP97" s="154"/>
      <c r="HQ97" s="154"/>
      <c r="HR97" s="157"/>
      <c r="HS97" s="161"/>
      <c r="HT97" s="153"/>
      <c r="HU97" s="154"/>
      <c r="HV97" s="154"/>
      <c r="HW97" s="154"/>
      <c r="HX97" s="154"/>
      <c r="HY97" s="154"/>
      <c r="HZ97" s="154"/>
      <c r="IA97" s="154"/>
      <c r="IB97" s="154"/>
      <c r="IC97" s="154"/>
      <c r="ID97" s="154"/>
      <c r="IE97" s="154"/>
      <c r="IF97" s="157"/>
      <c r="IG97" s="161"/>
      <c r="IH97" s="153"/>
      <c r="II97" s="154"/>
      <c r="IJ97" s="154"/>
      <c r="IK97" s="154"/>
      <c r="IL97" s="154"/>
      <c r="IM97" s="154"/>
      <c r="IN97" s="154"/>
      <c r="IO97" s="154"/>
      <c r="IP97" s="154"/>
      <c r="IQ97" s="154"/>
      <c r="IR97" s="154"/>
      <c r="IS97" s="154"/>
      <c r="IT97" s="157"/>
      <c r="IU97" s="161"/>
      <c r="IV97" s="153"/>
      <c r="IW97" s="154"/>
      <c r="IX97" s="154"/>
      <c r="IY97" s="154"/>
      <c r="IZ97" s="154"/>
      <c r="JA97" s="154"/>
      <c r="JB97" s="154"/>
      <c r="JC97" s="154"/>
      <c r="JD97" s="154"/>
      <c r="JE97" s="154"/>
      <c r="JF97" s="154"/>
      <c r="JG97" s="154"/>
      <c r="JH97" s="157"/>
      <c r="JI97" s="161"/>
      <c r="JJ97" s="153"/>
      <c r="JK97" s="154"/>
      <c r="JL97" s="154"/>
      <c r="JM97" s="154"/>
      <c r="JN97" s="154"/>
      <c r="JO97" s="154"/>
      <c r="JP97" s="154"/>
      <c r="JQ97" s="154"/>
      <c r="JR97" s="154"/>
      <c r="JS97" s="154"/>
      <c r="JT97" s="154"/>
      <c r="JU97" s="154"/>
      <c r="JV97" s="157"/>
      <c r="JW97" s="161"/>
      <c r="JX97" s="153"/>
      <c r="JY97" s="154"/>
      <c r="JZ97" s="154"/>
      <c r="KA97" s="154"/>
      <c r="KB97" s="154"/>
      <c r="KC97" s="154"/>
      <c r="KD97" s="154"/>
      <c r="KE97" s="154"/>
      <c r="KF97" s="154"/>
      <c r="KG97" s="154"/>
      <c r="KH97" s="154"/>
      <c r="KI97" s="154"/>
      <c r="KJ97" s="157"/>
      <c r="KK97" s="161"/>
      <c r="KL97" s="153"/>
      <c r="KM97" s="154"/>
      <c r="KN97" s="154"/>
      <c r="KO97" s="154"/>
      <c r="KP97" s="154"/>
      <c r="KQ97" s="154"/>
      <c r="KR97" s="154"/>
      <c r="KS97" s="154"/>
      <c r="KT97" s="154"/>
      <c r="KU97" s="154"/>
      <c r="KV97" s="154"/>
      <c r="KW97" s="154"/>
      <c r="KX97" s="157"/>
      <c r="KY97" s="161"/>
      <c r="KZ97" s="153"/>
      <c r="LA97" s="154"/>
      <c r="LB97" s="154"/>
      <c r="LC97" s="154"/>
      <c r="LD97" s="154"/>
      <c r="LE97" s="154"/>
      <c r="LF97" s="154"/>
      <c r="LG97" s="154"/>
      <c r="LH97" s="154"/>
      <c r="LI97" s="154"/>
      <c r="LJ97" s="154"/>
      <c r="LK97" s="154"/>
      <c r="LL97" s="157"/>
      <c r="LM97" s="161"/>
      <c r="LN97" s="153"/>
      <c r="LO97" s="154"/>
      <c r="LP97" s="154"/>
      <c r="LQ97" s="154"/>
      <c r="LR97" s="154"/>
      <c r="LS97" s="154"/>
      <c r="LT97" s="154"/>
      <c r="LU97" s="154"/>
      <c r="LV97" s="154"/>
      <c r="LW97" s="154"/>
      <c r="LX97" s="154"/>
      <c r="LY97" s="154"/>
      <c r="LZ97" s="157"/>
      <c r="MA97" s="161"/>
      <c r="MB97" s="157"/>
      <c r="MC97" s="157"/>
      <c r="MD97" s="157"/>
      <c r="ME97" s="157"/>
      <c r="MF97" s="157"/>
      <c r="MG97" s="157"/>
      <c r="MH97" s="157"/>
      <c r="MI97" s="157"/>
      <c r="MJ97" s="157"/>
      <c r="MK97" s="157"/>
      <c r="ML97" s="157"/>
      <c r="MM97" s="157"/>
      <c r="MN97" s="157"/>
    </row>
    <row r="98" spans="1:352" x14ac:dyDescent="0.3">
      <c r="A98" s="98"/>
      <c r="B98" s="166" t="s">
        <v>217</v>
      </c>
      <c r="C98" s="98"/>
      <c r="D98" s="167">
        <f>+D96+D94+D82+D57+D45</f>
        <v>4437257.7574870847</v>
      </c>
      <c r="E98" s="168">
        <f t="shared" ref="E98:P98" si="322">+E96+E94+E82+E57+E45</f>
        <v>4262184.0755602773</v>
      </c>
      <c r="F98" s="168">
        <f t="shared" si="322"/>
        <v>4283873.3274914939</v>
      </c>
      <c r="G98" s="168">
        <f t="shared" si="322"/>
        <v>4244285.717242552</v>
      </c>
      <c r="H98" s="168">
        <f t="shared" si="322"/>
        <v>4249701.9613113981</v>
      </c>
      <c r="I98" s="168">
        <f t="shared" si="322"/>
        <v>4251152.6946706949</v>
      </c>
      <c r="J98" s="168">
        <f t="shared" si="322"/>
        <v>4305599.7226865673</v>
      </c>
      <c r="K98" s="168">
        <f t="shared" si="322"/>
        <v>4362708.4089086857</v>
      </c>
      <c r="L98" s="168">
        <f t="shared" si="322"/>
        <v>4537340.7415277334</v>
      </c>
      <c r="M98" s="168">
        <f t="shared" si="322"/>
        <v>4345540.1824801145</v>
      </c>
      <c r="N98" s="168">
        <f t="shared" si="322"/>
        <v>4157297.2763885297</v>
      </c>
      <c r="O98" s="168">
        <f t="shared" si="322"/>
        <v>4066845.9360550246</v>
      </c>
      <c r="P98" s="212">
        <f t="shared" si="322"/>
        <v>47535160.007560968</v>
      </c>
      <c r="Q98" s="213"/>
      <c r="R98" s="167">
        <f>+R96+R94+R82+R57+R45</f>
        <v>387577.83698142256</v>
      </c>
      <c r="S98" s="168">
        <f t="shared" ref="S98:AD98" si="323">+S96+S94+S82+S57+S45</f>
        <v>370025.38712692523</v>
      </c>
      <c r="T98" s="168">
        <f t="shared" si="323"/>
        <v>372181.17180946493</v>
      </c>
      <c r="U98" s="168">
        <f t="shared" si="323"/>
        <v>368173.83281819505</v>
      </c>
      <c r="V98" s="168">
        <f t="shared" si="323"/>
        <v>368734.13392876531</v>
      </c>
      <c r="W98" s="168">
        <f t="shared" si="323"/>
        <v>368884.2097935201</v>
      </c>
      <c r="X98" s="168">
        <f t="shared" si="323"/>
        <v>374320.24717447243</v>
      </c>
      <c r="Y98" s="168">
        <f t="shared" si="323"/>
        <v>379865.97333538125</v>
      </c>
      <c r="Z98" s="168">
        <f t="shared" si="323"/>
        <v>397983.11119252414</v>
      </c>
      <c r="AA98" s="168">
        <f t="shared" si="323"/>
        <v>378141.67404966697</v>
      </c>
      <c r="AB98" s="168">
        <f t="shared" si="323"/>
        <v>358890.68376433064</v>
      </c>
      <c r="AC98" s="168">
        <f t="shared" si="323"/>
        <v>349528.47614362324</v>
      </c>
      <c r="AD98" s="212">
        <f t="shared" si="323"/>
        <v>4474306.7381182928</v>
      </c>
      <c r="AE98" s="213"/>
      <c r="AF98" s="167">
        <f>+AF96+AF94+AF82+AF57+AF45</f>
        <v>389360.83698142256</v>
      </c>
      <c r="AG98" s="168">
        <f t="shared" ref="AG98:AR98" si="324">+AG96+AG94+AG82+AG57+AG45</f>
        <v>371808.38712692523</v>
      </c>
      <c r="AH98" s="168">
        <f t="shared" si="324"/>
        <v>373964.17180946493</v>
      </c>
      <c r="AI98" s="168">
        <f t="shared" si="324"/>
        <v>369956.83281819505</v>
      </c>
      <c r="AJ98" s="168">
        <f t="shared" si="324"/>
        <v>370517.13392876531</v>
      </c>
      <c r="AK98" s="168">
        <f t="shared" si="324"/>
        <v>370667.2097935201</v>
      </c>
      <c r="AL98" s="168">
        <f t="shared" si="324"/>
        <v>376103.24717447243</v>
      </c>
      <c r="AM98" s="168">
        <f t="shared" si="324"/>
        <v>381648.97333538125</v>
      </c>
      <c r="AN98" s="168">
        <f t="shared" si="324"/>
        <v>399766.11119252414</v>
      </c>
      <c r="AO98" s="168">
        <f t="shared" si="324"/>
        <v>379924.67404966697</v>
      </c>
      <c r="AP98" s="168">
        <f t="shared" si="324"/>
        <v>360673.68376433064</v>
      </c>
      <c r="AQ98" s="168">
        <f t="shared" si="324"/>
        <v>351311.47614362324</v>
      </c>
      <c r="AR98" s="212">
        <f t="shared" si="324"/>
        <v>4495702.7381182928</v>
      </c>
      <c r="AT98" s="167">
        <f>+AT96+AT94+AT82+AT57+AT45</f>
        <v>929733.22465428174</v>
      </c>
      <c r="AU98" s="168">
        <f t="shared" ref="AU98:BF98" si="325">+AU96+AU94+AU82+AU57+AU45</f>
        <v>918031.59141795011</v>
      </c>
      <c r="AV98" s="168">
        <f t="shared" si="325"/>
        <v>919468.78120630991</v>
      </c>
      <c r="AW98" s="168">
        <f t="shared" si="325"/>
        <v>916797.2218787967</v>
      </c>
      <c r="AX98" s="168">
        <f t="shared" si="325"/>
        <v>917170.75595251017</v>
      </c>
      <c r="AY98" s="168">
        <f t="shared" si="325"/>
        <v>917270.80652901344</v>
      </c>
      <c r="AZ98" s="168">
        <f t="shared" si="325"/>
        <v>921560.49811631499</v>
      </c>
      <c r="BA98" s="168">
        <f t="shared" si="325"/>
        <v>925257.6488902542</v>
      </c>
      <c r="BB98" s="168">
        <f t="shared" si="325"/>
        <v>937335.74079501606</v>
      </c>
      <c r="BC98" s="168">
        <f t="shared" si="325"/>
        <v>924108.11603311135</v>
      </c>
      <c r="BD98" s="168">
        <f t="shared" si="325"/>
        <v>911274.1225095538</v>
      </c>
      <c r="BE98" s="168">
        <f t="shared" si="325"/>
        <v>905032.65076241549</v>
      </c>
      <c r="BF98" s="212">
        <f t="shared" si="325"/>
        <v>11043041.158745527</v>
      </c>
      <c r="BH98" s="167">
        <f>+BH96+BH94+BH82+BH57+BH45</f>
        <v>5175207.1849071123</v>
      </c>
      <c r="BI98" s="168">
        <f t="shared" ref="BI98:BT98" si="326">+BI96+BI94+BI82+BI57+BI45</f>
        <v>5087114.9356346261</v>
      </c>
      <c r="BJ98" s="168">
        <f t="shared" si="326"/>
        <v>5097893.8590473244</v>
      </c>
      <c r="BK98" s="168">
        <f t="shared" si="326"/>
        <v>5077857.1640909752</v>
      </c>
      <c r="BL98" s="168">
        <f t="shared" si="326"/>
        <v>5080658.6696438259</v>
      </c>
      <c r="BM98" s="168">
        <f t="shared" si="326"/>
        <v>5081409.0489675999</v>
      </c>
      <c r="BN98" s="168">
        <f t="shared" si="326"/>
        <v>5110180.2358723618</v>
      </c>
      <c r="BO98" s="168">
        <f t="shared" si="326"/>
        <v>5137908.8666769061</v>
      </c>
      <c r="BP98" s="168">
        <f t="shared" si="326"/>
        <v>5228494.5559626203</v>
      </c>
      <c r="BQ98" s="168">
        <f t="shared" si="326"/>
        <v>5127887.3702483345</v>
      </c>
      <c r="BR98" s="168">
        <f t="shared" si="326"/>
        <v>5033032.4188216534</v>
      </c>
      <c r="BS98" s="168">
        <f t="shared" si="326"/>
        <v>4986221.3807181157</v>
      </c>
      <c r="BT98" s="212">
        <f t="shared" si="326"/>
        <v>61223865.690591447</v>
      </c>
      <c r="BV98" s="167">
        <f>+BV96+BV94+BV82+BV57+BV45</f>
        <v>907774.61232714099</v>
      </c>
      <c r="BW98" s="168">
        <f t="shared" ref="BW98:CH98" si="327">+BW96+BW94+BW82+BW57+BW45</f>
        <v>900423.79570897506</v>
      </c>
      <c r="BX98" s="168">
        <f t="shared" si="327"/>
        <v>901142.39060315501</v>
      </c>
      <c r="BY98" s="168">
        <f t="shared" si="327"/>
        <v>899806.61093939841</v>
      </c>
      <c r="BZ98" s="168">
        <f t="shared" si="327"/>
        <v>899993.37797625514</v>
      </c>
      <c r="CA98" s="168">
        <f t="shared" si="327"/>
        <v>900043.40326450672</v>
      </c>
      <c r="CB98" s="168">
        <f t="shared" si="327"/>
        <v>902484.74905815755</v>
      </c>
      <c r="CC98" s="168">
        <f t="shared" si="327"/>
        <v>905833.32444512716</v>
      </c>
      <c r="CD98" s="168">
        <f t="shared" si="327"/>
        <v>910372.37039750803</v>
      </c>
      <c r="CE98" s="168">
        <f t="shared" si="327"/>
        <v>903758.55801655562</v>
      </c>
      <c r="CF98" s="168">
        <f t="shared" si="327"/>
        <v>897341.5612547769</v>
      </c>
      <c r="CG98" s="168">
        <f t="shared" si="327"/>
        <v>894220.82538120775</v>
      </c>
      <c r="CH98" s="212">
        <f t="shared" si="327"/>
        <v>10823195.579372764</v>
      </c>
      <c r="CI98" s="213"/>
      <c r="CJ98" s="167">
        <f>+CJ96+CJ94+CJ82+CJ57+CJ45</f>
        <v>2466895.7355985497</v>
      </c>
      <c r="CK98" s="168">
        <f t="shared" ref="CK98:CV98" si="328">+CK96+CK94+CK82+CK57+CK45</f>
        <v>2402536.7527987259</v>
      </c>
      <c r="CL98" s="168">
        <f t="shared" si="328"/>
        <v>2410441.2966347048</v>
      </c>
      <c r="CM98" s="168">
        <f t="shared" si="328"/>
        <v>2395747.720333382</v>
      </c>
      <c r="CN98" s="168">
        <f t="shared" si="328"/>
        <v>2397802.1577388062</v>
      </c>
      <c r="CO98" s="168">
        <f t="shared" si="328"/>
        <v>2398352.4359095739</v>
      </c>
      <c r="CP98" s="168">
        <f t="shared" si="328"/>
        <v>2419020.2396397325</v>
      </c>
      <c r="CQ98" s="168">
        <f t="shared" si="328"/>
        <v>2439354.5688963984</v>
      </c>
      <c r="CR98" s="168">
        <f t="shared" si="328"/>
        <v>2505784.0743725887</v>
      </c>
      <c r="CS98" s="168">
        <f t="shared" si="328"/>
        <v>2433032.1381821125</v>
      </c>
      <c r="CT98" s="168">
        <f t="shared" si="328"/>
        <v>2362445.1738025458</v>
      </c>
      <c r="CU98" s="168">
        <f t="shared" si="328"/>
        <v>2328117.0791932852</v>
      </c>
      <c r="CV98" s="212">
        <f t="shared" si="328"/>
        <v>28959529.373100407</v>
      </c>
      <c r="CW98" s="213"/>
      <c r="CX98" s="167">
        <f>+CX96+CX94+CX82+CX57+CX45</f>
        <v>5563355.145159944</v>
      </c>
      <c r="CY98" s="168">
        <f t="shared" ref="CY98:DJ98" si="329">+CY96+CY94+CY82+CY57+CY45</f>
        <v>5391882.2798513025</v>
      </c>
      <c r="CZ98" s="168">
        <f t="shared" si="329"/>
        <v>5412852.936888339</v>
      </c>
      <c r="DA98" s="168">
        <f t="shared" si="329"/>
        <v>5374601.1063031545</v>
      </c>
      <c r="DB98" s="168">
        <f t="shared" si="329"/>
        <v>5379830.5833351426</v>
      </c>
      <c r="DC98" s="168">
        <f t="shared" si="329"/>
        <v>5381231.2914061882</v>
      </c>
      <c r="DD98" s="168">
        <f t="shared" si="329"/>
        <v>5435025.9736284101</v>
      </c>
      <c r="DE98" s="168">
        <f t="shared" si="329"/>
        <v>5492536.0844635591</v>
      </c>
      <c r="DF98" s="168">
        <f t="shared" si="329"/>
        <v>5658879.3711302262</v>
      </c>
      <c r="DG98" s="168">
        <f t="shared" si="329"/>
        <v>5474392.6244635591</v>
      </c>
      <c r="DH98" s="168">
        <f t="shared" si="329"/>
        <v>5291866.7151337527</v>
      </c>
      <c r="DI98" s="168">
        <f t="shared" si="329"/>
        <v>5204536.1106738169</v>
      </c>
      <c r="DJ98" s="212">
        <f t="shared" si="329"/>
        <v>65060990.222437397</v>
      </c>
      <c r="DK98" s="213"/>
      <c r="DL98" s="167">
        <f>+DL96+DL94+DL82+DL57+DL45</f>
        <v>3948622.5691599436</v>
      </c>
      <c r="DM98" s="168">
        <f t="shared" ref="DM98:DX98" si="330">+DM96+DM94+DM82+DM57+DM45</f>
        <v>3632688.8798513021</v>
      </c>
      <c r="DN98" s="168">
        <f t="shared" si="330"/>
        <v>3631661.6968883388</v>
      </c>
      <c r="DO98" s="168">
        <f t="shared" si="330"/>
        <v>3468128.1063031536</v>
      </c>
      <c r="DP98" s="168">
        <f t="shared" si="330"/>
        <v>3473357.5833351426</v>
      </c>
      <c r="DQ98" s="168">
        <f t="shared" si="330"/>
        <v>3474758.2914061872</v>
      </c>
      <c r="DR98" s="168">
        <f t="shared" si="330"/>
        <v>3823361.3976284098</v>
      </c>
      <c r="DS98" s="168">
        <f t="shared" si="330"/>
        <v>3577561.0844635582</v>
      </c>
      <c r="DT98" s="168">
        <f t="shared" si="330"/>
        <v>3745904.3711302252</v>
      </c>
      <c r="DU98" s="168">
        <f t="shared" si="330"/>
        <v>3559317.6244635582</v>
      </c>
      <c r="DV98" s="168">
        <f t="shared" si="330"/>
        <v>3381041.7151337527</v>
      </c>
      <c r="DW98" s="168">
        <f t="shared" si="330"/>
        <v>3293661.1106738169</v>
      </c>
      <c r="DX98" s="212">
        <f t="shared" si="330"/>
        <v>43010064.430437393</v>
      </c>
      <c r="DY98" s="213"/>
      <c r="DZ98" s="167">
        <f>+DZ96+DZ94+DZ82+DZ57+DZ45</f>
        <v>427692.61232714087</v>
      </c>
      <c r="EA98" s="168">
        <f t="shared" ref="EA98:EL98" si="331">+EA96+EA94+EA82+EA57+EA45</f>
        <v>421841.79570897506</v>
      </c>
      <c r="EB98" s="168">
        <f t="shared" si="331"/>
        <v>422560.39060315496</v>
      </c>
      <c r="EC98" s="168">
        <f t="shared" si="331"/>
        <v>689684.69093939848</v>
      </c>
      <c r="ED98" s="168">
        <f t="shared" si="331"/>
        <v>421411.37797625508</v>
      </c>
      <c r="EE98" s="168">
        <f t="shared" si="331"/>
        <v>421461.40326450666</v>
      </c>
      <c r="EF98" s="168">
        <f t="shared" si="331"/>
        <v>423608.7490581575</v>
      </c>
      <c r="EG98" s="168">
        <f t="shared" si="331"/>
        <v>425457.3244451271</v>
      </c>
      <c r="EH98" s="168">
        <f t="shared" si="331"/>
        <v>431496.37039750803</v>
      </c>
      <c r="EI98" s="168">
        <f t="shared" si="331"/>
        <v>424882.55801655562</v>
      </c>
      <c r="EJ98" s="168">
        <f t="shared" si="331"/>
        <v>418465.56125477684</v>
      </c>
      <c r="EK98" s="168">
        <f t="shared" si="331"/>
        <v>415344.82538120775</v>
      </c>
      <c r="EL98" s="212">
        <f t="shared" si="331"/>
        <v>5343907.6593727637</v>
      </c>
      <c r="EM98" s="213"/>
      <c r="EN98" s="167">
        <f>+EN96+EN94+EN82+EN57+EN45</f>
        <v>633570.22465428174</v>
      </c>
      <c r="EO98" s="168">
        <f t="shared" ref="EO98:EZ98" si="332">+EO96+EO94+EO82+EO57+EO45</f>
        <v>621868.59141795011</v>
      </c>
      <c r="EP98" s="168">
        <f t="shared" si="332"/>
        <v>623305.78120630991</v>
      </c>
      <c r="EQ98" s="168">
        <f t="shared" si="332"/>
        <v>620634.2218787967</v>
      </c>
      <c r="ER98" s="168">
        <f t="shared" si="332"/>
        <v>621007.75595251017</v>
      </c>
      <c r="ES98" s="168">
        <f t="shared" si="332"/>
        <v>621107.80652901332</v>
      </c>
      <c r="ET98" s="168">
        <f t="shared" si="332"/>
        <v>625397.49811631499</v>
      </c>
      <c r="EU98" s="168">
        <f t="shared" si="332"/>
        <v>629094.6488902542</v>
      </c>
      <c r="EV98" s="168">
        <f t="shared" si="332"/>
        <v>641172.74079501606</v>
      </c>
      <c r="EW98" s="168">
        <f t="shared" si="332"/>
        <v>627945.11603311123</v>
      </c>
      <c r="EX98" s="168">
        <f t="shared" si="332"/>
        <v>615111.12250955368</v>
      </c>
      <c r="EY98" s="168">
        <f t="shared" si="332"/>
        <v>608869.65076241549</v>
      </c>
      <c r="EZ98" s="212">
        <f t="shared" si="332"/>
        <v>7489085.1587455282</v>
      </c>
      <c r="FA98" s="213"/>
      <c r="FB98" s="167">
        <f>+FB96+FB94+FB82+FB57+FB45</f>
        <v>139077.61232714087</v>
      </c>
      <c r="FC98" s="168">
        <f t="shared" ref="FC98:FN98" si="333">+FC96+FC94+FC82+FC57+FC45</f>
        <v>133226.79570897506</v>
      </c>
      <c r="FD98" s="168">
        <f t="shared" si="333"/>
        <v>133945.39060315496</v>
      </c>
      <c r="FE98" s="168">
        <f t="shared" si="333"/>
        <v>132609.61093939835</v>
      </c>
      <c r="FF98" s="168">
        <f t="shared" si="333"/>
        <v>132796.37797625508</v>
      </c>
      <c r="FG98" s="168">
        <f t="shared" si="333"/>
        <v>132846.40326450669</v>
      </c>
      <c r="FH98" s="168">
        <f t="shared" si="333"/>
        <v>134694.7490581575</v>
      </c>
      <c r="FI98" s="168">
        <f t="shared" si="333"/>
        <v>136543.3244451271</v>
      </c>
      <c r="FJ98" s="168">
        <f t="shared" si="333"/>
        <v>142582.37039750803</v>
      </c>
      <c r="FK98" s="168">
        <f t="shared" si="333"/>
        <v>135968.55801655567</v>
      </c>
      <c r="FL98" s="168">
        <f t="shared" si="333"/>
        <v>129551.56125477687</v>
      </c>
      <c r="FM98" s="168">
        <f t="shared" si="333"/>
        <v>126430.82538120775</v>
      </c>
      <c r="FN98" s="212">
        <f t="shared" si="333"/>
        <v>1610273.5793727641</v>
      </c>
      <c r="FO98" s="213"/>
      <c r="FP98" s="167">
        <f>+FP96+FP94+FP82+FP57+FP45</f>
        <v>1919969.286289986</v>
      </c>
      <c r="FQ98" s="168">
        <f t="shared" ref="FQ98:GB98" si="334">+FQ96+FQ94+FQ82+FQ57+FQ45</f>
        <v>1873778.5699628256</v>
      </c>
      <c r="FR98" s="168">
        <f t="shared" si="334"/>
        <v>1879658.7342220847</v>
      </c>
      <c r="FS98" s="168">
        <f t="shared" si="334"/>
        <v>1869458.2765757886</v>
      </c>
      <c r="FT98" s="168">
        <f t="shared" si="334"/>
        <v>1870765.6458337856</v>
      </c>
      <c r="FU98" s="168">
        <f t="shared" si="334"/>
        <v>1871115.822851547</v>
      </c>
      <c r="FV98" s="168">
        <f t="shared" si="334"/>
        <v>1885760.2434071025</v>
      </c>
      <c r="FW98" s="168">
        <f t="shared" si="334"/>
        <v>1902200.2711158898</v>
      </c>
      <c r="FX98" s="168">
        <f t="shared" si="334"/>
        <v>1943973.5927825565</v>
      </c>
      <c r="FY98" s="168">
        <f t="shared" si="334"/>
        <v>1898376.9061158898</v>
      </c>
      <c r="FZ98" s="168">
        <f t="shared" si="334"/>
        <v>1850607.9287834382</v>
      </c>
      <c r="GA98" s="168">
        <f t="shared" si="334"/>
        <v>1828812.7776684542</v>
      </c>
      <c r="GB98" s="212">
        <f t="shared" si="334"/>
        <v>22594478.055609349</v>
      </c>
      <c r="GC98" s="213"/>
      <c r="GD98" s="167">
        <f>+GD96+GD94+GD82+GD57+GD45</f>
        <v>877377.61232714087</v>
      </c>
      <c r="GE98" s="168">
        <f t="shared" ref="GE98:GP98" si="335">+GE96+GE94+GE82+GE57+GE45</f>
        <v>876761.79570897506</v>
      </c>
      <c r="GF98" s="168">
        <f t="shared" si="335"/>
        <v>876630.39060315501</v>
      </c>
      <c r="GG98" s="168">
        <f t="shared" si="335"/>
        <v>876144.61093939841</v>
      </c>
      <c r="GH98" s="168">
        <f t="shared" si="335"/>
        <v>876331.37797625514</v>
      </c>
      <c r="GI98" s="168">
        <f t="shared" si="335"/>
        <v>876381.40326450672</v>
      </c>
      <c r="GJ98" s="168">
        <f t="shared" si="335"/>
        <v>877909.74905815755</v>
      </c>
      <c r="GK98" s="168">
        <f t="shared" si="335"/>
        <v>876258.32444512716</v>
      </c>
      <c r="GL98" s="168">
        <f t="shared" si="335"/>
        <v>882797.37039750814</v>
      </c>
      <c r="GM98" s="168">
        <f t="shared" si="335"/>
        <v>875483.55801655573</v>
      </c>
      <c r="GN98" s="168">
        <f t="shared" si="335"/>
        <v>871916.5612547769</v>
      </c>
      <c r="GO98" s="168">
        <f t="shared" si="335"/>
        <v>868745.82538120775</v>
      </c>
      <c r="GP98" s="212">
        <f t="shared" si="335"/>
        <v>10512738.579372764</v>
      </c>
      <c r="GQ98" s="213"/>
      <c r="GR98" s="167">
        <f>+GR96+GR94+GR82+GR57+GR45</f>
        <v>-500143.55169303389</v>
      </c>
      <c r="GS98" s="168">
        <f t="shared" ref="GS98:HC98" si="336">+GS96+GS94+GS82+GS57+GS45</f>
        <v>-596979.26169303386</v>
      </c>
      <c r="GT98" s="168">
        <f t="shared" si="336"/>
        <v>1824182.1676361065</v>
      </c>
      <c r="GU98" s="168">
        <f t="shared" si="336"/>
        <v>1817707.1176361067</v>
      </c>
      <c r="GV98" s="168">
        <f t="shared" si="336"/>
        <v>1811186.9176361065</v>
      </c>
      <c r="GW98" s="168">
        <f t="shared" si="336"/>
        <v>1804621.2576361068</v>
      </c>
      <c r="GX98" s="168">
        <f t="shared" si="336"/>
        <v>1798009.8276361066</v>
      </c>
      <c r="GY98" s="168">
        <f t="shared" si="336"/>
        <v>1791352.3076361066</v>
      </c>
      <c r="GZ98" s="168">
        <f t="shared" si="336"/>
        <v>1784648.3776361065</v>
      </c>
      <c r="HA98" s="168">
        <f t="shared" si="336"/>
        <v>1777897.6976361067</v>
      </c>
      <c r="HB98" s="168">
        <f t="shared" si="336"/>
        <v>1771099.9676361068</v>
      </c>
      <c r="HC98" s="168">
        <f t="shared" si="336"/>
        <v>1764254.8376361064</v>
      </c>
      <c r="HD98" s="212">
        <f t="shared" si="293"/>
        <v>0</v>
      </c>
      <c r="HE98" s="213"/>
      <c r="HF98" s="167">
        <f>+HF96+HF94+HF82+HF57+HF45</f>
        <v>877705.44930856349</v>
      </c>
      <c r="HG98" s="168">
        <f t="shared" ref="HG98:HR98" si="337">+HG96+HG94+HG82+HG57+HG45</f>
        <v>854302.18283590034</v>
      </c>
      <c r="HH98" s="168">
        <f t="shared" si="337"/>
        <v>857176.56241261994</v>
      </c>
      <c r="HI98" s="168">
        <f t="shared" si="337"/>
        <v>851833.4437575934</v>
      </c>
      <c r="HJ98" s="168">
        <f t="shared" si="337"/>
        <v>852580.51190502045</v>
      </c>
      <c r="HK98" s="168">
        <f t="shared" si="337"/>
        <v>852780.61305802688</v>
      </c>
      <c r="HL98" s="168">
        <f t="shared" si="337"/>
        <v>860657.99623262999</v>
      </c>
      <c r="HM98" s="168">
        <f t="shared" si="337"/>
        <v>868052.29778050841</v>
      </c>
      <c r="HN98" s="168">
        <f t="shared" si="337"/>
        <v>892208.48159003223</v>
      </c>
      <c r="HO98" s="168">
        <f t="shared" si="337"/>
        <v>865753.2320662227</v>
      </c>
      <c r="HP98" s="168">
        <f t="shared" si="337"/>
        <v>840085.24501910759</v>
      </c>
      <c r="HQ98" s="168">
        <f t="shared" si="337"/>
        <v>827602.30152483098</v>
      </c>
      <c r="HR98" s="212">
        <f t="shared" si="337"/>
        <v>10300738.317491056</v>
      </c>
      <c r="HS98" s="213"/>
      <c r="HT98" s="167">
        <f>+HT96+HT94+HT82+HT57+HT45</f>
        <v>226451.61232714087</v>
      </c>
      <c r="HU98" s="168">
        <f t="shared" ref="HU98:IF98" si="338">+HU96+HU94+HU82+HU57+HU45</f>
        <v>220600.79570897509</v>
      </c>
      <c r="HV98" s="168">
        <f t="shared" si="338"/>
        <v>221319.39060315499</v>
      </c>
      <c r="HW98" s="168">
        <f t="shared" si="338"/>
        <v>219983.61093939835</v>
      </c>
      <c r="HX98" s="168">
        <f t="shared" si="338"/>
        <v>220170.37797625511</v>
      </c>
      <c r="HY98" s="168">
        <f t="shared" si="338"/>
        <v>220220.40326450672</v>
      </c>
      <c r="HZ98" s="168">
        <f t="shared" si="338"/>
        <v>222102.7490581575</v>
      </c>
      <c r="IA98" s="168">
        <f t="shared" si="338"/>
        <v>223951.3244451271</v>
      </c>
      <c r="IB98" s="168">
        <f t="shared" si="338"/>
        <v>229990.37039750806</v>
      </c>
      <c r="IC98" s="168">
        <f t="shared" si="338"/>
        <v>223376.55801655567</v>
      </c>
      <c r="ID98" s="168">
        <f t="shared" si="338"/>
        <v>216959.5612547769</v>
      </c>
      <c r="IE98" s="168">
        <f t="shared" si="338"/>
        <v>213838.82538120775</v>
      </c>
      <c r="IF98" s="212">
        <f t="shared" si="338"/>
        <v>2658965.5793727641</v>
      </c>
      <c r="IG98" s="213"/>
      <c r="IH98" s="167">
        <f>+IH96+IH94+IH82+IH57+IH45</f>
        <v>650040.61232714087</v>
      </c>
      <c r="II98" s="168">
        <f t="shared" ref="II98:IT98" si="339">+II96+II94+II82+II57+II45</f>
        <v>644189.79570897506</v>
      </c>
      <c r="IJ98" s="168">
        <f t="shared" si="339"/>
        <v>644908.39060315501</v>
      </c>
      <c r="IK98" s="168">
        <f t="shared" si="339"/>
        <v>643572.61093939841</v>
      </c>
      <c r="IL98" s="168">
        <f t="shared" si="339"/>
        <v>643759.37797625514</v>
      </c>
      <c r="IM98" s="168">
        <f t="shared" si="339"/>
        <v>643809.40326450672</v>
      </c>
      <c r="IN98" s="168">
        <f t="shared" si="339"/>
        <v>646250.74905815755</v>
      </c>
      <c r="IO98" s="168">
        <f t="shared" si="339"/>
        <v>648099.32444512716</v>
      </c>
      <c r="IP98" s="168">
        <f t="shared" si="339"/>
        <v>654138.37039750814</v>
      </c>
      <c r="IQ98" s="168">
        <f t="shared" si="339"/>
        <v>647524.55801655573</v>
      </c>
      <c r="IR98" s="168">
        <f t="shared" si="339"/>
        <v>641107.5612547769</v>
      </c>
      <c r="IS98" s="168">
        <f t="shared" si="339"/>
        <v>637986.82538120775</v>
      </c>
      <c r="IT98" s="212">
        <f t="shared" si="339"/>
        <v>7745387.5793727646</v>
      </c>
      <c r="IU98" s="213"/>
      <c r="IV98" s="167">
        <f>+IV96+IV94+IV82+IV57+IV45</f>
        <v>2072166.286289986</v>
      </c>
      <c r="IW98" s="168">
        <f t="shared" ref="IW98:JH98" si="340">+IW96+IW94+IW82+IW57+IW45</f>
        <v>2031210.5699628256</v>
      </c>
      <c r="IX98" s="168">
        <f t="shared" si="340"/>
        <v>2036240.7342220847</v>
      </c>
      <c r="IY98" s="168">
        <f t="shared" si="340"/>
        <v>2026890.2765757886</v>
      </c>
      <c r="IZ98" s="168">
        <f t="shared" si="340"/>
        <v>2028197.6458337856</v>
      </c>
      <c r="JA98" s="168">
        <f t="shared" si="340"/>
        <v>2028547.822851547</v>
      </c>
      <c r="JB98" s="168">
        <f t="shared" si="340"/>
        <v>2042706.2434071025</v>
      </c>
      <c r="JC98" s="168">
        <f t="shared" si="340"/>
        <v>2055646.2711158898</v>
      </c>
      <c r="JD98" s="168">
        <f t="shared" si="340"/>
        <v>2097919.5927825565</v>
      </c>
      <c r="JE98" s="168">
        <f t="shared" si="340"/>
        <v>2051622.9061158898</v>
      </c>
      <c r="JF98" s="168">
        <f t="shared" si="340"/>
        <v>2006703.9287834382</v>
      </c>
      <c r="JG98" s="168">
        <f t="shared" si="340"/>
        <v>1984858.7776684542</v>
      </c>
      <c r="JH98" s="212">
        <f t="shared" si="340"/>
        <v>24462711.055609345</v>
      </c>
      <c r="JI98" s="213"/>
      <c r="JJ98" s="167">
        <f>+JJ96+JJ94+JJ82+JJ57+JJ45</f>
        <v>2875591.7355985492</v>
      </c>
      <c r="JK98" s="168">
        <f t="shared" ref="JK98:JV98" si="341">+JK96+JK94+JK82+JK57+JK45</f>
        <v>2799352.7527987259</v>
      </c>
      <c r="JL98" s="168">
        <f t="shared" si="341"/>
        <v>2808957.2966347048</v>
      </c>
      <c r="JM98" s="168">
        <f t="shared" si="341"/>
        <v>2792563.720333382</v>
      </c>
      <c r="JN98" s="168">
        <f t="shared" si="341"/>
        <v>2794618.1577388062</v>
      </c>
      <c r="JO98" s="168">
        <f t="shared" si="341"/>
        <v>2795168.4359095739</v>
      </c>
      <c r="JP98" s="168">
        <f t="shared" si="341"/>
        <v>2816080.2396397325</v>
      </c>
      <c r="JQ98" s="168">
        <f t="shared" si="341"/>
        <v>2844164.5688963979</v>
      </c>
      <c r="JR98" s="168">
        <f t="shared" si="341"/>
        <v>2908844.0743725887</v>
      </c>
      <c r="JS98" s="168">
        <f t="shared" si="341"/>
        <v>2834692.1381821125</v>
      </c>
      <c r="JT98" s="168">
        <f t="shared" si="341"/>
        <v>2761205.1738025458</v>
      </c>
      <c r="JU98" s="168">
        <f t="shared" si="341"/>
        <v>2726977.0791932852</v>
      </c>
      <c r="JV98" s="212">
        <f t="shared" si="341"/>
        <v>33758215.3731004</v>
      </c>
      <c r="JW98" s="213"/>
      <c r="JX98" s="167">
        <f>+JX96+JX94+JX82+JX57+JX45</f>
        <v>1503284.0616357045</v>
      </c>
      <c r="JY98" s="168">
        <f t="shared" ref="JY98:KJ98" si="342">+JY96+JY94+JY82+JY57+JY45</f>
        <v>1473864.9785448755</v>
      </c>
      <c r="JZ98" s="168">
        <f t="shared" si="342"/>
        <v>1477457.953015775</v>
      </c>
      <c r="KA98" s="168">
        <f t="shared" si="342"/>
        <v>1470779.054696992</v>
      </c>
      <c r="KB98" s="168">
        <f t="shared" si="342"/>
        <v>1471712.8898812756</v>
      </c>
      <c r="KC98" s="168">
        <f t="shared" si="342"/>
        <v>1471963.0163225336</v>
      </c>
      <c r="KD98" s="168">
        <f t="shared" si="342"/>
        <v>1481712.7452907877</v>
      </c>
      <c r="KE98" s="168">
        <f t="shared" si="342"/>
        <v>1490955.6222256357</v>
      </c>
      <c r="KF98" s="168">
        <f t="shared" si="342"/>
        <v>1521150.8519875405</v>
      </c>
      <c r="KG98" s="168">
        <f t="shared" si="342"/>
        <v>1487381.7900827785</v>
      </c>
      <c r="KH98" s="168">
        <f t="shared" si="342"/>
        <v>1455996.8062738846</v>
      </c>
      <c r="KI98" s="168">
        <f t="shared" si="342"/>
        <v>1440393.1269060387</v>
      </c>
      <c r="KJ98" s="212">
        <f t="shared" si="342"/>
        <v>17746652.896863822</v>
      </c>
      <c r="KK98" s="213"/>
      <c r="KL98" s="167">
        <f>+KL96+KL94+KL82+KL57+KL45</f>
        <v>287961.22465428174</v>
      </c>
      <c r="KM98" s="168">
        <f t="shared" ref="KM98:KX98" si="343">+KM96+KM94+KM82+KM57+KM45</f>
        <v>276259.59141795011</v>
      </c>
      <c r="KN98" s="168">
        <f t="shared" si="343"/>
        <v>277696.78120630991</v>
      </c>
      <c r="KO98" s="168">
        <f t="shared" si="343"/>
        <v>275025.2218787967</v>
      </c>
      <c r="KP98" s="168">
        <f t="shared" si="343"/>
        <v>275398.75595251017</v>
      </c>
      <c r="KQ98" s="168">
        <f t="shared" si="343"/>
        <v>275498.80652901338</v>
      </c>
      <c r="KR98" s="168">
        <f t="shared" si="343"/>
        <v>279123.49811631499</v>
      </c>
      <c r="KS98" s="168">
        <f t="shared" si="343"/>
        <v>282820.6488902542</v>
      </c>
      <c r="KT98" s="168">
        <f t="shared" si="343"/>
        <v>294898.74079501606</v>
      </c>
      <c r="KU98" s="168">
        <f t="shared" si="343"/>
        <v>281667.11603311135</v>
      </c>
      <c r="KV98" s="168">
        <f t="shared" si="343"/>
        <v>268837.12250955374</v>
      </c>
      <c r="KW98" s="168">
        <f t="shared" si="343"/>
        <v>262595.65076241549</v>
      </c>
      <c r="KX98" s="212">
        <f t="shared" si="343"/>
        <v>3337783.1587455282</v>
      </c>
      <c r="KY98" s="213"/>
      <c r="KZ98" s="167">
        <f>+KZ96+KZ94+KZ82+KZ57+KZ45</f>
        <v>238128.61232714087</v>
      </c>
      <c r="LA98" s="168">
        <f t="shared" ref="LA98:LL98" si="344">+LA96+LA94+LA82+LA57+LA45</f>
        <v>232277.79570897509</v>
      </c>
      <c r="LB98" s="168">
        <f t="shared" si="344"/>
        <v>232996.39060315496</v>
      </c>
      <c r="LC98" s="168">
        <f t="shared" si="344"/>
        <v>231660.61093939835</v>
      </c>
      <c r="LD98" s="168">
        <f t="shared" si="344"/>
        <v>231847.37797625511</v>
      </c>
      <c r="LE98" s="168">
        <f t="shared" si="344"/>
        <v>231897.40326450672</v>
      </c>
      <c r="LF98" s="168">
        <f t="shared" si="344"/>
        <v>233708.7490581575</v>
      </c>
      <c r="LG98" s="168">
        <f t="shared" si="344"/>
        <v>235557.3244451271</v>
      </c>
      <c r="LH98" s="168">
        <f t="shared" si="344"/>
        <v>241596.37039750806</v>
      </c>
      <c r="LI98" s="168">
        <f t="shared" si="344"/>
        <v>234986.55801655567</v>
      </c>
      <c r="LJ98" s="168">
        <f t="shared" si="344"/>
        <v>228565.5612547769</v>
      </c>
      <c r="LK98" s="168">
        <f t="shared" si="344"/>
        <v>225444.82538120775</v>
      </c>
      <c r="LL98" s="212">
        <f t="shared" si="344"/>
        <v>2798667.5793727641</v>
      </c>
      <c r="LM98" s="213"/>
      <c r="LN98" s="167">
        <f>+LN96+LN94+LN82+LN57+LN45</f>
        <v>0</v>
      </c>
      <c r="LO98" s="168">
        <f t="shared" ref="LO98:LZ98" si="345">+LO96+LO94+LO82+LO57+LO45</f>
        <v>0</v>
      </c>
      <c r="LP98" s="168">
        <f t="shared" si="345"/>
        <v>0</v>
      </c>
      <c r="LQ98" s="168">
        <f t="shared" si="345"/>
        <v>0</v>
      </c>
      <c r="LR98" s="168">
        <f t="shared" si="345"/>
        <v>0</v>
      </c>
      <c r="LS98" s="168">
        <f t="shared" si="345"/>
        <v>0</v>
      </c>
      <c r="LT98" s="168">
        <f t="shared" si="345"/>
        <v>0</v>
      </c>
      <c r="LU98" s="168">
        <f t="shared" si="345"/>
        <v>0</v>
      </c>
      <c r="LV98" s="168">
        <f t="shared" si="345"/>
        <v>0</v>
      </c>
      <c r="LW98" s="168">
        <f t="shared" si="345"/>
        <v>0</v>
      </c>
      <c r="LX98" s="168">
        <f t="shared" si="345"/>
        <v>0</v>
      </c>
      <c r="LY98" s="168">
        <f t="shared" si="345"/>
        <v>0</v>
      </c>
      <c r="LZ98" s="212">
        <f t="shared" si="345"/>
        <v>0</v>
      </c>
      <c r="MA98" s="213"/>
      <c r="MB98" s="212">
        <f>+MB96+MB94+MB82+MB57+MB45</f>
        <v>36434658.293958068</v>
      </c>
      <c r="MC98" s="212">
        <f t="shared" ref="MC98:MN98" si="346">+MC96+MC94+MC82+MC57+MC45</f>
        <v>35199252.834578879</v>
      </c>
      <c r="MD98" s="212">
        <f t="shared" si="346"/>
        <v>37720515.98655352</v>
      </c>
      <c r="ME98" s="212">
        <f t="shared" si="346"/>
        <v>37633901.391697437</v>
      </c>
      <c r="MF98" s="212">
        <f t="shared" si="346"/>
        <v>37389550.905741937</v>
      </c>
      <c r="MG98" s="212">
        <f t="shared" si="346"/>
        <v>37391189.393015206</v>
      </c>
      <c r="MH98" s="212">
        <f t="shared" si="346"/>
        <v>37995380.097173929</v>
      </c>
      <c r="MI98" s="212">
        <f t="shared" si="346"/>
        <v>38012828.516636953</v>
      </c>
      <c r="MJ98" s="212">
        <f t="shared" si="346"/>
        <v>38989278.122827426</v>
      </c>
      <c r="MK98" s="212">
        <f t="shared" si="346"/>
        <v>37893662.212351233</v>
      </c>
      <c r="ML98" s="212">
        <f t="shared" si="346"/>
        <v>36830077.013419509</v>
      </c>
      <c r="MM98" s="212">
        <f t="shared" si="346"/>
        <v>36311631.20015417</v>
      </c>
      <c r="MN98" s="212">
        <f t="shared" si="346"/>
        <v>447801925.96810836</v>
      </c>
    </row>
    <row r="99" spans="1:352" x14ac:dyDescent="0.25">
      <c r="A99" s="98"/>
      <c r="B99" s="181"/>
      <c r="C99" s="98"/>
      <c r="D99" s="153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7"/>
      <c r="Q99" s="161"/>
      <c r="R99" s="153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7"/>
      <c r="AE99" s="161"/>
      <c r="AF99" s="153"/>
      <c r="AG99" s="154"/>
      <c r="AH99" s="154"/>
      <c r="AI99" s="154"/>
      <c r="AJ99" s="154"/>
      <c r="AK99" s="154"/>
      <c r="AL99" s="154"/>
      <c r="AM99" s="154"/>
      <c r="AN99" s="154"/>
      <c r="AO99" s="154"/>
      <c r="AP99" s="154"/>
      <c r="AQ99" s="154"/>
      <c r="AR99" s="157"/>
      <c r="AT99" s="153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7"/>
      <c r="BH99" s="153"/>
      <c r="BI99" s="154"/>
      <c r="BJ99" s="154"/>
      <c r="BK99" s="154"/>
      <c r="BL99" s="154"/>
      <c r="BM99" s="154"/>
      <c r="BN99" s="154"/>
      <c r="BO99" s="154"/>
      <c r="BP99" s="154"/>
      <c r="BQ99" s="154"/>
      <c r="BR99" s="154"/>
      <c r="BS99" s="154"/>
      <c r="BT99" s="157"/>
      <c r="BV99" s="153"/>
      <c r="BW99" s="154"/>
      <c r="BX99" s="154"/>
      <c r="BY99" s="154"/>
      <c r="BZ99" s="154"/>
      <c r="CA99" s="154"/>
      <c r="CB99" s="154"/>
      <c r="CC99" s="154"/>
      <c r="CD99" s="154"/>
      <c r="CE99" s="154"/>
      <c r="CF99" s="154"/>
      <c r="CG99" s="154"/>
      <c r="CH99" s="157"/>
      <c r="CI99" s="161"/>
      <c r="CJ99" s="153"/>
      <c r="CK99" s="154"/>
      <c r="CL99" s="154"/>
      <c r="CM99" s="154"/>
      <c r="CN99" s="154"/>
      <c r="CO99" s="154"/>
      <c r="CP99" s="154"/>
      <c r="CQ99" s="154"/>
      <c r="CR99" s="154"/>
      <c r="CS99" s="154"/>
      <c r="CT99" s="154"/>
      <c r="CU99" s="154"/>
      <c r="CV99" s="157"/>
      <c r="CW99" s="161"/>
      <c r="CX99" s="153"/>
      <c r="CY99" s="154"/>
      <c r="CZ99" s="154"/>
      <c r="DA99" s="154"/>
      <c r="DB99" s="154"/>
      <c r="DC99" s="154"/>
      <c r="DD99" s="154"/>
      <c r="DE99" s="154"/>
      <c r="DF99" s="154"/>
      <c r="DG99" s="154"/>
      <c r="DH99" s="154"/>
      <c r="DI99" s="154"/>
      <c r="DJ99" s="157"/>
      <c r="DK99" s="161"/>
      <c r="DL99" s="153"/>
      <c r="DM99" s="154"/>
      <c r="DN99" s="154"/>
      <c r="DO99" s="154"/>
      <c r="DP99" s="154"/>
      <c r="DQ99" s="154"/>
      <c r="DR99" s="154"/>
      <c r="DS99" s="154"/>
      <c r="DT99" s="154"/>
      <c r="DU99" s="154"/>
      <c r="DV99" s="154"/>
      <c r="DW99" s="154"/>
      <c r="DX99" s="157"/>
      <c r="DY99" s="161"/>
      <c r="DZ99" s="153"/>
      <c r="EA99" s="154"/>
      <c r="EB99" s="154"/>
      <c r="EC99" s="154"/>
      <c r="ED99" s="154"/>
      <c r="EE99" s="154"/>
      <c r="EF99" s="154"/>
      <c r="EG99" s="154"/>
      <c r="EH99" s="154"/>
      <c r="EI99" s="154"/>
      <c r="EJ99" s="154"/>
      <c r="EK99" s="154"/>
      <c r="EL99" s="157"/>
      <c r="EM99" s="161"/>
      <c r="EN99" s="153"/>
      <c r="EO99" s="154"/>
      <c r="EP99" s="154"/>
      <c r="EQ99" s="154"/>
      <c r="ER99" s="154"/>
      <c r="ES99" s="154"/>
      <c r="ET99" s="154"/>
      <c r="EU99" s="154"/>
      <c r="EV99" s="154"/>
      <c r="EW99" s="154"/>
      <c r="EX99" s="154"/>
      <c r="EY99" s="154"/>
      <c r="EZ99" s="157"/>
      <c r="FA99" s="161"/>
      <c r="FB99" s="153"/>
      <c r="FC99" s="154"/>
      <c r="FD99" s="154"/>
      <c r="FE99" s="154"/>
      <c r="FF99" s="154"/>
      <c r="FG99" s="154"/>
      <c r="FH99" s="154"/>
      <c r="FI99" s="154"/>
      <c r="FJ99" s="154"/>
      <c r="FK99" s="154"/>
      <c r="FL99" s="154"/>
      <c r="FM99" s="154"/>
      <c r="FN99" s="157"/>
      <c r="FO99" s="161"/>
      <c r="FP99" s="153"/>
      <c r="FQ99" s="154"/>
      <c r="FR99" s="154"/>
      <c r="FS99" s="154"/>
      <c r="FT99" s="154"/>
      <c r="FU99" s="154"/>
      <c r="FV99" s="154"/>
      <c r="FW99" s="154"/>
      <c r="FX99" s="154"/>
      <c r="FY99" s="154"/>
      <c r="FZ99" s="154"/>
      <c r="GA99" s="154"/>
      <c r="GB99" s="157"/>
      <c r="GC99" s="161"/>
      <c r="GD99" s="153"/>
      <c r="GE99" s="154"/>
      <c r="GF99" s="154"/>
      <c r="GG99" s="154"/>
      <c r="GH99" s="154"/>
      <c r="GI99" s="154"/>
      <c r="GJ99" s="154"/>
      <c r="GK99" s="154"/>
      <c r="GL99" s="154"/>
      <c r="GM99" s="154"/>
      <c r="GN99" s="154"/>
      <c r="GO99" s="154"/>
      <c r="GP99" s="157"/>
      <c r="GQ99" s="161"/>
      <c r="GR99" s="153"/>
      <c r="GS99" s="154"/>
      <c r="GT99" s="154"/>
      <c r="GU99" s="154"/>
      <c r="GV99" s="154"/>
      <c r="GW99" s="154"/>
      <c r="GX99" s="154"/>
      <c r="GY99" s="154"/>
      <c r="GZ99" s="154"/>
      <c r="HA99" s="154"/>
      <c r="HB99" s="154"/>
      <c r="HC99" s="154"/>
      <c r="HD99" s="157">
        <f t="shared" si="293"/>
        <v>0</v>
      </c>
      <c r="HE99" s="161"/>
      <c r="HF99" s="153"/>
      <c r="HG99" s="154"/>
      <c r="HH99" s="154"/>
      <c r="HI99" s="154"/>
      <c r="HJ99" s="154"/>
      <c r="HK99" s="154"/>
      <c r="HL99" s="154"/>
      <c r="HM99" s="154"/>
      <c r="HN99" s="154"/>
      <c r="HO99" s="154"/>
      <c r="HP99" s="154"/>
      <c r="HQ99" s="154"/>
      <c r="HR99" s="157"/>
      <c r="HS99" s="161"/>
      <c r="HT99" s="153"/>
      <c r="HU99" s="154"/>
      <c r="HV99" s="154"/>
      <c r="HW99" s="154"/>
      <c r="HX99" s="154"/>
      <c r="HY99" s="154"/>
      <c r="HZ99" s="154"/>
      <c r="IA99" s="154"/>
      <c r="IB99" s="154"/>
      <c r="IC99" s="154"/>
      <c r="ID99" s="154"/>
      <c r="IE99" s="154"/>
      <c r="IF99" s="157"/>
      <c r="IG99" s="161"/>
      <c r="IH99" s="153"/>
      <c r="II99" s="154"/>
      <c r="IJ99" s="154"/>
      <c r="IK99" s="154"/>
      <c r="IL99" s="154"/>
      <c r="IM99" s="154"/>
      <c r="IN99" s="154"/>
      <c r="IO99" s="154"/>
      <c r="IP99" s="154"/>
      <c r="IQ99" s="154"/>
      <c r="IR99" s="154"/>
      <c r="IS99" s="154"/>
      <c r="IT99" s="157"/>
      <c r="IU99" s="161"/>
      <c r="IV99" s="153"/>
      <c r="IW99" s="154"/>
      <c r="IX99" s="154"/>
      <c r="IY99" s="154"/>
      <c r="IZ99" s="154"/>
      <c r="JA99" s="154"/>
      <c r="JB99" s="154"/>
      <c r="JC99" s="154"/>
      <c r="JD99" s="154"/>
      <c r="JE99" s="154"/>
      <c r="JF99" s="154"/>
      <c r="JG99" s="154"/>
      <c r="JH99" s="157"/>
      <c r="JI99" s="161"/>
      <c r="JJ99" s="153"/>
      <c r="JK99" s="154"/>
      <c r="JL99" s="154"/>
      <c r="JM99" s="154"/>
      <c r="JN99" s="154"/>
      <c r="JO99" s="154"/>
      <c r="JP99" s="154"/>
      <c r="JQ99" s="154"/>
      <c r="JR99" s="154"/>
      <c r="JS99" s="154"/>
      <c r="JT99" s="154"/>
      <c r="JU99" s="154"/>
      <c r="JV99" s="157"/>
      <c r="JW99" s="161"/>
      <c r="JX99" s="153"/>
      <c r="JY99" s="154"/>
      <c r="JZ99" s="154"/>
      <c r="KA99" s="154"/>
      <c r="KB99" s="154"/>
      <c r="KC99" s="154"/>
      <c r="KD99" s="154"/>
      <c r="KE99" s="154"/>
      <c r="KF99" s="154"/>
      <c r="KG99" s="154"/>
      <c r="KH99" s="154"/>
      <c r="KI99" s="154"/>
      <c r="KJ99" s="157"/>
      <c r="KK99" s="161"/>
      <c r="KL99" s="153"/>
      <c r="KM99" s="154"/>
      <c r="KN99" s="154"/>
      <c r="KO99" s="154"/>
      <c r="KP99" s="154"/>
      <c r="KQ99" s="154"/>
      <c r="KR99" s="154"/>
      <c r="KS99" s="154"/>
      <c r="KT99" s="154"/>
      <c r="KU99" s="154"/>
      <c r="KV99" s="154"/>
      <c r="KW99" s="154"/>
      <c r="KX99" s="157"/>
      <c r="KY99" s="161"/>
      <c r="KZ99" s="153"/>
      <c r="LA99" s="154"/>
      <c r="LB99" s="154"/>
      <c r="LC99" s="154"/>
      <c r="LD99" s="154"/>
      <c r="LE99" s="154"/>
      <c r="LF99" s="154"/>
      <c r="LG99" s="154"/>
      <c r="LH99" s="154"/>
      <c r="LI99" s="154"/>
      <c r="LJ99" s="154"/>
      <c r="LK99" s="154"/>
      <c r="LL99" s="157"/>
      <c r="LM99" s="161"/>
      <c r="LN99" s="153"/>
      <c r="LO99" s="154"/>
      <c r="LP99" s="154"/>
      <c r="LQ99" s="154"/>
      <c r="LR99" s="154"/>
      <c r="LS99" s="154"/>
      <c r="LT99" s="154"/>
      <c r="LU99" s="154"/>
      <c r="LV99" s="154"/>
      <c r="LW99" s="154"/>
      <c r="LX99" s="154"/>
      <c r="LY99" s="154"/>
      <c r="LZ99" s="157"/>
      <c r="MA99" s="161"/>
      <c r="MB99" s="157"/>
      <c r="MC99" s="157">
        <f>MC98-MB98</f>
        <v>-1235405.4593791887</v>
      </c>
      <c r="MD99" s="157">
        <f>MC99/83.92</f>
        <v>-14721.228066958874</v>
      </c>
      <c r="ME99" s="157"/>
      <c r="MF99" s="157"/>
      <c r="MG99" s="157"/>
      <c r="MH99" s="157"/>
      <c r="MI99" s="157"/>
      <c r="MJ99" s="157"/>
      <c r="MK99" s="157"/>
      <c r="ML99" s="157"/>
      <c r="MM99" s="157"/>
      <c r="MN99" s="157"/>
    </row>
    <row r="100" spans="1:352" x14ac:dyDescent="0.3">
      <c r="A100" s="98"/>
      <c r="B100" s="195" t="s">
        <v>218</v>
      </c>
      <c r="C100" s="98"/>
      <c r="D100" s="167">
        <f>+D12-D23+D29-D98</f>
        <v>-4437257.7574870847</v>
      </c>
      <c r="E100" s="168">
        <f t="shared" ref="E100:P100" si="347">+E12-E23+E29-E98</f>
        <v>-4262184.0755602773</v>
      </c>
      <c r="F100" s="168">
        <f t="shared" si="347"/>
        <v>-4283873.3274914939</v>
      </c>
      <c r="G100" s="168">
        <f t="shared" si="347"/>
        <v>-4244285.717242552</v>
      </c>
      <c r="H100" s="168">
        <f t="shared" si="347"/>
        <v>-4249701.9613113981</v>
      </c>
      <c r="I100" s="168">
        <f t="shared" si="347"/>
        <v>-4251152.6946706949</v>
      </c>
      <c r="J100" s="168">
        <f t="shared" si="347"/>
        <v>-4305599.7226865673</v>
      </c>
      <c r="K100" s="168">
        <f t="shared" si="347"/>
        <v>-4362708.4089086857</v>
      </c>
      <c r="L100" s="168">
        <f t="shared" si="347"/>
        <v>-4537340.7415277334</v>
      </c>
      <c r="M100" s="168">
        <f t="shared" si="347"/>
        <v>-4345540.1824801145</v>
      </c>
      <c r="N100" s="168">
        <f t="shared" si="347"/>
        <v>-4157297.2763885297</v>
      </c>
      <c r="O100" s="168">
        <f t="shared" si="347"/>
        <v>-4066845.9360550246</v>
      </c>
      <c r="P100" s="212">
        <f t="shared" si="347"/>
        <v>-47535160.007560968</v>
      </c>
      <c r="Q100" s="213"/>
      <c r="R100" s="167">
        <f>+R12-R23+R29-R98</f>
        <v>-387577.83698142256</v>
      </c>
      <c r="S100" s="168">
        <f t="shared" ref="S100:AD100" si="348">+S12-S23+S29-S98</f>
        <v>-370025.38712692523</v>
      </c>
      <c r="T100" s="168">
        <f t="shared" si="348"/>
        <v>-372181.17180946493</v>
      </c>
      <c r="U100" s="168">
        <f t="shared" si="348"/>
        <v>-368173.83281819505</v>
      </c>
      <c r="V100" s="168">
        <f t="shared" si="348"/>
        <v>-368734.13392876531</v>
      </c>
      <c r="W100" s="168">
        <f t="shared" si="348"/>
        <v>-368884.2097935201</v>
      </c>
      <c r="X100" s="168">
        <f t="shared" si="348"/>
        <v>-374320.24717447243</v>
      </c>
      <c r="Y100" s="168">
        <f t="shared" si="348"/>
        <v>-379865.97333538125</v>
      </c>
      <c r="Z100" s="168">
        <f t="shared" si="348"/>
        <v>-397983.11119252414</v>
      </c>
      <c r="AA100" s="168">
        <f t="shared" si="348"/>
        <v>-378141.67404966697</v>
      </c>
      <c r="AB100" s="168">
        <f t="shared" si="348"/>
        <v>-358890.68376433064</v>
      </c>
      <c r="AC100" s="168">
        <f t="shared" si="348"/>
        <v>-349528.47614362324</v>
      </c>
      <c r="AD100" s="212">
        <f t="shared" si="348"/>
        <v>-4474306.7381182928</v>
      </c>
      <c r="AE100" s="213"/>
      <c r="AF100" s="167">
        <f>+AF12-AF23+AF29-AF98</f>
        <v>-389360.83698142256</v>
      </c>
      <c r="AG100" s="168">
        <f t="shared" ref="AG100:AR100" si="349">+AG12-AG23+AG29-AG98</f>
        <v>-371808.38712692523</v>
      </c>
      <c r="AH100" s="168">
        <f t="shared" si="349"/>
        <v>-373964.17180946493</v>
      </c>
      <c r="AI100" s="168">
        <f t="shared" si="349"/>
        <v>-369956.83281819505</v>
      </c>
      <c r="AJ100" s="168">
        <f t="shared" si="349"/>
        <v>-370517.13392876531</v>
      </c>
      <c r="AK100" s="168">
        <f t="shared" si="349"/>
        <v>-370667.2097935201</v>
      </c>
      <c r="AL100" s="168">
        <f t="shared" si="349"/>
        <v>-376103.24717447243</v>
      </c>
      <c r="AM100" s="168">
        <f t="shared" si="349"/>
        <v>-381648.97333538125</v>
      </c>
      <c r="AN100" s="168">
        <f t="shared" si="349"/>
        <v>-399766.11119252414</v>
      </c>
      <c r="AO100" s="168">
        <f t="shared" si="349"/>
        <v>-379924.67404966697</v>
      </c>
      <c r="AP100" s="168">
        <f t="shared" si="349"/>
        <v>-360673.68376433064</v>
      </c>
      <c r="AQ100" s="168">
        <f t="shared" si="349"/>
        <v>-351311.47614362324</v>
      </c>
      <c r="AR100" s="212">
        <f t="shared" si="349"/>
        <v>-4495702.7381182928</v>
      </c>
      <c r="AT100" s="167">
        <f>+AT12-AT23+AT29-AT98</f>
        <v>-929733.22465428174</v>
      </c>
      <c r="AU100" s="168">
        <f t="shared" ref="AU100:BF100" si="350">+AU12-AU23+AU29-AU98</f>
        <v>-918031.59141795011</v>
      </c>
      <c r="AV100" s="168">
        <f t="shared" si="350"/>
        <v>-919468.78120630991</v>
      </c>
      <c r="AW100" s="168">
        <f t="shared" si="350"/>
        <v>-916797.2218787967</v>
      </c>
      <c r="AX100" s="168">
        <f t="shared" si="350"/>
        <v>-917170.75595251017</v>
      </c>
      <c r="AY100" s="168">
        <f t="shared" si="350"/>
        <v>-917270.80652901344</v>
      </c>
      <c r="AZ100" s="168">
        <f t="shared" si="350"/>
        <v>-921560.49811631499</v>
      </c>
      <c r="BA100" s="168">
        <f t="shared" si="350"/>
        <v>-925257.6488902542</v>
      </c>
      <c r="BB100" s="168">
        <f t="shared" si="350"/>
        <v>-937335.74079501606</v>
      </c>
      <c r="BC100" s="168">
        <f t="shared" si="350"/>
        <v>-924108.11603311135</v>
      </c>
      <c r="BD100" s="168">
        <f t="shared" si="350"/>
        <v>-911274.1225095538</v>
      </c>
      <c r="BE100" s="168">
        <f t="shared" si="350"/>
        <v>-905032.65076241549</v>
      </c>
      <c r="BF100" s="212">
        <f t="shared" si="350"/>
        <v>-11043041.158745527</v>
      </c>
      <c r="BH100" s="167">
        <f>+BH12-BH23+BH29-BH98</f>
        <v>-5175207.1849071123</v>
      </c>
      <c r="BI100" s="168">
        <f t="shared" ref="BI100:BT100" si="351">+BI12-BI23+BI29-BI98</f>
        <v>-5087114.9356346261</v>
      </c>
      <c r="BJ100" s="168">
        <f t="shared" si="351"/>
        <v>-5097893.8590473244</v>
      </c>
      <c r="BK100" s="168">
        <f t="shared" si="351"/>
        <v>-5077857.1640909752</v>
      </c>
      <c r="BL100" s="168">
        <f t="shared" si="351"/>
        <v>-5080658.6696438259</v>
      </c>
      <c r="BM100" s="168">
        <f t="shared" si="351"/>
        <v>-5081409.0489675999</v>
      </c>
      <c r="BN100" s="168">
        <f t="shared" si="351"/>
        <v>-5110180.2358723618</v>
      </c>
      <c r="BO100" s="168">
        <f t="shared" si="351"/>
        <v>-5137908.8666769061</v>
      </c>
      <c r="BP100" s="168">
        <f t="shared" si="351"/>
        <v>-5228494.5559626203</v>
      </c>
      <c r="BQ100" s="168">
        <f t="shared" si="351"/>
        <v>-5127887.3702483345</v>
      </c>
      <c r="BR100" s="168">
        <f t="shared" si="351"/>
        <v>-5033032.4188216534</v>
      </c>
      <c r="BS100" s="168">
        <f t="shared" si="351"/>
        <v>-4986221.3807181157</v>
      </c>
      <c r="BT100" s="212">
        <f t="shared" si="351"/>
        <v>-61223865.690591447</v>
      </c>
      <c r="BV100" s="167">
        <f>+BV12-BV23+BV29-BV98</f>
        <v>-907774.61232714099</v>
      </c>
      <c r="BW100" s="168">
        <f t="shared" ref="BW100:CH100" si="352">+BW12-BW23+BW29-BW98</f>
        <v>-900423.79570897506</v>
      </c>
      <c r="BX100" s="168">
        <f t="shared" si="352"/>
        <v>-901142.39060315501</v>
      </c>
      <c r="BY100" s="168">
        <f t="shared" si="352"/>
        <v>-899806.61093939841</v>
      </c>
      <c r="BZ100" s="168">
        <f t="shared" si="352"/>
        <v>-899993.37797625514</v>
      </c>
      <c r="CA100" s="168">
        <f t="shared" si="352"/>
        <v>-900043.40326450672</v>
      </c>
      <c r="CB100" s="168">
        <f t="shared" si="352"/>
        <v>-902484.74905815755</v>
      </c>
      <c r="CC100" s="168">
        <f t="shared" si="352"/>
        <v>-905833.32444512716</v>
      </c>
      <c r="CD100" s="168">
        <f t="shared" si="352"/>
        <v>-910372.37039750803</v>
      </c>
      <c r="CE100" s="168">
        <f t="shared" si="352"/>
        <v>-903758.55801655562</v>
      </c>
      <c r="CF100" s="168">
        <f t="shared" si="352"/>
        <v>-897341.5612547769</v>
      </c>
      <c r="CG100" s="168">
        <f t="shared" si="352"/>
        <v>-894220.82538120775</v>
      </c>
      <c r="CH100" s="212">
        <f t="shared" si="352"/>
        <v>-10823195.579372764</v>
      </c>
      <c r="CI100" s="213"/>
      <c r="CJ100" s="167">
        <f>+CJ12-CJ23+CJ29-CJ98</f>
        <v>-2466895.7355985497</v>
      </c>
      <c r="CK100" s="168">
        <f t="shared" ref="CK100:CV100" si="353">+CK12-CK23+CK29-CK98</f>
        <v>-2402536.7527987259</v>
      </c>
      <c r="CL100" s="168">
        <f t="shared" si="353"/>
        <v>-2410441.2966347048</v>
      </c>
      <c r="CM100" s="168">
        <f t="shared" si="353"/>
        <v>-2395747.720333382</v>
      </c>
      <c r="CN100" s="168">
        <f t="shared" si="353"/>
        <v>-2397802.1577388062</v>
      </c>
      <c r="CO100" s="168">
        <f t="shared" si="353"/>
        <v>-2398352.4359095739</v>
      </c>
      <c r="CP100" s="168">
        <f t="shared" si="353"/>
        <v>-2419020.2396397325</v>
      </c>
      <c r="CQ100" s="168">
        <f t="shared" si="353"/>
        <v>-2439354.5688963984</v>
      </c>
      <c r="CR100" s="168">
        <f t="shared" si="353"/>
        <v>-2505784.0743725887</v>
      </c>
      <c r="CS100" s="168">
        <f t="shared" si="353"/>
        <v>-2433032.1381821125</v>
      </c>
      <c r="CT100" s="168">
        <f t="shared" si="353"/>
        <v>-2362445.1738025458</v>
      </c>
      <c r="CU100" s="168">
        <f t="shared" si="353"/>
        <v>-2328117.0791932852</v>
      </c>
      <c r="CV100" s="212">
        <f t="shared" si="353"/>
        <v>-28959529.373100407</v>
      </c>
      <c r="CW100" s="213"/>
      <c r="CX100" s="167">
        <f>+CX12-CX23+CX29-CX98</f>
        <v>-5563355.145159944</v>
      </c>
      <c r="CY100" s="168">
        <f t="shared" ref="CY100:DJ100" si="354">+CY12-CY23+CY29-CY98</f>
        <v>-5391882.2798513025</v>
      </c>
      <c r="CZ100" s="168">
        <f t="shared" si="354"/>
        <v>-5412852.936888339</v>
      </c>
      <c r="DA100" s="168">
        <f t="shared" si="354"/>
        <v>-5374601.1063031545</v>
      </c>
      <c r="DB100" s="168">
        <f t="shared" si="354"/>
        <v>-5379830.5833351426</v>
      </c>
      <c r="DC100" s="168">
        <f t="shared" si="354"/>
        <v>-5381231.2914061882</v>
      </c>
      <c r="DD100" s="168">
        <f t="shared" si="354"/>
        <v>-5435025.9736284101</v>
      </c>
      <c r="DE100" s="168">
        <f t="shared" si="354"/>
        <v>-5492536.0844635591</v>
      </c>
      <c r="DF100" s="168">
        <f t="shared" si="354"/>
        <v>-5658879.3711302262</v>
      </c>
      <c r="DG100" s="168">
        <f t="shared" si="354"/>
        <v>-5474392.6244635591</v>
      </c>
      <c r="DH100" s="168">
        <f t="shared" si="354"/>
        <v>-5291866.7151337527</v>
      </c>
      <c r="DI100" s="168">
        <f t="shared" si="354"/>
        <v>-5204536.1106738169</v>
      </c>
      <c r="DJ100" s="212">
        <f t="shared" si="354"/>
        <v>-65060990.222437397</v>
      </c>
      <c r="DK100" s="213"/>
      <c r="DL100" s="167">
        <f>+DL12-DL23+DL29-DL98</f>
        <v>-3948622.5691599436</v>
      </c>
      <c r="DM100" s="168">
        <f t="shared" ref="DM100:DX100" si="355">+DM12-DM23+DM29-DM98</f>
        <v>-3632688.8798513021</v>
      </c>
      <c r="DN100" s="168">
        <f t="shared" si="355"/>
        <v>-3631661.6968883388</v>
      </c>
      <c r="DO100" s="168">
        <f t="shared" si="355"/>
        <v>-3468128.1063031536</v>
      </c>
      <c r="DP100" s="168">
        <f t="shared" si="355"/>
        <v>-3473357.5833351426</v>
      </c>
      <c r="DQ100" s="168">
        <f t="shared" si="355"/>
        <v>-3474758.2914061872</v>
      </c>
      <c r="DR100" s="168">
        <f t="shared" si="355"/>
        <v>-3823361.3976284098</v>
      </c>
      <c r="DS100" s="168">
        <f t="shared" si="355"/>
        <v>-3577561.0844635582</v>
      </c>
      <c r="DT100" s="168">
        <f t="shared" si="355"/>
        <v>-3745904.3711302252</v>
      </c>
      <c r="DU100" s="168">
        <f t="shared" si="355"/>
        <v>-3559317.6244635582</v>
      </c>
      <c r="DV100" s="168">
        <f t="shared" si="355"/>
        <v>-3381041.7151337527</v>
      </c>
      <c r="DW100" s="168">
        <f t="shared" si="355"/>
        <v>-3293661.1106738169</v>
      </c>
      <c r="DX100" s="212">
        <f t="shared" si="355"/>
        <v>-43010064.430437393</v>
      </c>
      <c r="DY100" s="213"/>
      <c r="DZ100" s="167">
        <f>+DZ12-DZ23+DZ29-DZ98</f>
        <v>-427692.61232714087</v>
      </c>
      <c r="EA100" s="168">
        <f t="shared" ref="EA100:EL100" si="356">+EA12-EA23+EA29-EA98</f>
        <v>-421841.79570897506</v>
      </c>
      <c r="EB100" s="168">
        <f t="shared" si="356"/>
        <v>-422560.39060315496</v>
      </c>
      <c r="EC100" s="168">
        <f t="shared" si="356"/>
        <v>-689684.69093939848</v>
      </c>
      <c r="ED100" s="168">
        <f t="shared" si="356"/>
        <v>-421411.37797625508</v>
      </c>
      <c r="EE100" s="168">
        <f t="shared" si="356"/>
        <v>-421461.40326450666</v>
      </c>
      <c r="EF100" s="168">
        <f t="shared" si="356"/>
        <v>-423608.7490581575</v>
      </c>
      <c r="EG100" s="168">
        <f t="shared" si="356"/>
        <v>-425457.3244451271</v>
      </c>
      <c r="EH100" s="168">
        <f t="shared" si="356"/>
        <v>-431496.37039750803</v>
      </c>
      <c r="EI100" s="168">
        <f t="shared" si="356"/>
        <v>-424882.55801655562</v>
      </c>
      <c r="EJ100" s="168">
        <f t="shared" si="356"/>
        <v>-418465.56125477684</v>
      </c>
      <c r="EK100" s="168">
        <f t="shared" si="356"/>
        <v>-415344.82538120775</v>
      </c>
      <c r="EL100" s="212">
        <f t="shared" si="356"/>
        <v>-5343907.6593727637</v>
      </c>
      <c r="EM100" s="213"/>
      <c r="EN100" s="167">
        <f>+EN12-EN23+EN29-EN98</f>
        <v>-633570.22465428174</v>
      </c>
      <c r="EO100" s="168">
        <f t="shared" ref="EO100:EZ100" si="357">+EO12-EO23+EO29-EO98</f>
        <v>-621868.59141795011</v>
      </c>
      <c r="EP100" s="168">
        <f t="shared" si="357"/>
        <v>-623305.78120630991</v>
      </c>
      <c r="EQ100" s="168">
        <f t="shared" si="357"/>
        <v>-620634.2218787967</v>
      </c>
      <c r="ER100" s="168">
        <f t="shared" si="357"/>
        <v>-621007.75595251017</v>
      </c>
      <c r="ES100" s="168">
        <f t="shared" si="357"/>
        <v>-621107.80652901332</v>
      </c>
      <c r="ET100" s="168">
        <f t="shared" si="357"/>
        <v>-625397.49811631499</v>
      </c>
      <c r="EU100" s="168">
        <f t="shared" si="357"/>
        <v>-629094.6488902542</v>
      </c>
      <c r="EV100" s="168">
        <f t="shared" si="357"/>
        <v>-641172.74079501606</v>
      </c>
      <c r="EW100" s="168">
        <f t="shared" si="357"/>
        <v>-627945.11603311123</v>
      </c>
      <c r="EX100" s="168">
        <f t="shared" si="357"/>
        <v>-615111.12250955368</v>
      </c>
      <c r="EY100" s="168">
        <f t="shared" si="357"/>
        <v>-608869.65076241549</v>
      </c>
      <c r="EZ100" s="212">
        <f t="shared" si="357"/>
        <v>-7489085.1587455282</v>
      </c>
      <c r="FA100" s="213"/>
      <c r="FB100" s="167">
        <f>+FB12-FB23+FB29-FB98</f>
        <v>-139077.61232714087</v>
      </c>
      <c r="FC100" s="168">
        <f t="shared" ref="FC100:FN100" si="358">+FC12-FC23+FC29-FC98</f>
        <v>-133226.79570897506</v>
      </c>
      <c r="FD100" s="168">
        <f t="shared" si="358"/>
        <v>-133945.39060315496</v>
      </c>
      <c r="FE100" s="168">
        <f t="shared" si="358"/>
        <v>-132609.61093939835</v>
      </c>
      <c r="FF100" s="168">
        <f t="shared" si="358"/>
        <v>-132796.37797625508</v>
      </c>
      <c r="FG100" s="168">
        <f t="shared" si="358"/>
        <v>-132846.40326450669</v>
      </c>
      <c r="FH100" s="168">
        <f t="shared" si="358"/>
        <v>-134694.7490581575</v>
      </c>
      <c r="FI100" s="168">
        <f t="shared" si="358"/>
        <v>-136543.3244451271</v>
      </c>
      <c r="FJ100" s="168">
        <f t="shared" si="358"/>
        <v>-142582.37039750803</v>
      </c>
      <c r="FK100" s="168">
        <f t="shared" si="358"/>
        <v>-135968.55801655567</v>
      </c>
      <c r="FL100" s="168">
        <f t="shared" si="358"/>
        <v>-129551.56125477687</v>
      </c>
      <c r="FM100" s="168">
        <f t="shared" si="358"/>
        <v>-126430.82538120775</v>
      </c>
      <c r="FN100" s="212">
        <f t="shared" si="358"/>
        <v>-1610273.5793727641</v>
      </c>
      <c r="FO100" s="213"/>
      <c r="FP100" s="167">
        <f>+FP12-FP23+FP29-FP98</f>
        <v>-1919969.286289986</v>
      </c>
      <c r="FQ100" s="168">
        <f t="shared" ref="FQ100:GB100" si="359">+FQ12-FQ23+FQ29-FQ98</f>
        <v>-1873778.5699628256</v>
      </c>
      <c r="FR100" s="168">
        <f t="shared" si="359"/>
        <v>-1879658.7342220847</v>
      </c>
      <c r="FS100" s="168">
        <f t="shared" si="359"/>
        <v>-1869458.2765757886</v>
      </c>
      <c r="FT100" s="168">
        <f t="shared" si="359"/>
        <v>-1870765.6458337856</v>
      </c>
      <c r="FU100" s="168">
        <f t="shared" si="359"/>
        <v>-1871115.822851547</v>
      </c>
      <c r="FV100" s="168">
        <f t="shared" si="359"/>
        <v>-1885760.2434071025</v>
      </c>
      <c r="FW100" s="168">
        <f t="shared" si="359"/>
        <v>-1902200.2711158898</v>
      </c>
      <c r="FX100" s="168">
        <f t="shared" si="359"/>
        <v>-1943973.5927825565</v>
      </c>
      <c r="FY100" s="168">
        <f t="shared" si="359"/>
        <v>-1898376.9061158898</v>
      </c>
      <c r="FZ100" s="168">
        <f t="shared" si="359"/>
        <v>-1850607.9287834382</v>
      </c>
      <c r="GA100" s="168">
        <f t="shared" si="359"/>
        <v>-1828812.7776684542</v>
      </c>
      <c r="GB100" s="212">
        <f t="shared" si="359"/>
        <v>-22594478.055609349</v>
      </c>
      <c r="GC100" s="213"/>
      <c r="GD100" s="167">
        <f>+GD12-GD23+GD29-GD98</f>
        <v>-877377.61232714087</v>
      </c>
      <c r="GE100" s="168">
        <f t="shared" ref="GE100:GP100" si="360">+GE12-GE23+GE29-GE98</f>
        <v>-876761.79570897506</v>
      </c>
      <c r="GF100" s="168">
        <f t="shared" si="360"/>
        <v>-876630.39060315501</v>
      </c>
      <c r="GG100" s="168">
        <f t="shared" si="360"/>
        <v>-876144.61093939841</v>
      </c>
      <c r="GH100" s="168">
        <f t="shared" si="360"/>
        <v>-876331.37797625514</v>
      </c>
      <c r="GI100" s="168">
        <f t="shared" si="360"/>
        <v>-876381.40326450672</v>
      </c>
      <c r="GJ100" s="168">
        <f t="shared" si="360"/>
        <v>-877909.74905815755</v>
      </c>
      <c r="GK100" s="168">
        <f t="shared" si="360"/>
        <v>-876258.32444512716</v>
      </c>
      <c r="GL100" s="168">
        <f t="shared" si="360"/>
        <v>-882797.37039750814</v>
      </c>
      <c r="GM100" s="168">
        <f t="shared" si="360"/>
        <v>-875483.55801655573</v>
      </c>
      <c r="GN100" s="168">
        <f t="shared" si="360"/>
        <v>-871916.5612547769</v>
      </c>
      <c r="GO100" s="168">
        <f t="shared" si="360"/>
        <v>-868745.82538120775</v>
      </c>
      <c r="GP100" s="212">
        <f t="shared" si="360"/>
        <v>-10512738.579372764</v>
      </c>
      <c r="GQ100" s="213"/>
      <c r="GR100" s="167">
        <f>+GR12-GR23+GR29-GR98</f>
        <v>500143.55169303389</v>
      </c>
      <c r="GS100" s="168">
        <f t="shared" ref="GS100:HC100" si="361">+GS12-GS23+GS29-GS98</f>
        <v>596979.26169303386</v>
      </c>
      <c r="GT100" s="168">
        <f t="shared" si="361"/>
        <v>-1824182.1676361065</v>
      </c>
      <c r="GU100" s="168">
        <f t="shared" si="361"/>
        <v>-1817707.1176361067</v>
      </c>
      <c r="GV100" s="168">
        <f t="shared" si="361"/>
        <v>-1811186.9176361065</v>
      </c>
      <c r="GW100" s="168">
        <f t="shared" si="361"/>
        <v>-1804621.2576361068</v>
      </c>
      <c r="GX100" s="168">
        <f t="shared" si="361"/>
        <v>-1798009.8276361066</v>
      </c>
      <c r="GY100" s="168">
        <f t="shared" si="361"/>
        <v>-1791352.3076361066</v>
      </c>
      <c r="GZ100" s="168">
        <f t="shared" si="361"/>
        <v>-1784648.3776361065</v>
      </c>
      <c r="HA100" s="168">
        <f t="shared" si="361"/>
        <v>-1777897.6976361067</v>
      </c>
      <c r="HB100" s="168">
        <f t="shared" si="361"/>
        <v>-1771099.9676361068</v>
      </c>
      <c r="HC100" s="168">
        <f t="shared" si="361"/>
        <v>-1764254.8376361064</v>
      </c>
      <c r="HD100" s="212">
        <f t="shared" si="293"/>
        <v>0</v>
      </c>
      <c r="HE100" s="213"/>
      <c r="HF100" s="167">
        <f>+HF12-HF23+HF29-HF98</f>
        <v>-877705.44930856349</v>
      </c>
      <c r="HG100" s="168">
        <f t="shared" ref="HG100:HR100" si="362">+HG12-HG23+HG29-HG98</f>
        <v>-854302.18283590034</v>
      </c>
      <c r="HH100" s="168">
        <f t="shared" si="362"/>
        <v>-857176.56241261994</v>
      </c>
      <c r="HI100" s="168">
        <f t="shared" si="362"/>
        <v>-851833.4437575934</v>
      </c>
      <c r="HJ100" s="168">
        <f t="shared" si="362"/>
        <v>-852580.51190502045</v>
      </c>
      <c r="HK100" s="168">
        <f t="shared" si="362"/>
        <v>-852780.61305802688</v>
      </c>
      <c r="HL100" s="168">
        <f t="shared" si="362"/>
        <v>-860657.99623262999</v>
      </c>
      <c r="HM100" s="168">
        <f t="shared" si="362"/>
        <v>-868052.29778050841</v>
      </c>
      <c r="HN100" s="168">
        <f t="shared" si="362"/>
        <v>-892208.48159003223</v>
      </c>
      <c r="HO100" s="168">
        <f t="shared" si="362"/>
        <v>-865753.2320662227</v>
      </c>
      <c r="HP100" s="168">
        <f t="shared" si="362"/>
        <v>-840085.24501910759</v>
      </c>
      <c r="HQ100" s="168">
        <f t="shared" si="362"/>
        <v>-827602.30152483098</v>
      </c>
      <c r="HR100" s="212">
        <f t="shared" si="362"/>
        <v>-10300738.317491056</v>
      </c>
      <c r="HS100" s="213"/>
      <c r="HT100" s="167">
        <f>+HT12-HT23+HT29-HT98</f>
        <v>-226451.61232714087</v>
      </c>
      <c r="HU100" s="168">
        <f t="shared" ref="HU100:IF100" si="363">+HU12-HU23+HU29-HU98</f>
        <v>-220600.79570897509</v>
      </c>
      <c r="HV100" s="168">
        <f t="shared" si="363"/>
        <v>-221319.39060315499</v>
      </c>
      <c r="HW100" s="168">
        <f t="shared" si="363"/>
        <v>-219983.61093939835</v>
      </c>
      <c r="HX100" s="168">
        <f t="shared" si="363"/>
        <v>-220170.37797625511</v>
      </c>
      <c r="HY100" s="168">
        <f t="shared" si="363"/>
        <v>-220220.40326450672</v>
      </c>
      <c r="HZ100" s="168">
        <f t="shared" si="363"/>
        <v>-222102.7490581575</v>
      </c>
      <c r="IA100" s="168">
        <f t="shared" si="363"/>
        <v>-223951.3244451271</v>
      </c>
      <c r="IB100" s="168">
        <f t="shared" si="363"/>
        <v>-229990.37039750806</v>
      </c>
      <c r="IC100" s="168">
        <f t="shared" si="363"/>
        <v>-223376.55801655567</v>
      </c>
      <c r="ID100" s="168">
        <f t="shared" si="363"/>
        <v>-216959.5612547769</v>
      </c>
      <c r="IE100" s="168">
        <f t="shared" si="363"/>
        <v>-213838.82538120775</v>
      </c>
      <c r="IF100" s="212">
        <f t="shared" si="363"/>
        <v>-2658965.5793727641</v>
      </c>
      <c r="IG100" s="213"/>
      <c r="IH100" s="167">
        <f>+IH12-IH23+IH29-IH98</f>
        <v>-650040.61232714087</v>
      </c>
      <c r="II100" s="168">
        <f t="shared" ref="II100:IT100" si="364">+II12-II23+II29-II98</f>
        <v>-644189.79570897506</v>
      </c>
      <c r="IJ100" s="168">
        <f t="shared" si="364"/>
        <v>-644908.39060315501</v>
      </c>
      <c r="IK100" s="168">
        <f t="shared" si="364"/>
        <v>-643572.61093939841</v>
      </c>
      <c r="IL100" s="168">
        <f t="shared" si="364"/>
        <v>-643759.37797625514</v>
      </c>
      <c r="IM100" s="168">
        <f t="shared" si="364"/>
        <v>-643809.40326450672</v>
      </c>
      <c r="IN100" s="168">
        <f t="shared" si="364"/>
        <v>-646250.74905815755</v>
      </c>
      <c r="IO100" s="168">
        <f t="shared" si="364"/>
        <v>-648099.32444512716</v>
      </c>
      <c r="IP100" s="168">
        <f t="shared" si="364"/>
        <v>-654138.37039750814</v>
      </c>
      <c r="IQ100" s="168">
        <f t="shared" si="364"/>
        <v>-647524.55801655573</v>
      </c>
      <c r="IR100" s="168">
        <f t="shared" si="364"/>
        <v>-641107.5612547769</v>
      </c>
      <c r="IS100" s="168">
        <f t="shared" si="364"/>
        <v>-637986.82538120775</v>
      </c>
      <c r="IT100" s="212">
        <f t="shared" si="364"/>
        <v>-7745387.5793727646</v>
      </c>
      <c r="IU100" s="213"/>
      <c r="IV100" s="167">
        <f>+IV12-IV23+IV29-IV98</f>
        <v>-2072166.286289986</v>
      </c>
      <c r="IW100" s="168">
        <f t="shared" ref="IW100:JH100" si="365">+IW12-IW23+IW29-IW98</f>
        <v>-2031210.5699628256</v>
      </c>
      <c r="IX100" s="168">
        <f t="shared" si="365"/>
        <v>-2036240.7342220847</v>
      </c>
      <c r="IY100" s="168">
        <f t="shared" si="365"/>
        <v>-2026890.2765757886</v>
      </c>
      <c r="IZ100" s="168">
        <f t="shared" si="365"/>
        <v>-2028197.6458337856</v>
      </c>
      <c r="JA100" s="168">
        <f t="shared" si="365"/>
        <v>-2028547.822851547</v>
      </c>
      <c r="JB100" s="168">
        <f t="shared" si="365"/>
        <v>-2042706.2434071025</v>
      </c>
      <c r="JC100" s="168">
        <f t="shared" si="365"/>
        <v>-2055646.2711158898</v>
      </c>
      <c r="JD100" s="168">
        <f t="shared" si="365"/>
        <v>-2097919.5927825565</v>
      </c>
      <c r="JE100" s="168">
        <f t="shared" si="365"/>
        <v>-2051622.9061158898</v>
      </c>
      <c r="JF100" s="168">
        <f t="shared" si="365"/>
        <v>-2006703.9287834382</v>
      </c>
      <c r="JG100" s="168">
        <f t="shared" si="365"/>
        <v>-1984858.7776684542</v>
      </c>
      <c r="JH100" s="212">
        <f t="shared" si="365"/>
        <v>-24462711.055609345</v>
      </c>
      <c r="JI100" s="213"/>
      <c r="JJ100" s="167">
        <f>+JJ12-JJ23+JJ29-JJ98</f>
        <v>-2875591.7355985492</v>
      </c>
      <c r="JK100" s="168">
        <f t="shared" ref="JK100:JV100" si="366">+JK12-JK23+JK29-JK98</f>
        <v>-2799352.7527987259</v>
      </c>
      <c r="JL100" s="168">
        <f t="shared" si="366"/>
        <v>-2808957.2966347048</v>
      </c>
      <c r="JM100" s="168">
        <f t="shared" si="366"/>
        <v>-2792563.720333382</v>
      </c>
      <c r="JN100" s="168">
        <f t="shared" si="366"/>
        <v>-2794618.1577388062</v>
      </c>
      <c r="JO100" s="168">
        <f t="shared" si="366"/>
        <v>-2795168.4359095739</v>
      </c>
      <c r="JP100" s="168">
        <f t="shared" si="366"/>
        <v>-2816080.2396397325</v>
      </c>
      <c r="JQ100" s="168">
        <f t="shared" si="366"/>
        <v>-2844164.5688963979</v>
      </c>
      <c r="JR100" s="168">
        <f t="shared" si="366"/>
        <v>-2908844.0743725887</v>
      </c>
      <c r="JS100" s="168">
        <f t="shared" si="366"/>
        <v>-2834692.1381821125</v>
      </c>
      <c r="JT100" s="168">
        <f t="shared" si="366"/>
        <v>-2761205.1738025458</v>
      </c>
      <c r="JU100" s="168">
        <f t="shared" si="366"/>
        <v>-2726977.0791932852</v>
      </c>
      <c r="JV100" s="212">
        <f t="shared" si="366"/>
        <v>-33758215.3731004</v>
      </c>
      <c r="JW100" s="213"/>
      <c r="JX100" s="167">
        <f>+JX12-JX23+JX29-JX98</f>
        <v>-1503284.0616357045</v>
      </c>
      <c r="JY100" s="168">
        <f t="shared" ref="JY100:KJ100" si="367">+JY12-JY23+JY29-JY98</f>
        <v>-1473864.9785448755</v>
      </c>
      <c r="JZ100" s="168">
        <f t="shared" si="367"/>
        <v>-1477457.953015775</v>
      </c>
      <c r="KA100" s="168">
        <f t="shared" si="367"/>
        <v>-1470779.054696992</v>
      </c>
      <c r="KB100" s="168">
        <f t="shared" si="367"/>
        <v>-1471712.8898812756</v>
      </c>
      <c r="KC100" s="168">
        <f t="shared" si="367"/>
        <v>-1471963.0163225336</v>
      </c>
      <c r="KD100" s="168">
        <f t="shared" si="367"/>
        <v>-1481712.7452907877</v>
      </c>
      <c r="KE100" s="168">
        <f t="shared" si="367"/>
        <v>-1490955.6222256357</v>
      </c>
      <c r="KF100" s="168">
        <f t="shared" si="367"/>
        <v>-1521150.8519875405</v>
      </c>
      <c r="KG100" s="168">
        <f t="shared" si="367"/>
        <v>-1487381.7900827785</v>
      </c>
      <c r="KH100" s="168">
        <f t="shared" si="367"/>
        <v>-1455996.8062738846</v>
      </c>
      <c r="KI100" s="168">
        <f t="shared" si="367"/>
        <v>-1440393.1269060387</v>
      </c>
      <c r="KJ100" s="212">
        <f t="shared" si="367"/>
        <v>-17746652.896863822</v>
      </c>
      <c r="KK100" s="213"/>
      <c r="KL100" s="167">
        <f>+KL12-KL23+KL29-KL98</f>
        <v>-287961.22465428174</v>
      </c>
      <c r="KM100" s="168">
        <f t="shared" ref="KM100:KX100" si="368">+KM12-KM23+KM29-KM98</f>
        <v>-276259.59141795011</v>
      </c>
      <c r="KN100" s="168">
        <f t="shared" si="368"/>
        <v>-277696.78120630991</v>
      </c>
      <c r="KO100" s="168">
        <f t="shared" si="368"/>
        <v>-275025.2218787967</v>
      </c>
      <c r="KP100" s="168">
        <f t="shared" si="368"/>
        <v>-275398.75595251017</v>
      </c>
      <c r="KQ100" s="168">
        <f t="shared" si="368"/>
        <v>-275498.80652901338</v>
      </c>
      <c r="KR100" s="168">
        <f t="shared" si="368"/>
        <v>-279123.49811631499</v>
      </c>
      <c r="KS100" s="168">
        <f t="shared" si="368"/>
        <v>-282820.6488902542</v>
      </c>
      <c r="KT100" s="168">
        <f t="shared" si="368"/>
        <v>-294898.74079501606</v>
      </c>
      <c r="KU100" s="168">
        <f t="shared" si="368"/>
        <v>-281667.11603311135</v>
      </c>
      <c r="KV100" s="168">
        <f t="shared" si="368"/>
        <v>-268837.12250955374</v>
      </c>
      <c r="KW100" s="168">
        <f t="shared" si="368"/>
        <v>-262595.65076241549</v>
      </c>
      <c r="KX100" s="212">
        <f t="shared" si="368"/>
        <v>-3337783.1587455282</v>
      </c>
      <c r="KY100" s="213"/>
      <c r="KZ100" s="167">
        <f>+KZ12-KZ23+KZ29-KZ98</f>
        <v>-238128.61232714087</v>
      </c>
      <c r="LA100" s="168">
        <f t="shared" ref="LA100:LL100" si="369">+LA12-LA23+LA29-LA98</f>
        <v>-232277.79570897509</v>
      </c>
      <c r="LB100" s="168">
        <f t="shared" si="369"/>
        <v>-232996.39060315496</v>
      </c>
      <c r="LC100" s="168">
        <f t="shared" si="369"/>
        <v>-231660.61093939835</v>
      </c>
      <c r="LD100" s="168">
        <f t="shared" si="369"/>
        <v>-231847.37797625511</v>
      </c>
      <c r="LE100" s="168">
        <f t="shared" si="369"/>
        <v>-231897.40326450672</v>
      </c>
      <c r="LF100" s="168">
        <f t="shared" si="369"/>
        <v>-233708.7490581575</v>
      </c>
      <c r="LG100" s="168">
        <f t="shared" si="369"/>
        <v>-235557.3244451271</v>
      </c>
      <c r="LH100" s="168">
        <f t="shared" si="369"/>
        <v>-241596.37039750806</v>
      </c>
      <c r="LI100" s="168">
        <f t="shared" si="369"/>
        <v>-234986.55801655567</v>
      </c>
      <c r="LJ100" s="168">
        <f t="shared" si="369"/>
        <v>-228565.5612547769</v>
      </c>
      <c r="LK100" s="168">
        <f t="shared" si="369"/>
        <v>-225444.82538120775</v>
      </c>
      <c r="LL100" s="212">
        <f t="shared" si="369"/>
        <v>-2798667.5793727641</v>
      </c>
      <c r="LM100" s="213"/>
      <c r="LN100" s="167">
        <f>+LN12-LN23+LN29-LN98</f>
        <v>0</v>
      </c>
      <c r="LO100" s="168">
        <f t="shared" ref="LO100:LZ100" si="370">+LO12-LO23+LO29-LO98</f>
        <v>0</v>
      </c>
      <c r="LP100" s="168">
        <f t="shared" si="370"/>
        <v>0</v>
      </c>
      <c r="LQ100" s="168">
        <f t="shared" si="370"/>
        <v>0</v>
      </c>
      <c r="LR100" s="168">
        <f t="shared" si="370"/>
        <v>0</v>
      </c>
      <c r="LS100" s="168">
        <f t="shared" si="370"/>
        <v>0</v>
      </c>
      <c r="LT100" s="168">
        <f t="shared" si="370"/>
        <v>0</v>
      </c>
      <c r="LU100" s="168">
        <f t="shared" si="370"/>
        <v>0</v>
      </c>
      <c r="LV100" s="168">
        <f t="shared" si="370"/>
        <v>0</v>
      </c>
      <c r="LW100" s="168">
        <f t="shared" si="370"/>
        <v>0</v>
      </c>
      <c r="LX100" s="168">
        <f t="shared" si="370"/>
        <v>0</v>
      </c>
      <c r="LY100" s="168">
        <f t="shared" si="370"/>
        <v>0</v>
      </c>
      <c r="LZ100" s="212">
        <f t="shared" si="370"/>
        <v>0</v>
      </c>
      <c r="MA100" s="213"/>
      <c r="MB100" s="212">
        <f t="shared" ref="MB100:MN100" si="371">+MB12-MB23+MB29-MB98</f>
        <v>-36434658.293958068</v>
      </c>
      <c r="MC100" s="212">
        <f t="shared" si="371"/>
        <v>-35199252.834578879</v>
      </c>
      <c r="MD100" s="212">
        <f t="shared" si="371"/>
        <v>-37720515.98655352</v>
      </c>
      <c r="ME100" s="212">
        <f t="shared" si="371"/>
        <v>-37633901.391697437</v>
      </c>
      <c r="MF100" s="212">
        <f t="shared" si="371"/>
        <v>-37389550.905741937</v>
      </c>
      <c r="MG100" s="212">
        <f t="shared" si="371"/>
        <v>-37391189.393015206</v>
      </c>
      <c r="MH100" s="212">
        <f t="shared" si="371"/>
        <v>-37995380.097173929</v>
      </c>
      <c r="MI100" s="212">
        <f t="shared" si="371"/>
        <v>-38012828.516636953</v>
      </c>
      <c r="MJ100" s="212">
        <f t="shared" si="371"/>
        <v>-38989278.122827426</v>
      </c>
      <c r="MK100" s="212">
        <f t="shared" si="371"/>
        <v>-37893662.212351233</v>
      </c>
      <c r="ML100" s="212">
        <f t="shared" si="371"/>
        <v>-36830077.013419509</v>
      </c>
      <c r="MM100" s="212">
        <f t="shared" si="371"/>
        <v>-36311631.20015417</v>
      </c>
      <c r="MN100" s="212">
        <f t="shared" si="371"/>
        <v>-447801925.96810836</v>
      </c>
    </row>
    <row r="101" spans="1:352" x14ac:dyDescent="0.25">
      <c r="A101" s="98"/>
      <c r="B101" s="181"/>
      <c r="C101" s="98"/>
      <c r="D101" s="153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7"/>
      <c r="Q101" s="161"/>
      <c r="R101" s="153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7"/>
      <c r="AE101" s="161"/>
      <c r="AF101" s="153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7"/>
      <c r="AT101" s="153"/>
      <c r="AU101" s="154"/>
      <c r="AV101" s="154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7"/>
      <c r="BH101" s="153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7"/>
      <c r="BV101" s="153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7"/>
      <c r="CI101" s="161"/>
      <c r="CJ101" s="153"/>
      <c r="CK101" s="154"/>
      <c r="CL101" s="154"/>
      <c r="CM101" s="154"/>
      <c r="CN101" s="154"/>
      <c r="CO101" s="154"/>
      <c r="CP101" s="154"/>
      <c r="CQ101" s="154"/>
      <c r="CR101" s="154"/>
      <c r="CS101" s="154"/>
      <c r="CT101" s="154"/>
      <c r="CU101" s="154"/>
      <c r="CV101" s="157"/>
      <c r="CW101" s="161"/>
      <c r="CX101" s="153"/>
      <c r="CY101" s="154"/>
      <c r="CZ101" s="154"/>
      <c r="DA101" s="154"/>
      <c r="DB101" s="154"/>
      <c r="DC101" s="154"/>
      <c r="DD101" s="154"/>
      <c r="DE101" s="154"/>
      <c r="DF101" s="154"/>
      <c r="DG101" s="154"/>
      <c r="DH101" s="154"/>
      <c r="DI101" s="154"/>
      <c r="DJ101" s="157"/>
      <c r="DK101" s="161"/>
      <c r="DL101" s="153"/>
      <c r="DM101" s="154"/>
      <c r="DN101" s="154"/>
      <c r="DO101" s="154"/>
      <c r="DP101" s="154"/>
      <c r="DQ101" s="154"/>
      <c r="DR101" s="154"/>
      <c r="DS101" s="154"/>
      <c r="DT101" s="154"/>
      <c r="DU101" s="154"/>
      <c r="DV101" s="154"/>
      <c r="DW101" s="154"/>
      <c r="DX101" s="157"/>
      <c r="DY101" s="161"/>
      <c r="DZ101" s="153"/>
      <c r="EA101" s="154"/>
      <c r="EB101" s="154"/>
      <c r="EC101" s="154"/>
      <c r="ED101" s="154"/>
      <c r="EE101" s="154"/>
      <c r="EF101" s="154"/>
      <c r="EG101" s="154"/>
      <c r="EH101" s="154"/>
      <c r="EI101" s="154"/>
      <c r="EJ101" s="154"/>
      <c r="EK101" s="154"/>
      <c r="EL101" s="157"/>
      <c r="EM101" s="161"/>
      <c r="EN101" s="153"/>
      <c r="EO101" s="154"/>
      <c r="EP101" s="154"/>
      <c r="EQ101" s="154"/>
      <c r="ER101" s="154"/>
      <c r="ES101" s="154"/>
      <c r="ET101" s="154"/>
      <c r="EU101" s="154"/>
      <c r="EV101" s="154"/>
      <c r="EW101" s="154"/>
      <c r="EX101" s="154"/>
      <c r="EY101" s="154"/>
      <c r="EZ101" s="157"/>
      <c r="FA101" s="161"/>
      <c r="FB101" s="153"/>
      <c r="FC101" s="154"/>
      <c r="FD101" s="154"/>
      <c r="FE101" s="154"/>
      <c r="FF101" s="154"/>
      <c r="FG101" s="154"/>
      <c r="FH101" s="154"/>
      <c r="FI101" s="154"/>
      <c r="FJ101" s="154"/>
      <c r="FK101" s="154"/>
      <c r="FL101" s="154"/>
      <c r="FM101" s="154"/>
      <c r="FN101" s="157"/>
      <c r="FO101" s="161"/>
      <c r="FP101" s="153"/>
      <c r="FQ101" s="154"/>
      <c r="FR101" s="154"/>
      <c r="FS101" s="154"/>
      <c r="FT101" s="154"/>
      <c r="FU101" s="154"/>
      <c r="FV101" s="154"/>
      <c r="FW101" s="154"/>
      <c r="FX101" s="154"/>
      <c r="FY101" s="154"/>
      <c r="FZ101" s="154"/>
      <c r="GA101" s="154"/>
      <c r="GB101" s="157"/>
      <c r="GC101" s="161"/>
      <c r="GD101" s="153"/>
      <c r="GE101" s="154"/>
      <c r="GF101" s="154"/>
      <c r="GG101" s="154"/>
      <c r="GH101" s="154"/>
      <c r="GI101" s="154"/>
      <c r="GJ101" s="154"/>
      <c r="GK101" s="154"/>
      <c r="GL101" s="154"/>
      <c r="GM101" s="154"/>
      <c r="GN101" s="154"/>
      <c r="GO101" s="154"/>
      <c r="GP101" s="157"/>
      <c r="GQ101" s="161"/>
      <c r="GR101" s="153"/>
      <c r="GS101" s="154"/>
      <c r="GT101" s="154"/>
      <c r="GU101" s="154"/>
      <c r="GV101" s="154"/>
      <c r="GW101" s="154"/>
      <c r="GX101" s="154"/>
      <c r="GY101" s="154"/>
      <c r="GZ101" s="154"/>
      <c r="HA101" s="154"/>
      <c r="HB101" s="154"/>
      <c r="HC101" s="154"/>
      <c r="HD101" s="157">
        <f t="shared" si="293"/>
        <v>0</v>
      </c>
      <c r="HE101" s="161"/>
      <c r="HF101" s="153"/>
      <c r="HG101" s="154"/>
      <c r="HH101" s="154"/>
      <c r="HI101" s="154"/>
      <c r="HJ101" s="154"/>
      <c r="HK101" s="154"/>
      <c r="HL101" s="154"/>
      <c r="HM101" s="154"/>
      <c r="HN101" s="154"/>
      <c r="HO101" s="154"/>
      <c r="HP101" s="154"/>
      <c r="HQ101" s="154"/>
      <c r="HR101" s="157"/>
      <c r="HS101" s="161"/>
      <c r="HT101" s="153"/>
      <c r="HU101" s="154"/>
      <c r="HV101" s="154"/>
      <c r="HW101" s="154"/>
      <c r="HX101" s="154"/>
      <c r="HY101" s="154"/>
      <c r="HZ101" s="154"/>
      <c r="IA101" s="154"/>
      <c r="IB101" s="154"/>
      <c r="IC101" s="154"/>
      <c r="ID101" s="154"/>
      <c r="IE101" s="154"/>
      <c r="IF101" s="157"/>
      <c r="IG101" s="161"/>
      <c r="IH101" s="153"/>
      <c r="II101" s="154"/>
      <c r="IJ101" s="154"/>
      <c r="IK101" s="154"/>
      <c r="IL101" s="154"/>
      <c r="IM101" s="154"/>
      <c r="IN101" s="154"/>
      <c r="IO101" s="154"/>
      <c r="IP101" s="154"/>
      <c r="IQ101" s="154"/>
      <c r="IR101" s="154"/>
      <c r="IS101" s="154"/>
      <c r="IT101" s="157"/>
      <c r="IU101" s="161"/>
      <c r="IV101" s="153"/>
      <c r="IW101" s="154"/>
      <c r="IX101" s="154"/>
      <c r="IY101" s="154"/>
      <c r="IZ101" s="154"/>
      <c r="JA101" s="154"/>
      <c r="JB101" s="154"/>
      <c r="JC101" s="154"/>
      <c r="JD101" s="154"/>
      <c r="JE101" s="154"/>
      <c r="JF101" s="154"/>
      <c r="JG101" s="154"/>
      <c r="JH101" s="157"/>
      <c r="JI101" s="161"/>
      <c r="JJ101" s="153"/>
      <c r="JK101" s="154"/>
      <c r="JL101" s="154"/>
      <c r="JM101" s="154"/>
      <c r="JN101" s="154"/>
      <c r="JO101" s="154"/>
      <c r="JP101" s="154"/>
      <c r="JQ101" s="154"/>
      <c r="JR101" s="154"/>
      <c r="JS101" s="154"/>
      <c r="JT101" s="154"/>
      <c r="JU101" s="154"/>
      <c r="JV101" s="157"/>
      <c r="JW101" s="161"/>
      <c r="JX101" s="153"/>
      <c r="JY101" s="154"/>
      <c r="JZ101" s="154"/>
      <c r="KA101" s="154"/>
      <c r="KB101" s="154"/>
      <c r="KC101" s="154"/>
      <c r="KD101" s="154"/>
      <c r="KE101" s="154"/>
      <c r="KF101" s="154"/>
      <c r="KG101" s="154"/>
      <c r="KH101" s="154"/>
      <c r="KI101" s="154"/>
      <c r="KJ101" s="157"/>
      <c r="KK101" s="161"/>
      <c r="KL101" s="153"/>
      <c r="KM101" s="154"/>
      <c r="KN101" s="154"/>
      <c r="KO101" s="154"/>
      <c r="KP101" s="154"/>
      <c r="KQ101" s="154"/>
      <c r="KR101" s="154"/>
      <c r="KS101" s="154"/>
      <c r="KT101" s="154"/>
      <c r="KU101" s="154"/>
      <c r="KV101" s="154"/>
      <c r="KW101" s="154"/>
      <c r="KX101" s="157"/>
      <c r="KY101" s="161"/>
      <c r="KZ101" s="153"/>
      <c r="LA101" s="154"/>
      <c r="LB101" s="154"/>
      <c r="LC101" s="154"/>
      <c r="LD101" s="154"/>
      <c r="LE101" s="154"/>
      <c r="LF101" s="154"/>
      <c r="LG101" s="154"/>
      <c r="LH101" s="154"/>
      <c r="LI101" s="154"/>
      <c r="LJ101" s="154"/>
      <c r="LK101" s="154"/>
      <c r="LL101" s="157"/>
      <c r="LM101" s="161"/>
      <c r="LN101" s="153"/>
      <c r="LO101" s="154"/>
      <c r="LP101" s="154"/>
      <c r="LQ101" s="154"/>
      <c r="LR101" s="154"/>
      <c r="LS101" s="154"/>
      <c r="LT101" s="154"/>
      <c r="LU101" s="154"/>
      <c r="LV101" s="154"/>
      <c r="LW101" s="154"/>
      <c r="LX101" s="154"/>
      <c r="LY101" s="154"/>
      <c r="LZ101" s="157"/>
      <c r="MA101" s="161"/>
      <c r="MB101" s="157"/>
      <c r="MC101" s="157"/>
      <c r="MD101" s="157"/>
      <c r="ME101" s="157"/>
      <c r="MF101" s="157"/>
      <c r="MG101" s="157"/>
      <c r="MH101" s="157"/>
      <c r="MI101" s="157"/>
      <c r="MJ101" s="157"/>
      <c r="MK101" s="157"/>
      <c r="ML101" s="157"/>
      <c r="MM101" s="157"/>
      <c r="MN101" s="157"/>
    </row>
    <row r="102" spans="1:352" x14ac:dyDescent="0.3">
      <c r="A102" s="98"/>
      <c r="B102" s="214" t="s">
        <v>219</v>
      </c>
      <c r="C102" s="98"/>
      <c r="D102" s="153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7"/>
      <c r="Q102" s="161"/>
      <c r="R102" s="153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7"/>
      <c r="AE102" s="161"/>
      <c r="AF102" s="153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7"/>
      <c r="AT102" s="153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7"/>
      <c r="BH102" s="153"/>
      <c r="BI102" s="154"/>
      <c r="BJ102" s="154"/>
      <c r="BK102" s="154"/>
      <c r="BL102" s="154"/>
      <c r="BM102" s="154"/>
      <c r="BN102" s="154"/>
      <c r="BO102" s="154"/>
      <c r="BP102" s="154"/>
      <c r="BQ102" s="154"/>
      <c r="BR102" s="154"/>
      <c r="BS102" s="154"/>
      <c r="BT102" s="157"/>
      <c r="BV102" s="153"/>
      <c r="BW102" s="154"/>
      <c r="BX102" s="154"/>
      <c r="BY102" s="154"/>
      <c r="BZ102" s="154"/>
      <c r="CA102" s="154"/>
      <c r="CB102" s="154"/>
      <c r="CC102" s="154"/>
      <c r="CD102" s="154"/>
      <c r="CE102" s="154"/>
      <c r="CF102" s="154"/>
      <c r="CG102" s="154"/>
      <c r="CH102" s="157"/>
      <c r="CI102" s="161"/>
      <c r="CJ102" s="153"/>
      <c r="CK102" s="154"/>
      <c r="CL102" s="154"/>
      <c r="CM102" s="154"/>
      <c r="CN102" s="154"/>
      <c r="CO102" s="154"/>
      <c r="CP102" s="154"/>
      <c r="CQ102" s="154"/>
      <c r="CR102" s="154"/>
      <c r="CS102" s="154"/>
      <c r="CT102" s="154"/>
      <c r="CU102" s="154"/>
      <c r="CV102" s="157"/>
      <c r="CW102" s="161"/>
      <c r="CX102" s="153"/>
      <c r="CY102" s="154"/>
      <c r="CZ102" s="154"/>
      <c r="DA102" s="154"/>
      <c r="DB102" s="154"/>
      <c r="DC102" s="154"/>
      <c r="DD102" s="154"/>
      <c r="DE102" s="154"/>
      <c r="DF102" s="154"/>
      <c r="DG102" s="154"/>
      <c r="DH102" s="154"/>
      <c r="DI102" s="154"/>
      <c r="DJ102" s="157"/>
      <c r="DK102" s="161"/>
      <c r="DL102" s="153"/>
      <c r="DM102" s="154"/>
      <c r="DN102" s="154"/>
      <c r="DO102" s="154"/>
      <c r="DP102" s="154"/>
      <c r="DQ102" s="154"/>
      <c r="DR102" s="154"/>
      <c r="DS102" s="154"/>
      <c r="DT102" s="154"/>
      <c r="DU102" s="154"/>
      <c r="DV102" s="154"/>
      <c r="DW102" s="154"/>
      <c r="DX102" s="157"/>
      <c r="DY102" s="161"/>
      <c r="DZ102" s="153"/>
      <c r="EA102" s="154"/>
      <c r="EB102" s="154"/>
      <c r="EC102" s="154"/>
      <c r="ED102" s="154"/>
      <c r="EE102" s="154"/>
      <c r="EF102" s="154"/>
      <c r="EG102" s="154"/>
      <c r="EH102" s="154"/>
      <c r="EI102" s="154"/>
      <c r="EJ102" s="154"/>
      <c r="EK102" s="154"/>
      <c r="EL102" s="157"/>
      <c r="EM102" s="161"/>
      <c r="EN102" s="153"/>
      <c r="EO102" s="154"/>
      <c r="EP102" s="154"/>
      <c r="EQ102" s="154"/>
      <c r="ER102" s="154"/>
      <c r="ES102" s="154"/>
      <c r="ET102" s="154"/>
      <c r="EU102" s="154"/>
      <c r="EV102" s="154"/>
      <c r="EW102" s="154"/>
      <c r="EX102" s="154"/>
      <c r="EY102" s="154"/>
      <c r="EZ102" s="157"/>
      <c r="FA102" s="161"/>
      <c r="FB102" s="153"/>
      <c r="FC102" s="154"/>
      <c r="FD102" s="154"/>
      <c r="FE102" s="154"/>
      <c r="FF102" s="154"/>
      <c r="FG102" s="154"/>
      <c r="FH102" s="154"/>
      <c r="FI102" s="154"/>
      <c r="FJ102" s="154"/>
      <c r="FK102" s="154"/>
      <c r="FL102" s="154"/>
      <c r="FM102" s="154"/>
      <c r="FN102" s="157"/>
      <c r="FO102" s="161"/>
      <c r="FP102" s="153"/>
      <c r="FQ102" s="154"/>
      <c r="FR102" s="154"/>
      <c r="FS102" s="154"/>
      <c r="FT102" s="154"/>
      <c r="FU102" s="154"/>
      <c r="FV102" s="154"/>
      <c r="FW102" s="154"/>
      <c r="FX102" s="154"/>
      <c r="FY102" s="154"/>
      <c r="FZ102" s="154"/>
      <c r="GA102" s="154"/>
      <c r="GB102" s="157"/>
      <c r="GC102" s="161"/>
      <c r="GD102" s="153"/>
      <c r="GE102" s="154"/>
      <c r="GF102" s="154"/>
      <c r="GG102" s="154"/>
      <c r="GH102" s="154"/>
      <c r="GI102" s="154"/>
      <c r="GJ102" s="154"/>
      <c r="GK102" s="154"/>
      <c r="GL102" s="154"/>
      <c r="GM102" s="154"/>
      <c r="GN102" s="154"/>
      <c r="GO102" s="154"/>
      <c r="GP102" s="157"/>
      <c r="GQ102" s="161"/>
      <c r="GR102" s="153"/>
      <c r="GS102" s="154"/>
      <c r="GT102" s="154"/>
      <c r="GU102" s="154"/>
      <c r="GV102" s="154"/>
      <c r="GW102" s="154"/>
      <c r="GX102" s="154"/>
      <c r="GY102" s="154"/>
      <c r="GZ102" s="154"/>
      <c r="HA102" s="154"/>
      <c r="HB102" s="154"/>
      <c r="HC102" s="154"/>
      <c r="HD102" s="157">
        <f t="shared" si="293"/>
        <v>0</v>
      </c>
      <c r="HE102" s="161"/>
      <c r="HF102" s="153"/>
      <c r="HG102" s="154"/>
      <c r="HH102" s="154"/>
      <c r="HI102" s="154"/>
      <c r="HJ102" s="154"/>
      <c r="HK102" s="154"/>
      <c r="HL102" s="154"/>
      <c r="HM102" s="154"/>
      <c r="HN102" s="154"/>
      <c r="HO102" s="154"/>
      <c r="HP102" s="154"/>
      <c r="HQ102" s="154"/>
      <c r="HR102" s="157"/>
      <c r="HS102" s="161"/>
      <c r="HT102" s="153"/>
      <c r="HU102" s="154"/>
      <c r="HV102" s="154"/>
      <c r="HW102" s="154"/>
      <c r="HX102" s="154"/>
      <c r="HY102" s="154"/>
      <c r="HZ102" s="154"/>
      <c r="IA102" s="154"/>
      <c r="IB102" s="154"/>
      <c r="IC102" s="154"/>
      <c r="ID102" s="154"/>
      <c r="IE102" s="154"/>
      <c r="IF102" s="157"/>
      <c r="IG102" s="161"/>
      <c r="IH102" s="153"/>
      <c r="II102" s="154"/>
      <c r="IJ102" s="154"/>
      <c r="IK102" s="154"/>
      <c r="IL102" s="154"/>
      <c r="IM102" s="154"/>
      <c r="IN102" s="154"/>
      <c r="IO102" s="154"/>
      <c r="IP102" s="154"/>
      <c r="IQ102" s="154"/>
      <c r="IR102" s="154"/>
      <c r="IS102" s="154"/>
      <c r="IT102" s="157"/>
      <c r="IU102" s="161"/>
      <c r="IV102" s="153"/>
      <c r="IW102" s="154"/>
      <c r="IX102" s="154"/>
      <c r="IY102" s="154"/>
      <c r="IZ102" s="154"/>
      <c r="JA102" s="154"/>
      <c r="JB102" s="154"/>
      <c r="JC102" s="154"/>
      <c r="JD102" s="154"/>
      <c r="JE102" s="154"/>
      <c r="JF102" s="154"/>
      <c r="JG102" s="154"/>
      <c r="JH102" s="157"/>
      <c r="JI102" s="161"/>
      <c r="JJ102" s="153"/>
      <c r="JK102" s="154"/>
      <c r="JL102" s="154"/>
      <c r="JM102" s="154"/>
      <c r="JN102" s="154"/>
      <c r="JO102" s="154"/>
      <c r="JP102" s="154"/>
      <c r="JQ102" s="154"/>
      <c r="JR102" s="154"/>
      <c r="JS102" s="154"/>
      <c r="JT102" s="154"/>
      <c r="JU102" s="154"/>
      <c r="JV102" s="157"/>
      <c r="JW102" s="161"/>
      <c r="JX102" s="153"/>
      <c r="JY102" s="154"/>
      <c r="JZ102" s="154"/>
      <c r="KA102" s="154"/>
      <c r="KB102" s="154"/>
      <c r="KC102" s="154"/>
      <c r="KD102" s="154"/>
      <c r="KE102" s="154"/>
      <c r="KF102" s="154"/>
      <c r="KG102" s="154"/>
      <c r="KH102" s="154"/>
      <c r="KI102" s="154"/>
      <c r="KJ102" s="157"/>
      <c r="KK102" s="161"/>
      <c r="KL102" s="153"/>
      <c r="KM102" s="154"/>
      <c r="KN102" s="154"/>
      <c r="KO102" s="154"/>
      <c r="KP102" s="154"/>
      <c r="KQ102" s="154"/>
      <c r="KR102" s="154"/>
      <c r="KS102" s="154"/>
      <c r="KT102" s="154"/>
      <c r="KU102" s="154"/>
      <c r="KV102" s="154"/>
      <c r="KW102" s="154"/>
      <c r="KX102" s="157"/>
      <c r="KY102" s="161"/>
      <c r="KZ102" s="153"/>
      <c r="LA102" s="154"/>
      <c r="LB102" s="154"/>
      <c r="LC102" s="154"/>
      <c r="LD102" s="154"/>
      <c r="LE102" s="154"/>
      <c r="LF102" s="154"/>
      <c r="LG102" s="154"/>
      <c r="LH102" s="154"/>
      <c r="LI102" s="154"/>
      <c r="LJ102" s="154"/>
      <c r="LK102" s="154"/>
      <c r="LL102" s="157"/>
      <c r="LM102" s="161"/>
      <c r="LN102" s="153"/>
      <c r="LO102" s="154"/>
      <c r="LP102" s="154"/>
      <c r="LQ102" s="154"/>
      <c r="LR102" s="154"/>
      <c r="LS102" s="154"/>
      <c r="LT102" s="154"/>
      <c r="LU102" s="154"/>
      <c r="LV102" s="154"/>
      <c r="LW102" s="154"/>
      <c r="LX102" s="154"/>
      <c r="LY102" s="154"/>
      <c r="LZ102" s="157"/>
      <c r="MA102" s="161"/>
      <c r="MB102" s="157"/>
      <c r="MC102" s="157"/>
      <c r="MD102" s="157"/>
      <c r="ME102" s="157"/>
      <c r="MF102" s="157"/>
      <c r="MG102" s="157"/>
      <c r="MH102" s="157"/>
      <c r="MI102" s="157"/>
      <c r="MJ102" s="157"/>
      <c r="MK102" s="157"/>
      <c r="ML102" s="157"/>
      <c r="MM102" s="157"/>
      <c r="MN102" s="157"/>
    </row>
    <row r="103" spans="1:352" x14ac:dyDescent="0.25">
      <c r="A103" s="98"/>
      <c r="B103" s="215" t="s">
        <v>220</v>
      </c>
      <c r="C103" s="98"/>
      <c r="D103" s="163">
        <v>28769.841269841269</v>
      </c>
      <c r="E103" s="177">
        <v>28769.841269841269</v>
      </c>
      <c r="F103" s="177">
        <v>28769.841269841269</v>
      </c>
      <c r="G103" s="177">
        <v>28769.841269841269</v>
      </c>
      <c r="H103" s="177">
        <v>28769.841269841269</v>
      </c>
      <c r="I103" s="177">
        <v>28769.841269841269</v>
      </c>
      <c r="J103" s="177">
        <v>28769.841269841269</v>
      </c>
      <c r="K103" s="177">
        <v>28769.841269841269</v>
      </c>
      <c r="L103" s="177">
        <v>28769.841269841269</v>
      </c>
      <c r="M103" s="177">
        <v>28769.841269841269</v>
      </c>
      <c r="N103" s="177">
        <v>28769.841269841269</v>
      </c>
      <c r="O103" s="177">
        <v>28769.841269841269</v>
      </c>
      <c r="P103" s="204">
        <f>+SUBTOTAL(9,D103:O103)</f>
        <v>345238.09523809515</v>
      </c>
      <c r="Q103" s="205"/>
      <c r="R103" s="163">
        <v>2976.1904761904761</v>
      </c>
      <c r="S103" s="177">
        <v>2976.1904761904761</v>
      </c>
      <c r="T103" s="177">
        <v>2976.1904761904761</v>
      </c>
      <c r="U103" s="177">
        <v>2976.1904761904761</v>
      </c>
      <c r="V103" s="177">
        <v>2976.1904761904761</v>
      </c>
      <c r="W103" s="177">
        <v>2976.1904761904761</v>
      </c>
      <c r="X103" s="177">
        <v>2976.1904761904761</v>
      </c>
      <c r="Y103" s="177">
        <v>2976.1904761904761</v>
      </c>
      <c r="Z103" s="177">
        <v>2976.1904761904761</v>
      </c>
      <c r="AA103" s="177">
        <v>2976.1904761904761</v>
      </c>
      <c r="AB103" s="177">
        <v>2976.1904761904761</v>
      </c>
      <c r="AC103" s="177">
        <v>2976.1904761904761</v>
      </c>
      <c r="AD103" s="204">
        <f>+SUBTOTAL(9,R103:AC103)</f>
        <v>35714.285714285717</v>
      </c>
      <c r="AE103" s="205"/>
      <c r="AF103" s="163">
        <v>2976.1904761904761</v>
      </c>
      <c r="AG103" s="177">
        <v>2976.1904761904761</v>
      </c>
      <c r="AH103" s="177">
        <v>2976.1904761904761</v>
      </c>
      <c r="AI103" s="177">
        <v>2976.1904761904761</v>
      </c>
      <c r="AJ103" s="177">
        <v>2976.1904761904761</v>
      </c>
      <c r="AK103" s="177">
        <v>2976.1904761904761</v>
      </c>
      <c r="AL103" s="177">
        <v>2976.1904761904761</v>
      </c>
      <c r="AM103" s="177">
        <v>2976.1904761904761</v>
      </c>
      <c r="AN103" s="177">
        <v>2976.1904761904761</v>
      </c>
      <c r="AO103" s="177">
        <v>2976.1904761904761</v>
      </c>
      <c r="AP103" s="177">
        <v>2976.1904761904761</v>
      </c>
      <c r="AQ103" s="177">
        <v>2976.1904761904761</v>
      </c>
      <c r="AR103" s="204">
        <f>+SUBTOTAL(9,AF103:AQ103)</f>
        <v>35714.285714285717</v>
      </c>
      <c r="AT103" s="163">
        <v>1984.1269841269841</v>
      </c>
      <c r="AU103" s="177">
        <v>1984.1269841269841</v>
      </c>
      <c r="AV103" s="177">
        <v>1984.1269841269841</v>
      </c>
      <c r="AW103" s="177">
        <v>1984.1269841269841</v>
      </c>
      <c r="AX103" s="177">
        <v>1984.1269841269841</v>
      </c>
      <c r="AY103" s="177">
        <v>1984.1269841269841</v>
      </c>
      <c r="AZ103" s="177">
        <v>1984.1269841269841</v>
      </c>
      <c r="BA103" s="177">
        <v>1984.1269841269841</v>
      </c>
      <c r="BB103" s="177">
        <v>1984.1269841269841</v>
      </c>
      <c r="BC103" s="177">
        <v>1984.1269841269841</v>
      </c>
      <c r="BD103" s="177">
        <v>1984.1269841269841</v>
      </c>
      <c r="BE103" s="177">
        <v>1984.1269841269841</v>
      </c>
      <c r="BF103" s="204">
        <f>+SUBTOTAL(9,AT103:BE103)</f>
        <v>23809.523809523802</v>
      </c>
      <c r="BH103" s="163">
        <v>14880.952380952382</v>
      </c>
      <c r="BI103" s="164">
        <v>14880.952380952382</v>
      </c>
      <c r="BJ103" s="154">
        <v>14880.952380952382</v>
      </c>
      <c r="BK103" s="154">
        <v>14880.952380952382</v>
      </c>
      <c r="BL103" s="154">
        <v>14880.952380952382</v>
      </c>
      <c r="BM103" s="154">
        <v>14880.952380952382</v>
      </c>
      <c r="BN103" s="154">
        <v>14880.952380952382</v>
      </c>
      <c r="BO103" s="154">
        <v>14880.952380952382</v>
      </c>
      <c r="BP103" s="154">
        <v>14880.952380952382</v>
      </c>
      <c r="BQ103" s="154">
        <v>14880.952380952382</v>
      </c>
      <c r="BR103" s="154">
        <v>14880.952380952382</v>
      </c>
      <c r="BS103" s="154">
        <v>14880.952380952382</v>
      </c>
      <c r="BT103" s="204">
        <f>+SUBTOTAL(9,BH103:BS103)</f>
        <v>178571.42857142852</v>
      </c>
      <c r="BV103" s="163">
        <v>992.06349206349205</v>
      </c>
      <c r="BW103" s="164">
        <v>992.06349206349205</v>
      </c>
      <c r="BX103" s="154">
        <v>992.06349206349205</v>
      </c>
      <c r="BY103" s="154">
        <v>992.06349206349205</v>
      </c>
      <c r="BZ103" s="154">
        <v>992.06349206349205</v>
      </c>
      <c r="CA103" s="154">
        <v>992.06349206349205</v>
      </c>
      <c r="CB103" s="154">
        <v>992.06349206349205</v>
      </c>
      <c r="CC103" s="154">
        <v>992.06349206349205</v>
      </c>
      <c r="CD103" s="154">
        <v>992.06349206349205</v>
      </c>
      <c r="CE103" s="154">
        <v>992.06349206349205</v>
      </c>
      <c r="CF103" s="154">
        <v>992.06349206349205</v>
      </c>
      <c r="CG103" s="154">
        <v>992.06349206349205</v>
      </c>
      <c r="CH103" s="204">
        <f>+SUBTOTAL(9,BV103:CG103)</f>
        <v>11904.761904761901</v>
      </c>
      <c r="CI103" s="205"/>
      <c r="CJ103" s="163">
        <v>10912.698412698413</v>
      </c>
      <c r="CK103" s="164">
        <v>10912.698412698413</v>
      </c>
      <c r="CL103" s="154">
        <v>10912.698412698413</v>
      </c>
      <c r="CM103" s="154">
        <v>10912.698412698413</v>
      </c>
      <c r="CN103" s="154">
        <v>10912.698412698413</v>
      </c>
      <c r="CO103" s="154">
        <v>10912.698412698413</v>
      </c>
      <c r="CP103" s="154">
        <v>10912.698412698413</v>
      </c>
      <c r="CQ103" s="154">
        <v>10912.698412698413</v>
      </c>
      <c r="CR103" s="154">
        <v>10912.698412698413</v>
      </c>
      <c r="CS103" s="154">
        <v>10912.698412698413</v>
      </c>
      <c r="CT103" s="154">
        <v>10912.698412698413</v>
      </c>
      <c r="CU103" s="154">
        <v>10912.698412698413</v>
      </c>
      <c r="CV103" s="204">
        <f>+SUBTOTAL(9,CJ103:CU103)</f>
        <v>130952.38095238099</v>
      </c>
      <c r="CW103" s="205"/>
      <c r="CX103" s="163">
        <v>27777.777777777777</v>
      </c>
      <c r="CY103" s="164">
        <v>27777.777777777777</v>
      </c>
      <c r="CZ103" s="154">
        <v>27777.777777777777</v>
      </c>
      <c r="DA103" s="154">
        <v>27777.777777777777</v>
      </c>
      <c r="DB103" s="154">
        <v>27777.777777777777</v>
      </c>
      <c r="DC103" s="154">
        <v>27777.777777777777</v>
      </c>
      <c r="DD103" s="154">
        <v>27777.777777777777</v>
      </c>
      <c r="DE103" s="154">
        <v>27777.777777777777</v>
      </c>
      <c r="DF103" s="154">
        <v>27777.777777777777</v>
      </c>
      <c r="DG103" s="154">
        <v>27777.777777777777</v>
      </c>
      <c r="DH103" s="154">
        <v>27777.777777777777</v>
      </c>
      <c r="DI103" s="154">
        <v>27777.777777777777</v>
      </c>
      <c r="DJ103" s="204">
        <f>+SUBTOTAL(9,CX103:DI103)</f>
        <v>333333.33333333326</v>
      </c>
      <c r="DK103" s="205"/>
      <c r="DL103" s="163">
        <v>27777.777777777777</v>
      </c>
      <c r="DM103" s="164">
        <v>27777.777777777777</v>
      </c>
      <c r="DN103" s="154">
        <v>27777.777777777777</v>
      </c>
      <c r="DO103" s="154">
        <v>27777.777777777777</v>
      </c>
      <c r="DP103" s="154">
        <v>27777.777777777777</v>
      </c>
      <c r="DQ103" s="154">
        <v>27777.777777777777</v>
      </c>
      <c r="DR103" s="154">
        <v>27777.777777777777</v>
      </c>
      <c r="DS103" s="154">
        <v>27777.777777777777</v>
      </c>
      <c r="DT103" s="154">
        <v>27777.777777777777</v>
      </c>
      <c r="DU103" s="154">
        <v>27777.777777777777</v>
      </c>
      <c r="DV103" s="154">
        <v>27777.777777777777</v>
      </c>
      <c r="DW103" s="154">
        <v>27777.777777777777</v>
      </c>
      <c r="DX103" s="204">
        <f>+SUBTOTAL(9,DL103:DW103)</f>
        <v>333333.33333333326</v>
      </c>
      <c r="DY103" s="205"/>
      <c r="DZ103" s="163">
        <v>992.06349206349205</v>
      </c>
      <c r="EA103" s="164">
        <v>992.06349206349205</v>
      </c>
      <c r="EB103" s="154">
        <v>992.06349206349205</v>
      </c>
      <c r="EC103" s="154">
        <v>992.06349206349205</v>
      </c>
      <c r="ED103" s="154">
        <v>992.06349206349205</v>
      </c>
      <c r="EE103" s="154">
        <v>992.06349206349205</v>
      </c>
      <c r="EF103" s="154">
        <v>992.06349206349205</v>
      </c>
      <c r="EG103" s="154">
        <v>992.06349206349205</v>
      </c>
      <c r="EH103" s="154">
        <v>992.06349206349205</v>
      </c>
      <c r="EI103" s="154">
        <v>992.06349206349205</v>
      </c>
      <c r="EJ103" s="154">
        <v>992.06349206349205</v>
      </c>
      <c r="EK103" s="154">
        <v>992.06349206349205</v>
      </c>
      <c r="EL103" s="204">
        <f>+SUBTOTAL(9,DZ103:EK103)</f>
        <v>11904.761904761901</v>
      </c>
      <c r="EM103" s="205"/>
      <c r="EN103" s="163">
        <v>1984.1269841269841</v>
      </c>
      <c r="EO103" s="164">
        <v>1984.1269841269841</v>
      </c>
      <c r="EP103" s="154">
        <v>1984.1269841269841</v>
      </c>
      <c r="EQ103" s="154">
        <v>1984.1269841269841</v>
      </c>
      <c r="ER103" s="154">
        <v>1984.1269841269841</v>
      </c>
      <c r="ES103" s="154">
        <v>1984.1269841269841</v>
      </c>
      <c r="ET103" s="154">
        <v>1984.1269841269841</v>
      </c>
      <c r="EU103" s="154">
        <v>1984.1269841269841</v>
      </c>
      <c r="EV103" s="154">
        <v>1984.1269841269841</v>
      </c>
      <c r="EW103" s="154">
        <v>1984.1269841269841</v>
      </c>
      <c r="EX103" s="154">
        <v>1984.1269841269841</v>
      </c>
      <c r="EY103" s="154">
        <v>1984.1269841269841</v>
      </c>
      <c r="EZ103" s="204">
        <f>+SUBTOTAL(9,EN103:EY103)</f>
        <v>23809.523809523802</v>
      </c>
      <c r="FA103" s="205"/>
      <c r="FB103" s="163">
        <v>992.06349206349205</v>
      </c>
      <c r="FC103" s="164">
        <v>992.06349206349205</v>
      </c>
      <c r="FD103" s="154">
        <v>992.06349206349205</v>
      </c>
      <c r="FE103" s="154">
        <v>992.06349206349205</v>
      </c>
      <c r="FF103" s="154">
        <v>992.06349206349205</v>
      </c>
      <c r="FG103" s="154">
        <v>992.06349206349205</v>
      </c>
      <c r="FH103" s="154">
        <v>992.06349206349205</v>
      </c>
      <c r="FI103" s="154">
        <v>992.06349206349205</v>
      </c>
      <c r="FJ103" s="154">
        <v>992.06349206349205</v>
      </c>
      <c r="FK103" s="154">
        <v>992.06349206349205</v>
      </c>
      <c r="FL103" s="154">
        <v>992.06349206349205</v>
      </c>
      <c r="FM103" s="154">
        <v>992.06349206349205</v>
      </c>
      <c r="FN103" s="204">
        <f>+SUBTOTAL(9,FB103:FM103)</f>
        <v>11904.761904761901</v>
      </c>
      <c r="FO103" s="205"/>
      <c r="FP103" s="163">
        <v>6944.4444444444443</v>
      </c>
      <c r="FQ103" s="164">
        <v>6944.4444444444443</v>
      </c>
      <c r="FR103" s="154">
        <v>6944.4444444444443</v>
      </c>
      <c r="FS103" s="154">
        <v>6944.4444444444443</v>
      </c>
      <c r="FT103" s="154">
        <v>6944.4444444444443</v>
      </c>
      <c r="FU103" s="154">
        <v>6944.4444444444443</v>
      </c>
      <c r="FV103" s="154">
        <v>6944.4444444444443</v>
      </c>
      <c r="FW103" s="154">
        <v>6944.4444444444443</v>
      </c>
      <c r="FX103" s="154">
        <v>6944.4444444444443</v>
      </c>
      <c r="FY103" s="154">
        <v>6944.4444444444443</v>
      </c>
      <c r="FZ103" s="154">
        <v>6944.4444444444443</v>
      </c>
      <c r="GA103" s="154">
        <v>6944.4444444444443</v>
      </c>
      <c r="GB103" s="204">
        <f>+SUBTOTAL(9,FP103:GA103)</f>
        <v>83333.333333333314</v>
      </c>
      <c r="GC103" s="205"/>
      <c r="GD103" s="163">
        <v>992.06349206349205</v>
      </c>
      <c r="GE103" s="164">
        <v>992.06349206349205</v>
      </c>
      <c r="GF103" s="154">
        <v>992.06349206349205</v>
      </c>
      <c r="GG103" s="154">
        <v>992.06349206349205</v>
      </c>
      <c r="GH103" s="154">
        <v>992.06349206349205</v>
      </c>
      <c r="GI103" s="154">
        <v>992.06349206349205</v>
      </c>
      <c r="GJ103" s="154">
        <v>992.06349206349205</v>
      </c>
      <c r="GK103" s="154">
        <v>992.06349206349205</v>
      </c>
      <c r="GL103" s="154">
        <v>992.06349206349205</v>
      </c>
      <c r="GM103" s="154">
        <v>992.06349206349205</v>
      </c>
      <c r="GN103" s="154">
        <v>992.06349206349205</v>
      </c>
      <c r="GO103" s="154">
        <v>992.06349206349205</v>
      </c>
      <c r="GP103" s="204">
        <f>+SUBTOTAL(9,GD103:GO103)</f>
        <v>11904.761904761901</v>
      </c>
      <c r="GQ103" s="205"/>
      <c r="GR103" s="163">
        <v>0</v>
      </c>
      <c r="GS103" s="164">
        <v>0</v>
      </c>
      <c r="GT103" s="154">
        <v>0</v>
      </c>
      <c r="GU103" s="154">
        <v>0</v>
      </c>
      <c r="GV103" s="154">
        <v>0</v>
      </c>
      <c r="GW103" s="154">
        <v>0</v>
      </c>
      <c r="GX103" s="154">
        <v>0</v>
      </c>
      <c r="GY103" s="154">
        <v>0</v>
      </c>
      <c r="GZ103" s="154">
        <v>0</v>
      </c>
      <c r="HA103" s="154">
        <v>0</v>
      </c>
      <c r="HB103" s="154">
        <v>0</v>
      </c>
      <c r="HC103" s="154">
        <v>0</v>
      </c>
      <c r="HD103" s="204">
        <f t="shared" si="293"/>
        <v>0</v>
      </c>
      <c r="HE103" s="205"/>
      <c r="HF103" s="163">
        <v>3968.2539682539682</v>
      </c>
      <c r="HG103" s="164">
        <v>3968.2539682539682</v>
      </c>
      <c r="HH103" s="154">
        <v>3968.2539682539682</v>
      </c>
      <c r="HI103" s="154">
        <v>3968.2539682539682</v>
      </c>
      <c r="HJ103" s="154">
        <v>3968.2539682539682</v>
      </c>
      <c r="HK103" s="154">
        <v>3968.2539682539682</v>
      </c>
      <c r="HL103" s="154">
        <v>3968.2539682539682</v>
      </c>
      <c r="HM103" s="154">
        <v>3968.2539682539682</v>
      </c>
      <c r="HN103" s="154">
        <v>3968.2539682539682</v>
      </c>
      <c r="HO103" s="154">
        <v>3968.2539682539682</v>
      </c>
      <c r="HP103" s="154">
        <v>3968.2539682539682</v>
      </c>
      <c r="HQ103" s="154">
        <v>3968.2539682539682</v>
      </c>
      <c r="HR103" s="204">
        <f>+SUBTOTAL(9,HF103:HQ103)</f>
        <v>47619.047619047604</v>
      </c>
      <c r="HS103" s="205"/>
      <c r="HT103" s="163">
        <v>992.06349206349205</v>
      </c>
      <c r="HU103" s="164">
        <v>992.06349206349205</v>
      </c>
      <c r="HV103" s="154">
        <v>992.06349206349205</v>
      </c>
      <c r="HW103" s="154">
        <v>992.06349206349205</v>
      </c>
      <c r="HX103" s="154">
        <v>992.06349206349205</v>
      </c>
      <c r="HY103" s="154">
        <v>992.06349206349205</v>
      </c>
      <c r="HZ103" s="154">
        <v>992.06349206349205</v>
      </c>
      <c r="IA103" s="154">
        <v>992.06349206349205</v>
      </c>
      <c r="IB103" s="154">
        <v>992.06349206349205</v>
      </c>
      <c r="IC103" s="154">
        <v>992.06349206349205</v>
      </c>
      <c r="ID103" s="154">
        <v>992.06349206349205</v>
      </c>
      <c r="IE103" s="154">
        <v>992.06349206349205</v>
      </c>
      <c r="IF103" s="204">
        <f>+SUBTOTAL(9,HT103:IE103)</f>
        <v>11904.761904761901</v>
      </c>
      <c r="IG103" s="205"/>
      <c r="IH103" s="163">
        <v>992.06349206349205</v>
      </c>
      <c r="II103" s="164">
        <v>992.06349206349205</v>
      </c>
      <c r="IJ103" s="154">
        <v>992.06349206349205</v>
      </c>
      <c r="IK103" s="154">
        <v>992.06349206349205</v>
      </c>
      <c r="IL103" s="154">
        <v>992.06349206349205</v>
      </c>
      <c r="IM103" s="154">
        <v>992.06349206349205</v>
      </c>
      <c r="IN103" s="154">
        <v>992.06349206349205</v>
      </c>
      <c r="IO103" s="154">
        <v>992.06349206349205</v>
      </c>
      <c r="IP103" s="154">
        <v>992.06349206349205</v>
      </c>
      <c r="IQ103" s="154">
        <v>992.06349206349205</v>
      </c>
      <c r="IR103" s="154">
        <v>992.06349206349205</v>
      </c>
      <c r="IS103" s="154">
        <v>992.06349206349205</v>
      </c>
      <c r="IT103" s="204">
        <f>+SUBTOTAL(9,IH103:IS103)</f>
        <v>11904.761904761901</v>
      </c>
      <c r="IU103" s="205"/>
      <c r="IV103" s="163">
        <v>6944.4444444444443</v>
      </c>
      <c r="IW103" s="164">
        <v>6944.4444444444443</v>
      </c>
      <c r="IX103" s="154">
        <v>6944.4444444444443</v>
      </c>
      <c r="IY103" s="154">
        <v>6944.4444444444443</v>
      </c>
      <c r="IZ103" s="154">
        <v>6944.4444444444443</v>
      </c>
      <c r="JA103" s="154">
        <v>6944.4444444444443</v>
      </c>
      <c r="JB103" s="154">
        <v>6944.4444444444443</v>
      </c>
      <c r="JC103" s="154">
        <v>6944.4444444444443</v>
      </c>
      <c r="JD103" s="154">
        <v>6944.4444444444443</v>
      </c>
      <c r="JE103" s="154">
        <v>6944.4444444444443</v>
      </c>
      <c r="JF103" s="154">
        <v>6944.4444444444443</v>
      </c>
      <c r="JG103" s="154">
        <v>6944.4444444444443</v>
      </c>
      <c r="JH103" s="204">
        <f>+SUBTOTAL(9,IV103:JG103)</f>
        <v>83333.333333333314</v>
      </c>
      <c r="JI103" s="205"/>
      <c r="JJ103" s="163">
        <v>10912.698412698413</v>
      </c>
      <c r="JK103" s="164">
        <v>10912.698412698413</v>
      </c>
      <c r="JL103" s="154">
        <v>10912.698412698413</v>
      </c>
      <c r="JM103" s="154">
        <v>10912.698412698413</v>
      </c>
      <c r="JN103" s="154">
        <v>10912.698412698413</v>
      </c>
      <c r="JO103" s="154">
        <v>10912.698412698413</v>
      </c>
      <c r="JP103" s="154">
        <v>10912.698412698413</v>
      </c>
      <c r="JQ103" s="154">
        <v>10912.698412698413</v>
      </c>
      <c r="JR103" s="154">
        <v>10912.698412698413</v>
      </c>
      <c r="JS103" s="154">
        <v>10912.698412698413</v>
      </c>
      <c r="JT103" s="154">
        <v>10912.698412698413</v>
      </c>
      <c r="JU103" s="154">
        <v>10912.698412698413</v>
      </c>
      <c r="JV103" s="204">
        <f>+SUBTOTAL(9,JJ103:JU103)</f>
        <v>130952.38095238099</v>
      </c>
      <c r="JW103" s="205"/>
      <c r="JX103" s="163">
        <v>4960.3174603174602</v>
      </c>
      <c r="JY103" s="164">
        <v>4960.3174603174602</v>
      </c>
      <c r="JZ103" s="154">
        <v>4960.3174603174602</v>
      </c>
      <c r="KA103" s="154">
        <v>4960.3174603174602</v>
      </c>
      <c r="KB103" s="154">
        <v>4960.3174603174602</v>
      </c>
      <c r="KC103" s="154">
        <v>4960.3174603174602</v>
      </c>
      <c r="KD103" s="154">
        <v>4960.3174603174602</v>
      </c>
      <c r="KE103" s="154">
        <v>4960.3174603174602</v>
      </c>
      <c r="KF103" s="154">
        <v>4960.3174603174602</v>
      </c>
      <c r="KG103" s="154">
        <v>4960.3174603174602</v>
      </c>
      <c r="KH103" s="154">
        <v>4960.3174603174602</v>
      </c>
      <c r="KI103" s="154">
        <v>4960.3174603174602</v>
      </c>
      <c r="KJ103" s="204">
        <f>+SUBTOTAL(9,JX103:KI103)</f>
        <v>59523.809523809534</v>
      </c>
      <c r="KK103" s="205"/>
      <c r="KL103" s="163">
        <v>1984.1269841269841</v>
      </c>
      <c r="KM103" s="164">
        <v>1984.1269841269841</v>
      </c>
      <c r="KN103" s="154">
        <v>1984.1269841269841</v>
      </c>
      <c r="KO103" s="154">
        <v>1984.1269841269841</v>
      </c>
      <c r="KP103" s="154">
        <v>1984.1269841269841</v>
      </c>
      <c r="KQ103" s="154">
        <v>1984.1269841269841</v>
      </c>
      <c r="KR103" s="154">
        <v>1984.1269841269841</v>
      </c>
      <c r="KS103" s="154">
        <v>1984.1269841269841</v>
      </c>
      <c r="KT103" s="154">
        <v>1984.1269841269841</v>
      </c>
      <c r="KU103" s="154">
        <v>1984.1269841269841</v>
      </c>
      <c r="KV103" s="154">
        <v>1984.1269841269841</v>
      </c>
      <c r="KW103" s="154">
        <v>1984.1269841269841</v>
      </c>
      <c r="KX103" s="204">
        <f>+SUBTOTAL(9,KL103:KW103)</f>
        <v>23809.523809523802</v>
      </c>
      <c r="KY103" s="205"/>
      <c r="KZ103" s="163">
        <v>992.06349206349205</v>
      </c>
      <c r="LA103" s="164">
        <v>992.06349206349205</v>
      </c>
      <c r="LB103" s="154">
        <v>992.06349206349205</v>
      </c>
      <c r="LC103" s="154">
        <v>992.06349206349205</v>
      </c>
      <c r="LD103" s="154">
        <v>992.06349206349205</v>
      </c>
      <c r="LE103" s="154">
        <v>992.06349206349205</v>
      </c>
      <c r="LF103" s="154">
        <v>992.06349206349205</v>
      </c>
      <c r="LG103" s="154">
        <v>992.06349206349205</v>
      </c>
      <c r="LH103" s="154">
        <v>992.06349206349205</v>
      </c>
      <c r="LI103" s="154">
        <v>992.06349206349205</v>
      </c>
      <c r="LJ103" s="154">
        <v>992.06349206349205</v>
      </c>
      <c r="LK103" s="154">
        <v>992.06349206349205</v>
      </c>
      <c r="LL103" s="204">
        <f>+SUBTOTAL(9,KZ103:LK103)</f>
        <v>11904.761904761901</v>
      </c>
      <c r="LM103" s="205"/>
      <c r="LN103" s="163">
        <v>0</v>
      </c>
      <c r="LO103" s="164">
        <v>0</v>
      </c>
      <c r="LP103" s="154">
        <v>0</v>
      </c>
      <c r="LQ103" s="154">
        <v>0</v>
      </c>
      <c r="LR103" s="154">
        <v>0</v>
      </c>
      <c r="LS103" s="154">
        <v>0</v>
      </c>
      <c r="LT103" s="154">
        <v>0</v>
      </c>
      <c r="LU103" s="154">
        <v>0</v>
      </c>
      <c r="LV103" s="154">
        <v>0</v>
      </c>
      <c r="LW103" s="154">
        <v>0</v>
      </c>
      <c r="LX103" s="154">
        <v>0</v>
      </c>
      <c r="LY103" s="154">
        <v>0</v>
      </c>
      <c r="LZ103" s="204">
        <f>+SUBTOTAL(9,LN103:LY103)</f>
        <v>0</v>
      </c>
      <c r="MA103" s="205"/>
      <c r="MB103" s="157">
        <f t="shared" ref="MB103:MM103" si="372">SUMIF($D$6:$LY$6,MB$3,$D103:$LY103)</f>
        <v>162698.41269841266</v>
      </c>
      <c r="MC103" s="157">
        <f t="shared" si="372"/>
        <v>162698.41269841266</v>
      </c>
      <c r="MD103" s="157">
        <f t="shared" si="372"/>
        <v>162698.41269841266</v>
      </c>
      <c r="ME103" s="157">
        <f t="shared" si="372"/>
        <v>162698.41269841266</v>
      </c>
      <c r="MF103" s="157">
        <f t="shared" si="372"/>
        <v>162698.41269841266</v>
      </c>
      <c r="MG103" s="157">
        <f t="shared" si="372"/>
        <v>162698.41269841266</v>
      </c>
      <c r="MH103" s="157">
        <f t="shared" si="372"/>
        <v>162698.41269841266</v>
      </c>
      <c r="MI103" s="157">
        <f t="shared" si="372"/>
        <v>162698.41269841266</v>
      </c>
      <c r="MJ103" s="157">
        <f t="shared" si="372"/>
        <v>162698.41269841266</v>
      </c>
      <c r="MK103" s="157">
        <f t="shared" si="372"/>
        <v>162698.41269841266</v>
      </c>
      <c r="ML103" s="157">
        <f t="shared" si="372"/>
        <v>162698.41269841266</v>
      </c>
      <c r="MM103" s="157">
        <f t="shared" si="372"/>
        <v>162698.41269841266</v>
      </c>
      <c r="MN103" s="157">
        <f t="shared" ref="MN103" si="373">SUM(MB103:MM103)</f>
        <v>1952380.9523809524</v>
      </c>
    </row>
    <row r="104" spans="1:352" x14ac:dyDescent="0.25">
      <c r="A104" s="98"/>
      <c r="B104" s="181"/>
      <c r="C104" s="98"/>
      <c r="D104" s="153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7"/>
      <c r="Q104" s="161"/>
      <c r="R104" s="153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7"/>
      <c r="AE104" s="161"/>
      <c r="AF104" s="153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7"/>
      <c r="AT104" s="153"/>
      <c r="AU104" s="154"/>
      <c r="AV104" s="154"/>
      <c r="AW104" s="154"/>
      <c r="AX104" s="154"/>
      <c r="AY104" s="154"/>
      <c r="AZ104" s="154"/>
      <c r="BA104" s="154"/>
      <c r="BB104" s="154"/>
      <c r="BC104" s="154"/>
      <c r="BD104" s="154"/>
      <c r="BE104" s="154"/>
      <c r="BF104" s="157"/>
      <c r="BH104" s="153"/>
      <c r="BI104" s="154"/>
      <c r="BJ104" s="154"/>
      <c r="BK104" s="154"/>
      <c r="BL104" s="154"/>
      <c r="BM104" s="154"/>
      <c r="BN104" s="154"/>
      <c r="BO104" s="154"/>
      <c r="BP104" s="154"/>
      <c r="BQ104" s="154"/>
      <c r="BR104" s="154"/>
      <c r="BS104" s="154"/>
      <c r="BT104" s="157"/>
      <c r="BV104" s="153"/>
      <c r="BW104" s="154"/>
      <c r="BX104" s="154"/>
      <c r="BY104" s="154"/>
      <c r="BZ104" s="154"/>
      <c r="CA104" s="154"/>
      <c r="CB104" s="154"/>
      <c r="CC104" s="154"/>
      <c r="CD104" s="154"/>
      <c r="CE104" s="154"/>
      <c r="CF104" s="154"/>
      <c r="CG104" s="154"/>
      <c r="CH104" s="157"/>
      <c r="CI104" s="161"/>
      <c r="CJ104" s="153"/>
      <c r="CK104" s="154"/>
      <c r="CL104" s="154"/>
      <c r="CM104" s="154"/>
      <c r="CN104" s="154"/>
      <c r="CO104" s="154"/>
      <c r="CP104" s="154"/>
      <c r="CQ104" s="154"/>
      <c r="CR104" s="154"/>
      <c r="CS104" s="154"/>
      <c r="CT104" s="154"/>
      <c r="CU104" s="154"/>
      <c r="CV104" s="157"/>
      <c r="CW104" s="161"/>
      <c r="CX104" s="153"/>
      <c r="CY104" s="154"/>
      <c r="CZ104" s="154"/>
      <c r="DA104" s="154"/>
      <c r="DB104" s="154"/>
      <c r="DC104" s="154"/>
      <c r="DD104" s="154"/>
      <c r="DE104" s="154"/>
      <c r="DF104" s="154"/>
      <c r="DG104" s="154"/>
      <c r="DH104" s="154"/>
      <c r="DI104" s="154"/>
      <c r="DJ104" s="157"/>
      <c r="DK104" s="161"/>
      <c r="DL104" s="153"/>
      <c r="DM104" s="154"/>
      <c r="DN104" s="154"/>
      <c r="DO104" s="154"/>
      <c r="DP104" s="154"/>
      <c r="DQ104" s="154"/>
      <c r="DR104" s="154"/>
      <c r="DS104" s="154"/>
      <c r="DT104" s="154"/>
      <c r="DU104" s="154"/>
      <c r="DV104" s="154"/>
      <c r="DW104" s="154"/>
      <c r="DX104" s="157"/>
      <c r="DY104" s="161"/>
      <c r="DZ104" s="153"/>
      <c r="EA104" s="154"/>
      <c r="EB104" s="154"/>
      <c r="EC104" s="154"/>
      <c r="ED104" s="154"/>
      <c r="EE104" s="154"/>
      <c r="EF104" s="154"/>
      <c r="EG104" s="154"/>
      <c r="EH104" s="154"/>
      <c r="EI104" s="154"/>
      <c r="EJ104" s="154"/>
      <c r="EK104" s="154"/>
      <c r="EL104" s="157"/>
      <c r="EM104" s="161"/>
      <c r="EN104" s="153"/>
      <c r="EO104" s="154"/>
      <c r="EP104" s="154"/>
      <c r="EQ104" s="154"/>
      <c r="ER104" s="154"/>
      <c r="ES104" s="154"/>
      <c r="ET104" s="154"/>
      <c r="EU104" s="154"/>
      <c r="EV104" s="154"/>
      <c r="EW104" s="154"/>
      <c r="EX104" s="154"/>
      <c r="EY104" s="154"/>
      <c r="EZ104" s="157"/>
      <c r="FA104" s="161"/>
      <c r="FB104" s="153"/>
      <c r="FC104" s="154"/>
      <c r="FD104" s="154"/>
      <c r="FE104" s="154"/>
      <c r="FF104" s="154"/>
      <c r="FG104" s="154"/>
      <c r="FH104" s="154"/>
      <c r="FI104" s="154"/>
      <c r="FJ104" s="154"/>
      <c r="FK104" s="154"/>
      <c r="FL104" s="154"/>
      <c r="FM104" s="154"/>
      <c r="FN104" s="157"/>
      <c r="FO104" s="161"/>
      <c r="FP104" s="153"/>
      <c r="FQ104" s="154"/>
      <c r="FR104" s="154"/>
      <c r="FS104" s="154"/>
      <c r="FT104" s="154"/>
      <c r="FU104" s="154"/>
      <c r="FV104" s="154"/>
      <c r="FW104" s="154"/>
      <c r="FX104" s="154"/>
      <c r="FY104" s="154"/>
      <c r="FZ104" s="154"/>
      <c r="GA104" s="154"/>
      <c r="GB104" s="157"/>
      <c r="GC104" s="161"/>
      <c r="GD104" s="153"/>
      <c r="GE104" s="154"/>
      <c r="GF104" s="154"/>
      <c r="GG104" s="154"/>
      <c r="GH104" s="154"/>
      <c r="GI104" s="154"/>
      <c r="GJ104" s="154"/>
      <c r="GK104" s="154"/>
      <c r="GL104" s="154"/>
      <c r="GM104" s="154"/>
      <c r="GN104" s="154"/>
      <c r="GO104" s="154"/>
      <c r="GP104" s="157"/>
      <c r="GQ104" s="161"/>
      <c r="GR104" s="153"/>
      <c r="GS104" s="154"/>
      <c r="GT104" s="154"/>
      <c r="GU104" s="154"/>
      <c r="GV104" s="154"/>
      <c r="GW104" s="154"/>
      <c r="GX104" s="154"/>
      <c r="GY104" s="154"/>
      <c r="GZ104" s="154"/>
      <c r="HA104" s="154"/>
      <c r="HB104" s="154"/>
      <c r="HC104" s="154"/>
      <c r="HD104" s="157">
        <f t="shared" si="293"/>
        <v>0</v>
      </c>
      <c r="HE104" s="161"/>
      <c r="HF104" s="153"/>
      <c r="HG104" s="154"/>
      <c r="HH104" s="154"/>
      <c r="HI104" s="154"/>
      <c r="HJ104" s="154"/>
      <c r="HK104" s="154"/>
      <c r="HL104" s="154"/>
      <c r="HM104" s="154"/>
      <c r="HN104" s="154"/>
      <c r="HO104" s="154"/>
      <c r="HP104" s="154"/>
      <c r="HQ104" s="154"/>
      <c r="HR104" s="157"/>
      <c r="HS104" s="161"/>
      <c r="HT104" s="153"/>
      <c r="HU104" s="154"/>
      <c r="HV104" s="154"/>
      <c r="HW104" s="154"/>
      <c r="HX104" s="154"/>
      <c r="HY104" s="154"/>
      <c r="HZ104" s="154"/>
      <c r="IA104" s="154"/>
      <c r="IB104" s="154"/>
      <c r="IC104" s="154"/>
      <c r="ID104" s="154"/>
      <c r="IE104" s="154"/>
      <c r="IF104" s="157"/>
      <c r="IG104" s="161"/>
      <c r="IH104" s="153"/>
      <c r="II104" s="154"/>
      <c r="IJ104" s="154"/>
      <c r="IK104" s="154"/>
      <c r="IL104" s="154"/>
      <c r="IM104" s="154"/>
      <c r="IN104" s="154"/>
      <c r="IO104" s="154"/>
      <c r="IP104" s="154"/>
      <c r="IQ104" s="154"/>
      <c r="IR104" s="154"/>
      <c r="IS104" s="154"/>
      <c r="IT104" s="157"/>
      <c r="IU104" s="161"/>
      <c r="IV104" s="153"/>
      <c r="IW104" s="154"/>
      <c r="IX104" s="154"/>
      <c r="IY104" s="154"/>
      <c r="IZ104" s="154"/>
      <c r="JA104" s="154"/>
      <c r="JB104" s="154"/>
      <c r="JC104" s="154"/>
      <c r="JD104" s="154"/>
      <c r="JE104" s="154"/>
      <c r="JF104" s="154"/>
      <c r="JG104" s="154"/>
      <c r="JH104" s="157"/>
      <c r="JI104" s="161"/>
      <c r="JJ104" s="153"/>
      <c r="JK104" s="154"/>
      <c r="JL104" s="154"/>
      <c r="JM104" s="154"/>
      <c r="JN104" s="154"/>
      <c r="JO104" s="154"/>
      <c r="JP104" s="154"/>
      <c r="JQ104" s="154"/>
      <c r="JR104" s="154"/>
      <c r="JS104" s="154"/>
      <c r="JT104" s="154"/>
      <c r="JU104" s="154"/>
      <c r="JV104" s="157"/>
      <c r="JW104" s="161"/>
      <c r="JX104" s="153"/>
      <c r="JY104" s="154"/>
      <c r="JZ104" s="154"/>
      <c r="KA104" s="154"/>
      <c r="KB104" s="154"/>
      <c r="KC104" s="154"/>
      <c r="KD104" s="154"/>
      <c r="KE104" s="154"/>
      <c r="KF104" s="154"/>
      <c r="KG104" s="154"/>
      <c r="KH104" s="154"/>
      <c r="KI104" s="154"/>
      <c r="KJ104" s="157"/>
      <c r="KK104" s="161"/>
      <c r="KL104" s="153"/>
      <c r="KM104" s="154"/>
      <c r="KN104" s="154"/>
      <c r="KO104" s="154"/>
      <c r="KP104" s="154"/>
      <c r="KQ104" s="154"/>
      <c r="KR104" s="154"/>
      <c r="KS104" s="154"/>
      <c r="KT104" s="154"/>
      <c r="KU104" s="154"/>
      <c r="KV104" s="154"/>
      <c r="KW104" s="154"/>
      <c r="KX104" s="157"/>
      <c r="KY104" s="161"/>
      <c r="KZ104" s="153"/>
      <c r="LA104" s="154"/>
      <c r="LB104" s="154"/>
      <c r="LC104" s="154"/>
      <c r="LD104" s="154"/>
      <c r="LE104" s="154"/>
      <c r="LF104" s="154"/>
      <c r="LG104" s="154"/>
      <c r="LH104" s="154"/>
      <c r="LI104" s="154"/>
      <c r="LJ104" s="154"/>
      <c r="LK104" s="154"/>
      <c r="LL104" s="157"/>
      <c r="LM104" s="161"/>
      <c r="LN104" s="153"/>
      <c r="LO104" s="154"/>
      <c r="LP104" s="154"/>
      <c r="LQ104" s="154"/>
      <c r="LR104" s="154"/>
      <c r="LS104" s="154"/>
      <c r="LT104" s="154"/>
      <c r="LU104" s="154"/>
      <c r="LV104" s="154"/>
      <c r="LW104" s="154"/>
      <c r="LX104" s="154"/>
      <c r="LY104" s="154"/>
      <c r="LZ104" s="157"/>
      <c r="MA104" s="161"/>
      <c r="MB104" s="157"/>
      <c r="MC104" s="157"/>
      <c r="MD104" s="157"/>
      <c r="ME104" s="157"/>
      <c r="MF104" s="157"/>
      <c r="MG104" s="157"/>
      <c r="MH104" s="157"/>
      <c r="MI104" s="157"/>
      <c r="MJ104" s="157"/>
      <c r="MK104" s="157"/>
      <c r="ML104" s="157"/>
      <c r="MM104" s="157"/>
      <c r="MN104" s="157"/>
    </row>
    <row r="105" spans="1:352" x14ac:dyDescent="0.3">
      <c r="A105" s="98"/>
      <c r="B105" s="214" t="s">
        <v>98</v>
      </c>
      <c r="C105" s="98"/>
      <c r="D105" s="153"/>
      <c r="E105" s="185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204"/>
      <c r="Q105" s="205"/>
      <c r="R105" s="153"/>
      <c r="S105" s="185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204"/>
      <c r="AE105" s="205"/>
      <c r="AF105" s="153"/>
      <c r="AG105" s="185"/>
      <c r="AH105" s="177"/>
      <c r="AI105" s="177"/>
      <c r="AJ105" s="177"/>
      <c r="AK105" s="177"/>
      <c r="AL105" s="177"/>
      <c r="AM105" s="177"/>
      <c r="AN105" s="177"/>
      <c r="AO105" s="177"/>
      <c r="AP105" s="177"/>
      <c r="AQ105" s="177"/>
      <c r="AR105" s="204"/>
      <c r="AT105" s="153"/>
      <c r="AU105" s="185"/>
      <c r="AV105" s="177"/>
      <c r="AW105" s="177"/>
      <c r="AX105" s="177"/>
      <c r="AY105" s="177"/>
      <c r="AZ105" s="177"/>
      <c r="BA105" s="177"/>
      <c r="BB105" s="177"/>
      <c r="BC105" s="177"/>
      <c r="BD105" s="177"/>
      <c r="BE105" s="177"/>
      <c r="BF105" s="204"/>
      <c r="BH105" s="153"/>
      <c r="BI105" s="185"/>
      <c r="BJ105" s="177"/>
      <c r="BK105" s="177"/>
      <c r="BL105" s="177"/>
      <c r="BM105" s="177"/>
      <c r="BN105" s="177"/>
      <c r="BO105" s="177"/>
      <c r="BP105" s="177"/>
      <c r="BQ105" s="177"/>
      <c r="BR105" s="177"/>
      <c r="BS105" s="177"/>
      <c r="BT105" s="204"/>
      <c r="BV105" s="153"/>
      <c r="BW105" s="185"/>
      <c r="BX105" s="177"/>
      <c r="BY105" s="177"/>
      <c r="BZ105" s="177"/>
      <c r="CA105" s="177"/>
      <c r="CB105" s="177"/>
      <c r="CC105" s="177"/>
      <c r="CD105" s="177"/>
      <c r="CE105" s="177"/>
      <c r="CF105" s="177"/>
      <c r="CG105" s="177"/>
      <c r="CH105" s="204"/>
      <c r="CI105" s="205"/>
      <c r="CJ105" s="153"/>
      <c r="CK105" s="185"/>
      <c r="CL105" s="177"/>
      <c r="CM105" s="177"/>
      <c r="CN105" s="177"/>
      <c r="CO105" s="177"/>
      <c r="CP105" s="177"/>
      <c r="CQ105" s="177"/>
      <c r="CR105" s="177"/>
      <c r="CS105" s="177"/>
      <c r="CT105" s="177"/>
      <c r="CU105" s="177"/>
      <c r="CV105" s="204"/>
      <c r="CW105" s="205"/>
      <c r="CX105" s="153"/>
      <c r="CY105" s="185"/>
      <c r="CZ105" s="177"/>
      <c r="DA105" s="177"/>
      <c r="DB105" s="177"/>
      <c r="DC105" s="177"/>
      <c r="DD105" s="177"/>
      <c r="DE105" s="177"/>
      <c r="DF105" s="177"/>
      <c r="DG105" s="177"/>
      <c r="DH105" s="177"/>
      <c r="DI105" s="177"/>
      <c r="DJ105" s="204"/>
      <c r="DK105" s="205"/>
      <c r="DL105" s="153"/>
      <c r="DM105" s="185"/>
      <c r="DN105" s="177"/>
      <c r="DO105" s="177"/>
      <c r="DP105" s="177"/>
      <c r="DQ105" s="177"/>
      <c r="DR105" s="177"/>
      <c r="DS105" s="177"/>
      <c r="DT105" s="177"/>
      <c r="DU105" s="177"/>
      <c r="DV105" s="177"/>
      <c r="DW105" s="177"/>
      <c r="DX105" s="204"/>
      <c r="DY105" s="205"/>
      <c r="DZ105" s="153"/>
      <c r="EA105" s="185"/>
      <c r="EB105" s="177"/>
      <c r="EC105" s="177"/>
      <c r="ED105" s="177"/>
      <c r="EE105" s="177"/>
      <c r="EF105" s="177"/>
      <c r="EG105" s="177"/>
      <c r="EH105" s="177"/>
      <c r="EI105" s="177"/>
      <c r="EJ105" s="177"/>
      <c r="EK105" s="177"/>
      <c r="EL105" s="204"/>
      <c r="EM105" s="205"/>
      <c r="EN105" s="153"/>
      <c r="EO105" s="185"/>
      <c r="EP105" s="177"/>
      <c r="EQ105" s="177"/>
      <c r="ER105" s="177"/>
      <c r="ES105" s="177"/>
      <c r="ET105" s="177"/>
      <c r="EU105" s="177"/>
      <c r="EV105" s="177"/>
      <c r="EW105" s="177"/>
      <c r="EX105" s="177"/>
      <c r="EY105" s="177"/>
      <c r="EZ105" s="204"/>
      <c r="FA105" s="205"/>
      <c r="FB105" s="153"/>
      <c r="FC105" s="185"/>
      <c r="FD105" s="177"/>
      <c r="FE105" s="177"/>
      <c r="FF105" s="177"/>
      <c r="FG105" s="177"/>
      <c r="FH105" s="177"/>
      <c r="FI105" s="177"/>
      <c r="FJ105" s="177"/>
      <c r="FK105" s="177"/>
      <c r="FL105" s="177"/>
      <c r="FM105" s="177"/>
      <c r="FN105" s="204"/>
      <c r="FO105" s="205"/>
      <c r="FP105" s="153"/>
      <c r="FQ105" s="185"/>
      <c r="FR105" s="177"/>
      <c r="FS105" s="177"/>
      <c r="FT105" s="177"/>
      <c r="FU105" s="177"/>
      <c r="FV105" s="177"/>
      <c r="FW105" s="177"/>
      <c r="FX105" s="177"/>
      <c r="FY105" s="177"/>
      <c r="FZ105" s="177"/>
      <c r="GA105" s="177"/>
      <c r="GB105" s="204"/>
      <c r="GC105" s="205"/>
      <c r="GD105" s="153"/>
      <c r="GE105" s="185"/>
      <c r="GF105" s="177"/>
      <c r="GG105" s="177"/>
      <c r="GH105" s="177"/>
      <c r="GI105" s="177"/>
      <c r="GJ105" s="177"/>
      <c r="GK105" s="177"/>
      <c r="GL105" s="177"/>
      <c r="GM105" s="177"/>
      <c r="GN105" s="177"/>
      <c r="GO105" s="177"/>
      <c r="GP105" s="204"/>
      <c r="GQ105" s="205"/>
      <c r="GR105" s="153"/>
      <c r="GS105" s="185"/>
      <c r="GT105" s="177"/>
      <c r="GU105" s="177"/>
      <c r="GV105" s="177"/>
      <c r="GW105" s="177"/>
      <c r="GX105" s="177"/>
      <c r="GY105" s="177"/>
      <c r="GZ105" s="177"/>
      <c r="HA105" s="177"/>
      <c r="HB105" s="177"/>
      <c r="HC105" s="177"/>
      <c r="HD105" s="204">
        <f t="shared" si="293"/>
        <v>0</v>
      </c>
      <c r="HE105" s="205"/>
      <c r="HF105" s="153"/>
      <c r="HG105" s="185"/>
      <c r="HH105" s="177"/>
      <c r="HI105" s="177"/>
      <c r="HJ105" s="177"/>
      <c r="HK105" s="177"/>
      <c r="HL105" s="177"/>
      <c r="HM105" s="177"/>
      <c r="HN105" s="177"/>
      <c r="HO105" s="177"/>
      <c r="HP105" s="177"/>
      <c r="HQ105" s="177"/>
      <c r="HR105" s="204"/>
      <c r="HS105" s="205"/>
      <c r="HT105" s="153"/>
      <c r="HU105" s="185"/>
      <c r="HV105" s="177"/>
      <c r="HW105" s="177"/>
      <c r="HX105" s="177"/>
      <c r="HY105" s="177"/>
      <c r="HZ105" s="177"/>
      <c r="IA105" s="177"/>
      <c r="IB105" s="177"/>
      <c r="IC105" s="177"/>
      <c r="ID105" s="177"/>
      <c r="IE105" s="177"/>
      <c r="IF105" s="204"/>
      <c r="IG105" s="205"/>
      <c r="IH105" s="153"/>
      <c r="II105" s="185"/>
      <c r="IJ105" s="177"/>
      <c r="IK105" s="177"/>
      <c r="IL105" s="177"/>
      <c r="IM105" s="177"/>
      <c r="IN105" s="177"/>
      <c r="IO105" s="177"/>
      <c r="IP105" s="177"/>
      <c r="IQ105" s="177"/>
      <c r="IR105" s="177"/>
      <c r="IS105" s="177"/>
      <c r="IT105" s="204"/>
      <c r="IU105" s="205"/>
      <c r="IV105" s="153"/>
      <c r="IW105" s="185"/>
      <c r="IX105" s="177"/>
      <c r="IY105" s="177"/>
      <c r="IZ105" s="177"/>
      <c r="JA105" s="177"/>
      <c r="JB105" s="177"/>
      <c r="JC105" s="177"/>
      <c r="JD105" s="177"/>
      <c r="JE105" s="177"/>
      <c r="JF105" s="177"/>
      <c r="JG105" s="177"/>
      <c r="JH105" s="204"/>
      <c r="JI105" s="205"/>
      <c r="JJ105" s="153"/>
      <c r="JK105" s="185"/>
      <c r="JL105" s="177"/>
      <c r="JM105" s="177"/>
      <c r="JN105" s="177"/>
      <c r="JO105" s="177"/>
      <c r="JP105" s="177"/>
      <c r="JQ105" s="177"/>
      <c r="JR105" s="177"/>
      <c r="JS105" s="177"/>
      <c r="JT105" s="177"/>
      <c r="JU105" s="177"/>
      <c r="JV105" s="204"/>
      <c r="JW105" s="205"/>
      <c r="JX105" s="153"/>
      <c r="JY105" s="185"/>
      <c r="JZ105" s="177"/>
      <c r="KA105" s="177"/>
      <c r="KB105" s="177"/>
      <c r="KC105" s="177"/>
      <c r="KD105" s="177"/>
      <c r="KE105" s="177"/>
      <c r="KF105" s="177"/>
      <c r="KG105" s="177"/>
      <c r="KH105" s="177"/>
      <c r="KI105" s="177"/>
      <c r="KJ105" s="204"/>
      <c r="KK105" s="205"/>
      <c r="KL105" s="153"/>
      <c r="KM105" s="185"/>
      <c r="KN105" s="177"/>
      <c r="KO105" s="177"/>
      <c r="KP105" s="177"/>
      <c r="KQ105" s="177"/>
      <c r="KR105" s="177"/>
      <c r="KS105" s="177"/>
      <c r="KT105" s="177"/>
      <c r="KU105" s="177"/>
      <c r="KV105" s="177"/>
      <c r="KW105" s="177"/>
      <c r="KX105" s="204"/>
      <c r="KY105" s="205"/>
      <c r="KZ105" s="153"/>
      <c r="LA105" s="185"/>
      <c r="LB105" s="177"/>
      <c r="LC105" s="177"/>
      <c r="LD105" s="177"/>
      <c r="LE105" s="177"/>
      <c r="LF105" s="177"/>
      <c r="LG105" s="177"/>
      <c r="LH105" s="177"/>
      <c r="LI105" s="177"/>
      <c r="LJ105" s="177"/>
      <c r="LK105" s="177"/>
      <c r="LL105" s="204"/>
      <c r="LM105" s="205"/>
      <c r="LN105" s="153"/>
      <c r="LO105" s="185"/>
      <c r="LP105" s="177"/>
      <c r="LQ105" s="177"/>
      <c r="LR105" s="177"/>
      <c r="LS105" s="177"/>
      <c r="LT105" s="177"/>
      <c r="LU105" s="177"/>
      <c r="LV105" s="177"/>
      <c r="LW105" s="177"/>
      <c r="LX105" s="177"/>
      <c r="LY105" s="177"/>
      <c r="LZ105" s="204"/>
      <c r="MA105" s="205"/>
      <c r="MB105" s="204"/>
      <c r="MC105" s="204"/>
      <c r="MD105" s="204"/>
      <c r="ME105" s="204"/>
      <c r="MF105" s="204"/>
      <c r="MG105" s="204"/>
      <c r="MH105" s="204"/>
      <c r="MI105" s="204"/>
      <c r="MJ105" s="204"/>
      <c r="MK105" s="204"/>
      <c r="ML105" s="204"/>
      <c r="MM105" s="204"/>
      <c r="MN105" s="204"/>
    </row>
    <row r="106" spans="1:352" x14ac:dyDescent="0.25">
      <c r="A106" s="98"/>
      <c r="B106" s="64" t="s">
        <v>99</v>
      </c>
      <c r="C106" s="98"/>
      <c r="D106" s="163">
        <v>0</v>
      </c>
      <c r="E106" s="177">
        <v>0</v>
      </c>
      <c r="F106" s="177">
        <v>0</v>
      </c>
      <c r="G106" s="177">
        <v>0</v>
      </c>
      <c r="H106" s="177">
        <v>0</v>
      </c>
      <c r="I106" s="177">
        <v>0</v>
      </c>
      <c r="J106" s="177">
        <v>0</v>
      </c>
      <c r="K106" s="177">
        <v>0</v>
      </c>
      <c r="L106" s="177">
        <v>0</v>
      </c>
      <c r="M106" s="177">
        <v>0</v>
      </c>
      <c r="N106" s="177">
        <v>0</v>
      </c>
      <c r="O106" s="177">
        <v>0</v>
      </c>
      <c r="P106" s="204">
        <f>+SUBTOTAL(9,D106:O106)</f>
        <v>0</v>
      </c>
      <c r="Q106" s="205"/>
      <c r="R106" s="163">
        <v>0</v>
      </c>
      <c r="S106" s="177">
        <v>0</v>
      </c>
      <c r="T106" s="177">
        <v>0</v>
      </c>
      <c r="U106" s="177">
        <v>0</v>
      </c>
      <c r="V106" s="177">
        <v>0</v>
      </c>
      <c r="W106" s="177">
        <v>0</v>
      </c>
      <c r="X106" s="177">
        <v>0</v>
      </c>
      <c r="Y106" s="177">
        <v>0</v>
      </c>
      <c r="Z106" s="177">
        <v>0</v>
      </c>
      <c r="AA106" s="177">
        <v>0</v>
      </c>
      <c r="AB106" s="177">
        <v>0</v>
      </c>
      <c r="AC106" s="177">
        <v>0</v>
      </c>
      <c r="AD106" s="204">
        <f>+SUBTOTAL(9,R106:AC106)</f>
        <v>0</v>
      </c>
      <c r="AE106" s="205"/>
      <c r="AF106" s="163">
        <v>0</v>
      </c>
      <c r="AG106" s="177">
        <v>0</v>
      </c>
      <c r="AH106" s="177">
        <v>0</v>
      </c>
      <c r="AI106" s="177">
        <v>0</v>
      </c>
      <c r="AJ106" s="177">
        <v>0</v>
      </c>
      <c r="AK106" s="177">
        <v>0</v>
      </c>
      <c r="AL106" s="177">
        <v>0</v>
      </c>
      <c r="AM106" s="177">
        <v>0</v>
      </c>
      <c r="AN106" s="177">
        <v>0</v>
      </c>
      <c r="AO106" s="177">
        <v>0</v>
      </c>
      <c r="AP106" s="177">
        <v>0</v>
      </c>
      <c r="AQ106" s="177">
        <v>0</v>
      </c>
      <c r="AR106" s="204">
        <f>+SUBTOTAL(9,AF106:AQ106)</f>
        <v>0</v>
      </c>
      <c r="AT106" s="163">
        <v>0</v>
      </c>
      <c r="AU106" s="177">
        <v>0</v>
      </c>
      <c r="AV106" s="177">
        <v>0</v>
      </c>
      <c r="AW106" s="177">
        <v>0</v>
      </c>
      <c r="AX106" s="177">
        <v>0</v>
      </c>
      <c r="AY106" s="177">
        <v>0</v>
      </c>
      <c r="AZ106" s="177">
        <v>0</v>
      </c>
      <c r="BA106" s="177">
        <v>0</v>
      </c>
      <c r="BB106" s="177">
        <v>0</v>
      </c>
      <c r="BC106" s="177">
        <v>0</v>
      </c>
      <c r="BD106" s="177">
        <v>0</v>
      </c>
      <c r="BE106" s="177">
        <v>0</v>
      </c>
      <c r="BF106" s="204">
        <f>+SUBTOTAL(9,AT106:BE106)</f>
        <v>0</v>
      </c>
      <c r="BH106" s="163">
        <v>0</v>
      </c>
      <c r="BI106" s="164">
        <v>0</v>
      </c>
      <c r="BJ106" s="154">
        <v>0</v>
      </c>
      <c r="BK106" s="154">
        <v>0</v>
      </c>
      <c r="BL106" s="154">
        <v>0</v>
      </c>
      <c r="BM106" s="154">
        <v>0</v>
      </c>
      <c r="BN106" s="154">
        <v>0</v>
      </c>
      <c r="BO106" s="154">
        <v>0</v>
      </c>
      <c r="BP106" s="154">
        <v>0</v>
      </c>
      <c r="BQ106" s="154">
        <v>0</v>
      </c>
      <c r="BR106" s="154">
        <v>0</v>
      </c>
      <c r="BS106" s="154">
        <v>0</v>
      </c>
      <c r="BT106" s="204">
        <f>+SUBTOTAL(9,BH106:BS106)</f>
        <v>0</v>
      </c>
      <c r="BV106" s="163">
        <v>0</v>
      </c>
      <c r="BW106" s="164">
        <v>0</v>
      </c>
      <c r="BX106" s="154">
        <v>0</v>
      </c>
      <c r="BY106" s="154">
        <v>0</v>
      </c>
      <c r="BZ106" s="154">
        <v>0</v>
      </c>
      <c r="CA106" s="154">
        <v>0</v>
      </c>
      <c r="CB106" s="154">
        <v>0</v>
      </c>
      <c r="CC106" s="154">
        <v>0</v>
      </c>
      <c r="CD106" s="154">
        <v>0</v>
      </c>
      <c r="CE106" s="154">
        <v>0</v>
      </c>
      <c r="CF106" s="154">
        <v>0</v>
      </c>
      <c r="CG106" s="154">
        <v>0</v>
      </c>
      <c r="CH106" s="204">
        <f>+SUBTOTAL(9,BV106:CG106)</f>
        <v>0</v>
      </c>
      <c r="CI106" s="205"/>
      <c r="CJ106" s="163">
        <v>0</v>
      </c>
      <c r="CK106" s="164">
        <v>0</v>
      </c>
      <c r="CL106" s="154">
        <v>0</v>
      </c>
      <c r="CM106" s="154">
        <v>0</v>
      </c>
      <c r="CN106" s="154">
        <v>0</v>
      </c>
      <c r="CO106" s="154">
        <v>0</v>
      </c>
      <c r="CP106" s="154">
        <v>0</v>
      </c>
      <c r="CQ106" s="154">
        <v>0</v>
      </c>
      <c r="CR106" s="154">
        <v>0</v>
      </c>
      <c r="CS106" s="154">
        <v>0</v>
      </c>
      <c r="CT106" s="154">
        <v>0</v>
      </c>
      <c r="CU106" s="154">
        <v>0</v>
      </c>
      <c r="CV106" s="204">
        <f>+SUBTOTAL(9,CJ106:CU106)</f>
        <v>0</v>
      </c>
      <c r="CW106" s="205"/>
      <c r="CX106" s="163">
        <v>0</v>
      </c>
      <c r="CY106" s="164">
        <v>0</v>
      </c>
      <c r="CZ106" s="154">
        <v>0</v>
      </c>
      <c r="DA106" s="154">
        <v>0</v>
      </c>
      <c r="DB106" s="154">
        <v>0</v>
      </c>
      <c r="DC106" s="154">
        <v>0</v>
      </c>
      <c r="DD106" s="154">
        <v>0</v>
      </c>
      <c r="DE106" s="154">
        <v>0</v>
      </c>
      <c r="DF106" s="154">
        <v>0</v>
      </c>
      <c r="DG106" s="154">
        <v>0</v>
      </c>
      <c r="DH106" s="154">
        <v>0</v>
      </c>
      <c r="DI106" s="154">
        <v>0</v>
      </c>
      <c r="DJ106" s="204">
        <f>+SUBTOTAL(9,CX106:DI106)</f>
        <v>0</v>
      </c>
      <c r="DK106" s="205"/>
      <c r="DL106" s="163">
        <v>0</v>
      </c>
      <c r="DM106" s="164">
        <v>0</v>
      </c>
      <c r="DN106" s="154">
        <v>0</v>
      </c>
      <c r="DO106" s="154">
        <v>0</v>
      </c>
      <c r="DP106" s="154">
        <v>0</v>
      </c>
      <c r="DQ106" s="154">
        <v>0</v>
      </c>
      <c r="DR106" s="154">
        <v>0</v>
      </c>
      <c r="DS106" s="154">
        <v>0</v>
      </c>
      <c r="DT106" s="154">
        <v>0</v>
      </c>
      <c r="DU106" s="154">
        <v>0</v>
      </c>
      <c r="DV106" s="154">
        <v>0</v>
      </c>
      <c r="DW106" s="154">
        <v>0</v>
      </c>
      <c r="DX106" s="204">
        <f>+SUBTOTAL(9,DL106:DW106)</f>
        <v>0</v>
      </c>
      <c r="DY106" s="205"/>
      <c r="DZ106" s="163">
        <v>0</v>
      </c>
      <c r="EA106" s="164">
        <v>0</v>
      </c>
      <c r="EB106" s="154">
        <v>0</v>
      </c>
      <c r="EC106" s="154">
        <v>0</v>
      </c>
      <c r="ED106" s="154">
        <v>0</v>
      </c>
      <c r="EE106" s="154">
        <v>0</v>
      </c>
      <c r="EF106" s="154">
        <v>0</v>
      </c>
      <c r="EG106" s="154">
        <v>0</v>
      </c>
      <c r="EH106" s="154">
        <v>0</v>
      </c>
      <c r="EI106" s="154">
        <v>0</v>
      </c>
      <c r="EJ106" s="154">
        <v>0</v>
      </c>
      <c r="EK106" s="154">
        <v>0</v>
      </c>
      <c r="EL106" s="204">
        <f>+SUBTOTAL(9,DZ106:EK106)</f>
        <v>0</v>
      </c>
      <c r="EM106" s="205"/>
      <c r="EN106" s="163">
        <v>0</v>
      </c>
      <c r="EO106" s="164">
        <v>0</v>
      </c>
      <c r="EP106" s="154">
        <v>0</v>
      </c>
      <c r="EQ106" s="154">
        <v>0</v>
      </c>
      <c r="ER106" s="154">
        <v>0</v>
      </c>
      <c r="ES106" s="154">
        <v>0</v>
      </c>
      <c r="ET106" s="154">
        <v>0</v>
      </c>
      <c r="EU106" s="154">
        <v>0</v>
      </c>
      <c r="EV106" s="154">
        <v>0</v>
      </c>
      <c r="EW106" s="154">
        <v>0</v>
      </c>
      <c r="EX106" s="154">
        <v>0</v>
      </c>
      <c r="EY106" s="154">
        <v>0</v>
      </c>
      <c r="EZ106" s="204">
        <f>+SUBTOTAL(9,EN106:EY106)</f>
        <v>0</v>
      </c>
      <c r="FA106" s="205"/>
      <c r="FB106" s="163">
        <v>0</v>
      </c>
      <c r="FC106" s="164">
        <v>0</v>
      </c>
      <c r="FD106" s="154">
        <v>0</v>
      </c>
      <c r="FE106" s="154">
        <v>0</v>
      </c>
      <c r="FF106" s="154">
        <v>0</v>
      </c>
      <c r="FG106" s="154">
        <v>0</v>
      </c>
      <c r="FH106" s="154">
        <v>0</v>
      </c>
      <c r="FI106" s="154">
        <v>0</v>
      </c>
      <c r="FJ106" s="154">
        <v>0</v>
      </c>
      <c r="FK106" s="154">
        <v>0</v>
      </c>
      <c r="FL106" s="154">
        <v>0</v>
      </c>
      <c r="FM106" s="154">
        <v>0</v>
      </c>
      <c r="FN106" s="204">
        <f>+SUBTOTAL(9,FB106:FM106)</f>
        <v>0</v>
      </c>
      <c r="FO106" s="205"/>
      <c r="FP106" s="163">
        <v>0</v>
      </c>
      <c r="FQ106" s="164">
        <v>0</v>
      </c>
      <c r="FR106" s="154">
        <v>0</v>
      </c>
      <c r="FS106" s="154">
        <v>0</v>
      </c>
      <c r="FT106" s="154">
        <v>0</v>
      </c>
      <c r="FU106" s="154">
        <v>0</v>
      </c>
      <c r="FV106" s="154">
        <v>0</v>
      </c>
      <c r="FW106" s="154">
        <v>0</v>
      </c>
      <c r="FX106" s="154">
        <v>0</v>
      </c>
      <c r="FY106" s="154">
        <v>0</v>
      </c>
      <c r="FZ106" s="154">
        <v>0</v>
      </c>
      <c r="GA106" s="154">
        <v>0</v>
      </c>
      <c r="GB106" s="204">
        <f>+SUBTOTAL(9,FP106:GA106)</f>
        <v>0</v>
      </c>
      <c r="GC106" s="205"/>
      <c r="GD106" s="163">
        <v>0</v>
      </c>
      <c r="GE106" s="164">
        <v>0</v>
      </c>
      <c r="GF106" s="154">
        <v>0</v>
      </c>
      <c r="GG106" s="154">
        <v>0</v>
      </c>
      <c r="GH106" s="154">
        <v>0</v>
      </c>
      <c r="GI106" s="154">
        <v>0</v>
      </c>
      <c r="GJ106" s="154">
        <v>0</v>
      </c>
      <c r="GK106" s="154">
        <v>0</v>
      </c>
      <c r="GL106" s="154">
        <v>0</v>
      </c>
      <c r="GM106" s="154">
        <v>0</v>
      </c>
      <c r="GN106" s="154">
        <v>0</v>
      </c>
      <c r="GO106" s="154">
        <v>0</v>
      </c>
      <c r="GP106" s="204">
        <f>+SUBTOTAL(9,GD106:GO106)</f>
        <v>0</v>
      </c>
      <c r="GQ106" s="205"/>
      <c r="GR106" s="163">
        <v>0</v>
      </c>
      <c r="GS106" s="164">
        <v>0</v>
      </c>
      <c r="GT106" s="154">
        <v>0</v>
      </c>
      <c r="GU106" s="154">
        <v>0</v>
      </c>
      <c r="GV106" s="154">
        <v>0</v>
      </c>
      <c r="GW106" s="154">
        <v>0</v>
      </c>
      <c r="GX106" s="154">
        <v>0</v>
      </c>
      <c r="GY106" s="154">
        <v>0</v>
      </c>
      <c r="GZ106" s="154">
        <v>0</v>
      </c>
      <c r="HA106" s="154">
        <v>0</v>
      </c>
      <c r="HB106" s="154">
        <v>0</v>
      </c>
      <c r="HC106" s="154">
        <v>0</v>
      </c>
      <c r="HD106" s="204">
        <f t="shared" si="293"/>
        <v>0</v>
      </c>
      <c r="HE106" s="205"/>
      <c r="HF106" s="163">
        <v>0</v>
      </c>
      <c r="HG106" s="164">
        <v>0</v>
      </c>
      <c r="HH106" s="154">
        <v>0</v>
      </c>
      <c r="HI106" s="154">
        <v>0</v>
      </c>
      <c r="HJ106" s="154">
        <v>0</v>
      </c>
      <c r="HK106" s="154">
        <v>0</v>
      </c>
      <c r="HL106" s="154">
        <v>0</v>
      </c>
      <c r="HM106" s="154">
        <v>0</v>
      </c>
      <c r="HN106" s="154">
        <v>0</v>
      </c>
      <c r="HO106" s="154">
        <v>0</v>
      </c>
      <c r="HP106" s="154">
        <v>0</v>
      </c>
      <c r="HQ106" s="154">
        <v>0</v>
      </c>
      <c r="HR106" s="204">
        <f>+SUBTOTAL(9,HF106:HQ106)</f>
        <v>0</v>
      </c>
      <c r="HS106" s="205"/>
      <c r="HT106" s="163">
        <v>0</v>
      </c>
      <c r="HU106" s="164">
        <v>0</v>
      </c>
      <c r="HV106" s="154">
        <v>0</v>
      </c>
      <c r="HW106" s="154">
        <v>0</v>
      </c>
      <c r="HX106" s="154">
        <v>0</v>
      </c>
      <c r="HY106" s="154">
        <v>0</v>
      </c>
      <c r="HZ106" s="154">
        <v>0</v>
      </c>
      <c r="IA106" s="154">
        <v>0</v>
      </c>
      <c r="IB106" s="154">
        <v>0</v>
      </c>
      <c r="IC106" s="154">
        <v>0</v>
      </c>
      <c r="ID106" s="154">
        <v>0</v>
      </c>
      <c r="IE106" s="154">
        <v>0</v>
      </c>
      <c r="IF106" s="204">
        <f>+SUBTOTAL(9,HT106:IE106)</f>
        <v>0</v>
      </c>
      <c r="IG106" s="205"/>
      <c r="IH106" s="163">
        <v>0</v>
      </c>
      <c r="II106" s="164">
        <v>0</v>
      </c>
      <c r="IJ106" s="154">
        <v>0</v>
      </c>
      <c r="IK106" s="154">
        <v>0</v>
      </c>
      <c r="IL106" s="154">
        <v>0</v>
      </c>
      <c r="IM106" s="154">
        <v>0</v>
      </c>
      <c r="IN106" s="154">
        <v>0</v>
      </c>
      <c r="IO106" s="154">
        <v>0</v>
      </c>
      <c r="IP106" s="154">
        <v>0</v>
      </c>
      <c r="IQ106" s="154">
        <v>0</v>
      </c>
      <c r="IR106" s="154">
        <v>0</v>
      </c>
      <c r="IS106" s="154">
        <v>0</v>
      </c>
      <c r="IT106" s="204">
        <f>+SUBTOTAL(9,IH106:IS106)</f>
        <v>0</v>
      </c>
      <c r="IU106" s="205"/>
      <c r="IV106" s="163">
        <v>0</v>
      </c>
      <c r="IW106" s="164">
        <v>0</v>
      </c>
      <c r="IX106" s="154">
        <v>0</v>
      </c>
      <c r="IY106" s="154">
        <v>0</v>
      </c>
      <c r="IZ106" s="154">
        <v>0</v>
      </c>
      <c r="JA106" s="154">
        <v>0</v>
      </c>
      <c r="JB106" s="154">
        <v>0</v>
      </c>
      <c r="JC106" s="154">
        <v>0</v>
      </c>
      <c r="JD106" s="154">
        <v>0</v>
      </c>
      <c r="JE106" s="154">
        <v>0</v>
      </c>
      <c r="JF106" s="154">
        <v>0</v>
      </c>
      <c r="JG106" s="154">
        <v>0</v>
      </c>
      <c r="JH106" s="204">
        <f>+SUBTOTAL(9,IV106:JG106)</f>
        <v>0</v>
      </c>
      <c r="JI106" s="205"/>
      <c r="JJ106" s="163">
        <v>0</v>
      </c>
      <c r="JK106" s="164">
        <v>0</v>
      </c>
      <c r="JL106" s="154">
        <v>0</v>
      </c>
      <c r="JM106" s="154">
        <v>0</v>
      </c>
      <c r="JN106" s="154">
        <v>0</v>
      </c>
      <c r="JO106" s="154">
        <v>0</v>
      </c>
      <c r="JP106" s="154">
        <v>0</v>
      </c>
      <c r="JQ106" s="154">
        <v>0</v>
      </c>
      <c r="JR106" s="154">
        <v>0</v>
      </c>
      <c r="JS106" s="154">
        <v>0</v>
      </c>
      <c r="JT106" s="154">
        <v>0</v>
      </c>
      <c r="JU106" s="154">
        <v>0</v>
      </c>
      <c r="JV106" s="204">
        <f>+SUBTOTAL(9,JJ106:JU106)</f>
        <v>0</v>
      </c>
      <c r="JW106" s="205"/>
      <c r="JX106" s="163">
        <v>0</v>
      </c>
      <c r="JY106" s="164">
        <v>0</v>
      </c>
      <c r="JZ106" s="154">
        <v>0</v>
      </c>
      <c r="KA106" s="154">
        <v>0</v>
      </c>
      <c r="KB106" s="154">
        <v>0</v>
      </c>
      <c r="KC106" s="154">
        <v>0</v>
      </c>
      <c r="KD106" s="154">
        <v>0</v>
      </c>
      <c r="KE106" s="154">
        <v>0</v>
      </c>
      <c r="KF106" s="154">
        <v>0</v>
      </c>
      <c r="KG106" s="154">
        <v>0</v>
      </c>
      <c r="KH106" s="154">
        <v>0</v>
      </c>
      <c r="KI106" s="154">
        <v>0</v>
      </c>
      <c r="KJ106" s="204">
        <f>+SUBTOTAL(9,JX106:KI106)</f>
        <v>0</v>
      </c>
      <c r="KK106" s="205"/>
      <c r="KL106" s="163">
        <v>0</v>
      </c>
      <c r="KM106" s="164">
        <v>0</v>
      </c>
      <c r="KN106" s="154">
        <v>0</v>
      </c>
      <c r="KO106" s="154">
        <v>0</v>
      </c>
      <c r="KP106" s="154">
        <v>0</v>
      </c>
      <c r="KQ106" s="154">
        <v>0</v>
      </c>
      <c r="KR106" s="154">
        <v>0</v>
      </c>
      <c r="KS106" s="154">
        <v>0</v>
      </c>
      <c r="KT106" s="154">
        <v>0</v>
      </c>
      <c r="KU106" s="154">
        <v>0</v>
      </c>
      <c r="KV106" s="154">
        <v>0</v>
      </c>
      <c r="KW106" s="154">
        <v>0</v>
      </c>
      <c r="KX106" s="204">
        <f>+SUBTOTAL(9,KL106:KW106)</f>
        <v>0</v>
      </c>
      <c r="KY106" s="205"/>
      <c r="KZ106" s="163">
        <v>0</v>
      </c>
      <c r="LA106" s="164">
        <v>0</v>
      </c>
      <c r="LB106" s="154">
        <v>0</v>
      </c>
      <c r="LC106" s="154">
        <v>0</v>
      </c>
      <c r="LD106" s="154">
        <v>0</v>
      </c>
      <c r="LE106" s="154">
        <v>0</v>
      </c>
      <c r="LF106" s="154">
        <v>0</v>
      </c>
      <c r="LG106" s="154">
        <v>0</v>
      </c>
      <c r="LH106" s="154">
        <v>0</v>
      </c>
      <c r="LI106" s="154">
        <v>0</v>
      </c>
      <c r="LJ106" s="154">
        <v>0</v>
      </c>
      <c r="LK106" s="154">
        <v>0</v>
      </c>
      <c r="LL106" s="204">
        <f>+SUBTOTAL(9,KZ106:LK106)</f>
        <v>0</v>
      </c>
      <c r="LM106" s="205"/>
      <c r="LN106" s="163">
        <v>0</v>
      </c>
      <c r="LO106" s="164">
        <v>0</v>
      </c>
      <c r="LP106" s="154">
        <v>0</v>
      </c>
      <c r="LQ106" s="154">
        <v>0</v>
      </c>
      <c r="LR106" s="154">
        <v>0</v>
      </c>
      <c r="LS106" s="154">
        <v>0</v>
      </c>
      <c r="LT106" s="154">
        <v>0</v>
      </c>
      <c r="LU106" s="154">
        <v>0</v>
      </c>
      <c r="LV106" s="154">
        <v>0</v>
      </c>
      <c r="LW106" s="154">
        <v>0</v>
      </c>
      <c r="LX106" s="154">
        <v>0</v>
      </c>
      <c r="LY106" s="154">
        <v>0</v>
      </c>
      <c r="LZ106" s="204">
        <f>+SUBTOTAL(9,LN106:LY106)</f>
        <v>0</v>
      </c>
      <c r="MA106" s="205"/>
      <c r="MB106" s="157">
        <f t="shared" ref="MB106:MM110" si="374">SUMIF($D$6:$LY$6,MB$3,$D106:$LY106)</f>
        <v>0</v>
      </c>
      <c r="MC106" s="157">
        <f t="shared" si="374"/>
        <v>0</v>
      </c>
      <c r="MD106" s="157">
        <f t="shared" si="374"/>
        <v>0</v>
      </c>
      <c r="ME106" s="157">
        <f t="shared" si="374"/>
        <v>0</v>
      </c>
      <c r="MF106" s="157">
        <f t="shared" si="374"/>
        <v>0</v>
      </c>
      <c r="MG106" s="157">
        <f t="shared" si="374"/>
        <v>0</v>
      </c>
      <c r="MH106" s="157">
        <f t="shared" si="374"/>
        <v>0</v>
      </c>
      <c r="MI106" s="157">
        <f t="shared" si="374"/>
        <v>0</v>
      </c>
      <c r="MJ106" s="157">
        <f t="shared" si="374"/>
        <v>0</v>
      </c>
      <c r="MK106" s="157">
        <f t="shared" si="374"/>
        <v>0</v>
      </c>
      <c r="ML106" s="157">
        <f t="shared" si="374"/>
        <v>0</v>
      </c>
      <c r="MM106" s="157">
        <f t="shared" si="374"/>
        <v>0</v>
      </c>
      <c r="MN106" s="157">
        <f t="shared" ref="MN106:MN110" si="375">SUM(MB106:MM106)</f>
        <v>0</v>
      </c>
    </row>
    <row r="107" spans="1:352" x14ac:dyDescent="0.25">
      <c r="A107" s="98"/>
      <c r="B107" s="64" t="s">
        <v>100</v>
      </c>
      <c r="C107" s="98"/>
      <c r="D107" s="163">
        <v>0</v>
      </c>
      <c r="E107" s="177">
        <v>0</v>
      </c>
      <c r="F107" s="177">
        <v>0</v>
      </c>
      <c r="G107" s="177">
        <v>0</v>
      </c>
      <c r="H107" s="177">
        <v>0</v>
      </c>
      <c r="I107" s="177">
        <v>0</v>
      </c>
      <c r="J107" s="177">
        <v>0</v>
      </c>
      <c r="K107" s="177">
        <v>0</v>
      </c>
      <c r="L107" s="177">
        <v>0</v>
      </c>
      <c r="M107" s="177">
        <v>0</v>
      </c>
      <c r="N107" s="177">
        <v>0</v>
      </c>
      <c r="O107" s="177">
        <v>0</v>
      </c>
      <c r="P107" s="204">
        <f>+SUBTOTAL(9,D107:O107)</f>
        <v>0</v>
      </c>
      <c r="Q107" s="205"/>
      <c r="R107" s="163">
        <v>0</v>
      </c>
      <c r="S107" s="177">
        <v>0</v>
      </c>
      <c r="T107" s="177">
        <v>0</v>
      </c>
      <c r="U107" s="177">
        <v>0</v>
      </c>
      <c r="V107" s="177">
        <v>0</v>
      </c>
      <c r="W107" s="177">
        <v>0</v>
      </c>
      <c r="X107" s="177">
        <v>0</v>
      </c>
      <c r="Y107" s="177">
        <v>0</v>
      </c>
      <c r="Z107" s="177">
        <v>0</v>
      </c>
      <c r="AA107" s="177">
        <v>0</v>
      </c>
      <c r="AB107" s="177">
        <v>0</v>
      </c>
      <c r="AC107" s="177">
        <v>0</v>
      </c>
      <c r="AD107" s="204">
        <f>+SUBTOTAL(9,R107:AC107)</f>
        <v>0</v>
      </c>
      <c r="AE107" s="205"/>
      <c r="AF107" s="163">
        <v>0</v>
      </c>
      <c r="AG107" s="177">
        <v>0</v>
      </c>
      <c r="AH107" s="177">
        <v>0</v>
      </c>
      <c r="AI107" s="177">
        <v>0</v>
      </c>
      <c r="AJ107" s="177">
        <v>0</v>
      </c>
      <c r="AK107" s="177">
        <v>0</v>
      </c>
      <c r="AL107" s="177">
        <v>0</v>
      </c>
      <c r="AM107" s="177">
        <v>0</v>
      </c>
      <c r="AN107" s="177">
        <v>0</v>
      </c>
      <c r="AO107" s="177">
        <v>0</v>
      </c>
      <c r="AP107" s="177">
        <v>0</v>
      </c>
      <c r="AQ107" s="177">
        <v>0</v>
      </c>
      <c r="AR107" s="204">
        <f>+SUBTOTAL(9,AF107:AQ107)</f>
        <v>0</v>
      </c>
      <c r="AT107" s="163">
        <v>0</v>
      </c>
      <c r="AU107" s="177">
        <v>0</v>
      </c>
      <c r="AV107" s="177">
        <v>0</v>
      </c>
      <c r="AW107" s="177">
        <v>0</v>
      </c>
      <c r="AX107" s="177">
        <v>0</v>
      </c>
      <c r="AY107" s="177">
        <v>0</v>
      </c>
      <c r="AZ107" s="177">
        <v>0</v>
      </c>
      <c r="BA107" s="177">
        <v>0</v>
      </c>
      <c r="BB107" s="177">
        <v>0</v>
      </c>
      <c r="BC107" s="177">
        <v>0</v>
      </c>
      <c r="BD107" s="177">
        <v>0</v>
      </c>
      <c r="BE107" s="177">
        <v>0</v>
      </c>
      <c r="BF107" s="204">
        <f>+SUBTOTAL(9,AT107:BE107)</f>
        <v>0</v>
      </c>
      <c r="BH107" s="163">
        <v>0</v>
      </c>
      <c r="BI107" s="164">
        <v>0</v>
      </c>
      <c r="BJ107" s="154">
        <v>0</v>
      </c>
      <c r="BK107" s="154">
        <v>0</v>
      </c>
      <c r="BL107" s="154">
        <v>0</v>
      </c>
      <c r="BM107" s="154">
        <v>0</v>
      </c>
      <c r="BN107" s="154">
        <v>0</v>
      </c>
      <c r="BO107" s="154">
        <v>0</v>
      </c>
      <c r="BP107" s="154">
        <v>0</v>
      </c>
      <c r="BQ107" s="154">
        <v>0</v>
      </c>
      <c r="BR107" s="154">
        <v>0</v>
      </c>
      <c r="BS107" s="154">
        <v>0</v>
      </c>
      <c r="BT107" s="204">
        <f>+SUBTOTAL(9,BH107:BS107)</f>
        <v>0</v>
      </c>
      <c r="BV107" s="163">
        <v>0</v>
      </c>
      <c r="BW107" s="164">
        <v>0</v>
      </c>
      <c r="BX107" s="154">
        <v>0</v>
      </c>
      <c r="BY107" s="154">
        <v>0</v>
      </c>
      <c r="BZ107" s="154">
        <v>0</v>
      </c>
      <c r="CA107" s="154">
        <v>0</v>
      </c>
      <c r="CB107" s="154">
        <v>0</v>
      </c>
      <c r="CC107" s="154">
        <v>0</v>
      </c>
      <c r="CD107" s="154">
        <v>0</v>
      </c>
      <c r="CE107" s="154">
        <v>0</v>
      </c>
      <c r="CF107" s="154">
        <v>0</v>
      </c>
      <c r="CG107" s="154">
        <v>0</v>
      </c>
      <c r="CH107" s="204">
        <f>+SUBTOTAL(9,BV107:CG107)</f>
        <v>0</v>
      </c>
      <c r="CI107" s="205"/>
      <c r="CJ107" s="163">
        <v>0</v>
      </c>
      <c r="CK107" s="164">
        <v>0</v>
      </c>
      <c r="CL107" s="154">
        <v>0</v>
      </c>
      <c r="CM107" s="154">
        <v>0</v>
      </c>
      <c r="CN107" s="154">
        <v>0</v>
      </c>
      <c r="CO107" s="154">
        <v>0</v>
      </c>
      <c r="CP107" s="154">
        <v>0</v>
      </c>
      <c r="CQ107" s="154">
        <v>0</v>
      </c>
      <c r="CR107" s="154">
        <v>0</v>
      </c>
      <c r="CS107" s="154">
        <v>0</v>
      </c>
      <c r="CT107" s="154">
        <v>0</v>
      </c>
      <c r="CU107" s="154">
        <v>0</v>
      </c>
      <c r="CV107" s="204">
        <f>+SUBTOTAL(9,CJ107:CU107)</f>
        <v>0</v>
      </c>
      <c r="CW107" s="205"/>
      <c r="CX107" s="163">
        <v>0</v>
      </c>
      <c r="CY107" s="164">
        <v>0</v>
      </c>
      <c r="CZ107" s="154">
        <v>0</v>
      </c>
      <c r="DA107" s="154">
        <v>0</v>
      </c>
      <c r="DB107" s="154">
        <v>0</v>
      </c>
      <c r="DC107" s="154">
        <v>0</v>
      </c>
      <c r="DD107" s="154">
        <v>0</v>
      </c>
      <c r="DE107" s="154">
        <v>0</v>
      </c>
      <c r="DF107" s="154">
        <v>0</v>
      </c>
      <c r="DG107" s="154">
        <v>0</v>
      </c>
      <c r="DH107" s="154">
        <v>0</v>
      </c>
      <c r="DI107" s="154">
        <v>0</v>
      </c>
      <c r="DJ107" s="204">
        <f>+SUBTOTAL(9,CX107:DI107)</f>
        <v>0</v>
      </c>
      <c r="DK107" s="205"/>
      <c r="DL107" s="163">
        <v>0</v>
      </c>
      <c r="DM107" s="164">
        <v>0</v>
      </c>
      <c r="DN107" s="154">
        <v>0</v>
      </c>
      <c r="DO107" s="154">
        <v>0</v>
      </c>
      <c r="DP107" s="154">
        <v>0</v>
      </c>
      <c r="DQ107" s="154">
        <v>0</v>
      </c>
      <c r="DR107" s="154">
        <v>0</v>
      </c>
      <c r="DS107" s="154">
        <v>0</v>
      </c>
      <c r="DT107" s="154">
        <v>0</v>
      </c>
      <c r="DU107" s="154">
        <v>0</v>
      </c>
      <c r="DV107" s="154">
        <v>0</v>
      </c>
      <c r="DW107" s="154">
        <v>0</v>
      </c>
      <c r="DX107" s="204">
        <f>+SUBTOTAL(9,DL107:DW107)</f>
        <v>0</v>
      </c>
      <c r="DY107" s="205"/>
      <c r="DZ107" s="163">
        <v>0</v>
      </c>
      <c r="EA107" s="164">
        <v>0</v>
      </c>
      <c r="EB107" s="154">
        <v>0</v>
      </c>
      <c r="EC107" s="154">
        <v>0</v>
      </c>
      <c r="ED107" s="154">
        <v>0</v>
      </c>
      <c r="EE107" s="154">
        <v>0</v>
      </c>
      <c r="EF107" s="154">
        <v>0</v>
      </c>
      <c r="EG107" s="154">
        <v>0</v>
      </c>
      <c r="EH107" s="154">
        <v>0</v>
      </c>
      <c r="EI107" s="154">
        <v>0</v>
      </c>
      <c r="EJ107" s="154">
        <v>0</v>
      </c>
      <c r="EK107" s="154">
        <v>0</v>
      </c>
      <c r="EL107" s="204">
        <f>+SUBTOTAL(9,DZ107:EK107)</f>
        <v>0</v>
      </c>
      <c r="EM107" s="205"/>
      <c r="EN107" s="163">
        <v>0</v>
      </c>
      <c r="EO107" s="164">
        <v>0</v>
      </c>
      <c r="EP107" s="154">
        <v>0</v>
      </c>
      <c r="EQ107" s="154">
        <v>0</v>
      </c>
      <c r="ER107" s="154">
        <v>0</v>
      </c>
      <c r="ES107" s="154">
        <v>0</v>
      </c>
      <c r="ET107" s="154">
        <v>0</v>
      </c>
      <c r="EU107" s="154">
        <v>0</v>
      </c>
      <c r="EV107" s="154">
        <v>0</v>
      </c>
      <c r="EW107" s="154">
        <v>0</v>
      </c>
      <c r="EX107" s="154">
        <v>0</v>
      </c>
      <c r="EY107" s="154">
        <v>0</v>
      </c>
      <c r="EZ107" s="204">
        <f>+SUBTOTAL(9,EN107:EY107)</f>
        <v>0</v>
      </c>
      <c r="FA107" s="205"/>
      <c r="FB107" s="163">
        <v>0</v>
      </c>
      <c r="FC107" s="164">
        <v>0</v>
      </c>
      <c r="FD107" s="154">
        <v>0</v>
      </c>
      <c r="FE107" s="154">
        <v>0</v>
      </c>
      <c r="FF107" s="154">
        <v>0</v>
      </c>
      <c r="FG107" s="154">
        <v>0</v>
      </c>
      <c r="FH107" s="154">
        <v>0</v>
      </c>
      <c r="FI107" s="154">
        <v>0</v>
      </c>
      <c r="FJ107" s="154">
        <v>0</v>
      </c>
      <c r="FK107" s="154">
        <v>0</v>
      </c>
      <c r="FL107" s="154">
        <v>0</v>
      </c>
      <c r="FM107" s="154">
        <v>0</v>
      </c>
      <c r="FN107" s="204">
        <f>+SUBTOTAL(9,FB107:FM107)</f>
        <v>0</v>
      </c>
      <c r="FO107" s="205"/>
      <c r="FP107" s="163">
        <v>0</v>
      </c>
      <c r="FQ107" s="164">
        <v>0</v>
      </c>
      <c r="FR107" s="154">
        <v>0</v>
      </c>
      <c r="FS107" s="154">
        <v>0</v>
      </c>
      <c r="FT107" s="154">
        <v>0</v>
      </c>
      <c r="FU107" s="154">
        <v>0</v>
      </c>
      <c r="FV107" s="154">
        <v>0</v>
      </c>
      <c r="FW107" s="154">
        <v>0</v>
      </c>
      <c r="FX107" s="154">
        <v>0</v>
      </c>
      <c r="FY107" s="154">
        <v>0</v>
      </c>
      <c r="FZ107" s="154">
        <v>0</v>
      </c>
      <c r="GA107" s="154">
        <v>0</v>
      </c>
      <c r="GB107" s="204">
        <f>+SUBTOTAL(9,FP107:GA107)</f>
        <v>0</v>
      </c>
      <c r="GC107" s="205"/>
      <c r="GD107" s="163">
        <v>0</v>
      </c>
      <c r="GE107" s="164">
        <v>0</v>
      </c>
      <c r="GF107" s="154">
        <v>0</v>
      </c>
      <c r="GG107" s="154">
        <v>0</v>
      </c>
      <c r="GH107" s="154">
        <v>0</v>
      </c>
      <c r="GI107" s="154">
        <v>0</v>
      </c>
      <c r="GJ107" s="154">
        <v>0</v>
      </c>
      <c r="GK107" s="154">
        <v>0</v>
      </c>
      <c r="GL107" s="154">
        <v>0</v>
      </c>
      <c r="GM107" s="154">
        <v>0</v>
      </c>
      <c r="GN107" s="154">
        <v>0</v>
      </c>
      <c r="GO107" s="154">
        <v>0</v>
      </c>
      <c r="GP107" s="204">
        <f>+SUBTOTAL(9,GD107:GO107)</f>
        <v>0</v>
      </c>
      <c r="GQ107" s="205"/>
      <c r="GR107" s="163">
        <v>0</v>
      </c>
      <c r="GS107" s="164">
        <v>0</v>
      </c>
      <c r="GT107" s="154">
        <v>0</v>
      </c>
      <c r="GU107" s="154">
        <v>0</v>
      </c>
      <c r="GV107" s="154">
        <v>0</v>
      </c>
      <c r="GW107" s="154">
        <v>0</v>
      </c>
      <c r="GX107" s="154">
        <v>0</v>
      </c>
      <c r="GY107" s="154">
        <v>0</v>
      </c>
      <c r="GZ107" s="154">
        <v>0</v>
      </c>
      <c r="HA107" s="154">
        <v>0</v>
      </c>
      <c r="HB107" s="154">
        <v>0</v>
      </c>
      <c r="HC107" s="154">
        <v>0</v>
      </c>
      <c r="HD107" s="204">
        <f t="shared" si="293"/>
        <v>0</v>
      </c>
      <c r="HE107" s="205"/>
      <c r="HF107" s="163">
        <v>0</v>
      </c>
      <c r="HG107" s="164">
        <v>0</v>
      </c>
      <c r="HH107" s="154">
        <v>0</v>
      </c>
      <c r="HI107" s="154">
        <v>0</v>
      </c>
      <c r="HJ107" s="154">
        <v>0</v>
      </c>
      <c r="HK107" s="154">
        <v>0</v>
      </c>
      <c r="HL107" s="154">
        <v>0</v>
      </c>
      <c r="HM107" s="154">
        <v>0</v>
      </c>
      <c r="HN107" s="154">
        <v>0</v>
      </c>
      <c r="HO107" s="154">
        <v>0</v>
      </c>
      <c r="HP107" s="154">
        <v>0</v>
      </c>
      <c r="HQ107" s="154">
        <v>0</v>
      </c>
      <c r="HR107" s="204">
        <f>+SUBTOTAL(9,HF107:HQ107)</f>
        <v>0</v>
      </c>
      <c r="HS107" s="205"/>
      <c r="HT107" s="163">
        <v>0</v>
      </c>
      <c r="HU107" s="164">
        <v>0</v>
      </c>
      <c r="HV107" s="154">
        <v>0</v>
      </c>
      <c r="HW107" s="154">
        <v>0</v>
      </c>
      <c r="HX107" s="154">
        <v>0</v>
      </c>
      <c r="HY107" s="154">
        <v>0</v>
      </c>
      <c r="HZ107" s="154">
        <v>0</v>
      </c>
      <c r="IA107" s="154">
        <v>0</v>
      </c>
      <c r="IB107" s="154">
        <v>0</v>
      </c>
      <c r="IC107" s="154">
        <v>0</v>
      </c>
      <c r="ID107" s="154">
        <v>0</v>
      </c>
      <c r="IE107" s="154">
        <v>0</v>
      </c>
      <c r="IF107" s="204">
        <f>+SUBTOTAL(9,HT107:IE107)</f>
        <v>0</v>
      </c>
      <c r="IG107" s="205"/>
      <c r="IH107" s="163">
        <v>0</v>
      </c>
      <c r="II107" s="164">
        <v>0</v>
      </c>
      <c r="IJ107" s="154">
        <v>0</v>
      </c>
      <c r="IK107" s="154">
        <v>0</v>
      </c>
      <c r="IL107" s="154">
        <v>0</v>
      </c>
      <c r="IM107" s="154">
        <v>0</v>
      </c>
      <c r="IN107" s="154">
        <v>0</v>
      </c>
      <c r="IO107" s="154">
        <v>0</v>
      </c>
      <c r="IP107" s="154">
        <v>0</v>
      </c>
      <c r="IQ107" s="154">
        <v>0</v>
      </c>
      <c r="IR107" s="154">
        <v>0</v>
      </c>
      <c r="IS107" s="154">
        <v>0</v>
      </c>
      <c r="IT107" s="204">
        <f>+SUBTOTAL(9,IH107:IS107)</f>
        <v>0</v>
      </c>
      <c r="IU107" s="205"/>
      <c r="IV107" s="163">
        <v>0</v>
      </c>
      <c r="IW107" s="164">
        <v>0</v>
      </c>
      <c r="IX107" s="154">
        <v>0</v>
      </c>
      <c r="IY107" s="154">
        <v>0</v>
      </c>
      <c r="IZ107" s="154">
        <v>0</v>
      </c>
      <c r="JA107" s="154">
        <v>0</v>
      </c>
      <c r="JB107" s="154">
        <v>0</v>
      </c>
      <c r="JC107" s="154">
        <v>0</v>
      </c>
      <c r="JD107" s="154">
        <v>0</v>
      </c>
      <c r="JE107" s="154">
        <v>0</v>
      </c>
      <c r="JF107" s="154">
        <v>0</v>
      </c>
      <c r="JG107" s="154">
        <v>0</v>
      </c>
      <c r="JH107" s="204">
        <f>+SUBTOTAL(9,IV107:JG107)</f>
        <v>0</v>
      </c>
      <c r="JI107" s="205"/>
      <c r="JJ107" s="163">
        <v>0</v>
      </c>
      <c r="JK107" s="164">
        <v>0</v>
      </c>
      <c r="JL107" s="154">
        <v>0</v>
      </c>
      <c r="JM107" s="154">
        <v>0</v>
      </c>
      <c r="JN107" s="154">
        <v>0</v>
      </c>
      <c r="JO107" s="154">
        <v>0</v>
      </c>
      <c r="JP107" s="154">
        <v>0</v>
      </c>
      <c r="JQ107" s="154">
        <v>0</v>
      </c>
      <c r="JR107" s="154">
        <v>0</v>
      </c>
      <c r="JS107" s="154">
        <v>0</v>
      </c>
      <c r="JT107" s="154">
        <v>0</v>
      </c>
      <c r="JU107" s="154">
        <v>0</v>
      </c>
      <c r="JV107" s="204">
        <f>+SUBTOTAL(9,JJ107:JU107)</f>
        <v>0</v>
      </c>
      <c r="JW107" s="205"/>
      <c r="JX107" s="163">
        <v>0</v>
      </c>
      <c r="JY107" s="164">
        <v>0</v>
      </c>
      <c r="JZ107" s="154">
        <v>0</v>
      </c>
      <c r="KA107" s="154">
        <v>0</v>
      </c>
      <c r="KB107" s="154">
        <v>0</v>
      </c>
      <c r="KC107" s="154">
        <v>0</v>
      </c>
      <c r="KD107" s="154">
        <v>0</v>
      </c>
      <c r="KE107" s="154">
        <v>0</v>
      </c>
      <c r="KF107" s="154">
        <v>0</v>
      </c>
      <c r="KG107" s="154">
        <v>0</v>
      </c>
      <c r="KH107" s="154">
        <v>0</v>
      </c>
      <c r="KI107" s="154">
        <v>0</v>
      </c>
      <c r="KJ107" s="204">
        <f>+SUBTOTAL(9,JX107:KI107)</f>
        <v>0</v>
      </c>
      <c r="KK107" s="205"/>
      <c r="KL107" s="163">
        <v>0</v>
      </c>
      <c r="KM107" s="164">
        <v>0</v>
      </c>
      <c r="KN107" s="154">
        <v>0</v>
      </c>
      <c r="KO107" s="154">
        <v>0</v>
      </c>
      <c r="KP107" s="154">
        <v>0</v>
      </c>
      <c r="KQ107" s="154">
        <v>0</v>
      </c>
      <c r="KR107" s="154">
        <v>0</v>
      </c>
      <c r="KS107" s="154">
        <v>0</v>
      </c>
      <c r="KT107" s="154">
        <v>0</v>
      </c>
      <c r="KU107" s="154">
        <v>0</v>
      </c>
      <c r="KV107" s="154">
        <v>0</v>
      </c>
      <c r="KW107" s="154">
        <v>0</v>
      </c>
      <c r="KX107" s="204">
        <f>+SUBTOTAL(9,KL107:KW107)</f>
        <v>0</v>
      </c>
      <c r="KY107" s="205"/>
      <c r="KZ107" s="163">
        <v>0</v>
      </c>
      <c r="LA107" s="164">
        <v>0</v>
      </c>
      <c r="LB107" s="154">
        <v>0</v>
      </c>
      <c r="LC107" s="154">
        <v>0</v>
      </c>
      <c r="LD107" s="154">
        <v>0</v>
      </c>
      <c r="LE107" s="154">
        <v>0</v>
      </c>
      <c r="LF107" s="154">
        <v>0</v>
      </c>
      <c r="LG107" s="154">
        <v>0</v>
      </c>
      <c r="LH107" s="154">
        <v>0</v>
      </c>
      <c r="LI107" s="154">
        <v>0</v>
      </c>
      <c r="LJ107" s="154">
        <v>0</v>
      </c>
      <c r="LK107" s="154">
        <v>0</v>
      </c>
      <c r="LL107" s="204">
        <f>+SUBTOTAL(9,KZ107:LK107)</f>
        <v>0</v>
      </c>
      <c r="LM107" s="205"/>
      <c r="LN107" s="163">
        <v>0</v>
      </c>
      <c r="LO107" s="164">
        <v>0</v>
      </c>
      <c r="LP107" s="154">
        <v>0</v>
      </c>
      <c r="LQ107" s="154">
        <v>0</v>
      </c>
      <c r="LR107" s="154">
        <v>0</v>
      </c>
      <c r="LS107" s="154">
        <v>0</v>
      </c>
      <c r="LT107" s="154">
        <v>0</v>
      </c>
      <c r="LU107" s="154">
        <v>0</v>
      </c>
      <c r="LV107" s="154">
        <v>0</v>
      </c>
      <c r="LW107" s="154">
        <v>0</v>
      </c>
      <c r="LX107" s="154">
        <v>0</v>
      </c>
      <c r="LY107" s="154">
        <v>0</v>
      </c>
      <c r="LZ107" s="204">
        <f>+SUBTOTAL(9,LN107:LY107)</f>
        <v>0</v>
      </c>
      <c r="MA107" s="205"/>
      <c r="MB107" s="157">
        <f t="shared" si="374"/>
        <v>0</v>
      </c>
      <c r="MC107" s="157">
        <f t="shared" si="374"/>
        <v>0</v>
      </c>
      <c r="MD107" s="157">
        <f t="shared" si="374"/>
        <v>0</v>
      </c>
      <c r="ME107" s="157">
        <f t="shared" si="374"/>
        <v>0</v>
      </c>
      <c r="MF107" s="157">
        <f t="shared" si="374"/>
        <v>0</v>
      </c>
      <c r="MG107" s="157">
        <f t="shared" si="374"/>
        <v>0</v>
      </c>
      <c r="MH107" s="157">
        <f t="shared" si="374"/>
        <v>0</v>
      </c>
      <c r="MI107" s="157">
        <f t="shared" si="374"/>
        <v>0</v>
      </c>
      <c r="MJ107" s="157">
        <f t="shared" si="374"/>
        <v>0</v>
      </c>
      <c r="MK107" s="157">
        <f t="shared" si="374"/>
        <v>0</v>
      </c>
      <c r="ML107" s="157">
        <f t="shared" si="374"/>
        <v>0</v>
      </c>
      <c r="MM107" s="157">
        <f t="shared" si="374"/>
        <v>0</v>
      </c>
      <c r="MN107" s="157">
        <f t="shared" si="375"/>
        <v>0</v>
      </c>
    </row>
    <row r="108" spans="1:352" x14ac:dyDescent="0.25">
      <c r="A108" s="98"/>
      <c r="B108" s="64" t="s">
        <v>101</v>
      </c>
      <c r="C108" s="172"/>
      <c r="D108" s="163">
        <v>115.07936507936509</v>
      </c>
      <c r="E108" s="177">
        <v>115.07936507936509</v>
      </c>
      <c r="F108" s="177">
        <v>115.07936507936509</v>
      </c>
      <c r="G108" s="177">
        <v>115.07936507936509</v>
      </c>
      <c r="H108" s="177">
        <v>115.07936507936509</v>
      </c>
      <c r="I108" s="177">
        <v>115.07936507936509</v>
      </c>
      <c r="J108" s="177">
        <v>115.07936507936509</v>
      </c>
      <c r="K108" s="177">
        <v>115.07936507936509</v>
      </c>
      <c r="L108" s="177">
        <v>115.07936507936509</v>
      </c>
      <c r="M108" s="177">
        <v>115.07936507936509</v>
      </c>
      <c r="N108" s="177">
        <v>115.07936507936509</v>
      </c>
      <c r="O108" s="177">
        <v>115.07936507936509</v>
      </c>
      <c r="P108" s="204">
        <f>+SUBTOTAL(9,D108:O108)</f>
        <v>1380.952380952381</v>
      </c>
      <c r="Q108" s="205"/>
      <c r="R108" s="163">
        <v>11.904761904761905</v>
      </c>
      <c r="S108" s="177">
        <v>11.904761904761905</v>
      </c>
      <c r="T108" s="177">
        <v>11.904761904761905</v>
      </c>
      <c r="U108" s="177">
        <v>11.904761904761905</v>
      </c>
      <c r="V108" s="177">
        <v>11.904761904761905</v>
      </c>
      <c r="W108" s="177">
        <v>11.904761904761905</v>
      </c>
      <c r="X108" s="177">
        <v>11.904761904761905</v>
      </c>
      <c r="Y108" s="177">
        <v>11.904761904761905</v>
      </c>
      <c r="Z108" s="177">
        <v>11.904761904761905</v>
      </c>
      <c r="AA108" s="177">
        <v>11.904761904761905</v>
      </c>
      <c r="AB108" s="177">
        <v>11.904761904761905</v>
      </c>
      <c r="AC108" s="177">
        <v>11.904761904761905</v>
      </c>
      <c r="AD108" s="204">
        <f>+SUBTOTAL(9,R108:AC108)</f>
        <v>142.85714285714283</v>
      </c>
      <c r="AE108" s="205"/>
      <c r="AF108" s="163">
        <v>11.904761904761905</v>
      </c>
      <c r="AG108" s="177">
        <v>11.904761904761905</v>
      </c>
      <c r="AH108" s="177">
        <v>11.904761904761905</v>
      </c>
      <c r="AI108" s="177">
        <v>11.904761904761905</v>
      </c>
      <c r="AJ108" s="177">
        <v>11.904761904761905</v>
      </c>
      <c r="AK108" s="177">
        <v>11.904761904761905</v>
      </c>
      <c r="AL108" s="177">
        <v>11.904761904761905</v>
      </c>
      <c r="AM108" s="177">
        <v>11.904761904761905</v>
      </c>
      <c r="AN108" s="177">
        <v>11.904761904761905</v>
      </c>
      <c r="AO108" s="177">
        <v>11.904761904761905</v>
      </c>
      <c r="AP108" s="177">
        <v>11.904761904761905</v>
      </c>
      <c r="AQ108" s="177">
        <v>11.904761904761905</v>
      </c>
      <c r="AR108" s="204">
        <f>+SUBTOTAL(9,AF108:AQ108)</f>
        <v>142.85714285714283</v>
      </c>
      <c r="AT108" s="163">
        <v>7.9365079365079367</v>
      </c>
      <c r="AU108" s="177">
        <v>7.9365079365079367</v>
      </c>
      <c r="AV108" s="177">
        <v>7.9365079365079367</v>
      </c>
      <c r="AW108" s="177">
        <v>7.9365079365079367</v>
      </c>
      <c r="AX108" s="177">
        <v>7.9365079365079367</v>
      </c>
      <c r="AY108" s="177">
        <v>7.9365079365079367</v>
      </c>
      <c r="AZ108" s="177">
        <v>7.9365079365079367</v>
      </c>
      <c r="BA108" s="177">
        <v>7.9365079365079367</v>
      </c>
      <c r="BB108" s="177">
        <v>7.9365079365079367</v>
      </c>
      <c r="BC108" s="177">
        <v>7.9365079365079367</v>
      </c>
      <c r="BD108" s="177">
        <v>7.9365079365079367</v>
      </c>
      <c r="BE108" s="177">
        <v>7.9365079365079367</v>
      </c>
      <c r="BF108" s="204">
        <f>+SUBTOTAL(9,AT108:BE108)</f>
        <v>95.238095238095241</v>
      </c>
      <c r="BH108" s="163">
        <v>59.523809523809526</v>
      </c>
      <c r="BI108" s="164">
        <v>59.523809523809526</v>
      </c>
      <c r="BJ108" s="154">
        <v>59.523809523809526</v>
      </c>
      <c r="BK108" s="154">
        <v>59.523809523809526</v>
      </c>
      <c r="BL108" s="154">
        <v>59.523809523809526</v>
      </c>
      <c r="BM108" s="154">
        <v>59.523809523809526</v>
      </c>
      <c r="BN108" s="154">
        <v>59.523809523809526</v>
      </c>
      <c r="BO108" s="154">
        <v>59.523809523809526</v>
      </c>
      <c r="BP108" s="154">
        <v>59.523809523809526</v>
      </c>
      <c r="BQ108" s="154">
        <v>59.523809523809526</v>
      </c>
      <c r="BR108" s="154">
        <v>59.523809523809526</v>
      </c>
      <c r="BS108" s="154">
        <v>59.523809523809526</v>
      </c>
      <c r="BT108" s="204">
        <f>+SUBTOTAL(9,BH108:BS108)</f>
        <v>714.28571428571433</v>
      </c>
      <c r="BV108" s="163">
        <v>3.9682539682539684</v>
      </c>
      <c r="BW108" s="164">
        <v>3.9682539682539684</v>
      </c>
      <c r="BX108" s="154">
        <v>3.9682539682539684</v>
      </c>
      <c r="BY108" s="154">
        <v>3.9682539682539684</v>
      </c>
      <c r="BZ108" s="154">
        <v>3.9682539682539684</v>
      </c>
      <c r="CA108" s="154">
        <v>3.9682539682539684</v>
      </c>
      <c r="CB108" s="154">
        <v>3.9682539682539684</v>
      </c>
      <c r="CC108" s="154">
        <v>3.9682539682539684</v>
      </c>
      <c r="CD108" s="154">
        <v>3.9682539682539684</v>
      </c>
      <c r="CE108" s="154">
        <v>3.9682539682539684</v>
      </c>
      <c r="CF108" s="154">
        <v>3.9682539682539684</v>
      </c>
      <c r="CG108" s="154">
        <v>3.9682539682539684</v>
      </c>
      <c r="CH108" s="204">
        <f>+SUBTOTAL(9,BV108:CG108)</f>
        <v>47.61904761904762</v>
      </c>
      <c r="CI108" s="205"/>
      <c r="CJ108" s="163">
        <v>43.650793650793652</v>
      </c>
      <c r="CK108" s="164">
        <v>43.650793650793652</v>
      </c>
      <c r="CL108" s="154">
        <v>43.650793650793652</v>
      </c>
      <c r="CM108" s="154">
        <v>43.650793650793652</v>
      </c>
      <c r="CN108" s="154">
        <v>43.650793650793652</v>
      </c>
      <c r="CO108" s="154">
        <v>43.650793650793652</v>
      </c>
      <c r="CP108" s="154">
        <v>43.650793650793652</v>
      </c>
      <c r="CQ108" s="154">
        <v>43.650793650793652</v>
      </c>
      <c r="CR108" s="154">
        <v>43.650793650793652</v>
      </c>
      <c r="CS108" s="154">
        <v>43.650793650793652</v>
      </c>
      <c r="CT108" s="154">
        <v>43.650793650793652</v>
      </c>
      <c r="CU108" s="154">
        <v>43.650793650793652</v>
      </c>
      <c r="CV108" s="204">
        <f>+SUBTOTAL(9,CJ108:CU108)</f>
        <v>523.80952380952397</v>
      </c>
      <c r="CW108" s="205"/>
      <c r="CX108" s="163">
        <v>111.11111111111111</v>
      </c>
      <c r="CY108" s="164">
        <v>111.11111111111111</v>
      </c>
      <c r="CZ108" s="154">
        <v>111.11111111111111</v>
      </c>
      <c r="DA108" s="154">
        <v>111.11111111111111</v>
      </c>
      <c r="DB108" s="154">
        <v>111.11111111111111</v>
      </c>
      <c r="DC108" s="154">
        <v>111.11111111111111</v>
      </c>
      <c r="DD108" s="154">
        <v>111.11111111111111</v>
      </c>
      <c r="DE108" s="154">
        <v>111.11111111111111</v>
      </c>
      <c r="DF108" s="154">
        <v>111.11111111111111</v>
      </c>
      <c r="DG108" s="154">
        <v>111.11111111111111</v>
      </c>
      <c r="DH108" s="154">
        <v>111.11111111111111</v>
      </c>
      <c r="DI108" s="154">
        <v>111.11111111111111</v>
      </c>
      <c r="DJ108" s="204">
        <f>+SUBTOTAL(9,CX108:DI108)</f>
        <v>1333.3333333333333</v>
      </c>
      <c r="DK108" s="205"/>
      <c r="DL108" s="163">
        <v>111.11111111111111</v>
      </c>
      <c r="DM108" s="164">
        <v>111.11111111111111</v>
      </c>
      <c r="DN108" s="154">
        <v>111.11111111111111</v>
      </c>
      <c r="DO108" s="154">
        <v>111.11111111111111</v>
      </c>
      <c r="DP108" s="154">
        <v>111.11111111111111</v>
      </c>
      <c r="DQ108" s="154">
        <v>111.11111111111111</v>
      </c>
      <c r="DR108" s="154">
        <v>111.11111111111111</v>
      </c>
      <c r="DS108" s="154">
        <v>111.11111111111111</v>
      </c>
      <c r="DT108" s="154">
        <v>111.11111111111111</v>
      </c>
      <c r="DU108" s="154">
        <v>111.11111111111111</v>
      </c>
      <c r="DV108" s="154">
        <v>111.11111111111111</v>
      </c>
      <c r="DW108" s="154">
        <v>111.11111111111111</v>
      </c>
      <c r="DX108" s="204">
        <f>+SUBTOTAL(9,DL108:DW108)</f>
        <v>1333.3333333333333</v>
      </c>
      <c r="DY108" s="205"/>
      <c r="DZ108" s="163">
        <v>3.9682539682539684</v>
      </c>
      <c r="EA108" s="164">
        <v>3.9682539682539684</v>
      </c>
      <c r="EB108" s="154">
        <v>3.9682539682539684</v>
      </c>
      <c r="EC108" s="154">
        <v>3.9682539682539684</v>
      </c>
      <c r="ED108" s="154">
        <v>3.9682539682539684</v>
      </c>
      <c r="EE108" s="154">
        <v>3.9682539682539684</v>
      </c>
      <c r="EF108" s="154">
        <v>3.9682539682539684</v>
      </c>
      <c r="EG108" s="154">
        <v>3.9682539682539684</v>
      </c>
      <c r="EH108" s="154">
        <v>3.9682539682539684</v>
      </c>
      <c r="EI108" s="154">
        <v>3.9682539682539684</v>
      </c>
      <c r="EJ108" s="154">
        <v>3.9682539682539684</v>
      </c>
      <c r="EK108" s="154">
        <v>3.9682539682539684</v>
      </c>
      <c r="EL108" s="204">
        <f>+SUBTOTAL(9,DZ108:EK108)</f>
        <v>47.61904761904762</v>
      </c>
      <c r="EM108" s="205"/>
      <c r="EN108" s="163">
        <v>7.9365079365079367</v>
      </c>
      <c r="EO108" s="164">
        <v>7.9365079365079367</v>
      </c>
      <c r="EP108" s="154">
        <v>7.9365079365079367</v>
      </c>
      <c r="EQ108" s="154">
        <v>7.9365079365079367</v>
      </c>
      <c r="ER108" s="154">
        <v>7.9365079365079367</v>
      </c>
      <c r="ES108" s="154">
        <v>7.9365079365079367</v>
      </c>
      <c r="ET108" s="154">
        <v>7.9365079365079367</v>
      </c>
      <c r="EU108" s="154">
        <v>7.9365079365079367</v>
      </c>
      <c r="EV108" s="154">
        <v>7.9365079365079367</v>
      </c>
      <c r="EW108" s="154">
        <v>7.9365079365079367</v>
      </c>
      <c r="EX108" s="154">
        <v>7.9365079365079367</v>
      </c>
      <c r="EY108" s="154">
        <v>7.9365079365079367</v>
      </c>
      <c r="EZ108" s="204">
        <f>+SUBTOTAL(9,EN108:EY108)</f>
        <v>95.238095238095241</v>
      </c>
      <c r="FA108" s="205"/>
      <c r="FB108" s="163">
        <v>3.9682539682539684</v>
      </c>
      <c r="FC108" s="164">
        <v>3.9682539682539684</v>
      </c>
      <c r="FD108" s="154">
        <v>3.9682539682539684</v>
      </c>
      <c r="FE108" s="154">
        <v>3.9682539682539684</v>
      </c>
      <c r="FF108" s="154">
        <v>3.9682539682539684</v>
      </c>
      <c r="FG108" s="154">
        <v>3.9682539682539684</v>
      </c>
      <c r="FH108" s="154">
        <v>3.9682539682539684</v>
      </c>
      <c r="FI108" s="154">
        <v>3.9682539682539684</v>
      </c>
      <c r="FJ108" s="154">
        <v>3.9682539682539684</v>
      </c>
      <c r="FK108" s="154">
        <v>3.9682539682539684</v>
      </c>
      <c r="FL108" s="154">
        <v>3.9682539682539684</v>
      </c>
      <c r="FM108" s="154">
        <v>3.9682539682539684</v>
      </c>
      <c r="FN108" s="204">
        <f>+SUBTOTAL(9,FB108:FM108)</f>
        <v>47.61904761904762</v>
      </c>
      <c r="FO108" s="205"/>
      <c r="FP108" s="163">
        <v>27.777777777777779</v>
      </c>
      <c r="FQ108" s="164">
        <v>27.777777777777779</v>
      </c>
      <c r="FR108" s="154">
        <v>27.777777777777779</v>
      </c>
      <c r="FS108" s="154">
        <v>27.777777777777779</v>
      </c>
      <c r="FT108" s="154">
        <v>27.777777777777779</v>
      </c>
      <c r="FU108" s="154">
        <v>27.777777777777779</v>
      </c>
      <c r="FV108" s="154">
        <v>27.777777777777779</v>
      </c>
      <c r="FW108" s="154">
        <v>27.777777777777779</v>
      </c>
      <c r="FX108" s="154">
        <v>27.777777777777779</v>
      </c>
      <c r="FY108" s="154">
        <v>27.777777777777779</v>
      </c>
      <c r="FZ108" s="154">
        <v>27.777777777777779</v>
      </c>
      <c r="GA108" s="154">
        <v>27.777777777777779</v>
      </c>
      <c r="GB108" s="204">
        <f>+SUBTOTAL(9,FP108:GA108)</f>
        <v>333.33333333333331</v>
      </c>
      <c r="GC108" s="205"/>
      <c r="GD108" s="163">
        <v>3.9682539682539684</v>
      </c>
      <c r="GE108" s="164">
        <v>3.9682539682539684</v>
      </c>
      <c r="GF108" s="154">
        <v>3.9682539682539684</v>
      </c>
      <c r="GG108" s="154">
        <v>3.9682539682539684</v>
      </c>
      <c r="GH108" s="154">
        <v>3.9682539682539684</v>
      </c>
      <c r="GI108" s="154">
        <v>3.9682539682539684</v>
      </c>
      <c r="GJ108" s="154">
        <v>3.9682539682539684</v>
      </c>
      <c r="GK108" s="154">
        <v>3.9682539682539684</v>
      </c>
      <c r="GL108" s="154">
        <v>3.9682539682539684</v>
      </c>
      <c r="GM108" s="154">
        <v>3.9682539682539684</v>
      </c>
      <c r="GN108" s="154">
        <v>3.9682539682539684</v>
      </c>
      <c r="GO108" s="154">
        <v>3.9682539682539684</v>
      </c>
      <c r="GP108" s="204">
        <f>+SUBTOTAL(9,GD108:GO108)</f>
        <v>47.61904761904762</v>
      </c>
      <c r="GQ108" s="205"/>
      <c r="GR108" s="163">
        <v>0</v>
      </c>
      <c r="GS108" s="164">
        <v>0</v>
      </c>
      <c r="GT108" s="154">
        <v>0</v>
      </c>
      <c r="GU108" s="154">
        <v>0</v>
      </c>
      <c r="GV108" s="154">
        <v>0</v>
      </c>
      <c r="GW108" s="154">
        <v>0</v>
      </c>
      <c r="GX108" s="154">
        <v>0</v>
      </c>
      <c r="GY108" s="154">
        <v>0</v>
      </c>
      <c r="GZ108" s="154">
        <v>0</v>
      </c>
      <c r="HA108" s="154">
        <v>0</v>
      </c>
      <c r="HB108" s="154">
        <v>0</v>
      </c>
      <c r="HC108" s="154">
        <v>0</v>
      </c>
      <c r="HD108" s="204">
        <f t="shared" si="293"/>
        <v>0</v>
      </c>
      <c r="HE108" s="205"/>
      <c r="HF108" s="163">
        <v>15.873015873015873</v>
      </c>
      <c r="HG108" s="164">
        <v>15.873015873015873</v>
      </c>
      <c r="HH108" s="154">
        <v>15.873015873015873</v>
      </c>
      <c r="HI108" s="154">
        <v>15.873015873015873</v>
      </c>
      <c r="HJ108" s="154">
        <v>15.873015873015873</v>
      </c>
      <c r="HK108" s="154">
        <v>15.873015873015873</v>
      </c>
      <c r="HL108" s="154">
        <v>15.873015873015873</v>
      </c>
      <c r="HM108" s="154">
        <v>15.873015873015873</v>
      </c>
      <c r="HN108" s="154">
        <v>15.873015873015873</v>
      </c>
      <c r="HO108" s="154">
        <v>15.873015873015873</v>
      </c>
      <c r="HP108" s="154">
        <v>15.873015873015873</v>
      </c>
      <c r="HQ108" s="154">
        <v>15.873015873015873</v>
      </c>
      <c r="HR108" s="204">
        <f>+SUBTOTAL(9,HF108:HQ108)</f>
        <v>190.47619047619048</v>
      </c>
      <c r="HS108" s="205"/>
      <c r="HT108" s="163">
        <v>3.9682539682539684</v>
      </c>
      <c r="HU108" s="164">
        <v>3.9682539682539684</v>
      </c>
      <c r="HV108" s="154">
        <v>3.9682539682539684</v>
      </c>
      <c r="HW108" s="154">
        <v>3.9682539682539684</v>
      </c>
      <c r="HX108" s="154">
        <v>3.9682539682539684</v>
      </c>
      <c r="HY108" s="154">
        <v>3.9682539682539684</v>
      </c>
      <c r="HZ108" s="154">
        <v>3.9682539682539684</v>
      </c>
      <c r="IA108" s="154">
        <v>3.9682539682539684</v>
      </c>
      <c r="IB108" s="154">
        <v>3.9682539682539684</v>
      </c>
      <c r="IC108" s="154">
        <v>3.9682539682539684</v>
      </c>
      <c r="ID108" s="154">
        <v>3.9682539682539684</v>
      </c>
      <c r="IE108" s="154">
        <v>3.9682539682539684</v>
      </c>
      <c r="IF108" s="204">
        <f>+SUBTOTAL(9,HT108:IE108)</f>
        <v>47.61904761904762</v>
      </c>
      <c r="IG108" s="205"/>
      <c r="IH108" s="163">
        <v>3.9682539682539684</v>
      </c>
      <c r="II108" s="164">
        <v>3.9682539682539684</v>
      </c>
      <c r="IJ108" s="154">
        <v>3.9682539682539684</v>
      </c>
      <c r="IK108" s="154">
        <v>3.9682539682539684</v>
      </c>
      <c r="IL108" s="154">
        <v>3.9682539682539684</v>
      </c>
      <c r="IM108" s="154">
        <v>3.9682539682539684</v>
      </c>
      <c r="IN108" s="154">
        <v>3.9682539682539684</v>
      </c>
      <c r="IO108" s="154">
        <v>3.9682539682539684</v>
      </c>
      <c r="IP108" s="154">
        <v>3.9682539682539684</v>
      </c>
      <c r="IQ108" s="154">
        <v>3.9682539682539684</v>
      </c>
      <c r="IR108" s="154">
        <v>3.9682539682539684</v>
      </c>
      <c r="IS108" s="154">
        <v>3.9682539682539684</v>
      </c>
      <c r="IT108" s="204">
        <f>+SUBTOTAL(9,IH108:IS108)</f>
        <v>47.61904761904762</v>
      </c>
      <c r="IU108" s="205"/>
      <c r="IV108" s="163">
        <v>27.777777777777779</v>
      </c>
      <c r="IW108" s="164">
        <v>27.777777777777779</v>
      </c>
      <c r="IX108" s="154">
        <v>27.777777777777779</v>
      </c>
      <c r="IY108" s="154">
        <v>27.777777777777779</v>
      </c>
      <c r="IZ108" s="154">
        <v>27.777777777777779</v>
      </c>
      <c r="JA108" s="154">
        <v>27.777777777777779</v>
      </c>
      <c r="JB108" s="154">
        <v>27.777777777777779</v>
      </c>
      <c r="JC108" s="154">
        <v>27.777777777777779</v>
      </c>
      <c r="JD108" s="154">
        <v>27.777777777777779</v>
      </c>
      <c r="JE108" s="154">
        <v>27.777777777777779</v>
      </c>
      <c r="JF108" s="154">
        <v>27.777777777777779</v>
      </c>
      <c r="JG108" s="154">
        <v>27.777777777777779</v>
      </c>
      <c r="JH108" s="204">
        <f>+SUBTOTAL(9,IV108:JG108)</f>
        <v>333.33333333333331</v>
      </c>
      <c r="JI108" s="205"/>
      <c r="JJ108" s="163">
        <v>43.650793650793652</v>
      </c>
      <c r="JK108" s="164">
        <v>43.650793650793652</v>
      </c>
      <c r="JL108" s="154">
        <v>43.650793650793652</v>
      </c>
      <c r="JM108" s="154">
        <v>43.650793650793652</v>
      </c>
      <c r="JN108" s="154">
        <v>43.650793650793652</v>
      </c>
      <c r="JO108" s="154">
        <v>43.650793650793652</v>
      </c>
      <c r="JP108" s="154">
        <v>43.650793650793652</v>
      </c>
      <c r="JQ108" s="154">
        <v>43.650793650793652</v>
      </c>
      <c r="JR108" s="154">
        <v>43.650793650793652</v>
      </c>
      <c r="JS108" s="154">
        <v>43.650793650793652</v>
      </c>
      <c r="JT108" s="154">
        <v>43.650793650793652</v>
      </c>
      <c r="JU108" s="154">
        <v>43.650793650793652</v>
      </c>
      <c r="JV108" s="204">
        <f>+SUBTOTAL(9,JJ108:JU108)</f>
        <v>523.80952380952397</v>
      </c>
      <c r="JW108" s="205"/>
      <c r="JX108" s="163">
        <v>19.841269841269842</v>
      </c>
      <c r="JY108" s="164">
        <v>19.841269841269842</v>
      </c>
      <c r="JZ108" s="154">
        <v>19.841269841269842</v>
      </c>
      <c r="KA108" s="154">
        <v>19.841269841269842</v>
      </c>
      <c r="KB108" s="154">
        <v>19.841269841269842</v>
      </c>
      <c r="KC108" s="154">
        <v>19.841269841269842</v>
      </c>
      <c r="KD108" s="154">
        <v>19.841269841269842</v>
      </c>
      <c r="KE108" s="154">
        <v>19.841269841269842</v>
      </c>
      <c r="KF108" s="154">
        <v>19.841269841269842</v>
      </c>
      <c r="KG108" s="154">
        <v>19.841269841269842</v>
      </c>
      <c r="KH108" s="154">
        <v>19.841269841269842</v>
      </c>
      <c r="KI108" s="154">
        <v>19.841269841269842</v>
      </c>
      <c r="KJ108" s="204">
        <f>+SUBTOTAL(9,JX108:KI108)</f>
        <v>238.09523809523816</v>
      </c>
      <c r="KK108" s="205"/>
      <c r="KL108" s="163">
        <v>7.9365079365079367</v>
      </c>
      <c r="KM108" s="164">
        <v>7.9365079365079367</v>
      </c>
      <c r="KN108" s="154">
        <v>7.9365079365079367</v>
      </c>
      <c r="KO108" s="154">
        <v>7.9365079365079367</v>
      </c>
      <c r="KP108" s="154">
        <v>7.9365079365079367</v>
      </c>
      <c r="KQ108" s="154">
        <v>7.9365079365079367</v>
      </c>
      <c r="KR108" s="154">
        <v>7.9365079365079367</v>
      </c>
      <c r="KS108" s="154">
        <v>7.9365079365079367</v>
      </c>
      <c r="KT108" s="154">
        <v>7.9365079365079367</v>
      </c>
      <c r="KU108" s="154">
        <v>7.9365079365079367</v>
      </c>
      <c r="KV108" s="154">
        <v>7.9365079365079367</v>
      </c>
      <c r="KW108" s="154">
        <v>7.9365079365079367</v>
      </c>
      <c r="KX108" s="204">
        <f>+SUBTOTAL(9,KL108:KW108)</f>
        <v>95.238095238095241</v>
      </c>
      <c r="KY108" s="205"/>
      <c r="KZ108" s="163">
        <v>3.9682539682539684</v>
      </c>
      <c r="LA108" s="164">
        <v>3.9682539682539684</v>
      </c>
      <c r="LB108" s="154">
        <v>3.9682539682539684</v>
      </c>
      <c r="LC108" s="154">
        <v>3.9682539682539684</v>
      </c>
      <c r="LD108" s="154">
        <v>3.9682539682539684</v>
      </c>
      <c r="LE108" s="154">
        <v>3.9682539682539684</v>
      </c>
      <c r="LF108" s="154">
        <v>3.9682539682539684</v>
      </c>
      <c r="LG108" s="154">
        <v>3.9682539682539684</v>
      </c>
      <c r="LH108" s="154">
        <v>3.9682539682539684</v>
      </c>
      <c r="LI108" s="154">
        <v>3.9682539682539684</v>
      </c>
      <c r="LJ108" s="154">
        <v>3.9682539682539684</v>
      </c>
      <c r="LK108" s="154">
        <v>3.9682539682539684</v>
      </c>
      <c r="LL108" s="204">
        <f>+SUBTOTAL(9,KZ108:LK108)</f>
        <v>47.61904761904762</v>
      </c>
      <c r="LM108" s="205"/>
      <c r="LN108" s="163">
        <v>0</v>
      </c>
      <c r="LO108" s="164">
        <v>0</v>
      </c>
      <c r="LP108" s="154">
        <v>0</v>
      </c>
      <c r="LQ108" s="154">
        <v>0</v>
      </c>
      <c r="LR108" s="154">
        <v>0</v>
      </c>
      <c r="LS108" s="154">
        <v>0</v>
      </c>
      <c r="LT108" s="154">
        <v>0</v>
      </c>
      <c r="LU108" s="154">
        <v>0</v>
      </c>
      <c r="LV108" s="154">
        <v>0</v>
      </c>
      <c r="LW108" s="154">
        <v>0</v>
      </c>
      <c r="LX108" s="154">
        <v>0</v>
      </c>
      <c r="LY108" s="154">
        <v>0</v>
      </c>
      <c r="LZ108" s="204">
        <f>+SUBTOTAL(9,LN108:LY108)</f>
        <v>0</v>
      </c>
      <c r="MA108" s="205"/>
      <c r="MB108" s="157">
        <f t="shared" si="374"/>
        <v>650.79365079365095</v>
      </c>
      <c r="MC108" s="157">
        <f t="shared" si="374"/>
        <v>650.79365079365095</v>
      </c>
      <c r="MD108" s="157">
        <f t="shared" si="374"/>
        <v>650.79365079365095</v>
      </c>
      <c r="ME108" s="157">
        <f t="shared" si="374"/>
        <v>650.79365079365095</v>
      </c>
      <c r="MF108" s="157">
        <f t="shared" si="374"/>
        <v>650.79365079365095</v>
      </c>
      <c r="MG108" s="157">
        <f t="shared" si="374"/>
        <v>650.79365079365095</v>
      </c>
      <c r="MH108" s="157">
        <f t="shared" si="374"/>
        <v>650.79365079365095</v>
      </c>
      <c r="MI108" s="157">
        <f t="shared" si="374"/>
        <v>650.79365079365095</v>
      </c>
      <c r="MJ108" s="157">
        <f t="shared" si="374"/>
        <v>650.79365079365095</v>
      </c>
      <c r="MK108" s="157">
        <f t="shared" si="374"/>
        <v>650.79365079365095</v>
      </c>
      <c r="ML108" s="157">
        <f t="shared" si="374"/>
        <v>650.79365079365095</v>
      </c>
      <c r="MM108" s="157">
        <f t="shared" si="374"/>
        <v>650.79365079365095</v>
      </c>
      <c r="MN108" s="157">
        <f t="shared" si="375"/>
        <v>7809.5238095238119</v>
      </c>
    </row>
    <row r="109" spans="1:352" x14ac:dyDescent="0.25">
      <c r="A109" s="98"/>
      <c r="B109" s="64" t="s">
        <v>102</v>
      </c>
      <c r="C109" s="202"/>
      <c r="D109" s="163">
        <v>0</v>
      </c>
      <c r="E109" s="177">
        <v>0</v>
      </c>
      <c r="F109" s="177">
        <v>0</v>
      </c>
      <c r="G109" s="177">
        <v>0</v>
      </c>
      <c r="H109" s="177">
        <v>0</v>
      </c>
      <c r="I109" s="177">
        <v>0</v>
      </c>
      <c r="J109" s="177">
        <v>0</v>
      </c>
      <c r="K109" s="177">
        <v>0</v>
      </c>
      <c r="L109" s="177">
        <v>0</v>
      </c>
      <c r="M109" s="177">
        <v>0</v>
      </c>
      <c r="N109" s="177">
        <v>0</v>
      </c>
      <c r="O109" s="177">
        <v>0</v>
      </c>
      <c r="P109" s="204">
        <f>+SUBTOTAL(9,D109:O109)</f>
        <v>0</v>
      </c>
      <c r="Q109" s="205"/>
      <c r="R109" s="163">
        <v>0</v>
      </c>
      <c r="S109" s="177">
        <v>0</v>
      </c>
      <c r="T109" s="177">
        <v>0</v>
      </c>
      <c r="U109" s="177">
        <v>0</v>
      </c>
      <c r="V109" s="177">
        <v>0</v>
      </c>
      <c r="W109" s="177">
        <v>0</v>
      </c>
      <c r="X109" s="177">
        <v>0</v>
      </c>
      <c r="Y109" s="177">
        <v>0</v>
      </c>
      <c r="Z109" s="177">
        <v>0</v>
      </c>
      <c r="AA109" s="177">
        <v>0</v>
      </c>
      <c r="AB109" s="177">
        <v>0</v>
      </c>
      <c r="AC109" s="177">
        <v>0</v>
      </c>
      <c r="AD109" s="204">
        <f>+SUBTOTAL(9,R109:AC109)</f>
        <v>0</v>
      </c>
      <c r="AE109" s="205"/>
      <c r="AF109" s="163">
        <v>0</v>
      </c>
      <c r="AG109" s="177">
        <v>0</v>
      </c>
      <c r="AH109" s="177">
        <v>0</v>
      </c>
      <c r="AI109" s="177">
        <v>0</v>
      </c>
      <c r="AJ109" s="177">
        <v>0</v>
      </c>
      <c r="AK109" s="177">
        <v>0</v>
      </c>
      <c r="AL109" s="177">
        <v>0</v>
      </c>
      <c r="AM109" s="177">
        <v>0</v>
      </c>
      <c r="AN109" s="177">
        <v>0</v>
      </c>
      <c r="AO109" s="177">
        <v>0</v>
      </c>
      <c r="AP109" s="177">
        <v>0</v>
      </c>
      <c r="AQ109" s="177">
        <v>0</v>
      </c>
      <c r="AR109" s="204">
        <f>+SUBTOTAL(9,AF109:AQ109)</f>
        <v>0</v>
      </c>
      <c r="AT109" s="163">
        <v>0</v>
      </c>
      <c r="AU109" s="177">
        <v>0</v>
      </c>
      <c r="AV109" s="177">
        <v>0</v>
      </c>
      <c r="AW109" s="177">
        <v>0</v>
      </c>
      <c r="AX109" s="177">
        <v>0</v>
      </c>
      <c r="AY109" s="177">
        <v>0</v>
      </c>
      <c r="AZ109" s="177">
        <v>0</v>
      </c>
      <c r="BA109" s="177">
        <v>0</v>
      </c>
      <c r="BB109" s="177">
        <v>0</v>
      </c>
      <c r="BC109" s="177">
        <v>0</v>
      </c>
      <c r="BD109" s="177">
        <v>0</v>
      </c>
      <c r="BE109" s="177">
        <v>0</v>
      </c>
      <c r="BF109" s="204">
        <f>+SUBTOTAL(9,AT109:BE109)</f>
        <v>0</v>
      </c>
      <c r="BH109" s="163">
        <v>0</v>
      </c>
      <c r="BI109" s="164">
        <v>0</v>
      </c>
      <c r="BJ109" s="154">
        <v>0</v>
      </c>
      <c r="BK109" s="154">
        <v>0</v>
      </c>
      <c r="BL109" s="154">
        <v>0</v>
      </c>
      <c r="BM109" s="154">
        <v>0</v>
      </c>
      <c r="BN109" s="154">
        <v>0</v>
      </c>
      <c r="BO109" s="154">
        <v>0</v>
      </c>
      <c r="BP109" s="154">
        <v>0</v>
      </c>
      <c r="BQ109" s="154">
        <v>0</v>
      </c>
      <c r="BR109" s="154">
        <v>0</v>
      </c>
      <c r="BS109" s="154">
        <v>0</v>
      </c>
      <c r="BT109" s="204">
        <f>+SUBTOTAL(9,BH109:BS109)</f>
        <v>0</v>
      </c>
      <c r="BV109" s="163">
        <v>0</v>
      </c>
      <c r="BW109" s="164">
        <v>0</v>
      </c>
      <c r="BX109" s="154">
        <v>0</v>
      </c>
      <c r="BY109" s="154">
        <v>0</v>
      </c>
      <c r="BZ109" s="154">
        <v>0</v>
      </c>
      <c r="CA109" s="154">
        <v>0</v>
      </c>
      <c r="CB109" s="154">
        <v>0</v>
      </c>
      <c r="CC109" s="154">
        <v>0</v>
      </c>
      <c r="CD109" s="154">
        <v>0</v>
      </c>
      <c r="CE109" s="154">
        <v>0</v>
      </c>
      <c r="CF109" s="154">
        <v>0</v>
      </c>
      <c r="CG109" s="154">
        <v>0</v>
      </c>
      <c r="CH109" s="204">
        <f>+SUBTOTAL(9,BV109:CG109)</f>
        <v>0</v>
      </c>
      <c r="CI109" s="205"/>
      <c r="CJ109" s="163">
        <v>0</v>
      </c>
      <c r="CK109" s="164">
        <v>0</v>
      </c>
      <c r="CL109" s="154">
        <v>0</v>
      </c>
      <c r="CM109" s="154">
        <v>0</v>
      </c>
      <c r="CN109" s="154">
        <v>0</v>
      </c>
      <c r="CO109" s="154">
        <v>0</v>
      </c>
      <c r="CP109" s="154">
        <v>0</v>
      </c>
      <c r="CQ109" s="154">
        <v>0</v>
      </c>
      <c r="CR109" s="154">
        <v>0</v>
      </c>
      <c r="CS109" s="154">
        <v>0</v>
      </c>
      <c r="CT109" s="154">
        <v>0</v>
      </c>
      <c r="CU109" s="154">
        <v>0</v>
      </c>
      <c r="CV109" s="204">
        <f>+SUBTOTAL(9,CJ109:CU109)</f>
        <v>0</v>
      </c>
      <c r="CW109" s="205"/>
      <c r="CX109" s="163">
        <v>0</v>
      </c>
      <c r="CY109" s="164">
        <v>0</v>
      </c>
      <c r="CZ109" s="154">
        <v>0</v>
      </c>
      <c r="DA109" s="154">
        <v>0</v>
      </c>
      <c r="DB109" s="154">
        <v>0</v>
      </c>
      <c r="DC109" s="154">
        <v>0</v>
      </c>
      <c r="DD109" s="154">
        <v>0</v>
      </c>
      <c r="DE109" s="154">
        <v>0</v>
      </c>
      <c r="DF109" s="154">
        <v>0</v>
      </c>
      <c r="DG109" s="154">
        <v>0</v>
      </c>
      <c r="DH109" s="154">
        <v>0</v>
      </c>
      <c r="DI109" s="154">
        <v>0</v>
      </c>
      <c r="DJ109" s="204">
        <f>+SUBTOTAL(9,CX109:DI109)</f>
        <v>0</v>
      </c>
      <c r="DK109" s="205"/>
      <c r="DL109" s="163">
        <v>0</v>
      </c>
      <c r="DM109" s="164">
        <v>0</v>
      </c>
      <c r="DN109" s="154">
        <v>0</v>
      </c>
      <c r="DO109" s="154">
        <v>0</v>
      </c>
      <c r="DP109" s="154">
        <v>0</v>
      </c>
      <c r="DQ109" s="154">
        <v>0</v>
      </c>
      <c r="DR109" s="154">
        <v>0</v>
      </c>
      <c r="DS109" s="154">
        <v>0</v>
      </c>
      <c r="DT109" s="154">
        <v>0</v>
      </c>
      <c r="DU109" s="154">
        <v>0</v>
      </c>
      <c r="DV109" s="154">
        <v>0</v>
      </c>
      <c r="DW109" s="154">
        <v>0</v>
      </c>
      <c r="DX109" s="204">
        <f>+SUBTOTAL(9,DL109:DW109)</f>
        <v>0</v>
      </c>
      <c r="DY109" s="205"/>
      <c r="DZ109" s="163">
        <v>0</v>
      </c>
      <c r="EA109" s="164">
        <v>0</v>
      </c>
      <c r="EB109" s="154">
        <v>0</v>
      </c>
      <c r="EC109" s="154">
        <v>0</v>
      </c>
      <c r="ED109" s="154">
        <v>0</v>
      </c>
      <c r="EE109" s="154">
        <v>0</v>
      </c>
      <c r="EF109" s="154">
        <v>0</v>
      </c>
      <c r="EG109" s="154">
        <v>0</v>
      </c>
      <c r="EH109" s="154">
        <v>0</v>
      </c>
      <c r="EI109" s="154">
        <v>0</v>
      </c>
      <c r="EJ109" s="154">
        <v>0</v>
      </c>
      <c r="EK109" s="154">
        <v>0</v>
      </c>
      <c r="EL109" s="204">
        <f>+SUBTOTAL(9,DZ109:EK109)</f>
        <v>0</v>
      </c>
      <c r="EM109" s="205"/>
      <c r="EN109" s="163">
        <v>0</v>
      </c>
      <c r="EO109" s="164">
        <v>0</v>
      </c>
      <c r="EP109" s="154">
        <v>0</v>
      </c>
      <c r="EQ109" s="154">
        <v>0</v>
      </c>
      <c r="ER109" s="154">
        <v>0</v>
      </c>
      <c r="ES109" s="154">
        <v>0</v>
      </c>
      <c r="ET109" s="154">
        <v>0</v>
      </c>
      <c r="EU109" s="154">
        <v>0</v>
      </c>
      <c r="EV109" s="154">
        <v>0</v>
      </c>
      <c r="EW109" s="154">
        <v>0</v>
      </c>
      <c r="EX109" s="154">
        <v>0</v>
      </c>
      <c r="EY109" s="154">
        <v>0</v>
      </c>
      <c r="EZ109" s="204">
        <f>+SUBTOTAL(9,EN109:EY109)</f>
        <v>0</v>
      </c>
      <c r="FA109" s="205"/>
      <c r="FB109" s="163">
        <v>0</v>
      </c>
      <c r="FC109" s="164">
        <v>0</v>
      </c>
      <c r="FD109" s="154">
        <v>0</v>
      </c>
      <c r="FE109" s="154">
        <v>0</v>
      </c>
      <c r="FF109" s="154">
        <v>0</v>
      </c>
      <c r="FG109" s="154">
        <v>0</v>
      </c>
      <c r="FH109" s="154">
        <v>0</v>
      </c>
      <c r="FI109" s="154">
        <v>0</v>
      </c>
      <c r="FJ109" s="154">
        <v>0</v>
      </c>
      <c r="FK109" s="154">
        <v>0</v>
      </c>
      <c r="FL109" s="154">
        <v>0</v>
      </c>
      <c r="FM109" s="154">
        <v>0</v>
      </c>
      <c r="FN109" s="204">
        <f>+SUBTOTAL(9,FB109:FM109)</f>
        <v>0</v>
      </c>
      <c r="FO109" s="205"/>
      <c r="FP109" s="163">
        <v>0</v>
      </c>
      <c r="FQ109" s="164">
        <v>0</v>
      </c>
      <c r="FR109" s="154">
        <v>0</v>
      </c>
      <c r="FS109" s="154">
        <v>0</v>
      </c>
      <c r="FT109" s="154">
        <v>0</v>
      </c>
      <c r="FU109" s="154">
        <v>0</v>
      </c>
      <c r="FV109" s="154">
        <v>0</v>
      </c>
      <c r="FW109" s="154">
        <v>0</v>
      </c>
      <c r="FX109" s="154">
        <v>0</v>
      </c>
      <c r="FY109" s="154">
        <v>0</v>
      </c>
      <c r="FZ109" s="154">
        <v>0</v>
      </c>
      <c r="GA109" s="154">
        <v>0</v>
      </c>
      <c r="GB109" s="204">
        <f>+SUBTOTAL(9,FP109:GA109)</f>
        <v>0</v>
      </c>
      <c r="GC109" s="205"/>
      <c r="GD109" s="163">
        <v>0</v>
      </c>
      <c r="GE109" s="164">
        <v>0</v>
      </c>
      <c r="GF109" s="154">
        <v>0</v>
      </c>
      <c r="GG109" s="154">
        <v>0</v>
      </c>
      <c r="GH109" s="154">
        <v>0</v>
      </c>
      <c r="GI109" s="154">
        <v>0</v>
      </c>
      <c r="GJ109" s="154">
        <v>0</v>
      </c>
      <c r="GK109" s="154">
        <v>0</v>
      </c>
      <c r="GL109" s="154">
        <v>0</v>
      </c>
      <c r="GM109" s="154">
        <v>0</v>
      </c>
      <c r="GN109" s="154">
        <v>0</v>
      </c>
      <c r="GO109" s="154">
        <v>0</v>
      </c>
      <c r="GP109" s="204">
        <f>+SUBTOTAL(9,GD109:GO109)</f>
        <v>0</v>
      </c>
      <c r="GQ109" s="205"/>
      <c r="GR109" s="163">
        <v>0</v>
      </c>
      <c r="GS109" s="164">
        <v>0</v>
      </c>
      <c r="GT109" s="154">
        <v>0</v>
      </c>
      <c r="GU109" s="154">
        <v>0</v>
      </c>
      <c r="GV109" s="154">
        <v>0</v>
      </c>
      <c r="GW109" s="154">
        <v>0</v>
      </c>
      <c r="GX109" s="154">
        <v>0</v>
      </c>
      <c r="GY109" s="154">
        <v>0</v>
      </c>
      <c r="GZ109" s="154">
        <v>0</v>
      </c>
      <c r="HA109" s="154">
        <v>0</v>
      </c>
      <c r="HB109" s="154">
        <v>0</v>
      </c>
      <c r="HC109" s="154">
        <v>0</v>
      </c>
      <c r="HD109" s="204">
        <f t="shared" si="293"/>
        <v>0</v>
      </c>
      <c r="HE109" s="205"/>
      <c r="HF109" s="163">
        <v>0</v>
      </c>
      <c r="HG109" s="164">
        <v>0</v>
      </c>
      <c r="HH109" s="154">
        <v>0</v>
      </c>
      <c r="HI109" s="154">
        <v>0</v>
      </c>
      <c r="HJ109" s="154">
        <v>0</v>
      </c>
      <c r="HK109" s="154">
        <v>0</v>
      </c>
      <c r="HL109" s="154">
        <v>0</v>
      </c>
      <c r="HM109" s="154">
        <v>0</v>
      </c>
      <c r="HN109" s="154">
        <v>0</v>
      </c>
      <c r="HO109" s="154">
        <v>0</v>
      </c>
      <c r="HP109" s="154">
        <v>0</v>
      </c>
      <c r="HQ109" s="154">
        <v>0</v>
      </c>
      <c r="HR109" s="204">
        <f>+SUBTOTAL(9,HF109:HQ109)</f>
        <v>0</v>
      </c>
      <c r="HS109" s="205"/>
      <c r="HT109" s="163">
        <v>0</v>
      </c>
      <c r="HU109" s="164">
        <v>0</v>
      </c>
      <c r="HV109" s="154">
        <v>0</v>
      </c>
      <c r="HW109" s="154">
        <v>0</v>
      </c>
      <c r="HX109" s="154">
        <v>0</v>
      </c>
      <c r="HY109" s="154">
        <v>0</v>
      </c>
      <c r="HZ109" s="154">
        <v>0</v>
      </c>
      <c r="IA109" s="154">
        <v>0</v>
      </c>
      <c r="IB109" s="154">
        <v>0</v>
      </c>
      <c r="IC109" s="154">
        <v>0</v>
      </c>
      <c r="ID109" s="154">
        <v>0</v>
      </c>
      <c r="IE109" s="154">
        <v>0</v>
      </c>
      <c r="IF109" s="204">
        <f>+SUBTOTAL(9,HT109:IE109)</f>
        <v>0</v>
      </c>
      <c r="IG109" s="205"/>
      <c r="IH109" s="163">
        <v>0</v>
      </c>
      <c r="II109" s="164">
        <v>0</v>
      </c>
      <c r="IJ109" s="154">
        <v>0</v>
      </c>
      <c r="IK109" s="154">
        <v>0</v>
      </c>
      <c r="IL109" s="154">
        <v>0</v>
      </c>
      <c r="IM109" s="154">
        <v>0</v>
      </c>
      <c r="IN109" s="154">
        <v>0</v>
      </c>
      <c r="IO109" s="154">
        <v>0</v>
      </c>
      <c r="IP109" s="154">
        <v>0</v>
      </c>
      <c r="IQ109" s="154">
        <v>0</v>
      </c>
      <c r="IR109" s="154">
        <v>0</v>
      </c>
      <c r="IS109" s="154">
        <v>0</v>
      </c>
      <c r="IT109" s="204">
        <f>+SUBTOTAL(9,IH109:IS109)</f>
        <v>0</v>
      </c>
      <c r="IU109" s="205"/>
      <c r="IV109" s="163">
        <v>0</v>
      </c>
      <c r="IW109" s="164">
        <v>0</v>
      </c>
      <c r="IX109" s="154">
        <v>0</v>
      </c>
      <c r="IY109" s="154">
        <v>0</v>
      </c>
      <c r="IZ109" s="154">
        <v>0</v>
      </c>
      <c r="JA109" s="154">
        <v>0</v>
      </c>
      <c r="JB109" s="154">
        <v>0</v>
      </c>
      <c r="JC109" s="154">
        <v>0</v>
      </c>
      <c r="JD109" s="154">
        <v>0</v>
      </c>
      <c r="JE109" s="154">
        <v>0</v>
      </c>
      <c r="JF109" s="154">
        <v>0</v>
      </c>
      <c r="JG109" s="154">
        <v>0</v>
      </c>
      <c r="JH109" s="204">
        <f>+SUBTOTAL(9,IV109:JG109)</f>
        <v>0</v>
      </c>
      <c r="JI109" s="205"/>
      <c r="JJ109" s="163">
        <v>0</v>
      </c>
      <c r="JK109" s="164">
        <v>0</v>
      </c>
      <c r="JL109" s="154">
        <v>0</v>
      </c>
      <c r="JM109" s="154">
        <v>0</v>
      </c>
      <c r="JN109" s="154">
        <v>0</v>
      </c>
      <c r="JO109" s="154">
        <v>0</v>
      </c>
      <c r="JP109" s="154">
        <v>0</v>
      </c>
      <c r="JQ109" s="154">
        <v>0</v>
      </c>
      <c r="JR109" s="154">
        <v>0</v>
      </c>
      <c r="JS109" s="154">
        <v>0</v>
      </c>
      <c r="JT109" s="154">
        <v>0</v>
      </c>
      <c r="JU109" s="154">
        <v>0</v>
      </c>
      <c r="JV109" s="204">
        <f>+SUBTOTAL(9,JJ109:JU109)</f>
        <v>0</v>
      </c>
      <c r="JW109" s="205"/>
      <c r="JX109" s="163">
        <v>0</v>
      </c>
      <c r="JY109" s="164">
        <v>0</v>
      </c>
      <c r="JZ109" s="154">
        <v>0</v>
      </c>
      <c r="KA109" s="154">
        <v>0</v>
      </c>
      <c r="KB109" s="154">
        <v>0</v>
      </c>
      <c r="KC109" s="154">
        <v>0</v>
      </c>
      <c r="KD109" s="154">
        <v>0</v>
      </c>
      <c r="KE109" s="154">
        <v>0</v>
      </c>
      <c r="KF109" s="154">
        <v>0</v>
      </c>
      <c r="KG109" s="154">
        <v>0</v>
      </c>
      <c r="KH109" s="154">
        <v>0</v>
      </c>
      <c r="KI109" s="154">
        <v>0</v>
      </c>
      <c r="KJ109" s="204">
        <f>+SUBTOTAL(9,JX109:KI109)</f>
        <v>0</v>
      </c>
      <c r="KK109" s="205"/>
      <c r="KL109" s="163">
        <v>0</v>
      </c>
      <c r="KM109" s="164">
        <v>0</v>
      </c>
      <c r="KN109" s="154">
        <v>0</v>
      </c>
      <c r="KO109" s="154">
        <v>0</v>
      </c>
      <c r="KP109" s="154">
        <v>0</v>
      </c>
      <c r="KQ109" s="154">
        <v>0</v>
      </c>
      <c r="KR109" s="154">
        <v>0</v>
      </c>
      <c r="KS109" s="154">
        <v>0</v>
      </c>
      <c r="KT109" s="154">
        <v>0</v>
      </c>
      <c r="KU109" s="154">
        <v>0</v>
      </c>
      <c r="KV109" s="154">
        <v>0</v>
      </c>
      <c r="KW109" s="154">
        <v>0</v>
      </c>
      <c r="KX109" s="204">
        <f>+SUBTOTAL(9,KL109:KW109)</f>
        <v>0</v>
      </c>
      <c r="KY109" s="205"/>
      <c r="KZ109" s="163">
        <v>0</v>
      </c>
      <c r="LA109" s="164">
        <v>0</v>
      </c>
      <c r="LB109" s="154">
        <v>0</v>
      </c>
      <c r="LC109" s="154">
        <v>0</v>
      </c>
      <c r="LD109" s="154">
        <v>0</v>
      </c>
      <c r="LE109" s="154">
        <v>0</v>
      </c>
      <c r="LF109" s="154">
        <v>0</v>
      </c>
      <c r="LG109" s="154">
        <v>0</v>
      </c>
      <c r="LH109" s="154">
        <v>0</v>
      </c>
      <c r="LI109" s="154">
        <v>0</v>
      </c>
      <c r="LJ109" s="154">
        <v>0</v>
      </c>
      <c r="LK109" s="154">
        <v>0</v>
      </c>
      <c r="LL109" s="204">
        <f>+SUBTOTAL(9,KZ109:LK109)</f>
        <v>0</v>
      </c>
      <c r="LM109" s="205"/>
      <c r="LN109" s="163">
        <v>0</v>
      </c>
      <c r="LO109" s="164">
        <v>0</v>
      </c>
      <c r="LP109" s="154">
        <v>0</v>
      </c>
      <c r="LQ109" s="154">
        <v>0</v>
      </c>
      <c r="LR109" s="154">
        <v>0</v>
      </c>
      <c r="LS109" s="154">
        <v>0</v>
      </c>
      <c r="LT109" s="154">
        <v>0</v>
      </c>
      <c r="LU109" s="154">
        <v>0</v>
      </c>
      <c r="LV109" s="154">
        <v>0</v>
      </c>
      <c r="LW109" s="154">
        <v>0</v>
      </c>
      <c r="LX109" s="154">
        <v>0</v>
      </c>
      <c r="LY109" s="154">
        <v>0</v>
      </c>
      <c r="LZ109" s="204">
        <f>+SUBTOTAL(9,LN109:LY109)</f>
        <v>0</v>
      </c>
      <c r="MA109" s="205"/>
      <c r="MB109" s="157">
        <f t="shared" si="374"/>
        <v>0</v>
      </c>
      <c r="MC109" s="157">
        <f t="shared" si="374"/>
        <v>0</v>
      </c>
      <c r="MD109" s="157">
        <f t="shared" si="374"/>
        <v>0</v>
      </c>
      <c r="ME109" s="157">
        <f t="shared" si="374"/>
        <v>0</v>
      </c>
      <c r="MF109" s="157">
        <f t="shared" si="374"/>
        <v>0</v>
      </c>
      <c r="MG109" s="157">
        <f t="shared" si="374"/>
        <v>0</v>
      </c>
      <c r="MH109" s="157">
        <f t="shared" si="374"/>
        <v>0</v>
      </c>
      <c r="MI109" s="157">
        <f t="shared" si="374"/>
        <v>0</v>
      </c>
      <c r="MJ109" s="157">
        <f t="shared" si="374"/>
        <v>0</v>
      </c>
      <c r="MK109" s="157">
        <f t="shared" si="374"/>
        <v>0</v>
      </c>
      <c r="ML109" s="157">
        <f t="shared" si="374"/>
        <v>0</v>
      </c>
      <c r="MM109" s="157">
        <f t="shared" si="374"/>
        <v>0</v>
      </c>
      <c r="MN109" s="157">
        <f t="shared" si="375"/>
        <v>0</v>
      </c>
    </row>
    <row r="110" spans="1:352" x14ac:dyDescent="0.25">
      <c r="A110" s="98"/>
      <c r="B110" s="64" t="s">
        <v>103</v>
      </c>
      <c r="C110" s="202"/>
      <c r="D110" s="163">
        <v>0</v>
      </c>
      <c r="E110" s="177">
        <v>0</v>
      </c>
      <c r="F110" s="177">
        <v>0</v>
      </c>
      <c r="G110" s="177">
        <v>0</v>
      </c>
      <c r="H110" s="177">
        <v>0</v>
      </c>
      <c r="I110" s="177">
        <v>0</v>
      </c>
      <c r="J110" s="177">
        <v>0</v>
      </c>
      <c r="K110" s="177">
        <v>0</v>
      </c>
      <c r="L110" s="177">
        <v>0</v>
      </c>
      <c r="M110" s="177">
        <v>0</v>
      </c>
      <c r="N110" s="177">
        <v>0</v>
      </c>
      <c r="O110" s="177">
        <v>0</v>
      </c>
      <c r="P110" s="204">
        <f>+SUBTOTAL(9,D110:O110)</f>
        <v>0</v>
      </c>
      <c r="Q110" s="205"/>
      <c r="R110" s="163">
        <v>0</v>
      </c>
      <c r="S110" s="177">
        <v>0</v>
      </c>
      <c r="T110" s="177">
        <v>0</v>
      </c>
      <c r="U110" s="177">
        <v>0</v>
      </c>
      <c r="V110" s="177">
        <v>0</v>
      </c>
      <c r="W110" s="177">
        <v>0</v>
      </c>
      <c r="X110" s="177">
        <v>0</v>
      </c>
      <c r="Y110" s="177">
        <v>0</v>
      </c>
      <c r="Z110" s="177">
        <v>0</v>
      </c>
      <c r="AA110" s="177">
        <v>0</v>
      </c>
      <c r="AB110" s="177">
        <v>0</v>
      </c>
      <c r="AC110" s="177">
        <v>0</v>
      </c>
      <c r="AD110" s="204">
        <f>+SUBTOTAL(9,R110:AC110)</f>
        <v>0</v>
      </c>
      <c r="AE110" s="205"/>
      <c r="AF110" s="163">
        <v>0</v>
      </c>
      <c r="AG110" s="177">
        <v>0</v>
      </c>
      <c r="AH110" s="177">
        <v>0</v>
      </c>
      <c r="AI110" s="177">
        <v>0</v>
      </c>
      <c r="AJ110" s="177">
        <v>0</v>
      </c>
      <c r="AK110" s="177">
        <v>0</v>
      </c>
      <c r="AL110" s="177">
        <v>0</v>
      </c>
      <c r="AM110" s="177">
        <v>0</v>
      </c>
      <c r="AN110" s="177">
        <v>0</v>
      </c>
      <c r="AO110" s="177">
        <v>0</v>
      </c>
      <c r="AP110" s="177">
        <v>0</v>
      </c>
      <c r="AQ110" s="177">
        <v>0</v>
      </c>
      <c r="AR110" s="204">
        <f>+SUBTOTAL(9,AF110:AQ110)</f>
        <v>0</v>
      </c>
      <c r="AT110" s="163">
        <v>0</v>
      </c>
      <c r="AU110" s="177">
        <v>0</v>
      </c>
      <c r="AV110" s="177">
        <v>0</v>
      </c>
      <c r="AW110" s="177">
        <v>0</v>
      </c>
      <c r="AX110" s="177">
        <v>0</v>
      </c>
      <c r="AY110" s="177">
        <v>0</v>
      </c>
      <c r="AZ110" s="177">
        <v>0</v>
      </c>
      <c r="BA110" s="177">
        <v>0</v>
      </c>
      <c r="BB110" s="177">
        <v>0</v>
      </c>
      <c r="BC110" s="177">
        <v>0</v>
      </c>
      <c r="BD110" s="177">
        <v>0</v>
      </c>
      <c r="BE110" s="177">
        <v>0</v>
      </c>
      <c r="BF110" s="204">
        <f>+SUBTOTAL(9,AT110:BE110)</f>
        <v>0</v>
      </c>
      <c r="BH110" s="163">
        <v>0</v>
      </c>
      <c r="BI110" s="164">
        <v>0</v>
      </c>
      <c r="BJ110" s="154">
        <v>0</v>
      </c>
      <c r="BK110" s="154">
        <v>0</v>
      </c>
      <c r="BL110" s="154">
        <v>0</v>
      </c>
      <c r="BM110" s="154">
        <v>0</v>
      </c>
      <c r="BN110" s="154">
        <v>0</v>
      </c>
      <c r="BO110" s="154">
        <v>0</v>
      </c>
      <c r="BP110" s="154">
        <v>0</v>
      </c>
      <c r="BQ110" s="154">
        <v>0</v>
      </c>
      <c r="BR110" s="154">
        <v>0</v>
      </c>
      <c r="BS110" s="154">
        <v>0</v>
      </c>
      <c r="BT110" s="204">
        <f>+SUBTOTAL(9,BH110:BS110)</f>
        <v>0</v>
      </c>
      <c r="BV110" s="163">
        <v>0</v>
      </c>
      <c r="BW110" s="164">
        <v>0</v>
      </c>
      <c r="BX110" s="154">
        <v>0</v>
      </c>
      <c r="BY110" s="154">
        <v>0</v>
      </c>
      <c r="BZ110" s="154">
        <v>0</v>
      </c>
      <c r="CA110" s="154">
        <v>0</v>
      </c>
      <c r="CB110" s="154">
        <v>0</v>
      </c>
      <c r="CC110" s="154">
        <v>0</v>
      </c>
      <c r="CD110" s="154">
        <v>0</v>
      </c>
      <c r="CE110" s="154">
        <v>0</v>
      </c>
      <c r="CF110" s="154">
        <v>0</v>
      </c>
      <c r="CG110" s="154">
        <v>0</v>
      </c>
      <c r="CH110" s="204">
        <f>+SUBTOTAL(9,BV110:CG110)</f>
        <v>0</v>
      </c>
      <c r="CI110" s="205"/>
      <c r="CJ110" s="163">
        <v>0</v>
      </c>
      <c r="CK110" s="164">
        <v>0</v>
      </c>
      <c r="CL110" s="154">
        <v>0</v>
      </c>
      <c r="CM110" s="154">
        <v>0</v>
      </c>
      <c r="CN110" s="154">
        <v>0</v>
      </c>
      <c r="CO110" s="154">
        <v>0</v>
      </c>
      <c r="CP110" s="154">
        <v>0</v>
      </c>
      <c r="CQ110" s="154">
        <v>0</v>
      </c>
      <c r="CR110" s="154">
        <v>0</v>
      </c>
      <c r="CS110" s="154">
        <v>0</v>
      </c>
      <c r="CT110" s="154">
        <v>0</v>
      </c>
      <c r="CU110" s="154">
        <v>0</v>
      </c>
      <c r="CV110" s="204">
        <f>+SUBTOTAL(9,CJ110:CU110)</f>
        <v>0</v>
      </c>
      <c r="CW110" s="205"/>
      <c r="CX110" s="163">
        <v>0</v>
      </c>
      <c r="CY110" s="164">
        <v>0</v>
      </c>
      <c r="CZ110" s="154">
        <v>0</v>
      </c>
      <c r="DA110" s="154">
        <v>0</v>
      </c>
      <c r="DB110" s="154">
        <v>0</v>
      </c>
      <c r="DC110" s="154">
        <v>0</v>
      </c>
      <c r="DD110" s="154">
        <v>0</v>
      </c>
      <c r="DE110" s="154">
        <v>0</v>
      </c>
      <c r="DF110" s="154">
        <v>0</v>
      </c>
      <c r="DG110" s="154">
        <v>0</v>
      </c>
      <c r="DH110" s="154">
        <v>0</v>
      </c>
      <c r="DI110" s="154">
        <v>0</v>
      </c>
      <c r="DJ110" s="204">
        <f>+SUBTOTAL(9,CX110:DI110)</f>
        <v>0</v>
      </c>
      <c r="DK110" s="205"/>
      <c r="DL110" s="163">
        <v>0</v>
      </c>
      <c r="DM110" s="164">
        <v>0</v>
      </c>
      <c r="DN110" s="154">
        <v>0</v>
      </c>
      <c r="DO110" s="154">
        <v>0</v>
      </c>
      <c r="DP110" s="154">
        <v>0</v>
      </c>
      <c r="DQ110" s="154">
        <v>0</v>
      </c>
      <c r="DR110" s="154">
        <v>0</v>
      </c>
      <c r="DS110" s="154">
        <v>0</v>
      </c>
      <c r="DT110" s="154">
        <v>0</v>
      </c>
      <c r="DU110" s="154">
        <v>0</v>
      </c>
      <c r="DV110" s="154">
        <v>0</v>
      </c>
      <c r="DW110" s="154">
        <v>0</v>
      </c>
      <c r="DX110" s="204">
        <f>+SUBTOTAL(9,DL110:DW110)</f>
        <v>0</v>
      </c>
      <c r="DY110" s="205"/>
      <c r="DZ110" s="163">
        <v>0</v>
      </c>
      <c r="EA110" s="164">
        <v>0</v>
      </c>
      <c r="EB110" s="154">
        <v>0</v>
      </c>
      <c r="EC110" s="154">
        <v>0</v>
      </c>
      <c r="ED110" s="154">
        <v>0</v>
      </c>
      <c r="EE110" s="154">
        <v>0</v>
      </c>
      <c r="EF110" s="154">
        <v>0</v>
      </c>
      <c r="EG110" s="154">
        <v>0</v>
      </c>
      <c r="EH110" s="154">
        <v>0</v>
      </c>
      <c r="EI110" s="154">
        <v>0</v>
      </c>
      <c r="EJ110" s="154">
        <v>0</v>
      </c>
      <c r="EK110" s="154">
        <v>0</v>
      </c>
      <c r="EL110" s="204">
        <f>+SUBTOTAL(9,DZ110:EK110)</f>
        <v>0</v>
      </c>
      <c r="EM110" s="205"/>
      <c r="EN110" s="163">
        <v>0</v>
      </c>
      <c r="EO110" s="164">
        <v>0</v>
      </c>
      <c r="EP110" s="154">
        <v>0</v>
      </c>
      <c r="EQ110" s="154">
        <v>0</v>
      </c>
      <c r="ER110" s="154">
        <v>0</v>
      </c>
      <c r="ES110" s="154">
        <v>0</v>
      </c>
      <c r="ET110" s="154">
        <v>0</v>
      </c>
      <c r="EU110" s="154">
        <v>0</v>
      </c>
      <c r="EV110" s="154">
        <v>0</v>
      </c>
      <c r="EW110" s="154">
        <v>0</v>
      </c>
      <c r="EX110" s="154">
        <v>0</v>
      </c>
      <c r="EY110" s="154">
        <v>0</v>
      </c>
      <c r="EZ110" s="204">
        <f>+SUBTOTAL(9,EN110:EY110)</f>
        <v>0</v>
      </c>
      <c r="FA110" s="205"/>
      <c r="FB110" s="163">
        <v>0</v>
      </c>
      <c r="FC110" s="164">
        <v>0</v>
      </c>
      <c r="FD110" s="154">
        <v>0</v>
      </c>
      <c r="FE110" s="154">
        <v>0</v>
      </c>
      <c r="FF110" s="154">
        <v>0</v>
      </c>
      <c r="FG110" s="154">
        <v>0</v>
      </c>
      <c r="FH110" s="154">
        <v>0</v>
      </c>
      <c r="FI110" s="154">
        <v>0</v>
      </c>
      <c r="FJ110" s="154">
        <v>0</v>
      </c>
      <c r="FK110" s="154">
        <v>0</v>
      </c>
      <c r="FL110" s="154">
        <v>0</v>
      </c>
      <c r="FM110" s="154">
        <v>0</v>
      </c>
      <c r="FN110" s="204">
        <f>+SUBTOTAL(9,FB110:FM110)</f>
        <v>0</v>
      </c>
      <c r="FO110" s="205"/>
      <c r="FP110" s="163">
        <v>0</v>
      </c>
      <c r="FQ110" s="164">
        <v>0</v>
      </c>
      <c r="FR110" s="154">
        <v>0</v>
      </c>
      <c r="FS110" s="154">
        <v>0</v>
      </c>
      <c r="FT110" s="154">
        <v>0</v>
      </c>
      <c r="FU110" s="154">
        <v>0</v>
      </c>
      <c r="FV110" s="154">
        <v>0</v>
      </c>
      <c r="FW110" s="154">
        <v>0</v>
      </c>
      <c r="FX110" s="154">
        <v>0</v>
      </c>
      <c r="FY110" s="154">
        <v>0</v>
      </c>
      <c r="FZ110" s="154">
        <v>0</v>
      </c>
      <c r="GA110" s="154">
        <v>0</v>
      </c>
      <c r="GB110" s="204">
        <f>+SUBTOTAL(9,FP110:GA110)</f>
        <v>0</v>
      </c>
      <c r="GC110" s="205"/>
      <c r="GD110" s="163">
        <v>0</v>
      </c>
      <c r="GE110" s="164">
        <v>0</v>
      </c>
      <c r="GF110" s="154">
        <v>0</v>
      </c>
      <c r="GG110" s="154">
        <v>0</v>
      </c>
      <c r="GH110" s="154">
        <v>0</v>
      </c>
      <c r="GI110" s="154">
        <v>0</v>
      </c>
      <c r="GJ110" s="154">
        <v>0</v>
      </c>
      <c r="GK110" s="154">
        <v>0</v>
      </c>
      <c r="GL110" s="154">
        <v>0</v>
      </c>
      <c r="GM110" s="154">
        <v>0</v>
      </c>
      <c r="GN110" s="154">
        <v>0</v>
      </c>
      <c r="GO110" s="154">
        <v>0</v>
      </c>
      <c r="GP110" s="204">
        <f>+SUBTOTAL(9,GD110:GO110)</f>
        <v>0</v>
      </c>
      <c r="GQ110" s="205"/>
      <c r="GR110" s="163">
        <v>0</v>
      </c>
      <c r="GS110" s="164">
        <v>0</v>
      </c>
      <c r="GT110" s="154">
        <v>0</v>
      </c>
      <c r="GU110" s="154">
        <v>0</v>
      </c>
      <c r="GV110" s="154">
        <v>0</v>
      </c>
      <c r="GW110" s="154">
        <v>0</v>
      </c>
      <c r="GX110" s="154">
        <v>0</v>
      </c>
      <c r="GY110" s="154">
        <v>0</v>
      </c>
      <c r="GZ110" s="154">
        <v>0</v>
      </c>
      <c r="HA110" s="154">
        <v>0</v>
      </c>
      <c r="HB110" s="154">
        <v>0</v>
      </c>
      <c r="HC110" s="154">
        <v>0</v>
      </c>
      <c r="HD110" s="204">
        <f t="shared" si="293"/>
        <v>0</v>
      </c>
      <c r="HE110" s="205"/>
      <c r="HF110" s="163">
        <v>0</v>
      </c>
      <c r="HG110" s="164">
        <v>0</v>
      </c>
      <c r="HH110" s="154">
        <v>0</v>
      </c>
      <c r="HI110" s="154">
        <v>0</v>
      </c>
      <c r="HJ110" s="154">
        <v>0</v>
      </c>
      <c r="HK110" s="154">
        <v>0</v>
      </c>
      <c r="HL110" s="154">
        <v>0</v>
      </c>
      <c r="HM110" s="154">
        <v>0</v>
      </c>
      <c r="HN110" s="154">
        <v>0</v>
      </c>
      <c r="HO110" s="154">
        <v>0</v>
      </c>
      <c r="HP110" s="154">
        <v>0</v>
      </c>
      <c r="HQ110" s="154">
        <v>0</v>
      </c>
      <c r="HR110" s="204">
        <f>+SUBTOTAL(9,HF110:HQ110)</f>
        <v>0</v>
      </c>
      <c r="HS110" s="205"/>
      <c r="HT110" s="163">
        <v>0</v>
      </c>
      <c r="HU110" s="164">
        <v>0</v>
      </c>
      <c r="HV110" s="154">
        <v>0</v>
      </c>
      <c r="HW110" s="154">
        <v>0</v>
      </c>
      <c r="HX110" s="154">
        <v>0</v>
      </c>
      <c r="HY110" s="154">
        <v>0</v>
      </c>
      <c r="HZ110" s="154">
        <v>0</v>
      </c>
      <c r="IA110" s="154">
        <v>0</v>
      </c>
      <c r="IB110" s="154">
        <v>0</v>
      </c>
      <c r="IC110" s="154">
        <v>0</v>
      </c>
      <c r="ID110" s="154">
        <v>0</v>
      </c>
      <c r="IE110" s="154">
        <v>0</v>
      </c>
      <c r="IF110" s="204">
        <f>+SUBTOTAL(9,HT110:IE110)</f>
        <v>0</v>
      </c>
      <c r="IG110" s="205"/>
      <c r="IH110" s="163">
        <v>0</v>
      </c>
      <c r="II110" s="164">
        <v>0</v>
      </c>
      <c r="IJ110" s="154">
        <v>0</v>
      </c>
      <c r="IK110" s="154">
        <v>0</v>
      </c>
      <c r="IL110" s="154">
        <v>0</v>
      </c>
      <c r="IM110" s="154">
        <v>0</v>
      </c>
      <c r="IN110" s="154">
        <v>0</v>
      </c>
      <c r="IO110" s="154">
        <v>0</v>
      </c>
      <c r="IP110" s="154">
        <v>0</v>
      </c>
      <c r="IQ110" s="154">
        <v>0</v>
      </c>
      <c r="IR110" s="154">
        <v>0</v>
      </c>
      <c r="IS110" s="154">
        <v>0</v>
      </c>
      <c r="IT110" s="204">
        <f>+SUBTOTAL(9,IH110:IS110)</f>
        <v>0</v>
      </c>
      <c r="IU110" s="205"/>
      <c r="IV110" s="163">
        <v>0</v>
      </c>
      <c r="IW110" s="164">
        <v>0</v>
      </c>
      <c r="IX110" s="154">
        <v>0</v>
      </c>
      <c r="IY110" s="154">
        <v>0</v>
      </c>
      <c r="IZ110" s="154">
        <v>0</v>
      </c>
      <c r="JA110" s="154">
        <v>0</v>
      </c>
      <c r="JB110" s="154">
        <v>0</v>
      </c>
      <c r="JC110" s="154">
        <v>0</v>
      </c>
      <c r="JD110" s="154">
        <v>0</v>
      </c>
      <c r="JE110" s="154">
        <v>0</v>
      </c>
      <c r="JF110" s="154">
        <v>0</v>
      </c>
      <c r="JG110" s="154">
        <v>0</v>
      </c>
      <c r="JH110" s="204">
        <f>+SUBTOTAL(9,IV110:JG110)</f>
        <v>0</v>
      </c>
      <c r="JI110" s="205"/>
      <c r="JJ110" s="163">
        <v>0</v>
      </c>
      <c r="JK110" s="164">
        <v>0</v>
      </c>
      <c r="JL110" s="154">
        <v>0</v>
      </c>
      <c r="JM110" s="154">
        <v>0</v>
      </c>
      <c r="JN110" s="154">
        <v>0</v>
      </c>
      <c r="JO110" s="154">
        <v>0</v>
      </c>
      <c r="JP110" s="154">
        <v>0</v>
      </c>
      <c r="JQ110" s="154">
        <v>0</v>
      </c>
      <c r="JR110" s="154">
        <v>0</v>
      </c>
      <c r="JS110" s="154">
        <v>0</v>
      </c>
      <c r="JT110" s="154">
        <v>0</v>
      </c>
      <c r="JU110" s="154">
        <v>0</v>
      </c>
      <c r="JV110" s="204">
        <f>+SUBTOTAL(9,JJ110:JU110)</f>
        <v>0</v>
      </c>
      <c r="JW110" s="205"/>
      <c r="JX110" s="163">
        <v>0</v>
      </c>
      <c r="JY110" s="164">
        <v>0</v>
      </c>
      <c r="JZ110" s="154">
        <v>0</v>
      </c>
      <c r="KA110" s="154">
        <v>0</v>
      </c>
      <c r="KB110" s="154">
        <v>0</v>
      </c>
      <c r="KC110" s="154">
        <v>0</v>
      </c>
      <c r="KD110" s="154">
        <v>0</v>
      </c>
      <c r="KE110" s="154">
        <v>0</v>
      </c>
      <c r="KF110" s="154">
        <v>0</v>
      </c>
      <c r="KG110" s="154">
        <v>0</v>
      </c>
      <c r="KH110" s="154">
        <v>0</v>
      </c>
      <c r="KI110" s="154">
        <v>0</v>
      </c>
      <c r="KJ110" s="204">
        <f>+SUBTOTAL(9,JX110:KI110)</f>
        <v>0</v>
      </c>
      <c r="KK110" s="205"/>
      <c r="KL110" s="163">
        <v>0</v>
      </c>
      <c r="KM110" s="164">
        <v>0</v>
      </c>
      <c r="KN110" s="154">
        <v>0</v>
      </c>
      <c r="KO110" s="154">
        <v>0</v>
      </c>
      <c r="KP110" s="154">
        <v>0</v>
      </c>
      <c r="KQ110" s="154">
        <v>0</v>
      </c>
      <c r="KR110" s="154">
        <v>0</v>
      </c>
      <c r="KS110" s="154">
        <v>0</v>
      </c>
      <c r="KT110" s="154">
        <v>0</v>
      </c>
      <c r="KU110" s="154">
        <v>0</v>
      </c>
      <c r="KV110" s="154">
        <v>0</v>
      </c>
      <c r="KW110" s="154">
        <v>0</v>
      </c>
      <c r="KX110" s="204">
        <f>+SUBTOTAL(9,KL110:KW110)</f>
        <v>0</v>
      </c>
      <c r="KY110" s="205"/>
      <c r="KZ110" s="163">
        <v>0</v>
      </c>
      <c r="LA110" s="164">
        <v>0</v>
      </c>
      <c r="LB110" s="154">
        <v>0</v>
      </c>
      <c r="LC110" s="154">
        <v>0</v>
      </c>
      <c r="LD110" s="154">
        <v>0</v>
      </c>
      <c r="LE110" s="154">
        <v>0</v>
      </c>
      <c r="LF110" s="154">
        <v>0</v>
      </c>
      <c r="LG110" s="154">
        <v>0</v>
      </c>
      <c r="LH110" s="154">
        <v>0</v>
      </c>
      <c r="LI110" s="154">
        <v>0</v>
      </c>
      <c r="LJ110" s="154">
        <v>0</v>
      </c>
      <c r="LK110" s="154">
        <v>0</v>
      </c>
      <c r="LL110" s="204">
        <f>+SUBTOTAL(9,KZ110:LK110)</f>
        <v>0</v>
      </c>
      <c r="LM110" s="205"/>
      <c r="LN110" s="163">
        <v>0</v>
      </c>
      <c r="LO110" s="164">
        <v>0</v>
      </c>
      <c r="LP110" s="154">
        <v>0</v>
      </c>
      <c r="LQ110" s="154">
        <v>0</v>
      </c>
      <c r="LR110" s="154">
        <v>0</v>
      </c>
      <c r="LS110" s="154">
        <v>0</v>
      </c>
      <c r="LT110" s="154">
        <v>0</v>
      </c>
      <c r="LU110" s="154">
        <v>0</v>
      </c>
      <c r="LV110" s="154">
        <v>0</v>
      </c>
      <c r="LW110" s="154">
        <v>0</v>
      </c>
      <c r="LX110" s="154">
        <v>0</v>
      </c>
      <c r="LY110" s="154">
        <v>0</v>
      </c>
      <c r="LZ110" s="204">
        <f>+SUBTOTAL(9,LN110:LY110)</f>
        <v>0</v>
      </c>
      <c r="MA110" s="205"/>
      <c r="MB110" s="157">
        <f t="shared" si="374"/>
        <v>0</v>
      </c>
      <c r="MC110" s="157">
        <f t="shared" si="374"/>
        <v>0</v>
      </c>
      <c r="MD110" s="157">
        <f t="shared" si="374"/>
        <v>0</v>
      </c>
      <c r="ME110" s="157">
        <f t="shared" si="374"/>
        <v>0</v>
      </c>
      <c r="MF110" s="157">
        <f t="shared" si="374"/>
        <v>0</v>
      </c>
      <c r="MG110" s="157">
        <f t="shared" si="374"/>
        <v>0</v>
      </c>
      <c r="MH110" s="157">
        <f t="shared" si="374"/>
        <v>0</v>
      </c>
      <c r="MI110" s="157">
        <f t="shared" si="374"/>
        <v>0</v>
      </c>
      <c r="MJ110" s="157">
        <f t="shared" si="374"/>
        <v>0</v>
      </c>
      <c r="MK110" s="157">
        <f t="shared" si="374"/>
        <v>0</v>
      </c>
      <c r="ML110" s="157">
        <f t="shared" si="374"/>
        <v>0</v>
      </c>
      <c r="MM110" s="157">
        <f t="shared" si="374"/>
        <v>0</v>
      </c>
      <c r="MN110" s="157">
        <f t="shared" si="375"/>
        <v>0</v>
      </c>
    </row>
    <row r="111" spans="1:352" x14ac:dyDescent="0.25">
      <c r="A111" s="98"/>
      <c r="B111" s="183"/>
      <c r="C111" s="202"/>
      <c r="D111" s="203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204"/>
      <c r="Q111" s="205"/>
      <c r="R111" s="203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204"/>
      <c r="AE111" s="205"/>
      <c r="AF111" s="203"/>
      <c r="AG111" s="177"/>
      <c r="AH111" s="177"/>
      <c r="AI111" s="177"/>
      <c r="AJ111" s="177"/>
      <c r="AK111" s="177"/>
      <c r="AL111" s="177"/>
      <c r="AM111" s="177"/>
      <c r="AN111" s="177"/>
      <c r="AO111" s="177"/>
      <c r="AP111" s="177"/>
      <c r="AQ111" s="177"/>
      <c r="AR111" s="204"/>
      <c r="AT111" s="203"/>
      <c r="AU111" s="177"/>
      <c r="AV111" s="177"/>
      <c r="AW111" s="177"/>
      <c r="AX111" s="177"/>
      <c r="AY111" s="177"/>
      <c r="AZ111" s="177"/>
      <c r="BA111" s="177"/>
      <c r="BB111" s="177"/>
      <c r="BC111" s="177"/>
      <c r="BD111" s="177"/>
      <c r="BE111" s="177"/>
      <c r="BF111" s="204"/>
      <c r="BH111" s="203"/>
      <c r="BI111" s="177"/>
      <c r="BJ111" s="177"/>
      <c r="BK111" s="177"/>
      <c r="BL111" s="177"/>
      <c r="BM111" s="177"/>
      <c r="BN111" s="177"/>
      <c r="BO111" s="177"/>
      <c r="BP111" s="177"/>
      <c r="BQ111" s="177"/>
      <c r="BR111" s="177"/>
      <c r="BS111" s="177"/>
      <c r="BT111" s="204"/>
      <c r="BV111" s="203"/>
      <c r="BW111" s="177"/>
      <c r="BX111" s="177"/>
      <c r="BY111" s="177"/>
      <c r="BZ111" s="177"/>
      <c r="CA111" s="177"/>
      <c r="CB111" s="177"/>
      <c r="CC111" s="177"/>
      <c r="CD111" s="177"/>
      <c r="CE111" s="177"/>
      <c r="CF111" s="177"/>
      <c r="CG111" s="177"/>
      <c r="CH111" s="204"/>
      <c r="CI111" s="205"/>
      <c r="CJ111" s="203"/>
      <c r="CK111" s="177"/>
      <c r="CL111" s="177"/>
      <c r="CM111" s="177"/>
      <c r="CN111" s="177"/>
      <c r="CO111" s="177"/>
      <c r="CP111" s="177"/>
      <c r="CQ111" s="177"/>
      <c r="CR111" s="177"/>
      <c r="CS111" s="177"/>
      <c r="CT111" s="177"/>
      <c r="CU111" s="177"/>
      <c r="CV111" s="204"/>
      <c r="CW111" s="205"/>
      <c r="CX111" s="203"/>
      <c r="CY111" s="177"/>
      <c r="CZ111" s="177"/>
      <c r="DA111" s="177"/>
      <c r="DB111" s="177"/>
      <c r="DC111" s="177"/>
      <c r="DD111" s="177"/>
      <c r="DE111" s="177"/>
      <c r="DF111" s="177"/>
      <c r="DG111" s="177"/>
      <c r="DH111" s="177"/>
      <c r="DI111" s="177"/>
      <c r="DJ111" s="204"/>
      <c r="DK111" s="205"/>
      <c r="DL111" s="203"/>
      <c r="DM111" s="177"/>
      <c r="DN111" s="177"/>
      <c r="DO111" s="177"/>
      <c r="DP111" s="177"/>
      <c r="DQ111" s="177"/>
      <c r="DR111" s="177"/>
      <c r="DS111" s="177"/>
      <c r="DT111" s="177"/>
      <c r="DU111" s="177"/>
      <c r="DV111" s="177"/>
      <c r="DW111" s="177"/>
      <c r="DX111" s="204"/>
      <c r="DY111" s="205"/>
      <c r="DZ111" s="203"/>
      <c r="EA111" s="177"/>
      <c r="EB111" s="177"/>
      <c r="EC111" s="177"/>
      <c r="ED111" s="177"/>
      <c r="EE111" s="177"/>
      <c r="EF111" s="177"/>
      <c r="EG111" s="177"/>
      <c r="EH111" s="177"/>
      <c r="EI111" s="177"/>
      <c r="EJ111" s="177"/>
      <c r="EK111" s="177"/>
      <c r="EL111" s="204"/>
      <c r="EM111" s="205"/>
      <c r="EN111" s="203"/>
      <c r="EO111" s="177"/>
      <c r="EP111" s="177"/>
      <c r="EQ111" s="177"/>
      <c r="ER111" s="177"/>
      <c r="ES111" s="177"/>
      <c r="ET111" s="177"/>
      <c r="EU111" s="177"/>
      <c r="EV111" s="177"/>
      <c r="EW111" s="177"/>
      <c r="EX111" s="177"/>
      <c r="EY111" s="177"/>
      <c r="EZ111" s="204"/>
      <c r="FA111" s="205"/>
      <c r="FB111" s="203"/>
      <c r="FC111" s="177"/>
      <c r="FD111" s="177"/>
      <c r="FE111" s="177"/>
      <c r="FF111" s="177"/>
      <c r="FG111" s="177"/>
      <c r="FH111" s="177"/>
      <c r="FI111" s="177"/>
      <c r="FJ111" s="177"/>
      <c r="FK111" s="177"/>
      <c r="FL111" s="177"/>
      <c r="FM111" s="177"/>
      <c r="FN111" s="204"/>
      <c r="FO111" s="205"/>
      <c r="FP111" s="203"/>
      <c r="FQ111" s="177"/>
      <c r="FR111" s="177"/>
      <c r="FS111" s="177"/>
      <c r="FT111" s="177"/>
      <c r="FU111" s="177"/>
      <c r="FV111" s="177"/>
      <c r="FW111" s="177"/>
      <c r="FX111" s="177"/>
      <c r="FY111" s="177"/>
      <c r="FZ111" s="177"/>
      <c r="GA111" s="177"/>
      <c r="GB111" s="204"/>
      <c r="GC111" s="205"/>
      <c r="GD111" s="203"/>
      <c r="GE111" s="177"/>
      <c r="GF111" s="177"/>
      <c r="GG111" s="177"/>
      <c r="GH111" s="177"/>
      <c r="GI111" s="177"/>
      <c r="GJ111" s="177"/>
      <c r="GK111" s="177"/>
      <c r="GL111" s="177"/>
      <c r="GM111" s="177"/>
      <c r="GN111" s="177"/>
      <c r="GO111" s="177"/>
      <c r="GP111" s="204"/>
      <c r="GQ111" s="205"/>
      <c r="GR111" s="203"/>
      <c r="GS111" s="177"/>
      <c r="GT111" s="177"/>
      <c r="GU111" s="177"/>
      <c r="GV111" s="177"/>
      <c r="GW111" s="177"/>
      <c r="GX111" s="177"/>
      <c r="GY111" s="177"/>
      <c r="GZ111" s="177"/>
      <c r="HA111" s="177"/>
      <c r="HB111" s="177"/>
      <c r="HC111" s="177"/>
      <c r="HD111" s="204">
        <f t="shared" si="293"/>
        <v>0</v>
      </c>
      <c r="HE111" s="205"/>
      <c r="HF111" s="203"/>
      <c r="HG111" s="177"/>
      <c r="HH111" s="177"/>
      <c r="HI111" s="177"/>
      <c r="HJ111" s="177"/>
      <c r="HK111" s="177"/>
      <c r="HL111" s="177"/>
      <c r="HM111" s="177"/>
      <c r="HN111" s="177"/>
      <c r="HO111" s="177"/>
      <c r="HP111" s="177"/>
      <c r="HQ111" s="177"/>
      <c r="HR111" s="204"/>
      <c r="HS111" s="205"/>
      <c r="HT111" s="203"/>
      <c r="HU111" s="177"/>
      <c r="HV111" s="177"/>
      <c r="HW111" s="177"/>
      <c r="HX111" s="177"/>
      <c r="HY111" s="177"/>
      <c r="HZ111" s="177"/>
      <c r="IA111" s="177"/>
      <c r="IB111" s="177"/>
      <c r="IC111" s="177"/>
      <c r="ID111" s="177"/>
      <c r="IE111" s="177"/>
      <c r="IF111" s="204"/>
      <c r="IG111" s="205"/>
      <c r="IH111" s="203"/>
      <c r="II111" s="177"/>
      <c r="IJ111" s="177"/>
      <c r="IK111" s="177"/>
      <c r="IL111" s="177"/>
      <c r="IM111" s="177"/>
      <c r="IN111" s="177"/>
      <c r="IO111" s="177"/>
      <c r="IP111" s="177"/>
      <c r="IQ111" s="177"/>
      <c r="IR111" s="177"/>
      <c r="IS111" s="177"/>
      <c r="IT111" s="204"/>
      <c r="IU111" s="205"/>
      <c r="IV111" s="203"/>
      <c r="IW111" s="177"/>
      <c r="IX111" s="177"/>
      <c r="IY111" s="177"/>
      <c r="IZ111" s="177"/>
      <c r="JA111" s="177"/>
      <c r="JB111" s="177"/>
      <c r="JC111" s="177"/>
      <c r="JD111" s="177"/>
      <c r="JE111" s="177"/>
      <c r="JF111" s="177"/>
      <c r="JG111" s="177"/>
      <c r="JH111" s="204"/>
      <c r="JI111" s="205"/>
      <c r="JJ111" s="203"/>
      <c r="JK111" s="177"/>
      <c r="JL111" s="177"/>
      <c r="JM111" s="177"/>
      <c r="JN111" s="177"/>
      <c r="JO111" s="177"/>
      <c r="JP111" s="177"/>
      <c r="JQ111" s="177"/>
      <c r="JR111" s="177"/>
      <c r="JS111" s="177"/>
      <c r="JT111" s="177"/>
      <c r="JU111" s="177"/>
      <c r="JV111" s="204"/>
      <c r="JW111" s="205"/>
      <c r="JX111" s="203"/>
      <c r="JY111" s="177"/>
      <c r="JZ111" s="177"/>
      <c r="KA111" s="177"/>
      <c r="KB111" s="177"/>
      <c r="KC111" s="177"/>
      <c r="KD111" s="177"/>
      <c r="KE111" s="177"/>
      <c r="KF111" s="177"/>
      <c r="KG111" s="177"/>
      <c r="KH111" s="177"/>
      <c r="KI111" s="177"/>
      <c r="KJ111" s="204"/>
      <c r="KK111" s="205"/>
      <c r="KL111" s="203"/>
      <c r="KM111" s="177"/>
      <c r="KN111" s="177"/>
      <c r="KO111" s="177"/>
      <c r="KP111" s="177"/>
      <c r="KQ111" s="177"/>
      <c r="KR111" s="177"/>
      <c r="KS111" s="177"/>
      <c r="KT111" s="177"/>
      <c r="KU111" s="177"/>
      <c r="KV111" s="177"/>
      <c r="KW111" s="177"/>
      <c r="KX111" s="204"/>
      <c r="KY111" s="205"/>
      <c r="KZ111" s="203"/>
      <c r="LA111" s="177"/>
      <c r="LB111" s="177"/>
      <c r="LC111" s="177"/>
      <c r="LD111" s="177"/>
      <c r="LE111" s="177"/>
      <c r="LF111" s="177"/>
      <c r="LG111" s="177"/>
      <c r="LH111" s="177"/>
      <c r="LI111" s="177"/>
      <c r="LJ111" s="177"/>
      <c r="LK111" s="177"/>
      <c r="LL111" s="204"/>
      <c r="LM111" s="205"/>
      <c r="LN111" s="203"/>
      <c r="LO111" s="177"/>
      <c r="LP111" s="177"/>
      <c r="LQ111" s="177"/>
      <c r="LR111" s="177"/>
      <c r="LS111" s="177"/>
      <c r="LT111" s="177"/>
      <c r="LU111" s="177"/>
      <c r="LV111" s="177"/>
      <c r="LW111" s="177"/>
      <c r="LX111" s="177"/>
      <c r="LY111" s="177"/>
      <c r="LZ111" s="204"/>
      <c r="MA111" s="205"/>
      <c r="MB111" s="204"/>
      <c r="MC111" s="204"/>
      <c r="MD111" s="204"/>
      <c r="ME111" s="204"/>
      <c r="MF111" s="204"/>
      <c r="MG111" s="204"/>
      <c r="MH111" s="204"/>
      <c r="MI111" s="204"/>
      <c r="MJ111" s="204"/>
      <c r="MK111" s="204"/>
      <c r="ML111" s="204"/>
      <c r="MM111" s="204"/>
      <c r="MN111" s="204"/>
    </row>
    <row r="112" spans="1:352" s="170" customFormat="1" ht="13" x14ac:dyDescent="0.3">
      <c r="A112" s="186"/>
      <c r="B112" s="166" t="s">
        <v>221</v>
      </c>
      <c r="C112" s="172"/>
      <c r="D112" s="216">
        <f>SUM(D106:D111)</f>
        <v>115.07936507936509</v>
      </c>
      <c r="E112" s="217">
        <f t="shared" ref="E112:O112" si="376">SUM(E106:E111)</f>
        <v>115.07936507936509</v>
      </c>
      <c r="F112" s="217">
        <f t="shared" si="376"/>
        <v>115.07936507936509</v>
      </c>
      <c r="G112" s="217">
        <f t="shared" si="376"/>
        <v>115.07936507936509</v>
      </c>
      <c r="H112" s="217">
        <f t="shared" si="376"/>
        <v>115.07936507936509</v>
      </c>
      <c r="I112" s="217">
        <f t="shared" si="376"/>
        <v>115.07936507936509</v>
      </c>
      <c r="J112" s="217">
        <f t="shared" si="376"/>
        <v>115.07936507936509</v>
      </c>
      <c r="K112" s="217">
        <f t="shared" si="376"/>
        <v>115.07936507936509</v>
      </c>
      <c r="L112" s="217">
        <f t="shared" si="376"/>
        <v>115.07936507936509</v>
      </c>
      <c r="M112" s="217">
        <f t="shared" si="376"/>
        <v>115.07936507936509</v>
      </c>
      <c r="N112" s="217">
        <f t="shared" si="376"/>
        <v>115.07936507936509</v>
      </c>
      <c r="O112" s="217">
        <f t="shared" si="376"/>
        <v>115.07936507936509</v>
      </c>
      <c r="P112" s="218">
        <f>+SUBTOTAL(9,D112:O112)</f>
        <v>1380.952380952381</v>
      </c>
      <c r="Q112" s="176"/>
      <c r="R112" s="216">
        <f>SUM(R106:R111)</f>
        <v>11.904761904761905</v>
      </c>
      <c r="S112" s="217">
        <f t="shared" ref="S112:AC112" si="377">SUM(S106:S111)</f>
        <v>11.904761904761905</v>
      </c>
      <c r="T112" s="217">
        <f t="shared" si="377"/>
        <v>11.904761904761905</v>
      </c>
      <c r="U112" s="217">
        <f t="shared" si="377"/>
        <v>11.904761904761905</v>
      </c>
      <c r="V112" s="217">
        <f t="shared" si="377"/>
        <v>11.904761904761905</v>
      </c>
      <c r="W112" s="217">
        <f t="shared" si="377"/>
        <v>11.904761904761905</v>
      </c>
      <c r="X112" s="217">
        <f t="shared" si="377"/>
        <v>11.904761904761905</v>
      </c>
      <c r="Y112" s="217">
        <f t="shared" si="377"/>
        <v>11.904761904761905</v>
      </c>
      <c r="Z112" s="217">
        <f t="shared" si="377"/>
        <v>11.904761904761905</v>
      </c>
      <c r="AA112" s="217">
        <f t="shared" si="377"/>
        <v>11.904761904761905</v>
      </c>
      <c r="AB112" s="217">
        <f t="shared" si="377"/>
        <v>11.904761904761905</v>
      </c>
      <c r="AC112" s="217">
        <f t="shared" si="377"/>
        <v>11.904761904761905</v>
      </c>
      <c r="AD112" s="218">
        <f>+SUBTOTAL(9,R112:AC112)</f>
        <v>142.85714285714283</v>
      </c>
      <c r="AE112" s="176"/>
      <c r="AF112" s="216">
        <f>SUM(AF106:AF111)</f>
        <v>11.904761904761905</v>
      </c>
      <c r="AG112" s="217">
        <f t="shared" ref="AG112:AQ112" si="378">SUM(AG106:AG111)</f>
        <v>11.904761904761905</v>
      </c>
      <c r="AH112" s="217">
        <f t="shared" si="378"/>
        <v>11.904761904761905</v>
      </c>
      <c r="AI112" s="217">
        <f t="shared" si="378"/>
        <v>11.904761904761905</v>
      </c>
      <c r="AJ112" s="217">
        <f t="shared" si="378"/>
        <v>11.904761904761905</v>
      </c>
      <c r="AK112" s="217">
        <f t="shared" si="378"/>
        <v>11.904761904761905</v>
      </c>
      <c r="AL112" s="217">
        <f t="shared" si="378"/>
        <v>11.904761904761905</v>
      </c>
      <c r="AM112" s="217">
        <f t="shared" si="378"/>
        <v>11.904761904761905</v>
      </c>
      <c r="AN112" s="217">
        <f t="shared" si="378"/>
        <v>11.904761904761905</v>
      </c>
      <c r="AO112" s="217">
        <f t="shared" si="378"/>
        <v>11.904761904761905</v>
      </c>
      <c r="AP112" s="217">
        <f t="shared" si="378"/>
        <v>11.904761904761905</v>
      </c>
      <c r="AQ112" s="217">
        <f t="shared" si="378"/>
        <v>11.904761904761905</v>
      </c>
      <c r="AR112" s="218">
        <f>+SUBTOTAL(9,AF112:AQ112)</f>
        <v>142.85714285714283</v>
      </c>
      <c r="AS112" s="213"/>
      <c r="AT112" s="216">
        <f>SUM(AT106:AT111)</f>
        <v>7.9365079365079367</v>
      </c>
      <c r="AU112" s="217">
        <f t="shared" ref="AU112:BE112" si="379">SUM(AU106:AU111)</f>
        <v>7.9365079365079367</v>
      </c>
      <c r="AV112" s="217">
        <f t="shared" si="379"/>
        <v>7.9365079365079367</v>
      </c>
      <c r="AW112" s="217">
        <f t="shared" si="379"/>
        <v>7.9365079365079367</v>
      </c>
      <c r="AX112" s="217">
        <f t="shared" si="379"/>
        <v>7.9365079365079367</v>
      </c>
      <c r="AY112" s="217">
        <f t="shared" si="379"/>
        <v>7.9365079365079367</v>
      </c>
      <c r="AZ112" s="217">
        <f t="shared" si="379"/>
        <v>7.9365079365079367</v>
      </c>
      <c r="BA112" s="217">
        <f t="shared" si="379"/>
        <v>7.9365079365079367</v>
      </c>
      <c r="BB112" s="217">
        <f t="shared" si="379"/>
        <v>7.9365079365079367</v>
      </c>
      <c r="BC112" s="217">
        <f t="shared" si="379"/>
        <v>7.9365079365079367</v>
      </c>
      <c r="BD112" s="217">
        <f t="shared" si="379"/>
        <v>7.9365079365079367</v>
      </c>
      <c r="BE112" s="217">
        <f t="shared" si="379"/>
        <v>7.9365079365079367</v>
      </c>
      <c r="BF112" s="218">
        <f>+SUBTOTAL(9,AT112:BE112)</f>
        <v>95.238095238095241</v>
      </c>
      <c r="BG112" s="176"/>
      <c r="BH112" s="216">
        <f>SUM(BH106:BH111)</f>
        <v>59.523809523809526</v>
      </c>
      <c r="BI112" s="217">
        <f t="shared" ref="BI112:BS112" si="380">SUM(BI106:BI111)</f>
        <v>59.523809523809526</v>
      </c>
      <c r="BJ112" s="217">
        <f t="shared" si="380"/>
        <v>59.523809523809526</v>
      </c>
      <c r="BK112" s="217">
        <f t="shared" si="380"/>
        <v>59.523809523809526</v>
      </c>
      <c r="BL112" s="217">
        <f t="shared" si="380"/>
        <v>59.523809523809526</v>
      </c>
      <c r="BM112" s="217">
        <f t="shared" si="380"/>
        <v>59.523809523809526</v>
      </c>
      <c r="BN112" s="217">
        <f t="shared" si="380"/>
        <v>59.523809523809526</v>
      </c>
      <c r="BO112" s="217">
        <f t="shared" si="380"/>
        <v>59.523809523809526</v>
      </c>
      <c r="BP112" s="217">
        <f t="shared" si="380"/>
        <v>59.523809523809526</v>
      </c>
      <c r="BQ112" s="217">
        <f t="shared" si="380"/>
        <v>59.523809523809526</v>
      </c>
      <c r="BR112" s="217">
        <f t="shared" si="380"/>
        <v>59.523809523809526</v>
      </c>
      <c r="BS112" s="217">
        <f t="shared" si="380"/>
        <v>59.523809523809526</v>
      </c>
      <c r="BT112" s="218">
        <f>+SUBTOTAL(9,BH112:BS112)</f>
        <v>714.28571428571433</v>
      </c>
      <c r="BU112" s="213"/>
      <c r="BV112" s="216">
        <f>SUM(BV106:BV111)</f>
        <v>3.9682539682539684</v>
      </c>
      <c r="BW112" s="217">
        <f t="shared" ref="BW112:CG112" si="381">SUM(BW106:BW111)</f>
        <v>3.9682539682539684</v>
      </c>
      <c r="BX112" s="217">
        <f t="shared" si="381"/>
        <v>3.9682539682539684</v>
      </c>
      <c r="BY112" s="217">
        <f t="shared" si="381"/>
        <v>3.9682539682539684</v>
      </c>
      <c r="BZ112" s="217">
        <f t="shared" si="381"/>
        <v>3.9682539682539684</v>
      </c>
      <c r="CA112" s="217">
        <f t="shared" si="381"/>
        <v>3.9682539682539684</v>
      </c>
      <c r="CB112" s="217">
        <f t="shared" si="381"/>
        <v>3.9682539682539684</v>
      </c>
      <c r="CC112" s="217">
        <f t="shared" si="381"/>
        <v>3.9682539682539684</v>
      </c>
      <c r="CD112" s="217">
        <f t="shared" si="381"/>
        <v>3.9682539682539684</v>
      </c>
      <c r="CE112" s="217">
        <f t="shared" si="381"/>
        <v>3.9682539682539684</v>
      </c>
      <c r="CF112" s="217">
        <f t="shared" si="381"/>
        <v>3.9682539682539684</v>
      </c>
      <c r="CG112" s="217">
        <f t="shared" si="381"/>
        <v>3.9682539682539684</v>
      </c>
      <c r="CH112" s="218">
        <f>+SUBTOTAL(9,BV112:CG112)</f>
        <v>47.61904761904762</v>
      </c>
      <c r="CI112" s="176"/>
      <c r="CJ112" s="216">
        <f>SUM(CJ106:CJ111)</f>
        <v>43.650793650793652</v>
      </c>
      <c r="CK112" s="217">
        <f t="shared" ref="CK112:CU112" si="382">SUM(CK106:CK111)</f>
        <v>43.650793650793652</v>
      </c>
      <c r="CL112" s="217">
        <f t="shared" si="382"/>
        <v>43.650793650793652</v>
      </c>
      <c r="CM112" s="217">
        <f t="shared" si="382"/>
        <v>43.650793650793652</v>
      </c>
      <c r="CN112" s="217">
        <f t="shared" si="382"/>
        <v>43.650793650793652</v>
      </c>
      <c r="CO112" s="217">
        <f t="shared" si="382"/>
        <v>43.650793650793652</v>
      </c>
      <c r="CP112" s="217">
        <f t="shared" si="382"/>
        <v>43.650793650793652</v>
      </c>
      <c r="CQ112" s="217">
        <f t="shared" si="382"/>
        <v>43.650793650793652</v>
      </c>
      <c r="CR112" s="217">
        <f t="shared" si="382"/>
        <v>43.650793650793652</v>
      </c>
      <c r="CS112" s="217">
        <f t="shared" si="382"/>
        <v>43.650793650793652</v>
      </c>
      <c r="CT112" s="217">
        <f t="shared" si="382"/>
        <v>43.650793650793652</v>
      </c>
      <c r="CU112" s="217">
        <f t="shared" si="382"/>
        <v>43.650793650793652</v>
      </c>
      <c r="CV112" s="218">
        <f>+SUBTOTAL(9,CJ112:CU112)</f>
        <v>523.80952380952397</v>
      </c>
      <c r="CW112" s="176"/>
      <c r="CX112" s="216">
        <f>SUM(CX106:CX111)</f>
        <v>111.11111111111111</v>
      </c>
      <c r="CY112" s="217">
        <f t="shared" ref="CY112:DI112" si="383">SUM(CY106:CY111)</f>
        <v>111.11111111111111</v>
      </c>
      <c r="CZ112" s="217">
        <f t="shared" si="383"/>
        <v>111.11111111111111</v>
      </c>
      <c r="DA112" s="217">
        <f t="shared" si="383"/>
        <v>111.11111111111111</v>
      </c>
      <c r="DB112" s="217">
        <f t="shared" si="383"/>
        <v>111.11111111111111</v>
      </c>
      <c r="DC112" s="217">
        <f t="shared" si="383"/>
        <v>111.11111111111111</v>
      </c>
      <c r="DD112" s="217">
        <f t="shared" si="383"/>
        <v>111.11111111111111</v>
      </c>
      <c r="DE112" s="217">
        <f t="shared" si="383"/>
        <v>111.11111111111111</v>
      </c>
      <c r="DF112" s="217">
        <f t="shared" si="383"/>
        <v>111.11111111111111</v>
      </c>
      <c r="DG112" s="217">
        <f t="shared" si="383"/>
        <v>111.11111111111111</v>
      </c>
      <c r="DH112" s="217">
        <f t="shared" si="383"/>
        <v>111.11111111111111</v>
      </c>
      <c r="DI112" s="217">
        <f t="shared" si="383"/>
        <v>111.11111111111111</v>
      </c>
      <c r="DJ112" s="218">
        <f>+SUBTOTAL(9,CX112:DI112)</f>
        <v>1333.3333333333333</v>
      </c>
      <c r="DK112" s="176"/>
      <c r="DL112" s="216">
        <f>SUM(DL106:DL111)</f>
        <v>111.11111111111111</v>
      </c>
      <c r="DM112" s="217">
        <f t="shared" ref="DM112:DW112" si="384">SUM(DM106:DM111)</f>
        <v>111.11111111111111</v>
      </c>
      <c r="DN112" s="217">
        <f t="shared" si="384"/>
        <v>111.11111111111111</v>
      </c>
      <c r="DO112" s="217">
        <f t="shared" si="384"/>
        <v>111.11111111111111</v>
      </c>
      <c r="DP112" s="217">
        <f t="shared" si="384"/>
        <v>111.11111111111111</v>
      </c>
      <c r="DQ112" s="217">
        <f t="shared" si="384"/>
        <v>111.11111111111111</v>
      </c>
      <c r="DR112" s="217">
        <f t="shared" si="384"/>
        <v>111.11111111111111</v>
      </c>
      <c r="DS112" s="217">
        <f t="shared" si="384"/>
        <v>111.11111111111111</v>
      </c>
      <c r="DT112" s="217">
        <f t="shared" si="384"/>
        <v>111.11111111111111</v>
      </c>
      <c r="DU112" s="217">
        <f t="shared" si="384"/>
        <v>111.11111111111111</v>
      </c>
      <c r="DV112" s="217">
        <f t="shared" si="384"/>
        <v>111.11111111111111</v>
      </c>
      <c r="DW112" s="217">
        <f t="shared" si="384"/>
        <v>111.11111111111111</v>
      </c>
      <c r="DX112" s="218">
        <f>+SUBTOTAL(9,DL112:DW112)</f>
        <v>1333.3333333333333</v>
      </c>
      <c r="DY112" s="176"/>
      <c r="DZ112" s="216">
        <f>SUM(DZ106:DZ111)</f>
        <v>3.9682539682539684</v>
      </c>
      <c r="EA112" s="217">
        <f t="shared" ref="EA112:EK112" si="385">SUM(EA106:EA111)</f>
        <v>3.9682539682539684</v>
      </c>
      <c r="EB112" s="217">
        <f t="shared" si="385"/>
        <v>3.9682539682539684</v>
      </c>
      <c r="EC112" s="217">
        <f t="shared" si="385"/>
        <v>3.9682539682539684</v>
      </c>
      <c r="ED112" s="217">
        <f t="shared" si="385"/>
        <v>3.9682539682539684</v>
      </c>
      <c r="EE112" s="217">
        <f t="shared" si="385"/>
        <v>3.9682539682539684</v>
      </c>
      <c r="EF112" s="217">
        <f t="shared" si="385"/>
        <v>3.9682539682539684</v>
      </c>
      <c r="EG112" s="217">
        <f t="shared" si="385"/>
        <v>3.9682539682539684</v>
      </c>
      <c r="EH112" s="217">
        <f t="shared" si="385"/>
        <v>3.9682539682539684</v>
      </c>
      <c r="EI112" s="217">
        <f t="shared" si="385"/>
        <v>3.9682539682539684</v>
      </c>
      <c r="EJ112" s="217">
        <f t="shared" si="385"/>
        <v>3.9682539682539684</v>
      </c>
      <c r="EK112" s="217">
        <f t="shared" si="385"/>
        <v>3.9682539682539684</v>
      </c>
      <c r="EL112" s="218">
        <f>+SUBTOTAL(9,DZ112:EK112)</f>
        <v>47.61904761904762</v>
      </c>
      <c r="EM112" s="176"/>
      <c r="EN112" s="216">
        <f>SUM(EN106:EN111)</f>
        <v>7.9365079365079367</v>
      </c>
      <c r="EO112" s="217">
        <f t="shared" ref="EO112:EY112" si="386">SUM(EO106:EO111)</f>
        <v>7.9365079365079367</v>
      </c>
      <c r="EP112" s="217">
        <f t="shared" si="386"/>
        <v>7.9365079365079367</v>
      </c>
      <c r="EQ112" s="217">
        <f t="shared" si="386"/>
        <v>7.9365079365079367</v>
      </c>
      <c r="ER112" s="217">
        <f t="shared" si="386"/>
        <v>7.9365079365079367</v>
      </c>
      <c r="ES112" s="217">
        <f t="shared" si="386"/>
        <v>7.9365079365079367</v>
      </c>
      <c r="ET112" s="217">
        <f t="shared" si="386"/>
        <v>7.9365079365079367</v>
      </c>
      <c r="EU112" s="217">
        <f t="shared" si="386"/>
        <v>7.9365079365079367</v>
      </c>
      <c r="EV112" s="217">
        <f t="shared" si="386"/>
        <v>7.9365079365079367</v>
      </c>
      <c r="EW112" s="217">
        <f t="shared" si="386"/>
        <v>7.9365079365079367</v>
      </c>
      <c r="EX112" s="217">
        <f t="shared" si="386"/>
        <v>7.9365079365079367</v>
      </c>
      <c r="EY112" s="217">
        <f t="shared" si="386"/>
        <v>7.9365079365079367</v>
      </c>
      <c r="EZ112" s="218">
        <f>+SUBTOTAL(9,EN112:EY112)</f>
        <v>95.238095238095241</v>
      </c>
      <c r="FA112" s="176"/>
      <c r="FB112" s="216">
        <f>SUM(FB106:FB111)</f>
        <v>3.9682539682539684</v>
      </c>
      <c r="FC112" s="217">
        <f t="shared" ref="FC112:FM112" si="387">SUM(FC106:FC111)</f>
        <v>3.9682539682539684</v>
      </c>
      <c r="FD112" s="217">
        <f t="shared" si="387"/>
        <v>3.9682539682539684</v>
      </c>
      <c r="FE112" s="217">
        <f t="shared" si="387"/>
        <v>3.9682539682539684</v>
      </c>
      <c r="FF112" s="217">
        <f t="shared" si="387"/>
        <v>3.9682539682539684</v>
      </c>
      <c r="FG112" s="217">
        <f t="shared" si="387"/>
        <v>3.9682539682539684</v>
      </c>
      <c r="FH112" s="217">
        <f t="shared" si="387"/>
        <v>3.9682539682539684</v>
      </c>
      <c r="FI112" s="217">
        <f t="shared" si="387"/>
        <v>3.9682539682539684</v>
      </c>
      <c r="FJ112" s="217">
        <f t="shared" si="387"/>
        <v>3.9682539682539684</v>
      </c>
      <c r="FK112" s="217">
        <f t="shared" si="387"/>
        <v>3.9682539682539684</v>
      </c>
      <c r="FL112" s="217">
        <f t="shared" si="387"/>
        <v>3.9682539682539684</v>
      </c>
      <c r="FM112" s="217">
        <f t="shared" si="387"/>
        <v>3.9682539682539684</v>
      </c>
      <c r="FN112" s="218">
        <f>+SUBTOTAL(9,FB112:FM112)</f>
        <v>47.61904761904762</v>
      </c>
      <c r="FO112" s="176"/>
      <c r="FP112" s="216">
        <f>SUM(FP106:FP111)</f>
        <v>27.777777777777779</v>
      </c>
      <c r="FQ112" s="217">
        <f t="shared" ref="FQ112:GA112" si="388">SUM(FQ106:FQ111)</f>
        <v>27.777777777777779</v>
      </c>
      <c r="FR112" s="217">
        <f t="shared" si="388"/>
        <v>27.777777777777779</v>
      </c>
      <c r="FS112" s="217">
        <f t="shared" si="388"/>
        <v>27.777777777777779</v>
      </c>
      <c r="FT112" s="217">
        <f t="shared" si="388"/>
        <v>27.777777777777779</v>
      </c>
      <c r="FU112" s="217">
        <f t="shared" si="388"/>
        <v>27.777777777777779</v>
      </c>
      <c r="FV112" s="217">
        <f t="shared" si="388"/>
        <v>27.777777777777779</v>
      </c>
      <c r="FW112" s="217">
        <f t="shared" si="388"/>
        <v>27.777777777777779</v>
      </c>
      <c r="FX112" s="217">
        <f t="shared" si="388"/>
        <v>27.777777777777779</v>
      </c>
      <c r="FY112" s="217">
        <f t="shared" si="388"/>
        <v>27.777777777777779</v>
      </c>
      <c r="FZ112" s="217">
        <f t="shared" si="388"/>
        <v>27.777777777777779</v>
      </c>
      <c r="GA112" s="217">
        <f t="shared" si="388"/>
        <v>27.777777777777779</v>
      </c>
      <c r="GB112" s="218">
        <f>+SUBTOTAL(9,FP112:GA112)</f>
        <v>333.33333333333331</v>
      </c>
      <c r="GC112" s="176"/>
      <c r="GD112" s="216">
        <f>SUM(GD106:GD111)</f>
        <v>3.9682539682539684</v>
      </c>
      <c r="GE112" s="217">
        <f t="shared" ref="GE112:GO112" si="389">SUM(GE106:GE111)</f>
        <v>3.9682539682539684</v>
      </c>
      <c r="GF112" s="217">
        <f t="shared" si="389"/>
        <v>3.9682539682539684</v>
      </c>
      <c r="GG112" s="217">
        <f t="shared" si="389"/>
        <v>3.9682539682539684</v>
      </c>
      <c r="GH112" s="217">
        <f t="shared" si="389"/>
        <v>3.9682539682539684</v>
      </c>
      <c r="GI112" s="217">
        <f t="shared" si="389"/>
        <v>3.9682539682539684</v>
      </c>
      <c r="GJ112" s="217">
        <f t="shared" si="389"/>
        <v>3.9682539682539684</v>
      </c>
      <c r="GK112" s="217">
        <f t="shared" si="389"/>
        <v>3.9682539682539684</v>
      </c>
      <c r="GL112" s="217">
        <f t="shared" si="389"/>
        <v>3.9682539682539684</v>
      </c>
      <c r="GM112" s="217">
        <f t="shared" si="389"/>
        <v>3.9682539682539684</v>
      </c>
      <c r="GN112" s="217">
        <f t="shared" si="389"/>
        <v>3.9682539682539684</v>
      </c>
      <c r="GO112" s="217">
        <f t="shared" si="389"/>
        <v>3.9682539682539684</v>
      </c>
      <c r="GP112" s="218">
        <f>+SUBTOTAL(9,GD112:GO112)</f>
        <v>47.61904761904762</v>
      </c>
      <c r="GQ112" s="176"/>
      <c r="GR112" s="216">
        <f>SUM(GR106:GR111)</f>
        <v>0</v>
      </c>
      <c r="GS112" s="217">
        <f t="shared" ref="GS112:HC112" si="390">SUM(GS106:GS111)</f>
        <v>0</v>
      </c>
      <c r="GT112" s="217">
        <f t="shared" si="390"/>
        <v>0</v>
      </c>
      <c r="GU112" s="217">
        <f t="shared" si="390"/>
        <v>0</v>
      </c>
      <c r="GV112" s="217">
        <f t="shared" si="390"/>
        <v>0</v>
      </c>
      <c r="GW112" s="217">
        <f t="shared" si="390"/>
        <v>0</v>
      </c>
      <c r="GX112" s="217">
        <f t="shared" si="390"/>
        <v>0</v>
      </c>
      <c r="GY112" s="217">
        <f t="shared" si="390"/>
        <v>0</v>
      </c>
      <c r="GZ112" s="217">
        <f t="shared" si="390"/>
        <v>0</v>
      </c>
      <c r="HA112" s="217">
        <f t="shared" si="390"/>
        <v>0</v>
      </c>
      <c r="HB112" s="217">
        <f t="shared" si="390"/>
        <v>0</v>
      </c>
      <c r="HC112" s="217">
        <f t="shared" si="390"/>
        <v>0</v>
      </c>
      <c r="HD112" s="218">
        <f t="shared" si="293"/>
        <v>0</v>
      </c>
      <c r="HE112" s="176"/>
      <c r="HF112" s="216">
        <f>SUM(HF106:HF111)</f>
        <v>15.873015873015873</v>
      </c>
      <c r="HG112" s="217">
        <f t="shared" ref="HG112:HQ112" si="391">SUM(HG106:HG111)</f>
        <v>15.873015873015873</v>
      </c>
      <c r="HH112" s="217">
        <f t="shared" si="391"/>
        <v>15.873015873015873</v>
      </c>
      <c r="HI112" s="217">
        <f t="shared" si="391"/>
        <v>15.873015873015873</v>
      </c>
      <c r="HJ112" s="217">
        <f t="shared" si="391"/>
        <v>15.873015873015873</v>
      </c>
      <c r="HK112" s="217">
        <f t="shared" si="391"/>
        <v>15.873015873015873</v>
      </c>
      <c r="HL112" s="217">
        <f t="shared" si="391"/>
        <v>15.873015873015873</v>
      </c>
      <c r="HM112" s="217">
        <f t="shared" si="391"/>
        <v>15.873015873015873</v>
      </c>
      <c r="HN112" s="217">
        <f t="shared" si="391"/>
        <v>15.873015873015873</v>
      </c>
      <c r="HO112" s="217">
        <f t="shared" si="391"/>
        <v>15.873015873015873</v>
      </c>
      <c r="HP112" s="217">
        <f t="shared" si="391"/>
        <v>15.873015873015873</v>
      </c>
      <c r="HQ112" s="217">
        <f t="shared" si="391"/>
        <v>15.873015873015873</v>
      </c>
      <c r="HR112" s="218">
        <f>+SUBTOTAL(9,HF112:HQ112)</f>
        <v>190.47619047619048</v>
      </c>
      <c r="HS112" s="176"/>
      <c r="HT112" s="216">
        <f>SUM(HT106:HT111)</f>
        <v>3.9682539682539684</v>
      </c>
      <c r="HU112" s="217">
        <f t="shared" ref="HU112:IE112" si="392">SUM(HU106:HU111)</f>
        <v>3.9682539682539684</v>
      </c>
      <c r="HV112" s="217">
        <f t="shared" si="392"/>
        <v>3.9682539682539684</v>
      </c>
      <c r="HW112" s="217">
        <f t="shared" si="392"/>
        <v>3.9682539682539684</v>
      </c>
      <c r="HX112" s="217">
        <f t="shared" si="392"/>
        <v>3.9682539682539684</v>
      </c>
      <c r="HY112" s="217">
        <f t="shared" si="392"/>
        <v>3.9682539682539684</v>
      </c>
      <c r="HZ112" s="217">
        <f t="shared" si="392"/>
        <v>3.9682539682539684</v>
      </c>
      <c r="IA112" s="217">
        <f t="shared" si="392"/>
        <v>3.9682539682539684</v>
      </c>
      <c r="IB112" s="217">
        <f t="shared" si="392"/>
        <v>3.9682539682539684</v>
      </c>
      <c r="IC112" s="217">
        <f t="shared" si="392"/>
        <v>3.9682539682539684</v>
      </c>
      <c r="ID112" s="217">
        <f t="shared" si="392"/>
        <v>3.9682539682539684</v>
      </c>
      <c r="IE112" s="217">
        <f t="shared" si="392"/>
        <v>3.9682539682539684</v>
      </c>
      <c r="IF112" s="218">
        <f>+SUBTOTAL(9,HT112:IE112)</f>
        <v>47.61904761904762</v>
      </c>
      <c r="IG112" s="176"/>
      <c r="IH112" s="216">
        <f>SUM(IH106:IH111)</f>
        <v>3.9682539682539684</v>
      </c>
      <c r="II112" s="217">
        <f t="shared" ref="II112:IS112" si="393">SUM(II106:II111)</f>
        <v>3.9682539682539684</v>
      </c>
      <c r="IJ112" s="217">
        <f t="shared" si="393"/>
        <v>3.9682539682539684</v>
      </c>
      <c r="IK112" s="217">
        <f t="shared" si="393"/>
        <v>3.9682539682539684</v>
      </c>
      <c r="IL112" s="217">
        <f t="shared" si="393"/>
        <v>3.9682539682539684</v>
      </c>
      <c r="IM112" s="217">
        <f t="shared" si="393"/>
        <v>3.9682539682539684</v>
      </c>
      <c r="IN112" s="217">
        <f t="shared" si="393"/>
        <v>3.9682539682539684</v>
      </c>
      <c r="IO112" s="217">
        <f t="shared" si="393"/>
        <v>3.9682539682539684</v>
      </c>
      <c r="IP112" s="217">
        <f t="shared" si="393"/>
        <v>3.9682539682539684</v>
      </c>
      <c r="IQ112" s="217">
        <f t="shared" si="393"/>
        <v>3.9682539682539684</v>
      </c>
      <c r="IR112" s="217">
        <f t="shared" si="393"/>
        <v>3.9682539682539684</v>
      </c>
      <c r="IS112" s="217">
        <f t="shared" si="393"/>
        <v>3.9682539682539684</v>
      </c>
      <c r="IT112" s="218">
        <f>+SUBTOTAL(9,IH112:IS112)</f>
        <v>47.61904761904762</v>
      </c>
      <c r="IU112" s="176"/>
      <c r="IV112" s="216">
        <f>SUM(IV106:IV111)</f>
        <v>27.777777777777779</v>
      </c>
      <c r="IW112" s="217">
        <f t="shared" ref="IW112:JG112" si="394">SUM(IW106:IW111)</f>
        <v>27.777777777777779</v>
      </c>
      <c r="IX112" s="217">
        <f t="shared" si="394"/>
        <v>27.777777777777779</v>
      </c>
      <c r="IY112" s="217">
        <f t="shared" si="394"/>
        <v>27.777777777777779</v>
      </c>
      <c r="IZ112" s="217">
        <f t="shared" si="394"/>
        <v>27.777777777777779</v>
      </c>
      <c r="JA112" s="217">
        <f t="shared" si="394"/>
        <v>27.777777777777779</v>
      </c>
      <c r="JB112" s="217">
        <f t="shared" si="394"/>
        <v>27.777777777777779</v>
      </c>
      <c r="JC112" s="217">
        <f t="shared" si="394"/>
        <v>27.777777777777779</v>
      </c>
      <c r="JD112" s="217">
        <f t="shared" si="394"/>
        <v>27.777777777777779</v>
      </c>
      <c r="JE112" s="217">
        <f t="shared" si="394"/>
        <v>27.777777777777779</v>
      </c>
      <c r="JF112" s="217">
        <f t="shared" si="394"/>
        <v>27.777777777777779</v>
      </c>
      <c r="JG112" s="217">
        <f t="shared" si="394"/>
        <v>27.777777777777779</v>
      </c>
      <c r="JH112" s="218">
        <f>+SUBTOTAL(9,IV112:JG112)</f>
        <v>333.33333333333331</v>
      </c>
      <c r="JI112" s="176"/>
      <c r="JJ112" s="216">
        <f>SUM(JJ106:JJ111)</f>
        <v>43.650793650793652</v>
      </c>
      <c r="JK112" s="217">
        <f t="shared" ref="JK112:JU112" si="395">SUM(JK106:JK111)</f>
        <v>43.650793650793652</v>
      </c>
      <c r="JL112" s="217">
        <f t="shared" si="395"/>
        <v>43.650793650793652</v>
      </c>
      <c r="JM112" s="217">
        <f t="shared" si="395"/>
        <v>43.650793650793652</v>
      </c>
      <c r="JN112" s="217">
        <f t="shared" si="395"/>
        <v>43.650793650793652</v>
      </c>
      <c r="JO112" s="217">
        <f t="shared" si="395"/>
        <v>43.650793650793652</v>
      </c>
      <c r="JP112" s="217">
        <f t="shared" si="395"/>
        <v>43.650793650793652</v>
      </c>
      <c r="JQ112" s="217">
        <f t="shared" si="395"/>
        <v>43.650793650793652</v>
      </c>
      <c r="JR112" s="217">
        <f t="shared" si="395"/>
        <v>43.650793650793652</v>
      </c>
      <c r="JS112" s="217">
        <f t="shared" si="395"/>
        <v>43.650793650793652</v>
      </c>
      <c r="JT112" s="217">
        <f t="shared" si="395"/>
        <v>43.650793650793652</v>
      </c>
      <c r="JU112" s="217">
        <f t="shared" si="395"/>
        <v>43.650793650793652</v>
      </c>
      <c r="JV112" s="218">
        <f>+SUBTOTAL(9,JJ112:JU112)</f>
        <v>523.80952380952397</v>
      </c>
      <c r="JW112" s="176"/>
      <c r="JX112" s="216">
        <f>SUM(JX106:JX111)</f>
        <v>19.841269841269842</v>
      </c>
      <c r="JY112" s="217">
        <f t="shared" ref="JY112:KI112" si="396">SUM(JY106:JY111)</f>
        <v>19.841269841269842</v>
      </c>
      <c r="JZ112" s="217">
        <f t="shared" si="396"/>
        <v>19.841269841269842</v>
      </c>
      <c r="KA112" s="217">
        <f t="shared" si="396"/>
        <v>19.841269841269842</v>
      </c>
      <c r="KB112" s="217">
        <f t="shared" si="396"/>
        <v>19.841269841269842</v>
      </c>
      <c r="KC112" s="217">
        <f t="shared" si="396"/>
        <v>19.841269841269842</v>
      </c>
      <c r="KD112" s="217">
        <f t="shared" si="396"/>
        <v>19.841269841269842</v>
      </c>
      <c r="KE112" s="217">
        <f t="shared" si="396"/>
        <v>19.841269841269842</v>
      </c>
      <c r="KF112" s="217">
        <f t="shared" si="396"/>
        <v>19.841269841269842</v>
      </c>
      <c r="KG112" s="217">
        <f t="shared" si="396"/>
        <v>19.841269841269842</v>
      </c>
      <c r="KH112" s="217">
        <f t="shared" si="396"/>
        <v>19.841269841269842</v>
      </c>
      <c r="KI112" s="217">
        <f t="shared" si="396"/>
        <v>19.841269841269842</v>
      </c>
      <c r="KJ112" s="218">
        <f>+SUBTOTAL(9,JX112:KI112)</f>
        <v>238.09523809523816</v>
      </c>
      <c r="KK112" s="176"/>
      <c r="KL112" s="216">
        <f>SUM(KL106:KL111)</f>
        <v>7.9365079365079367</v>
      </c>
      <c r="KM112" s="217">
        <f t="shared" ref="KM112:KW112" si="397">SUM(KM106:KM111)</f>
        <v>7.9365079365079367</v>
      </c>
      <c r="KN112" s="217">
        <f t="shared" si="397"/>
        <v>7.9365079365079367</v>
      </c>
      <c r="KO112" s="217">
        <f t="shared" si="397"/>
        <v>7.9365079365079367</v>
      </c>
      <c r="KP112" s="217">
        <f t="shared" si="397"/>
        <v>7.9365079365079367</v>
      </c>
      <c r="KQ112" s="217">
        <f t="shared" si="397"/>
        <v>7.9365079365079367</v>
      </c>
      <c r="KR112" s="217">
        <f t="shared" si="397"/>
        <v>7.9365079365079367</v>
      </c>
      <c r="KS112" s="217">
        <f t="shared" si="397"/>
        <v>7.9365079365079367</v>
      </c>
      <c r="KT112" s="217">
        <f t="shared" si="397"/>
        <v>7.9365079365079367</v>
      </c>
      <c r="KU112" s="217">
        <f t="shared" si="397"/>
        <v>7.9365079365079367</v>
      </c>
      <c r="KV112" s="217">
        <f t="shared" si="397"/>
        <v>7.9365079365079367</v>
      </c>
      <c r="KW112" s="217">
        <f t="shared" si="397"/>
        <v>7.9365079365079367</v>
      </c>
      <c r="KX112" s="218">
        <f>+SUBTOTAL(9,KL112:KW112)</f>
        <v>95.238095238095241</v>
      </c>
      <c r="KY112" s="176"/>
      <c r="KZ112" s="216">
        <f>SUM(KZ106:KZ111)</f>
        <v>3.9682539682539684</v>
      </c>
      <c r="LA112" s="217">
        <f t="shared" ref="LA112:LK112" si="398">SUM(LA106:LA111)</f>
        <v>3.9682539682539684</v>
      </c>
      <c r="LB112" s="217">
        <f t="shared" si="398"/>
        <v>3.9682539682539684</v>
      </c>
      <c r="LC112" s="217">
        <f t="shared" si="398"/>
        <v>3.9682539682539684</v>
      </c>
      <c r="LD112" s="217">
        <f t="shared" si="398"/>
        <v>3.9682539682539684</v>
      </c>
      <c r="LE112" s="217">
        <f t="shared" si="398"/>
        <v>3.9682539682539684</v>
      </c>
      <c r="LF112" s="217">
        <f t="shared" si="398"/>
        <v>3.9682539682539684</v>
      </c>
      <c r="LG112" s="217">
        <f t="shared" si="398"/>
        <v>3.9682539682539684</v>
      </c>
      <c r="LH112" s="217">
        <f t="shared" si="398"/>
        <v>3.9682539682539684</v>
      </c>
      <c r="LI112" s="217">
        <f t="shared" si="398"/>
        <v>3.9682539682539684</v>
      </c>
      <c r="LJ112" s="217">
        <f t="shared" si="398"/>
        <v>3.9682539682539684</v>
      </c>
      <c r="LK112" s="217">
        <f t="shared" si="398"/>
        <v>3.9682539682539684</v>
      </c>
      <c r="LL112" s="218">
        <f>+SUBTOTAL(9,KZ112:LK112)</f>
        <v>47.61904761904762</v>
      </c>
      <c r="LM112" s="176"/>
      <c r="LN112" s="216">
        <f>SUM(LN106:LN111)</f>
        <v>0</v>
      </c>
      <c r="LO112" s="217">
        <f t="shared" ref="LO112:LY112" si="399">SUM(LO106:LO111)</f>
        <v>0</v>
      </c>
      <c r="LP112" s="217">
        <f t="shared" si="399"/>
        <v>0</v>
      </c>
      <c r="LQ112" s="217">
        <f t="shared" si="399"/>
        <v>0</v>
      </c>
      <c r="LR112" s="217">
        <f t="shared" si="399"/>
        <v>0</v>
      </c>
      <c r="LS112" s="217">
        <f t="shared" si="399"/>
        <v>0</v>
      </c>
      <c r="LT112" s="217">
        <f t="shared" si="399"/>
        <v>0</v>
      </c>
      <c r="LU112" s="217">
        <f t="shared" si="399"/>
        <v>0</v>
      </c>
      <c r="LV112" s="217">
        <f t="shared" si="399"/>
        <v>0</v>
      </c>
      <c r="LW112" s="217">
        <f t="shared" si="399"/>
        <v>0</v>
      </c>
      <c r="LX112" s="217">
        <f t="shared" si="399"/>
        <v>0</v>
      </c>
      <c r="LY112" s="217">
        <f t="shared" si="399"/>
        <v>0</v>
      </c>
      <c r="LZ112" s="218">
        <f>+SUBTOTAL(9,LN112:LY112)</f>
        <v>0</v>
      </c>
      <c r="MA112" s="176"/>
      <c r="MB112" s="218">
        <f t="shared" ref="MB112:MC112" si="400">SUM(MB106:MB111)</f>
        <v>650.79365079365095</v>
      </c>
      <c r="MC112" s="218">
        <f t="shared" si="400"/>
        <v>650.79365079365095</v>
      </c>
      <c r="MD112" s="218">
        <f t="shared" ref="MD112:MN112" si="401">SUM(MD106:MD111)</f>
        <v>650.79365079365095</v>
      </c>
      <c r="ME112" s="218">
        <f t="shared" si="401"/>
        <v>650.79365079365095</v>
      </c>
      <c r="MF112" s="218">
        <f t="shared" si="401"/>
        <v>650.79365079365095</v>
      </c>
      <c r="MG112" s="218">
        <f t="shared" si="401"/>
        <v>650.79365079365095</v>
      </c>
      <c r="MH112" s="218">
        <f t="shared" si="401"/>
        <v>650.79365079365095</v>
      </c>
      <c r="MI112" s="218">
        <f t="shared" si="401"/>
        <v>650.79365079365095</v>
      </c>
      <c r="MJ112" s="218">
        <f t="shared" si="401"/>
        <v>650.79365079365095</v>
      </c>
      <c r="MK112" s="218">
        <f t="shared" si="401"/>
        <v>650.79365079365095</v>
      </c>
      <c r="ML112" s="218">
        <f t="shared" si="401"/>
        <v>650.79365079365095</v>
      </c>
      <c r="MM112" s="218">
        <f t="shared" si="401"/>
        <v>650.79365079365095</v>
      </c>
      <c r="MN112" s="218">
        <f t="shared" si="401"/>
        <v>7809.5238095238119</v>
      </c>
    </row>
    <row r="113" spans="1:352" s="170" customFormat="1" ht="13" x14ac:dyDescent="0.3">
      <c r="A113" s="186"/>
      <c r="B113" s="166"/>
      <c r="C113" s="172"/>
      <c r="D113" s="197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75"/>
      <c r="Q113" s="176"/>
      <c r="R113" s="197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75"/>
      <c r="AE113" s="176"/>
      <c r="AF113" s="197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75"/>
      <c r="AS113" s="213"/>
      <c r="AT113" s="197"/>
      <c r="AU113" s="198"/>
      <c r="AV113" s="198"/>
      <c r="AW113" s="198"/>
      <c r="AX113" s="198"/>
      <c r="AY113" s="198"/>
      <c r="AZ113" s="198"/>
      <c r="BA113" s="198"/>
      <c r="BB113" s="198"/>
      <c r="BC113" s="198"/>
      <c r="BD113" s="198"/>
      <c r="BE113" s="198"/>
      <c r="BF113" s="175"/>
      <c r="BG113" s="176"/>
      <c r="BH113" s="197"/>
      <c r="BI113" s="198"/>
      <c r="BJ113" s="198"/>
      <c r="BK113" s="198"/>
      <c r="BL113" s="198"/>
      <c r="BM113" s="198"/>
      <c r="BN113" s="198"/>
      <c r="BO113" s="198"/>
      <c r="BP113" s="198"/>
      <c r="BQ113" s="198"/>
      <c r="BR113" s="198"/>
      <c r="BS113" s="198"/>
      <c r="BT113" s="175"/>
      <c r="BU113" s="213"/>
      <c r="BV113" s="197"/>
      <c r="BW113" s="198"/>
      <c r="BX113" s="198"/>
      <c r="BY113" s="198"/>
      <c r="BZ113" s="198"/>
      <c r="CA113" s="198"/>
      <c r="CB113" s="198"/>
      <c r="CC113" s="198"/>
      <c r="CD113" s="198"/>
      <c r="CE113" s="198"/>
      <c r="CF113" s="198"/>
      <c r="CG113" s="198"/>
      <c r="CH113" s="175"/>
      <c r="CI113" s="176"/>
      <c r="CJ113" s="197"/>
      <c r="CK113" s="198"/>
      <c r="CL113" s="198"/>
      <c r="CM113" s="198"/>
      <c r="CN113" s="198"/>
      <c r="CO113" s="198"/>
      <c r="CP113" s="198"/>
      <c r="CQ113" s="198"/>
      <c r="CR113" s="198"/>
      <c r="CS113" s="198"/>
      <c r="CT113" s="198"/>
      <c r="CU113" s="198"/>
      <c r="CV113" s="175"/>
      <c r="CW113" s="176"/>
      <c r="CX113" s="197"/>
      <c r="CY113" s="198"/>
      <c r="CZ113" s="198"/>
      <c r="DA113" s="198"/>
      <c r="DB113" s="198"/>
      <c r="DC113" s="198"/>
      <c r="DD113" s="198"/>
      <c r="DE113" s="198"/>
      <c r="DF113" s="198"/>
      <c r="DG113" s="198"/>
      <c r="DH113" s="198"/>
      <c r="DI113" s="198"/>
      <c r="DJ113" s="175"/>
      <c r="DK113" s="176"/>
      <c r="DL113" s="197"/>
      <c r="DM113" s="198"/>
      <c r="DN113" s="198"/>
      <c r="DO113" s="198"/>
      <c r="DP113" s="198"/>
      <c r="DQ113" s="198"/>
      <c r="DR113" s="198"/>
      <c r="DS113" s="198"/>
      <c r="DT113" s="198"/>
      <c r="DU113" s="198"/>
      <c r="DV113" s="198"/>
      <c r="DW113" s="198"/>
      <c r="DX113" s="175"/>
      <c r="DY113" s="176"/>
      <c r="DZ113" s="197"/>
      <c r="EA113" s="198"/>
      <c r="EB113" s="198"/>
      <c r="EC113" s="198"/>
      <c r="ED113" s="198"/>
      <c r="EE113" s="198"/>
      <c r="EF113" s="198"/>
      <c r="EG113" s="198"/>
      <c r="EH113" s="198"/>
      <c r="EI113" s="198"/>
      <c r="EJ113" s="198"/>
      <c r="EK113" s="198"/>
      <c r="EL113" s="175"/>
      <c r="EM113" s="176"/>
      <c r="EN113" s="197"/>
      <c r="EO113" s="198"/>
      <c r="EP113" s="198"/>
      <c r="EQ113" s="198"/>
      <c r="ER113" s="198"/>
      <c r="ES113" s="198"/>
      <c r="ET113" s="198"/>
      <c r="EU113" s="198"/>
      <c r="EV113" s="198"/>
      <c r="EW113" s="198"/>
      <c r="EX113" s="198"/>
      <c r="EY113" s="198"/>
      <c r="EZ113" s="175"/>
      <c r="FA113" s="176"/>
      <c r="FB113" s="197"/>
      <c r="FC113" s="198"/>
      <c r="FD113" s="198"/>
      <c r="FE113" s="198"/>
      <c r="FF113" s="198"/>
      <c r="FG113" s="198"/>
      <c r="FH113" s="198"/>
      <c r="FI113" s="198"/>
      <c r="FJ113" s="198"/>
      <c r="FK113" s="198"/>
      <c r="FL113" s="198"/>
      <c r="FM113" s="198"/>
      <c r="FN113" s="175"/>
      <c r="FO113" s="176"/>
      <c r="FP113" s="197"/>
      <c r="FQ113" s="198"/>
      <c r="FR113" s="198"/>
      <c r="FS113" s="198"/>
      <c r="FT113" s="198"/>
      <c r="FU113" s="198"/>
      <c r="FV113" s="198"/>
      <c r="FW113" s="198"/>
      <c r="FX113" s="198"/>
      <c r="FY113" s="198"/>
      <c r="FZ113" s="198"/>
      <c r="GA113" s="198"/>
      <c r="GB113" s="175"/>
      <c r="GC113" s="176"/>
      <c r="GD113" s="197"/>
      <c r="GE113" s="198"/>
      <c r="GF113" s="198"/>
      <c r="GG113" s="198"/>
      <c r="GH113" s="198"/>
      <c r="GI113" s="198"/>
      <c r="GJ113" s="198"/>
      <c r="GK113" s="198"/>
      <c r="GL113" s="198"/>
      <c r="GM113" s="198"/>
      <c r="GN113" s="198"/>
      <c r="GO113" s="198"/>
      <c r="GP113" s="175"/>
      <c r="GQ113" s="176"/>
      <c r="GR113" s="197"/>
      <c r="GS113" s="198"/>
      <c r="GT113" s="198"/>
      <c r="GU113" s="198"/>
      <c r="GV113" s="198"/>
      <c r="GW113" s="198"/>
      <c r="GX113" s="198"/>
      <c r="GY113" s="198"/>
      <c r="GZ113" s="198"/>
      <c r="HA113" s="198"/>
      <c r="HB113" s="198"/>
      <c r="HC113" s="198"/>
      <c r="HD113" s="175"/>
      <c r="HE113" s="176"/>
      <c r="HF113" s="197"/>
      <c r="HG113" s="198"/>
      <c r="HH113" s="198"/>
      <c r="HI113" s="198"/>
      <c r="HJ113" s="198"/>
      <c r="HK113" s="198"/>
      <c r="HL113" s="198"/>
      <c r="HM113" s="198"/>
      <c r="HN113" s="198"/>
      <c r="HO113" s="198"/>
      <c r="HP113" s="198"/>
      <c r="HQ113" s="198"/>
      <c r="HR113" s="175"/>
      <c r="HS113" s="176"/>
      <c r="HT113" s="197"/>
      <c r="HU113" s="198"/>
      <c r="HV113" s="198"/>
      <c r="HW113" s="198"/>
      <c r="HX113" s="198"/>
      <c r="HY113" s="198"/>
      <c r="HZ113" s="198"/>
      <c r="IA113" s="198"/>
      <c r="IB113" s="198"/>
      <c r="IC113" s="198"/>
      <c r="ID113" s="198"/>
      <c r="IE113" s="198"/>
      <c r="IF113" s="175"/>
      <c r="IG113" s="176"/>
      <c r="IH113" s="197"/>
      <c r="II113" s="198"/>
      <c r="IJ113" s="198"/>
      <c r="IK113" s="198"/>
      <c r="IL113" s="198"/>
      <c r="IM113" s="198"/>
      <c r="IN113" s="198"/>
      <c r="IO113" s="198"/>
      <c r="IP113" s="198"/>
      <c r="IQ113" s="198"/>
      <c r="IR113" s="198"/>
      <c r="IS113" s="198"/>
      <c r="IT113" s="175"/>
      <c r="IU113" s="176"/>
      <c r="IV113" s="197"/>
      <c r="IW113" s="198"/>
      <c r="IX113" s="198"/>
      <c r="IY113" s="198"/>
      <c r="IZ113" s="198"/>
      <c r="JA113" s="198"/>
      <c r="JB113" s="198"/>
      <c r="JC113" s="198"/>
      <c r="JD113" s="198"/>
      <c r="JE113" s="198"/>
      <c r="JF113" s="198"/>
      <c r="JG113" s="198"/>
      <c r="JH113" s="175"/>
      <c r="JI113" s="176"/>
      <c r="JJ113" s="197"/>
      <c r="JK113" s="198"/>
      <c r="JL113" s="198"/>
      <c r="JM113" s="198"/>
      <c r="JN113" s="198"/>
      <c r="JO113" s="198"/>
      <c r="JP113" s="198"/>
      <c r="JQ113" s="198"/>
      <c r="JR113" s="198"/>
      <c r="JS113" s="198"/>
      <c r="JT113" s="198"/>
      <c r="JU113" s="198"/>
      <c r="JV113" s="175"/>
      <c r="JW113" s="176"/>
      <c r="JX113" s="197"/>
      <c r="JY113" s="198"/>
      <c r="JZ113" s="198"/>
      <c r="KA113" s="198"/>
      <c r="KB113" s="198"/>
      <c r="KC113" s="198"/>
      <c r="KD113" s="198"/>
      <c r="KE113" s="198"/>
      <c r="KF113" s="198"/>
      <c r="KG113" s="198"/>
      <c r="KH113" s="198"/>
      <c r="KI113" s="198"/>
      <c r="KJ113" s="175"/>
      <c r="KK113" s="176"/>
      <c r="KL113" s="197"/>
      <c r="KM113" s="198"/>
      <c r="KN113" s="198"/>
      <c r="KO113" s="198"/>
      <c r="KP113" s="198"/>
      <c r="KQ113" s="198"/>
      <c r="KR113" s="198"/>
      <c r="KS113" s="198"/>
      <c r="KT113" s="198"/>
      <c r="KU113" s="198"/>
      <c r="KV113" s="198"/>
      <c r="KW113" s="198"/>
      <c r="KX113" s="175"/>
      <c r="KY113" s="176"/>
      <c r="KZ113" s="197"/>
      <c r="LA113" s="198"/>
      <c r="LB113" s="198"/>
      <c r="LC113" s="198"/>
      <c r="LD113" s="198"/>
      <c r="LE113" s="198"/>
      <c r="LF113" s="198"/>
      <c r="LG113" s="198"/>
      <c r="LH113" s="198"/>
      <c r="LI113" s="198"/>
      <c r="LJ113" s="198"/>
      <c r="LK113" s="198"/>
      <c r="LL113" s="175"/>
      <c r="LM113" s="176"/>
      <c r="LN113" s="197"/>
      <c r="LO113" s="198"/>
      <c r="LP113" s="198"/>
      <c r="LQ113" s="198"/>
      <c r="LR113" s="198"/>
      <c r="LS113" s="198"/>
      <c r="LT113" s="198"/>
      <c r="LU113" s="198"/>
      <c r="LV113" s="198"/>
      <c r="LW113" s="198"/>
      <c r="LX113" s="198"/>
      <c r="LY113" s="198"/>
      <c r="LZ113" s="175"/>
      <c r="MA113" s="176"/>
      <c r="MB113" s="175"/>
      <c r="MC113" s="175"/>
      <c r="MD113" s="175"/>
      <c r="ME113" s="175"/>
      <c r="MF113" s="175"/>
      <c r="MG113" s="175"/>
      <c r="MH113" s="175"/>
      <c r="MI113" s="175"/>
      <c r="MJ113" s="175"/>
      <c r="MK113" s="175"/>
      <c r="ML113" s="175"/>
      <c r="MM113" s="175"/>
      <c r="MN113" s="175"/>
    </row>
    <row r="114" spans="1:352" s="232" customFormat="1" x14ac:dyDescent="0.3">
      <c r="A114" s="219"/>
      <c r="B114" s="220" t="s">
        <v>222</v>
      </c>
      <c r="C114" s="221"/>
      <c r="D114" s="222">
        <f>(+D98+D108)/83.92</f>
        <v>52876.225415302237</v>
      </c>
      <c r="E114" s="221">
        <f t="shared" ref="E114:O114" si="402">(+E98+E108)/83.92</f>
        <v>50790.028061550962</v>
      </c>
      <c r="F114" s="221">
        <f t="shared" si="402"/>
        <v>51048.479585993482</v>
      </c>
      <c r="G114" s="221">
        <f t="shared" si="402"/>
        <v>50576.74924460952</v>
      </c>
      <c r="H114" s="221">
        <f t="shared" si="402"/>
        <v>50641.289807870322</v>
      </c>
      <c r="I114" s="221">
        <f t="shared" si="402"/>
        <v>50658.576907003982</v>
      </c>
      <c r="J114" s="221">
        <f t="shared" si="402"/>
        <v>51307.373713675486</v>
      </c>
      <c r="K114" s="221">
        <f t="shared" si="402"/>
        <v>51987.887133862787</v>
      </c>
      <c r="L114" s="221">
        <f t="shared" si="402"/>
        <v>54068.825320457727</v>
      </c>
      <c r="M114" s="221">
        <f t="shared" si="402"/>
        <v>51783.308649251594</v>
      </c>
      <c r="N114" s="221">
        <f t="shared" si="402"/>
        <v>49540.185364080186</v>
      </c>
      <c r="O114" s="221">
        <f t="shared" si="402"/>
        <v>48462.357190420684</v>
      </c>
      <c r="P114" s="223">
        <f>+SUBTOTAL(9,D114:O114)</f>
        <v>613741.28639407898</v>
      </c>
      <c r="Q114" s="224"/>
      <c r="R114" s="222">
        <f>(+R98+R108)/83.92</f>
        <v>4618.5622228709162</v>
      </c>
      <c r="S114" s="221">
        <f t="shared" ref="S114:AC114" si="403">(+S98+S108)/83.92</f>
        <v>4409.4052894283832</v>
      </c>
      <c r="T114" s="221">
        <f t="shared" si="403"/>
        <v>4435.0938580954435</v>
      </c>
      <c r="U114" s="221">
        <f t="shared" si="403"/>
        <v>4387.3419635378905</v>
      </c>
      <c r="V114" s="221">
        <f t="shared" si="403"/>
        <v>4394.0185735303867</v>
      </c>
      <c r="W114" s="221">
        <f t="shared" si="403"/>
        <v>4395.80689413042</v>
      </c>
      <c r="X114" s="221">
        <f t="shared" si="403"/>
        <v>4460.5833166870489</v>
      </c>
      <c r="Y114" s="221">
        <f t="shared" si="403"/>
        <v>4526.6668028751901</v>
      </c>
      <c r="Z114" s="221">
        <f t="shared" si="403"/>
        <v>4742.5526210012977</v>
      </c>
      <c r="AA114" s="221">
        <f t="shared" si="403"/>
        <v>4506.1198619110064</v>
      </c>
      <c r="AB114" s="221">
        <f t="shared" si="403"/>
        <v>4276.7229328674375</v>
      </c>
      <c r="AC114" s="221">
        <f t="shared" si="403"/>
        <v>4165.161831572068</v>
      </c>
      <c r="AD114" s="223">
        <f>+SUBTOTAL(9,R114:AC114)</f>
        <v>53318.036168507489</v>
      </c>
      <c r="AE114" s="224"/>
      <c r="AF114" s="222">
        <f>(+AF98+AF108)/83.92</f>
        <v>4639.8086480377415</v>
      </c>
      <c r="AG114" s="221">
        <f t="shared" ref="AG114:AQ114" si="404">(+AG98+AG108)/83.92</f>
        <v>4430.6517145952093</v>
      </c>
      <c r="AH114" s="221">
        <f t="shared" si="404"/>
        <v>4456.3402832622696</v>
      </c>
      <c r="AI114" s="221">
        <f t="shared" si="404"/>
        <v>4408.5883887047157</v>
      </c>
      <c r="AJ114" s="221">
        <f t="shared" si="404"/>
        <v>4415.2649986972119</v>
      </c>
      <c r="AK114" s="221">
        <f t="shared" si="404"/>
        <v>4417.0533192972453</v>
      </c>
      <c r="AL114" s="221">
        <f t="shared" si="404"/>
        <v>4481.829741853875</v>
      </c>
      <c r="AM114" s="221">
        <f t="shared" si="404"/>
        <v>4547.9132280420163</v>
      </c>
      <c r="AN114" s="221">
        <f t="shared" si="404"/>
        <v>4763.7990461681229</v>
      </c>
      <c r="AO114" s="221">
        <f t="shared" si="404"/>
        <v>4527.3662870778326</v>
      </c>
      <c r="AP114" s="221">
        <f t="shared" si="404"/>
        <v>4297.9693580342628</v>
      </c>
      <c r="AQ114" s="221">
        <f t="shared" si="404"/>
        <v>4186.4082567388941</v>
      </c>
      <c r="AR114" s="223">
        <f>+SUBTOTAL(9,AF114:AQ114)</f>
        <v>53572.993270509411</v>
      </c>
      <c r="AS114" s="225"/>
      <c r="AT114" s="226">
        <f>(+AT98+AT108)/83.92</f>
        <v>11078.898488586967</v>
      </c>
      <c r="AU114" s="227">
        <f t="shared" ref="AU114:BE114" si="405">(+AU98+AU108)/83.92</f>
        <v>10939.46053295861</v>
      </c>
      <c r="AV114" s="227">
        <f t="shared" si="405"/>
        <v>10956.586245403318</v>
      </c>
      <c r="AW114" s="227">
        <f t="shared" si="405"/>
        <v>10924.751649031616</v>
      </c>
      <c r="AX114" s="227">
        <f t="shared" si="405"/>
        <v>10929.202722359945</v>
      </c>
      <c r="AY114" s="227">
        <f t="shared" si="405"/>
        <v>10930.394936093302</v>
      </c>
      <c r="AZ114" s="227">
        <f t="shared" si="405"/>
        <v>10981.511375408143</v>
      </c>
      <c r="BA114" s="227">
        <f t="shared" si="405"/>
        <v>11025.567032866904</v>
      </c>
      <c r="BB114" s="227">
        <f t="shared" si="405"/>
        <v>11169.490911617642</v>
      </c>
      <c r="BC114" s="227">
        <f t="shared" si="405"/>
        <v>11011.869072224115</v>
      </c>
      <c r="BD114" s="227">
        <f t="shared" si="405"/>
        <v>10858.937786195069</v>
      </c>
      <c r="BE114" s="227">
        <f t="shared" si="405"/>
        <v>10784.563718664822</v>
      </c>
      <c r="BF114" s="223">
        <f>+SUBTOTAL(9,AT114:BE114)</f>
        <v>131591.23447141045</v>
      </c>
      <c r="BG114" s="224"/>
      <c r="BH114" s="226">
        <f>(+BH98+BH108)/83.92</f>
        <v>61669.05038985506</v>
      </c>
      <c r="BI114" s="227">
        <f t="shared" ref="BI114:BS114" si="406">(+BI98+BI108)/83.92</f>
        <v>60619.333406150501</v>
      </c>
      <c r="BJ114" s="227">
        <f t="shared" si="406"/>
        <v>60747.776249485803</v>
      </c>
      <c r="BK114" s="227">
        <f t="shared" si="406"/>
        <v>60509.016776698038</v>
      </c>
      <c r="BL114" s="227">
        <f t="shared" si="406"/>
        <v>60542.399826660512</v>
      </c>
      <c r="BM114" s="227">
        <f t="shared" si="406"/>
        <v>60551.341429660679</v>
      </c>
      <c r="BN114" s="227">
        <f t="shared" si="406"/>
        <v>60894.182074379001</v>
      </c>
      <c r="BO114" s="227">
        <f t="shared" si="406"/>
        <v>61224.599505319711</v>
      </c>
      <c r="BP114" s="227">
        <f t="shared" si="406"/>
        <v>62304.028595950243</v>
      </c>
      <c r="BQ114" s="227">
        <f t="shared" si="406"/>
        <v>61105.182245684686</v>
      </c>
      <c r="BR114" s="227">
        <f t="shared" si="406"/>
        <v>59974.880155280953</v>
      </c>
      <c r="BS114" s="227">
        <f t="shared" si="406"/>
        <v>59417.074648804097</v>
      </c>
      <c r="BT114" s="223">
        <f>+SUBTOTAL(9,BH114:BS114)</f>
        <v>729558.86530392931</v>
      </c>
      <c r="BU114" s="225"/>
      <c r="BV114" s="226">
        <f>(+BV98+BV108)/83.92</f>
        <v>10817.189949727232</v>
      </c>
      <c r="BW114" s="227">
        <f t="shared" ref="BW114:CG114" si="407">(+BW98+BW108)/83.92</f>
        <v>10729.596806040792</v>
      </c>
      <c r="BX114" s="227">
        <f t="shared" si="407"/>
        <v>10738.159662263146</v>
      </c>
      <c r="BY114" s="227">
        <f t="shared" si="407"/>
        <v>10722.242364077296</v>
      </c>
      <c r="BZ114" s="227">
        <f t="shared" si="407"/>
        <v>10724.467900741462</v>
      </c>
      <c r="CA114" s="227">
        <f t="shared" si="407"/>
        <v>10725.064007608138</v>
      </c>
      <c r="CB114" s="227">
        <f t="shared" si="407"/>
        <v>10754.155354052977</v>
      </c>
      <c r="CC114" s="227">
        <f t="shared" si="407"/>
        <v>10794.057348654616</v>
      </c>
      <c r="CD114" s="227">
        <f t="shared" si="407"/>
        <v>10848.145122157724</v>
      </c>
      <c r="CE114" s="227">
        <f t="shared" si="407"/>
        <v>10769.334202460961</v>
      </c>
      <c r="CF114" s="227">
        <f t="shared" si="407"/>
        <v>10692.868559446439</v>
      </c>
      <c r="CG114" s="227">
        <f t="shared" si="407"/>
        <v>10655.681525681315</v>
      </c>
      <c r="CH114" s="223">
        <f>+SUBTOTAL(9,BV114:CG114)</f>
        <v>128970.96280291209</v>
      </c>
      <c r="CI114" s="224"/>
      <c r="CJ114" s="226">
        <f>(+CJ98+CJ108)/83.92</f>
        <v>29396.322526122502</v>
      </c>
      <c r="CK114" s="227">
        <f t="shared" ref="CK114:CU114" si="408">(+CK98+CK108)/83.92</f>
        <v>28629.413770166546</v>
      </c>
      <c r="CL114" s="227">
        <f t="shared" si="408"/>
        <v>28723.605188612433</v>
      </c>
      <c r="CM114" s="227">
        <f t="shared" si="408"/>
        <v>28548.514908568071</v>
      </c>
      <c r="CN114" s="227">
        <f t="shared" si="408"/>
        <v>28572.99581187389</v>
      </c>
      <c r="CO114" s="227">
        <f t="shared" si="408"/>
        <v>28579.552987407347</v>
      </c>
      <c r="CP114" s="227">
        <f t="shared" si="408"/>
        <v>28825.832822132783</v>
      </c>
      <c r="CQ114" s="227">
        <f t="shared" si="408"/>
        <v>29068.138938155971</v>
      </c>
      <c r="CR114" s="227">
        <f t="shared" si="408"/>
        <v>29859.720271285023</v>
      </c>
      <c r="CS114" s="227">
        <f t="shared" si="408"/>
        <v>28992.800154620629</v>
      </c>
      <c r="CT114" s="227">
        <f t="shared" si="408"/>
        <v>28151.678081460872</v>
      </c>
      <c r="CU114" s="227">
        <f t="shared" si="408"/>
        <v>27742.620710044517</v>
      </c>
      <c r="CV114" s="223">
        <f>+SUBTOTAL(9,CJ114:CU114)</f>
        <v>345091.1961704506</v>
      </c>
      <c r="CW114" s="224"/>
      <c r="CX114" s="226">
        <f>(+CX98+CX108)/83.92</f>
        <v>66294.879126204178</v>
      </c>
      <c r="CY114" s="227">
        <f t="shared" ref="CY114:DI114" si="409">(+CY98+CY108)/83.92</f>
        <v>64251.589501458693</v>
      </c>
      <c r="CZ114" s="227">
        <f t="shared" si="409"/>
        <v>64501.478169678863</v>
      </c>
      <c r="DA114" s="227">
        <f t="shared" si="409"/>
        <v>64045.665126480759</v>
      </c>
      <c r="DB114" s="227">
        <f t="shared" si="409"/>
        <v>64107.980153077377</v>
      </c>
      <c r="DC114" s="227">
        <f t="shared" si="409"/>
        <v>64124.671145344364</v>
      </c>
      <c r="DD114" s="227">
        <f t="shared" si="409"/>
        <v>64765.694527401349</v>
      </c>
      <c r="DE114" s="227">
        <f t="shared" si="409"/>
        <v>65450.991367667659</v>
      </c>
      <c r="DF114" s="227">
        <f t="shared" si="409"/>
        <v>67433.156366078852</v>
      </c>
      <c r="DG114" s="227">
        <f t="shared" si="409"/>
        <v>65234.791891976529</v>
      </c>
      <c r="DH114" s="227">
        <f t="shared" si="409"/>
        <v>63059.792972412579</v>
      </c>
      <c r="DI114" s="227">
        <f t="shared" si="409"/>
        <v>62019.151832518204</v>
      </c>
      <c r="DJ114" s="223">
        <f>+SUBTOTAL(9,CX114:DI114)</f>
        <v>775289.84218029934</v>
      </c>
      <c r="DK114" s="224"/>
      <c r="DL114" s="226">
        <f>(+DL98+DL108)/83.92</f>
        <v>47053.547191027821</v>
      </c>
      <c r="DM114" s="227">
        <f t="shared" ref="DM114:DW114" si="410">(+DM98+DM108)/83.92</f>
        <v>43288.846412802828</v>
      </c>
      <c r="DN114" s="227">
        <f t="shared" si="410"/>
        <v>43276.606387028711</v>
      </c>
      <c r="DO114" s="227">
        <f t="shared" si="410"/>
        <v>41327.922037824887</v>
      </c>
      <c r="DP114" s="227">
        <f t="shared" si="410"/>
        <v>41390.237064421512</v>
      </c>
      <c r="DQ114" s="227">
        <f t="shared" si="410"/>
        <v>41406.928056688492</v>
      </c>
      <c r="DR114" s="227">
        <f t="shared" si="410"/>
        <v>45560.921219489042</v>
      </c>
      <c r="DS114" s="227">
        <f t="shared" si="410"/>
        <v>42631.937506847818</v>
      </c>
      <c r="DT114" s="227">
        <f t="shared" si="410"/>
        <v>44637.93472642202</v>
      </c>
      <c r="DU114" s="227">
        <f t="shared" si="410"/>
        <v>42414.546420098537</v>
      </c>
      <c r="DV114" s="227">
        <f t="shared" si="410"/>
        <v>40290.190970506002</v>
      </c>
      <c r="DW114" s="227">
        <f t="shared" si="410"/>
        <v>39248.954025082552</v>
      </c>
      <c r="DX114" s="223">
        <f>+SUBTOTAL(9,DL114:DW114)</f>
        <v>512528.57201824023</v>
      </c>
      <c r="DY114" s="224"/>
      <c r="DZ114" s="226">
        <f>(+DZ98+DZ108)/83.92</f>
        <v>5096.4797495365719</v>
      </c>
      <c r="EA114" s="227">
        <f t="shared" ref="EA114:EK114" si="411">(+EA98+EA108)/83.92</f>
        <v>5026.7607717223937</v>
      </c>
      <c r="EB114" s="227">
        <f t="shared" si="411"/>
        <v>5035.3236279447474</v>
      </c>
      <c r="EC114" s="227">
        <f t="shared" si="411"/>
        <v>8218.4063297588982</v>
      </c>
      <c r="ED114" s="227">
        <f t="shared" si="411"/>
        <v>5021.6318664230612</v>
      </c>
      <c r="EE114" s="227">
        <f t="shared" si="411"/>
        <v>5022.2279732897387</v>
      </c>
      <c r="EF114" s="227">
        <f t="shared" si="411"/>
        <v>5047.8159832236142</v>
      </c>
      <c r="EG114" s="227">
        <f t="shared" si="411"/>
        <v>5069.8438119529947</v>
      </c>
      <c r="EH114" s="227">
        <f t="shared" si="411"/>
        <v>5141.8057513283629</v>
      </c>
      <c r="EI114" s="227">
        <f t="shared" si="411"/>
        <v>5062.9948316315995</v>
      </c>
      <c r="EJ114" s="227">
        <f t="shared" si="411"/>
        <v>4986.5291886170762</v>
      </c>
      <c r="EK114" s="227">
        <f t="shared" si="411"/>
        <v>4949.3421548519536</v>
      </c>
      <c r="EL114" s="223">
        <f>+SUBTOTAL(9,DZ114:EK114)</f>
        <v>63679.162040281015</v>
      </c>
      <c r="EM114" s="224"/>
      <c r="EN114" s="226">
        <f>(+EN98+EN108)/83.92</f>
        <v>7549.7874304363459</v>
      </c>
      <c r="EO114" s="227">
        <f t="shared" ref="EO114:EY114" si="412">(+EO98+EO108)/83.92</f>
        <v>7410.3494748079902</v>
      </c>
      <c r="EP114" s="227">
        <f t="shared" si="412"/>
        <v>7427.4751872526977</v>
      </c>
      <c r="EQ114" s="227">
        <f t="shared" si="412"/>
        <v>7395.6405908809957</v>
      </c>
      <c r="ER114" s="227">
        <f t="shared" si="412"/>
        <v>7400.0916642093252</v>
      </c>
      <c r="ES114" s="227">
        <f t="shared" si="412"/>
        <v>7401.2838779426811</v>
      </c>
      <c r="ET114" s="227">
        <f t="shared" si="412"/>
        <v>7452.400317257524</v>
      </c>
      <c r="EU114" s="227">
        <f t="shared" si="412"/>
        <v>7496.4559747162848</v>
      </c>
      <c r="EV114" s="227">
        <f t="shared" si="412"/>
        <v>7640.3798534670223</v>
      </c>
      <c r="EW114" s="227">
        <f t="shared" si="412"/>
        <v>7482.7580140734945</v>
      </c>
      <c r="EX114" s="227">
        <f t="shared" si="412"/>
        <v>7329.8267280444488</v>
      </c>
      <c r="EY114" s="227">
        <f t="shared" si="412"/>
        <v>7255.4526605142028</v>
      </c>
      <c r="EZ114" s="223">
        <f>+SUBTOTAL(9,EN114:EY114)</f>
        <v>89241.901773603007</v>
      </c>
      <c r="FA114" s="224"/>
      <c r="FB114" s="226">
        <f>(+FB98+FB108)/83.92</f>
        <v>1657.3114940551611</v>
      </c>
      <c r="FC114" s="227">
        <f t="shared" ref="FC114:FM114" si="413">(+FC98+FC108)/83.92</f>
        <v>1587.5925162409833</v>
      </c>
      <c r="FD114" s="227">
        <f t="shared" si="413"/>
        <v>1596.1553724633366</v>
      </c>
      <c r="FE114" s="227">
        <f t="shared" si="413"/>
        <v>1580.2380742774858</v>
      </c>
      <c r="FF114" s="227">
        <f t="shared" si="413"/>
        <v>1582.4636109416508</v>
      </c>
      <c r="FG114" s="227">
        <f t="shared" si="413"/>
        <v>1583.0597178083287</v>
      </c>
      <c r="FH114" s="227">
        <f t="shared" si="413"/>
        <v>1605.0848106783335</v>
      </c>
      <c r="FI114" s="227">
        <f t="shared" si="413"/>
        <v>1627.1126394077139</v>
      </c>
      <c r="FJ114" s="227">
        <f t="shared" si="413"/>
        <v>1699.0745787830824</v>
      </c>
      <c r="FK114" s="227">
        <f t="shared" si="413"/>
        <v>1620.2636590863194</v>
      </c>
      <c r="FL114" s="227">
        <f t="shared" si="413"/>
        <v>1543.7980160717959</v>
      </c>
      <c r="FM114" s="227">
        <f t="shared" si="413"/>
        <v>1506.6109823066729</v>
      </c>
      <c r="FN114" s="223">
        <f>+SUBTOTAL(9,FB114:FM114)</f>
        <v>19188.765472120864</v>
      </c>
      <c r="FO114" s="224"/>
      <c r="FP114" s="226">
        <f>(+FP98+FP108)/83.92</f>
        <v>22878.89733159871</v>
      </c>
      <c r="FQ114" s="227">
        <f t="shared" ref="FQ114:GA114" si="414">(+FQ98+FQ108)/83.92</f>
        <v>22328.483648005284</v>
      </c>
      <c r="FR114" s="227">
        <f t="shared" si="414"/>
        <v>22398.552335556036</v>
      </c>
      <c r="FS114" s="227">
        <f t="shared" si="414"/>
        <v>22277.002554260798</v>
      </c>
      <c r="FT114" s="227">
        <f t="shared" si="414"/>
        <v>22292.581310909954</v>
      </c>
      <c r="FU114" s="227">
        <f t="shared" si="414"/>
        <v>22296.754058976701</v>
      </c>
      <c r="FV114" s="227">
        <f t="shared" si="414"/>
        <v>22471.258593718783</v>
      </c>
      <c r="FW114" s="227">
        <f t="shared" si="414"/>
        <v>22667.159781859718</v>
      </c>
      <c r="FX114" s="227">
        <f t="shared" si="414"/>
        <v>23164.935302196547</v>
      </c>
      <c r="FY114" s="227">
        <f t="shared" si="414"/>
        <v>22621.600141726256</v>
      </c>
      <c r="FZ114" s="227">
        <f t="shared" si="414"/>
        <v>22052.379725467301</v>
      </c>
      <c r="GA114" s="227">
        <f t="shared" si="414"/>
        <v>21792.666294640512</v>
      </c>
      <c r="GB114" s="223">
        <f>+SUBTOTAL(9,FP114:GA114)</f>
        <v>269242.27107891662</v>
      </c>
      <c r="GC114" s="224"/>
      <c r="GD114" s="226">
        <f>(+GD98+GD108)/83.92</f>
        <v>10454.975936381186</v>
      </c>
      <c r="GE114" s="227">
        <f t="shared" ref="GE114:GO114" si="415">(+GE98+GE108)/83.92</f>
        <v>10447.637797461193</v>
      </c>
      <c r="GF114" s="227">
        <f t="shared" si="415"/>
        <v>10446.071959689267</v>
      </c>
      <c r="GG114" s="227">
        <f t="shared" si="415"/>
        <v>10440.283355497697</v>
      </c>
      <c r="GH114" s="227">
        <f t="shared" si="415"/>
        <v>10442.508892161861</v>
      </c>
      <c r="GI114" s="227">
        <f t="shared" si="415"/>
        <v>10443.104999028539</v>
      </c>
      <c r="GJ114" s="227">
        <f t="shared" si="415"/>
        <v>10461.316936512461</v>
      </c>
      <c r="GK114" s="227">
        <f t="shared" si="415"/>
        <v>10441.638378206571</v>
      </c>
      <c r="GL114" s="227">
        <f t="shared" si="415"/>
        <v>10519.558372872692</v>
      </c>
      <c r="GM114" s="227">
        <f t="shared" si="415"/>
        <v>10432.406175768876</v>
      </c>
      <c r="GN114" s="227">
        <f t="shared" si="415"/>
        <v>10389.901447911643</v>
      </c>
      <c r="GO114" s="227">
        <f t="shared" si="415"/>
        <v>10352.118608617446</v>
      </c>
      <c r="GP114" s="223">
        <f>+SUBTOTAL(9,GD114:GO114)</f>
        <v>125271.52286010943</v>
      </c>
      <c r="GQ114" s="224"/>
      <c r="GR114" s="226">
        <f>(+GR98+GR108)/83.92</f>
        <v>-5959.765868601452</v>
      </c>
      <c r="GS114" s="226">
        <f t="shared" ref="GS114:HC114" si="416">(+GS98+GS108)/83.92</f>
        <v>-7113.670897200117</v>
      </c>
      <c r="GT114" s="226">
        <f t="shared" si="416"/>
        <v>21737.156430363517</v>
      </c>
      <c r="GU114" s="226">
        <f t="shared" si="416"/>
        <v>21659.999018542738</v>
      </c>
      <c r="GV114" s="226">
        <f t="shared" si="416"/>
        <v>21582.303594329202</v>
      </c>
      <c r="GW114" s="226">
        <f t="shared" si="416"/>
        <v>21504.066463728632</v>
      </c>
      <c r="GX114" s="226">
        <f t="shared" si="416"/>
        <v>21425.283932746741</v>
      </c>
      <c r="GY114" s="226">
        <f t="shared" si="416"/>
        <v>21345.952188228151</v>
      </c>
      <c r="GZ114" s="226">
        <f t="shared" si="416"/>
        <v>21266.067417017475</v>
      </c>
      <c r="HA114" s="226">
        <f t="shared" si="416"/>
        <v>21185.625567637115</v>
      </c>
      <c r="HB114" s="226">
        <f t="shared" si="416"/>
        <v>21104.623065253894</v>
      </c>
      <c r="HC114" s="226">
        <f t="shared" si="416"/>
        <v>21023.055739229105</v>
      </c>
      <c r="HD114" s="223">
        <f>+SUBTOTAL(9,GR114:HC114)</f>
        <v>200760.69665127504</v>
      </c>
      <c r="HE114" s="224"/>
      <c r="HF114" s="226">
        <f>(+HF98+HF108)/83.92</f>
        <v>10459.024336563829</v>
      </c>
      <c r="HG114" s="227">
        <f t="shared" ref="HG114:HQ114" si="417">(+HG98+HG108)/83.92</f>
        <v>10180.148425307118</v>
      </c>
      <c r="HH114" s="227">
        <f t="shared" si="417"/>
        <v>10214.399850196532</v>
      </c>
      <c r="HI114" s="227">
        <f t="shared" si="417"/>
        <v>10150.730657453127</v>
      </c>
      <c r="HJ114" s="227">
        <f t="shared" si="417"/>
        <v>10159.632804109788</v>
      </c>
      <c r="HK114" s="227">
        <f t="shared" si="417"/>
        <v>10162.017231576499</v>
      </c>
      <c r="HL114" s="227">
        <f t="shared" si="417"/>
        <v>10255.885000577968</v>
      </c>
      <c r="HM114" s="227">
        <f t="shared" si="417"/>
        <v>10343.996315495489</v>
      </c>
      <c r="HN114" s="227">
        <f t="shared" si="417"/>
        <v>10631.844072996964</v>
      </c>
      <c r="HO114" s="227">
        <f t="shared" si="417"/>
        <v>10316.600394209911</v>
      </c>
      <c r="HP114" s="227">
        <f t="shared" si="417"/>
        <v>10010.737822151817</v>
      </c>
      <c r="HQ114" s="228">
        <f t="shared" si="417"/>
        <v>9861.9896870913253</v>
      </c>
      <c r="HR114" s="229">
        <f>+SUBTOTAL(9,HF114:HQ114)</f>
        <v>122747.00659773035</v>
      </c>
      <c r="HS114" s="224"/>
      <c r="HT114" s="226">
        <f>(+HT98+HT108)/83.92</f>
        <v>2698.4697400036835</v>
      </c>
      <c r="HU114" s="227">
        <f t="shared" ref="HU114:IE114" si="418">(+HU98+HU108)/83.92</f>
        <v>2628.7507621895061</v>
      </c>
      <c r="HV114" s="227">
        <f t="shared" si="418"/>
        <v>2637.3136184118594</v>
      </c>
      <c r="HW114" s="227">
        <f t="shared" si="418"/>
        <v>2621.3963202260079</v>
      </c>
      <c r="HX114" s="227">
        <f t="shared" si="418"/>
        <v>2623.6218568901736</v>
      </c>
      <c r="HY114" s="227">
        <f t="shared" si="418"/>
        <v>2624.2179637568515</v>
      </c>
      <c r="HZ114" s="227">
        <f t="shared" si="418"/>
        <v>2646.6482043866272</v>
      </c>
      <c r="IA114" s="227">
        <f t="shared" si="418"/>
        <v>2668.6760331160076</v>
      </c>
      <c r="IB114" s="227">
        <f t="shared" si="418"/>
        <v>2740.6379724913763</v>
      </c>
      <c r="IC114" s="227">
        <f t="shared" si="418"/>
        <v>2661.8270527946129</v>
      </c>
      <c r="ID114" s="227">
        <f t="shared" si="418"/>
        <v>2585.3614097800901</v>
      </c>
      <c r="IE114" s="227">
        <f t="shared" si="418"/>
        <v>2548.1743760149666</v>
      </c>
      <c r="IF114" s="223">
        <f>+SUBTOTAL(9,HT114:IE114)</f>
        <v>31685.095310061755</v>
      </c>
      <c r="IG114" s="224"/>
      <c r="IH114" s="226">
        <f>(+IH98+IH108)/83.92</f>
        <v>7746.0031051133119</v>
      </c>
      <c r="II114" s="227">
        <f t="shared" ref="II114:IS114" si="419">(+II98+II108)/83.92</f>
        <v>7676.2841272991336</v>
      </c>
      <c r="IJ114" s="227">
        <f t="shared" si="419"/>
        <v>7684.8469835214883</v>
      </c>
      <c r="IK114" s="227">
        <f t="shared" si="419"/>
        <v>7668.9296853356373</v>
      </c>
      <c r="IL114" s="227">
        <f t="shared" si="419"/>
        <v>7671.1552219998021</v>
      </c>
      <c r="IM114" s="227">
        <f t="shared" si="419"/>
        <v>7671.7513288664795</v>
      </c>
      <c r="IN114" s="227">
        <f t="shared" si="419"/>
        <v>7700.8426753113181</v>
      </c>
      <c r="IO114" s="227">
        <f t="shared" si="419"/>
        <v>7722.8705040406985</v>
      </c>
      <c r="IP114" s="227">
        <f t="shared" si="419"/>
        <v>7794.8324434160677</v>
      </c>
      <c r="IQ114" s="227">
        <f t="shared" si="419"/>
        <v>7716.0215237193042</v>
      </c>
      <c r="IR114" s="227">
        <f t="shared" si="419"/>
        <v>7639.5558807047801</v>
      </c>
      <c r="IS114" s="227">
        <f t="shared" si="419"/>
        <v>7602.3688469396566</v>
      </c>
      <c r="IT114" s="223">
        <f>+SUBTOTAL(9,IH114:IS114)</f>
        <v>92295.462326267676</v>
      </c>
      <c r="IU114" s="224"/>
      <c r="IV114" s="226">
        <f>(+IV98+IV108)/83.92</f>
        <v>24692.493613772207</v>
      </c>
      <c r="IW114" s="227">
        <f t="shared" ref="IW114:JG114" si="420">(+IW98+IW108)/83.92</f>
        <v>24204.460769072968</v>
      </c>
      <c r="IX114" s="227">
        <f t="shared" si="420"/>
        <v>24264.400762629437</v>
      </c>
      <c r="IY114" s="227">
        <f t="shared" si="420"/>
        <v>24152.979675328483</v>
      </c>
      <c r="IZ114" s="227">
        <f t="shared" si="420"/>
        <v>24168.558431977639</v>
      </c>
      <c r="JA114" s="227">
        <f t="shared" si="420"/>
        <v>24172.731180044386</v>
      </c>
      <c r="JB114" s="227">
        <f t="shared" si="420"/>
        <v>24341.444485043856</v>
      </c>
      <c r="JC114" s="227">
        <f t="shared" si="420"/>
        <v>24495.639286149519</v>
      </c>
      <c r="JD114" s="227">
        <f t="shared" si="420"/>
        <v>24999.372861777105</v>
      </c>
      <c r="JE114" s="227">
        <f t="shared" si="420"/>
        <v>24447.696423899757</v>
      </c>
      <c r="JF114" s="227">
        <f t="shared" si="420"/>
        <v>23912.436922798093</v>
      </c>
      <c r="JG114" s="227">
        <f t="shared" si="420"/>
        <v>23652.127686442229</v>
      </c>
      <c r="JH114" s="223">
        <f>+SUBTOTAL(9,IV114:JG114)</f>
        <v>291504.34209893568</v>
      </c>
      <c r="JI114" s="224"/>
      <c r="JJ114" s="226">
        <f>(+JJ98+JJ108)/83.92</f>
        <v>34266.389256341754</v>
      </c>
      <c r="JK114" s="227">
        <f t="shared" ref="JK114:JU114" si="421">(+JK98+JK108)/83.92</f>
        <v>33357.917106677509</v>
      </c>
      <c r="JL114" s="227">
        <f t="shared" si="421"/>
        <v>33472.365913111957</v>
      </c>
      <c r="JM114" s="227">
        <f t="shared" si="421"/>
        <v>33277.018245079038</v>
      </c>
      <c r="JN114" s="227">
        <f t="shared" si="421"/>
        <v>33301.49914838485</v>
      </c>
      <c r="JO114" s="227">
        <f t="shared" si="421"/>
        <v>33308.05632391831</v>
      </c>
      <c r="JP114" s="227">
        <f t="shared" si="421"/>
        <v>33557.243689625633</v>
      </c>
      <c r="JQ114" s="227">
        <f t="shared" si="421"/>
        <v>33891.899662655487</v>
      </c>
      <c r="JR114" s="227">
        <f t="shared" si="421"/>
        <v>34662.627802266914</v>
      </c>
      <c r="JS114" s="227">
        <f t="shared" si="421"/>
        <v>33779.02513078841</v>
      </c>
      <c r="JT114" s="227">
        <f t="shared" si="421"/>
        <v>32903.346336942283</v>
      </c>
      <c r="JU114" s="227">
        <f t="shared" si="421"/>
        <v>32495.480576584079</v>
      </c>
      <c r="JV114" s="223">
        <f>+SUBTOTAL(9,JJ114:JU114)</f>
        <v>402272.86919237621</v>
      </c>
      <c r="JW114" s="224"/>
      <c r="JX114" s="226">
        <f>(+JX98+JX108)/83.92</f>
        <v>17913.535544632337</v>
      </c>
      <c r="JY114" s="227">
        <f t="shared" ref="JY114:KI114" si="422">(+JY98+JY108)/83.92</f>
        <v>17562.974497315499</v>
      </c>
      <c r="JZ114" s="227">
        <f t="shared" si="422"/>
        <v>17605.788778427264</v>
      </c>
      <c r="KA114" s="227">
        <f t="shared" si="422"/>
        <v>17526.202287498014</v>
      </c>
      <c r="KB114" s="227">
        <f t="shared" si="422"/>
        <v>17537.329970818835</v>
      </c>
      <c r="KC114" s="227">
        <f t="shared" si="422"/>
        <v>17540.310505152225</v>
      </c>
      <c r="KD114" s="227">
        <f t="shared" si="422"/>
        <v>17656.489353677654</v>
      </c>
      <c r="KE114" s="227">
        <f t="shared" si="422"/>
        <v>17766.628497324557</v>
      </c>
      <c r="KF114" s="227">
        <f t="shared" si="422"/>
        <v>18126.438194201401</v>
      </c>
      <c r="KG114" s="227">
        <f t="shared" si="422"/>
        <v>17724.04231831053</v>
      </c>
      <c r="KH114" s="227">
        <f t="shared" si="422"/>
        <v>17350.055380644968</v>
      </c>
      <c r="KI114" s="227">
        <f t="shared" si="422"/>
        <v>17164.120211819351</v>
      </c>
      <c r="KJ114" s="223">
        <f>+SUBTOTAL(9,JX114:KI114)</f>
        <v>211473.91553982266</v>
      </c>
      <c r="KK114" s="224"/>
      <c r="KL114" s="226">
        <f>(+KL98+KL108)/83.92</f>
        <v>3431.4723684725723</v>
      </c>
      <c r="KM114" s="227">
        <f t="shared" ref="KM114:KW114" si="423">(+KM98+KM108)/83.92</f>
        <v>3292.0344128442161</v>
      </c>
      <c r="KN114" s="227">
        <f t="shared" si="423"/>
        <v>3309.1601252889232</v>
      </c>
      <c r="KO114" s="227">
        <f t="shared" si="423"/>
        <v>3277.3255289172212</v>
      </c>
      <c r="KP114" s="227">
        <f t="shared" si="423"/>
        <v>3281.7766022455512</v>
      </c>
      <c r="KQ114" s="227">
        <f t="shared" si="423"/>
        <v>3282.9688159789071</v>
      </c>
      <c r="KR114" s="227">
        <f t="shared" si="423"/>
        <v>3326.1610417570482</v>
      </c>
      <c r="KS114" s="227">
        <f t="shared" si="423"/>
        <v>3370.2166992158091</v>
      </c>
      <c r="KT114" s="227">
        <f t="shared" si="423"/>
        <v>3514.1405779665461</v>
      </c>
      <c r="KU114" s="227">
        <f t="shared" si="423"/>
        <v>3356.471074130694</v>
      </c>
      <c r="KV114" s="227">
        <f t="shared" si="423"/>
        <v>3203.5874525439735</v>
      </c>
      <c r="KW114" s="227">
        <f t="shared" si="423"/>
        <v>3129.2133850137275</v>
      </c>
      <c r="KX114" s="223">
        <f>+SUBTOTAL(9,KL114:KW114)</f>
        <v>39774.52808437519</v>
      </c>
      <c r="KY114" s="224"/>
      <c r="KZ114" s="226">
        <f>(+KZ98+KZ108)/83.92</f>
        <v>2837.6141632639315</v>
      </c>
      <c r="LA114" s="227">
        <f t="shared" ref="LA114:LK114" si="424">(+LA98+LA108)/83.92</f>
        <v>2767.8951854497536</v>
      </c>
      <c r="LB114" s="227">
        <f t="shared" si="424"/>
        <v>2776.4580416721069</v>
      </c>
      <c r="LC114" s="227">
        <f t="shared" si="424"/>
        <v>2760.5407434862559</v>
      </c>
      <c r="LD114" s="227">
        <f t="shared" si="424"/>
        <v>2762.7662801504216</v>
      </c>
      <c r="LE114" s="227">
        <f t="shared" si="424"/>
        <v>2763.3623870170991</v>
      </c>
      <c r="LF114" s="227">
        <f t="shared" si="424"/>
        <v>2784.9465837955881</v>
      </c>
      <c r="LG114" s="227">
        <f t="shared" si="424"/>
        <v>2806.9744125249686</v>
      </c>
      <c r="LH114" s="227">
        <f t="shared" si="424"/>
        <v>2878.9363519003373</v>
      </c>
      <c r="LI114" s="227">
        <f t="shared" si="424"/>
        <v>2800.1730966458999</v>
      </c>
      <c r="LJ114" s="227">
        <f t="shared" si="424"/>
        <v>2723.659789189051</v>
      </c>
      <c r="LK114" s="227">
        <f t="shared" si="424"/>
        <v>2686.4727554239275</v>
      </c>
      <c r="LL114" s="223">
        <f>+SUBTOTAL(9,KZ114:LK114)</f>
        <v>33349.799790519341</v>
      </c>
      <c r="LM114" s="224"/>
      <c r="LN114" s="226">
        <f>(+LN98+LN108)/83.92</f>
        <v>0</v>
      </c>
      <c r="LO114" s="226">
        <f t="shared" ref="LO114:LY114" si="425">(+LO98+LO108)/83.92</f>
        <v>0</v>
      </c>
      <c r="LP114" s="226">
        <f t="shared" si="425"/>
        <v>0</v>
      </c>
      <c r="LQ114" s="226">
        <f t="shared" si="425"/>
        <v>0</v>
      </c>
      <c r="LR114" s="226">
        <f t="shared" si="425"/>
        <v>0</v>
      </c>
      <c r="LS114" s="226">
        <f t="shared" si="425"/>
        <v>0</v>
      </c>
      <c r="LT114" s="226">
        <f t="shared" si="425"/>
        <v>0</v>
      </c>
      <c r="LU114" s="226">
        <f t="shared" si="425"/>
        <v>0</v>
      </c>
      <c r="LV114" s="226">
        <f t="shared" si="425"/>
        <v>0</v>
      </c>
      <c r="LW114" s="226">
        <f t="shared" si="425"/>
        <v>0</v>
      </c>
      <c r="LX114" s="226">
        <f t="shared" si="425"/>
        <v>0</v>
      </c>
      <c r="LY114" s="226">
        <f t="shared" si="425"/>
        <v>0</v>
      </c>
      <c r="LZ114" s="223">
        <f>+SUBTOTAL(9,LN114:LY114)</f>
        <v>0</v>
      </c>
      <c r="MA114" s="224"/>
      <c r="MB114" s="230">
        <f t="shared" ref="MB114:MM115" si="426">SUMIF($D$6:$LY$6,MB$3,$D114:$LY114)</f>
        <v>434167.17215930478</v>
      </c>
      <c r="MC114" s="230">
        <f t="shared" si="426"/>
        <v>419445.94409234589</v>
      </c>
      <c r="MD114" s="230">
        <f t="shared" si="426"/>
        <v>449489.5946163527</v>
      </c>
      <c r="ME114" s="230">
        <f t="shared" si="426"/>
        <v>448457.48552607512</v>
      </c>
      <c r="MF114" s="230">
        <f t="shared" si="426"/>
        <v>445545.7781147848</v>
      </c>
      <c r="MG114" s="230">
        <f t="shared" si="426"/>
        <v>445565.30251031934</v>
      </c>
      <c r="MH114" s="230">
        <f t="shared" si="426"/>
        <v>452764.9057533929</v>
      </c>
      <c r="MI114" s="230">
        <f t="shared" si="426"/>
        <v>452972.82304918655</v>
      </c>
      <c r="MJ114" s="230">
        <f t="shared" si="426"/>
        <v>464608.30453382054</v>
      </c>
      <c r="MK114" s="230">
        <f t="shared" si="426"/>
        <v>451552.82418972859</v>
      </c>
      <c r="ML114" s="230">
        <f t="shared" si="426"/>
        <v>438879.02534640499</v>
      </c>
      <c r="MM114" s="230">
        <f t="shared" si="426"/>
        <v>432701.16770501627</v>
      </c>
      <c r="MN114" s="231">
        <f>+SUBTOTAL(9,MB114:MM114)</f>
        <v>5336150.3275967324</v>
      </c>
    </row>
    <row r="115" spans="1:352" s="232" customFormat="1" x14ac:dyDescent="0.3">
      <c r="A115" s="219"/>
      <c r="B115" s="220" t="s">
        <v>223</v>
      </c>
      <c r="C115" s="221"/>
      <c r="D115" s="222">
        <f>+'[1]Dep working '!AU153</f>
        <v>749.77645565693717</v>
      </c>
      <c r="E115" s="221">
        <f>+'[1]Dep working '!$AU$154</f>
        <v>765.06094806845533</v>
      </c>
      <c r="F115" s="221">
        <f>+'[1]Dep working '!$AU$155</f>
        <v>772.15286478429971</v>
      </c>
      <c r="G115" s="221">
        <f>+'[1]Dep working '!$AU$156</f>
        <v>779.24478150014386</v>
      </c>
      <c r="H115" s="221">
        <f>+'[1]Dep working '!$AU$157</f>
        <v>779.24478150014386</v>
      </c>
      <c r="I115" s="221">
        <f>+'[1]Dep working '!$AU$158</f>
        <v>779.24478150014386</v>
      </c>
      <c r="J115" s="221">
        <f>+'[1]Dep working '!$AU$159</f>
        <v>838.89720983325026</v>
      </c>
      <c r="K115" s="221">
        <f>+'[1]Dep working '!$AU$160</f>
        <v>848.49688857112608</v>
      </c>
      <c r="L115" s="221">
        <f>+'[1]Dep working '!$AU$161</f>
        <v>848.49688857112608</v>
      </c>
      <c r="M115" s="221">
        <f>+'[1]Dep working '!$AU$162</f>
        <v>852.54359026737495</v>
      </c>
      <c r="N115" s="221">
        <f>+'[1]Dep working '!$AU$163</f>
        <v>1028.8324793454085</v>
      </c>
      <c r="O115" s="221">
        <f>+'[1]Dep working '!$AU$164</f>
        <v>1028.8324793454085</v>
      </c>
      <c r="P115" s="223">
        <f t="shared" ref="P115:P116" si="427">+SUBTOTAL(9,D115:O115)</f>
        <v>10070.824148943819</v>
      </c>
      <c r="Q115" s="224"/>
      <c r="R115" s="222">
        <f>+'[1]Dep working '!$AV$153</f>
        <v>77.56308161968316</v>
      </c>
      <c r="S115" s="221">
        <f>+'[1]Dep working '!$AV$154</f>
        <v>79.144236007081588</v>
      </c>
      <c r="T115" s="221">
        <f>+'[1]Dep working '!$AV$155</f>
        <v>79.877882563893081</v>
      </c>
      <c r="U115" s="221">
        <f>+'[1]Dep working '!$AV$156</f>
        <v>80.611529120704532</v>
      </c>
      <c r="V115" s="221">
        <f>+'[1]Dep working '!$AV$157</f>
        <v>80.611529120704532</v>
      </c>
      <c r="W115" s="221">
        <f>+'[1]Dep working '!$AV$158</f>
        <v>80.611529120704532</v>
      </c>
      <c r="X115" s="221">
        <f>+'[1]Dep working '!$AV$159</f>
        <v>86.78246998275003</v>
      </c>
      <c r="Y115" s="221">
        <f>+'[1]Dep working '!$AV$160</f>
        <v>87.775540197013044</v>
      </c>
      <c r="Z115" s="221">
        <f>+'[1]Dep working '!$AV$161</f>
        <v>87.775540197013044</v>
      </c>
      <c r="AA115" s="221">
        <f>+'[1]Dep working '!$AV$162</f>
        <v>88.194164510418091</v>
      </c>
      <c r="AB115" s="221">
        <f>+'[1]Dep working '!$AV$163</f>
        <v>106.43094613918018</v>
      </c>
      <c r="AC115" s="221">
        <f>+'[1]Dep working '!$AV$164</f>
        <v>106.43094613918018</v>
      </c>
      <c r="AD115" s="223">
        <f>+SUBTOTAL(9,R115:AC115)</f>
        <v>1041.8093947183258</v>
      </c>
      <c r="AE115" s="224"/>
      <c r="AF115" s="222">
        <f>+'[1]Dep working '!$AW$153</f>
        <v>77.56308161968316</v>
      </c>
      <c r="AG115" s="221">
        <f>+'[1]Dep working '!$AW$154</f>
        <v>79.144236007081588</v>
      </c>
      <c r="AH115" s="221">
        <f>+'[1]Dep working '!$AW$155</f>
        <v>79.877882563893081</v>
      </c>
      <c r="AI115" s="221">
        <f>+'[1]Dep working '!$AW$156</f>
        <v>80.611529120704532</v>
      </c>
      <c r="AJ115" s="221">
        <f>+'[1]Dep working '!$AW$157</f>
        <v>80.611529120704532</v>
      </c>
      <c r="AK115" s="221">
        <f>+'[1]Dep working '!$AW$158</f>
        <v>80.611529120704532</v>
      </c>
      <c r="AL115" s="221">
        <f>+'[1]Dep working '!$AW$159</f>
        <v>86.78246998275003</v>
      </c>
      <c r="AM115" s="221">
        <f>+'[1]Dep working '!$AW$160</f>
        <v>87.775540197013044</v>
      </c>
      <c r="AN115" s="221">
        <f>+'[1]Dep working '!$AW$161</f>
        <v>87.775540197013044</v>
      </c>
      <c r="AO115" s="221">
        <f>+'[1]Dep working '!$AW$162</f>
        <v>88.194164510418091</v>
      </c>
      <c r="AP115" s="221">
        <f>+'[1]Dep working '!$AW$163</f>
        <v>106.43094613918018</v>
      </c>
      <c r="AQ115" s="221">
        <f>+'[1]Dep working '!$AW$164</f>
        <v>106.43094613918018</v>
      </c>
      <c r="AR115" s="223">
        <f>+SUBTOTAL(9,AF115:AQ115)</f>
        <v>1041.8093947183258</v>
      </c>
      <c r="AS115" s="225"/>
      <c r="AT115" s="226">
        <f>+'[1]Dep working '!$AX$153</f>
        <v>51.708721079788774</v>
      </c>
      <c r="AU115" s="227">
        <f>+'[1]Dep working '!$AX$154</f>
        <v>52.762824004721061</v>
      </c>
      <c r="AV115" s="227">
        <f>+'[1]Dep working '!$AX$155</f>
        <v>53.251921709262049</v>
      </c>
      <c r="AW115" s="227">
        <f>+'[1]Dep working '!$AX$156</f>
        <v>53.741019413803023</v>
      </c>
      <c r="AX115" s="227">
        <f>+'[1]Dep working '!$AX$157</f>
        <v>53.741019413803023</v>
      </c>
      <c r="AY115" s="227">
        <f>+'[1]Dep working '!$AX$158</f>
        <v>53.741019413803023</v>
      </c>
      <c r="AZ115" s="227">
        <f>+'[1]Dep working '!$AX$159</f>
        <v>57.85497998850002</v>
      </c>
      <c r="BA115" s="227">
        <f>+'[1]Dep working '!$AX$160</f>
        <v>58.517026798008693</v>
      </c>
      <c r="BB115" s="227">
        <f>+'[1]Dep working '!$AX$161</f>
        <v>58.517026798008693</v>
      </c>
      <c r="BC115" s="227">
        <f>+'[1]Dep working '!$AX$162</f>
        <v>58.796109673612065</v>
      </c>
      <c r="BD115" s="227">
        <f>+'[1]Dep working '!$AX$163</f>
        <v>70.953964092786791</v>
      </c>
      <c r="BE115" s="227">
        <f>+'[1]Dep working '!$AX$164</f>
        <v>70.953964092786791</v>
      </c>
      <c r="BF115" s="223">
        <f>+SUBTOTAL(9,AT115:BE115)</f>
        <v>694.53959647888405</v>
      </c>
      <c r="BG115" s="224"/>
      <c r="BH115" s="226">
        <f>+'[1]Dep working '!$AY$153</f>
        <v>387.81540809841579</v>
      </c>
      <c r="BI115" s="227">
        <f>+'[1]Dep working '!$AY$154</f>
        <v>395.72118003540794</v>
      </c>
      <c r="BJ115" s="227">
        <f>+'[1]Dep working '!$AY$155</f>
        <v>399.38941281946535</v>
      </c>
      <c r="BK115" s="227">
        <f>+'[1]Dep working '!$AY$156</f>
        <v>403.0576456035227</v>
      </c>
      <c r="BL115" s="227">
        <f>+'[1]Dep working '!$AY$157</f>
        <v>403.0576456035227</v>
      </c>
      <c r="BM115" s="227">
        <f>+'[1]Dep working '!$AY$158</f>
        <v>403.0576456035227</v>
      </c>
      <c r="BN115" s="227">
        <f>+'[1]Dep working '!$AY$159</f>
        <v>433.91234991375018</v>
      </c>
      <c r="BO115" s="227">
        <f>+'[1]Dep working '!$AY$160</f>
        <v>438.87770098506519</v>
      </c>
      <c r="BP115" s="227">
        <f>+'[1]Dep working '!$AY$161</f>
        <v>438.87770098506519</v>
      </c>
      <c r="BQ115" s="227">
        <f>+'[1]Dep working '!$AY$162</f>
        <v>440.97082255209051</v>
      </c>
      <c r="BR115" s="227">
        <f>+'[1]Dep working '!$AY$163</f>
        <v>532.15473069590098</v>
      </c>
      <c r="BS115" s="227">
        <f>+'[1]Dep working '!$AY$164</f>
        <v>532.15473069590098</v>
      </c>
      <c r="BT115" s="223">
        <f>+SUBTOTAL(9,BH115:BS115)</f>
        <v>5209.0469735916304</v>
      </c>
      <c r="BU115" s="225"/>
      <c r="BV115" s="226">
        <f>+'[1]Dep working '!$AR$153</f>
        <v>25.854360539894387</v>
      </c>
      <c r="BW115" s="227">
        <f>+'[1]Dep working '!$AR$154</f>
        <v>26.381412002360531</v>
      </c>
      <c r="BX115" s="227">
        <f>+'[1]Dep working '!$AR$155</f>
        <v>26.625960854631025</v>
      </c>
      <c r="BY115" s="227">
        <f>+'[1]Dep working '!$AR$156</f>
        <v>26.870509706901512</v>
      </c>
      <c r="BZ115" s="227">
        <f>+'[1]Dep working '!$AR$157</f>
        <v>26.870509706901512</v>
      </c>
      <c r="CA115" s="227">
        <f>+'[1]Dep working '!$AR$158</f>
        <v>26.870509706901512</v>
      </c>
      <c r="CB115" s="227">
        <f>+'[1]Dep working '!$AR$159</f>
        <v>28.92748999425001</v>
      </c>
      <c r="CC115" s="227">
        <f>+'[1]Dep working '!$AR$160</f>
        <v>29.258513399004347</v>
      </c>
      <c r="CD115" s="227">
        <f>+'[1]Dep working '!$AR$161</f>
        <v>29.258513399004347</v>
      </c>
      <c r="CE115" s="227">
        <f>+'[1]Dep working '!$AR$162</f>
        <v>29.398054836806033</v>
      </c>
      <c r="CF115" s="227">
        <f>+'[1]Dep working '!$AR$163</f>
        <v>35.476982046393395</v>
      </c>
      <c r="CG115" s="227">
        <f>+'[1]Dep working '!$AR$164</f>
        <v>35.476982046393395</v>
      </c>
      <c r="CH115" s="223">
        <f>+SUBTOTAL(9,BV115:CG115)</f>
        <v>347.26979823944203</v>
      </c>
      <c r="CI115" s="224"/>
      <c r="CJ115" s="226">
        <f>+'[1]Dep working '!$AS$153</f>
        <v>284.39796593883824</v>
      </c>
      <c r="CK115" s="227">
        <f>+'[1]Dep working '!$AS$154</f>
        <v>290.19553202596586</v>
      </c>
      <c r="CL115" s="227">
        <f>+'[1]Dep working '!$AS$155</f>
        <v>292.88556940094128</v>
      </c>
      <c r="CM115" s="227">
        <f>+'[1]Dep working '!$AS$156</f>
        <v>295.57560677591664</v>
      </c>
      <c r="CN115" s="227">
        <f>+'[1]Dep working '!$AS$157</f>
        <v>295.57560677591664</v>
      </c>
      <c r="CO115" s="227">
        <f>+'[1]Dep working '!$AS$158</f>
        <v>295.57560677591664</v>
      </c>
      <c r="CP115" s="227">
        <f>+'[1]Dep working '!$AS$159</f>
        <v>318.20238993675014</v>
      </c>
      <c r="CQ115" s="227">
        <f>+'[1]Dep working '!$AS$160</f>
        <v>321.84364738904782</v>
      </c>
      <c r="CR115" s="227">
        <f>+'[1]Dep working '!$AS$161</f>
        <v>321.84364738904782</v>
      </c>
      <c r="CS115" s="227">
        <f>+'[1]Dep working '!$AS$162</f>
        <v>323.37860320486635</v>
      </c>
      <c r="CT115" s="227">
        <f>+'[1]Dep working '!$AS$163</f>
        <v>390.24680251032737</v>
      </c>
      <c r="CU115" s="227">
        <f>+'[1]Dep working '!$AS$164</f>
        <v>390.24680251032737</v>
      </c>
      <c r="CV115" s="223">
        <f>+SUBTOTAL(9,CJ115:CU115)</f>
        <v>3819.9677806338623</v>
      </c>
      <c r="CW115" s="224"/>
      <c r="CX115" s="226">
        <f>+'[1]Dep working '!$BB$153</f>
        <v>723.92209511704277</v>
      </c>
      <c r="CY115" s="227">
        <f>+'[1]Dep working '!$BB$154</f>
        <v>738.6795360660949</v>
      </c>
      <c r="CZ115" s="227">
        <f>+'[1]Dep working '!$BB$155</f>
        <v>745.52690392966872</v>
      </c>
      <c r="DA115" s="227">
        <f>+'[1]Dep working '!$BB$156</f>
        <v>752.37427179324231</v>
      </c>
      <c r="DB115" s="227">
        <f>+'[1]Dep working '!$BB$157</f>
        <v>752.37427179324231</v>
      </c>
      <c r="DC115" s="227">
        <f>+'[1]Dep working '!$BB$158</f>
        <v>752.37427179324231</v>
      </c>
      <c r="DD115" s="227">
        <f>+'[1]Dep working '!$BB$159</f>
        <v>809.96971983900028</v>
      </c>
      <c r="DE115" s="227">
        <f>+'[1]Dep working '!$BB$160</f>
        <v>819.23837517212166</v>
      </c>
      <c r="DF115" s="227">
        <f>+'[1]Dep working '!$BB$161</f>
        <v>819.23837517212166</v>
      </c>
      <c r="DG115" s="227">
        <f>+'[1]Dep working '!$BB$162</f>
        <v>823.14553543056888</v>
      </c>
      <c r="DH115" s="227">
        <f>+'[1]Dep working '!$BB$163</f>
        <v>993.35549729901504</v>
      </c>
      <c r="DI115" s="227">
        <f>+'[1]Dep working '!$BB$164</f>
        <v>993.35549729901504</v>
      </c>
      <c r="DJ115" s="223">
        <f>+SUBTOTAL(9,CX115:DI115)</f>
        <v>9723.5543507043767</v>
      </c>
      <c r="DK115" s="224"/>
      <c r="DL115" s="226">
        <f>+'[1]Dep working '!$BC$153</f>
        <v>698.06773457714849</v>
      </c>
      <c r="DM115" s="227">
        <f>+'[1]Dep working '!$BC$154</f>
        <v>712.29812406373435</v>
      </c>
      <c r="DN115" s="227">
        <f>+'[1]Dep working '!$BC$155</f>
        <v>718.90094307503762</v>
      </c>
      <c r="DO115" s="227">
        <f>+'[1]Dep working '!$BC$156</f>
        <v>725.50376208634077</v>
      </c>
      <c r="DP115" s="227">
        <f>+'[1]Dep working '!$BC$157</f>
        <v>725.50376208634077</v>
      </c>
      <c r="DQ115" s="227">
        <f>+'[1]Dep working '!$BC$158</f>
        <v>725.50376208634077</v>
      </c>
      <c r="DR115" s="227">
        <f>+'[1]Dep working '!$BC$159</f>
        <v>781.0422298447503</v>
      </c>
      <c r="DS115" s="227">
        <f>+'[1]Dep working '!$BC$160</f>
        <v>789.97986177311736</v>
      </c>
      <c r="DT115" s="227">
        <f>+'[1]Dep working '!$BC$161</f>
        <v>789.97986177311736</v>
      </c>
      <c r="DU115" s="227">
        <f>+'[1]Dep working '!$BC$162</f>
        <v>793.74748059376293</v>
      </c>
      <c r="DV115" s="227">
        <f>+'[1]Dep working '!$BC$163</f>
        <v>957.8785152526217</v>
      </c>
      <c r="DW115" s="227">
        <f>+'[1]Dep working '!$BC$164</f>
        <v>957.8785152526217</v>
      </c>
      <c r="DX115" s="223">
        <f>+SUBTOTAL(9,DL115:DW115)</f>
        <v>9376.2845524649347</v>
      </c>
      <c r="DY115" s="224"/>
      <c r="DZ115" s="226">
        <f>+'[1]Dep working '!$BD$153</f>
        <v>51.708721079788774</v>
      </c>
      <c r="EA115" s="227">
        <f>+'[1]Dep working '!$BD$154</f>
        <v>52.762824004721061</v>
      </c>
      <c r="EB115" s="227">
        <f>+'[1]Dep working '!$BD$155</f>
        <v>53.251921709262049</v>
      </c>
      <c r="EC115" s="227">
        <f>+'[1]Dep working '!$BD$156</f>
        <v>53.741019413803023</v>
      </c>
      <c r="ED115" s="227">
        <f>+'[1]Dep working '!$BD$157</f>
        <v>53.741019413803023</v>
      </c>
      <c r="EE115" s="227">
        <f>+'[1]Dep working '!$BD$158</f>
        <v>53.741019413803023</v>
      </c>
      <c r="EF115" s="227">
        <f>+'[1]Dep working '!$BD$159</f>
        <v>57.85497998850002</v>
      </c>
      <c r="EG115" s="227">
        <f>+'[1]Dep working '!$BD$160</f>
        <v>58.517026798008693</v>
      </c>
      <c r="EH115" s="227">
        <f>+'[1]Dep working '!$BD$161</f>
        <v>58.517026798008693</v>
      </c>
      <c r="EI115" s="227">
        <f>+'[1]Dep working '!$BD$162</f>
        <v>58.796109673612065</v>
      </c>
      <c r="EJ115" s="227">
        <f>+'[1]Dep working '!$BD$163</f>
        <v>70.953964092786791</v>
      </c>
      <c r="EK115" s="227">
        <f>+'[1]Dep working '!$BD$164</f>
        <v>70.953964092786791</v>
      </c>
      <c r="EL115" s="223">
        <f>+SUBTOTAL(9,DZ115:EK115)</f>
        <v>694.53959647888405</v>
      </c>
      <c r="EM115" s="224"/>
      <c r="EN115" s="226">
        <f>+'[1]Dep working '!$BE153</f>
        <v>51.708721079788774</v>
      </c>
      <c r="EO115" s="227">
        <f>+'[1]Dep working '!$BE154</f>
        <v>52.762824004721061</v>
      </c>
      <c r="EP115" s="227">
        <f>+'[1]Dep working '!$BE155</f>
        <v>53.251921709262049</v>
      </c>
      <c r="EQ115" s="227">
        <f>+'[1]Dep working '!$BE156</f>
        <v>53.741019413803023</v>
      </c>
      <c r="ER115" s="227">
        <f>+'[1]Dep working '!$BE157</f>
        <v>53.741019413803023</v>
      </c>
      <c r="ES115" s="227">
        <f>+'[1]Dep working '!$BE158</f>
        <v>53.741019413803023</v>
      </c>
      <c r="ET115" s="227">
        <f>+'[1]Dep working '!$BE159</f>
        <v>57.85497998850002</v>
      </c>
      <c r="EU115" s="227">
        <f>+'[1]Dep working '!$BE160</f>
        <v>58.517026798008693</v>
      </c>
      <c r="EV115" s="227">
        <f>+'[1]Dep working '!$BE161</f>
        <v>58.517026798008693</v>
      </c>
      <c r="EW115" s="227">
        <f>+'[1]Dep working '!$BE162</f>
        <v>58.796109673612065</v>
      </c>
      <c r="EX115" s="227">
        <f>+'[1]Dep working '!$BE163</f>
        <v>70.953964092786791</v>
      </c>
      <c r="EY115" s="227">
        <f>+'[1]Dep working '!$BE164</f>
        <v>70.953964092786791</v>
      </c>
      <c r="EZ115" s="223">
        <f>+SUBTOTAL(9,EN115:EY115)</f>
        <v>694.53959647888405</v>
      </c>
      <c r="FA115" s="224"/>
      <c r="FB115" s="226">
        <f>+'[1]Dep working '!$BF$153</f>
        <v>25.854360539894387</v>
      </c>
      <c r="FC115" s="227">
        <f>+'[1]Dep working '!$BF$154</f>
        <v>26.381412002360531</v>
      </c>
      <c r="FD115" s="227">
        <f>+'[1]Dep working '!$BF$155</f>
        <v>26.625960854631025</v>
      </c>
      <c r="FE115" s="227">
        <f>+'[1]Dep working '!$BF$156</f>
        <v>26.870509706901512</v>
      </c>
      <c r="FF115" s="227">
        <f>+'[1]Dep working '!$BF$157</f>
        <v>26.870509706901512</v>
      </c>
      <c r="FG115" s="227">
        <f>+'[1]Dep working '!$BF$158</f>
        <v>26.870509706901512</v>
      </c>
      <c r="FH115" s="227">
        <f>+'[1]Dep working '!$BF$159</f>
        <v>28.92748999425001</v>
      </c>
      <c r="FI115" s="227">
        <f>+'[1]Dep working '!$BF$160</f>
        <v>29.258513399004347</v>
      </c>
      <c r="FJ115" s="227">
        <f>+'[1]Dep working '!$BF$161</f>
        <v>29.258513399004347</v>
      </c>
      <c r="FK115" s="227">
        <f>+'[1]Dep working '!$BF$162</f>
        <v>29.398054836806033</v>
      </c>
      <c r="FL115" s="227">
        <f>+'[1]Dep working '!$BF$163</f>
        <v>35.476982046393395</v>
      </c>
      <c r="FM115" s="227">
        <f>+'[1]Dep working '!$BF$164</f>
        <v>35.476982046393395</v>
      </c>
      <c r="FN115" s="223">
        <f>+SUBTOTAL(9,FB115:FM115)</f>
        <v>347.26979823944203</v>
      </c>
      <c r="FO115" s="224"/>
      <c r="FP115" s="226">
        <f>+'[1]Dep working '!$BG$153</f>
        <v>180.98052377926069</v>
      </c>
      <c r="FQ115" s="227">
        <f>+'[1]Dep working '!$BG$154</f>
        <v>184.66988401652372</v>
      </c>
      <c r="FR115" s="227">
        <f>+'[1]Dep working '!$BG$155</f>
        <v>186.38172598241718</v>
      </c>
      <c r="FS115" s="227">
        <f>+'[1]Dep working '!$BG$156</f>
        <v>188.09356794831058</v>
      </c>
      <c r="FT115" s="227">
        <f>+'[1]Dep working '!$BG$157</f>
        <v>188.09356794831058</v>
      </c>
      <c r="FU115" s="227">
        <f>+'[1]Dep working '!$BG$158</f>
        <v>188.09356794831058</v>
      </c>
      <c r="FV115" s="227">
        <f>+'[1]Dep working '!$BG$159</f>
        <v>202.49242995975007</v>
      </c>
      <c r="FW115" s="227">
        <f>+'[1]Dep working '!$BG$160</f>
        <v>204.80959379303042</v>
      </c>
      <c r="FX115" s="227">
        <f>+'[1]Dep working '!$BG$161</f>
        <v>204.80959379303042</v>
      </c>
      <c r="FY115" s="227">
        <f>+'[1]Dep working '!$BG$162</f>
        <v>205.78638385764222</v>
      </c>
      <c r="FZ115" s="227">
        <f>+'[1]Dep working '!$BG$163</f>
        <v>248.33887432475376</v>
      </c>
      <c r="GA115" s="227">
        <f>+'[1]Dep working '!$BG$164</f>
        <v>248.33887432475376</v>
      </c>
      <c r="GB115" s="223">
        <f>+SUBTOTAL(9,FP115:GA115)</f>
        <v>2430.8885876760942</v>
      </c>
      <c r="GC115" s="224"/>
      <c r="GD115" s="226">
        <f>+'[1]Dep working '!$BH$153</f>
        <v>25.854360539894387</v>
      </c>
      <c r="GE115" s="227">
        <f>+'[1]Dep working '!$BH$154</f>
        <v>26.381412002360531</v>
      </c>
      <c r="GF115" s="227">
        <f>+'[1]Dep working '!$BH$155</f>
        <v>26.625960854631025</v>
      </c>
      <c r="GG115" s="227">
        <f>+'[1]Dep working '!$BH$156</f>
        <v>26.870509706901512</v>
      </c>
      <c r="GH115" s="227">
        <f>+'[1]Dep working '!$BH$157</f>
        <v>26.870509706901512</v>
      </c>
      <c r="GI115" s="227">
        <f>+'[1]Dep working '!$BH$158</f>
        <v>26.870509706901512</v>
      </c>
      <c r="GJ115" s="227">
        <f>+'[1]Dep working '!$BH$159</f>
        <v>28.92748999425001</v>
      </c>
      <c r="GK115" s="227">
        <f>+'[1]Dep working '!$BH$160</f>
        <v>29.258513399004347</v>
      </c>
      <c r="GL115" s="227">
        <f>+'[1]Dep working '!$BH$161</f>
        <v>29.258513399004347</v>
      </c>
      <c r="GM115" s="227">
        <f>+'[1]Dep working '!$BH$162</f>
        <v>29.398054836806033</v>
      </c>
      <c r="GN115" s="227">
        <f>+'[1]Dep working '!$BH$163</f>
        <v>35.476982046393395</v>
      </c>
      <c r="GO115" s="227">
        <f>+'[1]Dep working '!$BH$164</f>
        <v>35.476982046393395</v>
      </c>
      <c r="GP115" s="223">
        <f>+SUBTOTAL(9,GD115:GO115)</f>
        <v>347.26979823944203</v>
      </c>
      <c r="GQ115" s="224"/>
      <c r="GR115" s="226">
        <v>0</v>
      </c>
      <c r="GS115" s="226">
        <v>0</v>
      </c>
      <c r="GT115" s="226">
        <v>0</v>
      </c>
      <c r="GU115" s="226">
        <v>0</v>
      </c>
      <c r="GV115" s="226">
        <v>0</v>
      </c>
      <c r="GW115" s="226">
        <v>0</v>
      </c>
      <c r="GX115" s="226">
        <v>0</v>
      </c>
      <c r="GY115" s="226">
        <v>0</v>
      </c>
      <c r="GZ115" s="226">
        <v>0</v>
      </c>
      <c r="HA115" s="226">
        <v>0</v>
      </c>
      <c r="HB115" s="226">
        <v>0</v>
      </c>
      <c r="HC115" s="226">
        <v>0</v>
      </c>
      <c r="HD115" s="223">
        <f>+SUBTOTAL(9,GR115:HC115)</f>
        <v>0</v>
      </c>
      <c r="HE115" s="224"/>
      <c r="HF115" s="226">
        <f>+'[1]Dep working '!$BI$153</f>
        <v>103.41744215957755</v>
      </c>
      <c r="HG115" s="227">
        <f>+'[1]Dep working '!$BI$154</f>
        <v>105.52564800944212</v>
      </c>
      <c r="HH115" s="227">
        <f>+'[1]Dep working '!$BI$155</f>
        <v>106.5038434185241</v>
      </c>
      <c r="HI115" s="227">
        <f>+'[1]Dep working '!$BI$156</f>
        <v>107.48203882760605</v>
      </c>
      <c r="HJ115" s="227">
        <f>+'[1]Dep working '!$BI$157</f>
        <v>107.48203882760605</v>
      </c>
      <c r="HK115" s="227">
        <f>+'[1]Dep working '!$BI$158</f>
        <v>107.48203882760605</v>
      </c>
      <c r="HL115" s="227">
        <f>+'[1]Dep working '!$BI$159</f>
        <v>115.70995997700004</v>
      </c>
      <c r="HM115" s="227">
        <f>+'[1]Dep working '!$BI$160</f>
        <v>117.03405359601739</v>
      </c>
      <c r="HN115" s="227">
        <f>+'[1]Dep working '!$BI$161</f>
        <v>117.03405359601739</v>
      </c>
      <c r="HO115" s="227">
        <f>+'[1]Dep working '!$BI$162</f>
        <v>117.59221934722413</v>
      </c>
      <c r="HP115" s="227">
        <f>+'[1]Dep working '!$BI$163</f>
        <v>141.90792818557358</v>
      </c>
      <c r="HQ115" s="228">
        <f>+'[1]Dep working '!$BI$164</f>
        <v>141.90792818557358</v>
      </c>
      <c r="HR115" s="229">
        <f>+SUBTOTAL(9,HF115:HQ115)</f>
        <v>1389.0791929577681</v>
      </c>
      <c r="HS115" s="224"/>
      <c r="HT115" s="226">
        <f>+'[1]Dep working '!$BJ$153</f>
        <v>25.854360539894387</v>
      </c>
      <c r="HU115" s="227">
        <f>+'[1]Dep working '!$BJ$154</f>
        <v>26.381412002360531</v>
      </c>
      <c r="HV115" s="227">
        <f>+'[1]Dep working '!$BJ$155</f>
        <v>26.625960854631025</v>
      </c>
      <c r="HW115" s="227">
        <f>+'[1]Dep working '!$BJ$156</f>
        <v>26.870509706901512</v>
      </c>
      <c r="HX115" s="227">
        <f>+'[1]Dep working '!$BJ$157</f>
        <v>26.870509706901512</v>
      </c>
      <c r="HY115" s="227">
        <f>+'[1]Dep working '!$BJ$158</f>
        <v>26.870509706901512</v>
      </c>
      <c r="HZ115" s="227">
        <f>+'[1]Dep working '!$BJ$159</f>
        <v>28.92748999425001</v>
      </c>
      <c r="IA115" s="227">
        <f>+'[1]Dep working '!$BJ$160</f>
        <v>29.258513399004347</v>
      </c>
      <c r="IB115" s="227">
        <f>+'[1]Dep working '!$BJ$161</f>
        <v>29.258513399004347</v>
      </c>
      <c r="IC115" s="227">
        <f>+'[1]Dep working '!$BJ$162</f>
        <v>29.398054836806033</v>
      </c>
      <c r="ID115" s="227">
        <f>+'[1]Dep working '!$BJ$163</f>
        <v>35.476982046393395</v>
      </c>
      <c r="IE115" s="227">
        <f>+'[1]Dep working '!$BJ$164</f>
        <v>35.476982046393395</v>
      </c>
      <c r="IF115" s="223">
        <f>+SUBTOTAL(9,HT115:IE115)</f>
        <v>347.26979823944203</v>
      </c>
      <c r="IG115" s="224"/>
      <c r="IH115" s="226">
        <f>+'[1]Dep working '!$BK$153</f>
        <v>25.854360539894387</v>
      </c>
      <c r="II115" s="227">
        <f>+'[1]Dep working '!$BK$154</f>
        <v>26.381412002360531</v>
      </c>
      <c r="IJ115" s="227">
        <f>+'[1]Dep working '!$BK$155</f>
        <v>26.625960854631025</v>
      </c>
      <c r="IK115" s="227">
        <f>+'[1]Dep working '!$BK$156</f>
        <v>26.870509706901512</v>
      </c>
      <c r="IL115" s="227">
        <f>+'[1]Dep working '!$BK$157</f>
        <v>26.870509706901512</v>
      </c>
      <c r="IM115" s="227">
        <f>+'[1]Dep working '!$BK$158</f>
        <v>26.870509706901512</v>
      </c>
      <c r="IN115" s="227">
        <f>+'[1]Dep working '!$BK$159</f>
        <v>28.92748999425001</v>
      </c>
      <c r="IO115" s="227">
        <f>+'[1]Dep working '!$BK$160</f>
        <v>29.258513399004347</v>
      </c>
      <c r="IP115" s="227">
        <f>+'[1]Dep working '!$BK$161</f>
        <v>29.258513399004347</v>
      </c>
      <c r="IQ115" s="227">
        <f>+'[1]Dep working '!$BK$162</f>
        <v>29.398054836806033</v>
      </c>
      <c r="IR115" s="227">
        <f>+'[1]Dep working '!$BK$163</f>
        <v>35.476982046393395</v>
      </c>
      <c r="IS115" s="227">
        <f>+'[1]Dep working '!$BK$164</f>
        <v>35.476982046393395</v>
      </c>
      <c r="IT115" s="223">
        <f>+SUBTOTAL(9,IH115:IS115)</f>
        <v>347.26979823944203</v>
      </c>
      <c r="IU115" s="224"/>
      <c r="IV115" s="226">
        <f>+'[1]Dep working '!$BL$153</f>
        <v>180.98052377926069</v>
      </c>
      <c r="IW115" s="227">
        <f>+'[1]Dep working '!$BL$154</f>
        <v>184.66988401652372</v>
      </c>
      <c r="IX115" s="227">
        <f>+'[1]Dep working '!$BL$155</f>
        <v>186.38172598241718</v>
      </c>
      <c r="IY115" s="227">
        <f>+'[1]Dep working '!$BL$156</f>
        <v>188.09356794831058</v>
      </c>
      <c r="IZ115" s="227">
        <f>+'[1]Dep working '!$BL$157</f>
        <v>188.09356794831058</v>
      </c>
      <c r="JA115" s="227">
        <f>+'[1]Dep working '!$BL$158</f>
        <v>188.09356794831058</v>
      </c>
      <c r="JB115" s="227">
        <f>+'[1]Dep working '!$BL$159</f>
        <v>202.49242995975007</v>
      </c>
      <c r="JC115" s="227">
        <f>+'[1]Dep working '!$BL$160</f>
        <v>204.80959379303042</v>
      </c>
      <c r="JD115" s="227">
        <f>+'[1]Dep working '!$BL$161</f>
        <v>204.80959379303042</v>
      </c>
      <c r="JE115" s="227">
        <f>+'[1]Dep working '!$BL$162</f>
        <v>205.78638385764222</v>
      </c>
      <c r="JF115" s="227">
        <f>+'[1]Dep working '!$BL$163</f>
        <v>248.33887432475376</v>
      </c>
      <c r="JG115" s="227">
        <f>+'[1]Dep working '!$BL$164</f>
        <v>248.33887432475376</v>
      </c>
      <c r="JH115" s="223">
        <f>+SUBTOTAL(9,IV115:JG115)</f>
        <v>2430.8885876760942</v>
      </c>
      <c r="JI115" s="224"/>
      <c r="JJ115" s="226">
        <f>+'[1]Dep working '!$BM$153</f>
        <v>284.39796593883824</v>
      </c>
      <c r="JK115" s="227">
        <f>+'[1]Dep working '!$BM$154</f>
        <v>290.19553202596586</v>
      </c>
      <c r="JL115" s="227">
        <f>+'[1]Dep working '!$BM$155</f>
        <v>292.88556940094128</v>
      </c>
      <c r="JM115" s="227">
        <f>+'[1]Dep working '!$BM$156</f>
        <v>295.57560677591664</v>
      </c>
      <c r="JN115" s="227">
        <f>+'[1]Dep working '!$BM$157</f>
        <v>295.57560677591664</v>
      </c>
      <c r="JO115" s="227">
        <f>+'[1]Dep working '!$BM$158</f>
        <v>295.57560677591664</v>
      </c>
      <c r="JP115" s="227">
        <f>+'[1]Dep working '!$BM$159</f>
        <v>318.20238993675014</v>
      </c>
      <c r="JQ115" s="227">
        <f>+'[1]Dep working '!$BM$160</f>
        <v>321.84364738904782</v>
      </c>
      <c r="JR115" s="227">
        <f>+'[1]Dep working '!$BM$161</f>
        <v>321.84364738904782</v>
      </c>
      <c r="JS115" s="227">
        <f>+'[1]Dep working '!$BM$162</f>
        <v>323.37860320486635</v>
      </c>
      <c r="JT115" s="227">
        <f>+'[1]Dep working '!$BM$163</f>
        <v>390.24680251032737</v>
      </c>
      <c r="JU115" s="227">
        <f>+'[1]Dep working '!$BM$164</f>
        <v>390.24680251032737</v>
      </c>
      <c r="JV115" s="223">
        <f>+SUBTOTAL(9,JJ115:JU115)</f>
        <v>3819.9677806338623</v>
      </c>
      <c r="JW115" s="224"/>
      <c r="JX115" s="226">
        <f>+'[1]Dep working '!$BN$153</f>
        <v>129.27180269947195</v>
      </c>
      <c r="JY115" s="227">
        <f>+'[1]Dep working '!$BN$154</f>
        <v>131.90706001180266</v>
      </c>
      <c r="JZ115" s="227">
        <f>+'[1]Dep working '!$BN$155</f>
        <v>133.12980427315512</v>
      </c>
      <c r="KA115" s="227">
        <f>+'[1]Dep working '!$BN$156</f>
        <v>134.35254853450755</v>
      </c>
      <c r="KB115" s="227">
        <f>+'[1]Dep working '!$BN$157</f>
        <v>134.35254853450755</v>
      </c>
      <c r="KC115" s="227">
        <f>+'[1]Dep working '!$BN$158</f>
        <v>134.35254853450755</v>
      </c>
      <c r="KD115" s="227">
        <f>+'[1]Dep working '!$BN$159</f>
        <v>144.63744997125005</v>
      </c>
      <c r="KE115" s="227">
        <f>+'[1]Dep working '!$BN$160</f>
        <v>146.29256699502173</v>
      </c>
      <c r="KF115" s="227">
        <f>+'[1]Dep working '!$BN$161</f>
        <v>146.29256699502173</v>
      </c>
      <c r="KG115" s="227">
        <f>+'[1]Dep working '!$BN$162</f>
        <v>146.99027418403017</v>
      </c>
      <c r="KH115" s="227">
        <f>+'[1]Dep working '!$BN$163</f>
        <v>177.38491023196698</v>
      </c>
      <c r="KI115" s="227">
        <f>+'[1]Dep working '!$BN$164</f>
        <v>177.38491023196698</v>
      </c>
      <c r="KJ115" s="223">
        <f>+SUBTOTAL(9,JX115:KI115)</f>
        <v>1736.3489911972101</v>
      </c>
      <c r="KK115" s="224"/>
      <c r="KL115" s="226">
        <v>0</v>
      </c>
      <c r="KM115" s="227">
        <v>0</v>
      </c>
      <c r="KN115" s="227">
        <v>0</v>
      </c>
      <c r="KO115" s="227">
        <v>0</v>
      </c>
      <c r="KP115" s="227">
        <v>0</v>
      </c>
      <c r="KQ115" s="227">
        <v>0</v>
      </c>
      <c r="KR115" s="227">
        <v>0</v>
      </c>
      <c r="KS115" s="227">
        <v>0</v>
      </c>
      <c r="KT115" s="227">
        <v>0</v>
      </c>
      <c r="KU115" s="227">
        <v>0</v>
      </c>
      <c r="KV115" s="227">
        <v>0</v>
      </c>
      <c r="KW115" s="227">
        <v>0</v>
      </c>
      <c r="KX115" s="223"/>
      <c r="KY115" s="224"/>
      <c r="KZ115" s="226">
        <f>+'[1]Dep working '!$AT$153</f>
        <v>25.854360539894387</v>
      </c>
      <c r="LA115" s="227">
        <f>+'[1]Dep working '!$AT$154</f>
        <v>26.381412002360531</v>
      </c>
      <c r="LB115" s="227">
        <f>+'[1]Dep working '!$AT$155</f>
        <v>26.625960854631025</v>
      </c>
      <c r="LC115" s="227">
        <f>+'[1]Dep working '!$AT$156</f>
        <v>26.870509706901512</v>
      </c>
      <c r="LD115" s="227">
        <f>+'[1]Dep working '!$AT$157</f>
        <v>26.870509706901512</v>
      </c>
      <c r="LE115" s="227">
        <f>+'[1]Dep working '!$AT$158</f>
        <v>26.870509706901512</v>
      </c>
      <c r="LF115" s="227">
        <f>+'[1]Dep working '!$AT$159</f>
        <v>28.92748999425001</v>
      </c>
      <c r="LG115" s="227">
        <f>+'[1]Dep working '!$AT$160</f>
        <v>29.258513399004347</v>
      </c>
      <c r="LH115" s="227">
        <f>+'[1]Dep working '!$AT$161</f>
        <v>29.258513399004347</v>
      </c>
      <c r="LI115" s="227">
        <f>+'[1]Dep working '!$AT$162</f>
        <v>29.398054836806033</v>
      </c>
      <c r="LJ115" s="227">
        <f>+'[1]Dep working '!$AT$163</f>
        <v>35.476982046393395</v>
      </c>
      <c r="LK115" s="227">
        <f>+'[1]Dep working '!$AT$164</f>
        <v>35.476982046393395</v>
      </c>
      <c r="LL115" s="223">
        <f>+SUBTOTAL(9,KZ115:LK115)</f>
        <v>347.26979823944203</v>
      </c>
      <c r="LM115" s="224"/>
      <c r="LN115" s="226"/>
      <c r="LO115" s="227"/>
      <c r="LP115" s="227"/>
      <c r="LQ115" s="227"/>
      <c r="LR115" s="227"/>
      <c r="LS115" s="227"/>
      <c r="LT115" s="227"/>
      <c r="LU115" s="227"/>
      <c r="LV115" s="227"/>
      <c r="LW115" s="227"/>
      <c r="LX115" s="227"/>
      <c r="LY115" s="227"/>
      <c r="LZ115" s="223"/>
      <c r="MA115" s="224"/>
      <c r="MB115" s="230">
        <f t="shared" si="426"/>
        <v>4188.4064074628905</v>
      </c>
      <c r="MC115" s="230">
        <f t="shared" si="426"/>
        <v>4273.7887443824056</v>
      </c>
      <c r="MD115" s="230">
        <f t="shared" si="426"/>
        <v>4313.4056584502259</v>
      </c>
      <c r="ME115" s="230">
        <f t="shared" si="426"/>
        <v>4353.0225725180435</v>
      </c>
      <c r="MF115" s="230">
        <f t="shared" si="426"/>
        <v>4353.0225725180435</v>
      </c>
      <c r="MG115" s="230">
        <f t="shared" si="426"/>
        <v>4353.0225725180435</v>
      </c>
      <c r="MH115" s="230">
        <f t="shared" si="426"/>
        <v>4686.2533790685029</v>
      </c>
      <c r="MI115" s="230">
        <f t="shared" si="426"/>
        <v>4739.8791706387037</v>
      </c>
      <c r="MJ115" s="230">
        <f t="shared" si="426"/>
        <v>4739.8791706387037</v>
      </c>
      <c r="MK115" s="230">
        <f t="shared" si="426"/>
        <v>4762.484883562578</v>
      </c>
      <c r="ML115" s="230">
        <f t="shared" si="426"/>
        <v>5747.2710915157322</v>
      </c>
      <c r="MM115" s="230">
        <f t="shared" si="426"/>
        <v>5747.2710915157322</v>
      </c>
      <c r="MN115" s="231">
        <f t="shared" ref="MN115:MN116" si="428">SUM(MB115:MM115)</f>
        <v>56257.707314789601</v>
      </c>
    </row>
    <row r="116" spans="1:352" s="232" customFormat="1" ht="13" x14ac:dyDescent="0.3">
      <c r="A116" s="219"/>
      <c r="B116" s="220" t="s">
        <v>224</v>
      </c>
      <c r="C116" s="221"/>
      <c r="D116" s="222">
        <f>SUM(D114:D115)</f>
        <v>53626.001870959175</v>
      </c>
      <c r="E116" s="221">
        <f t="shared" ref="E116:O116" si="429">SUM(E114:E115)</f>
        <v>51555.08900961942</v>
      </c>
      <c r="F116" s="221">
        <f t="shared" si="429"/>
        <v>51820.632450777783</v>
      </c>
      <c r="G116" s="221">
        <f t="shared" si="429"/>
        <v>51355.994026109664</v>
      </c>
      <c r="H116" s="221">
        <f t="shared" si="429"/>
        <v>51420.534589370465</v>
      </c>
      <c r="I116" s="221">
        <f t="shared" si="429"/>
        <v>51437.821688504126</v>
      </c>
      <c r="J116" s="221">
        <f t="shared" si="429"/>
        <v>52146.270923508739</v>
      </c>
      <c r="K116" s="221">
        <f t="shared" si="429"/>
        <v>52836.384022433915</v>
      </c>
      <c r="L116" s="221">
        <f t="shared" si="429"/>
        <v>54917.322209028855</v>
      </c>
      <c r="M116" s="221">
        <f t="shared" si="429"/>
        <v>52635.852239518972</v>
      </c>
      <c r="N116" s="221">
        <f t="shared" si="429"/>
        <v>50569.017843425594</v>
      </c>
      <c r="O116" s="221">
        <f t="shared" si="429"/>
        <v>49491.189669766092</v>
      </c>
      <c r="P116" s="223">
        <f t="shared" si="427"/>
        <v>623812.11054302275</v>
      </c>
      <c r="Q116" s="224"/>
      <c r="R116" s="222">
        <f>SUM(R114:R115)</f>
        <v>4696.1253044905998</v>
      </c>
      <c r="S116" s="221">
        <f>SUM(S114:S115)</f>
        <v>4488.5495254354646</v>
      </c>
      <c r="T116" s="221">
        <f t="shared" ref="T116:AC116" si="430">SUM(T114:T115)</f>
        <v>4514.9717406593363</v>
      </c>
      <c r="U116" s="221">
        <f t="shared" si="430"/>
        <v>4467.9534926585948</v>
      </c>
      <c r="V116" s="221">
        <f t="shared" si="430"/>
        <v>4474.630102651091</v>
      </c>
      <c r="W116" s="221">
        <f t="shared" si="430"/>
        <v>4476.4184232511243</v>
      </c>
      <c r="X116" s="221">
        <f t="shared" si="430"/>
        <v>4547.3657866697986</v>
      </c>
      <c r="Y116" s="221">
        <f t="shared" si="430"/>
        <v>4614.4423430722036</v>
      </c>
      <c r="Z116" s="221">
        <f t="shared" si="430"/>
        <v>4830.3281611983111</v>
      </c>
      <c r="AA116" s="221">
        <f t="shared" si="430"/>
        <v>4594.3140264214244</v>
      </c>
      <c r="AB116" s="221">
        <f t="shared" si="430"/>
        <v>4383.1538790066179</v>
      </c>
      <c r="AC116" s="221">
        <f t="shared" si="430"/>
        <v>4271.5927777112483</v>
      </c>
      <c r="AD116" s="223">
        <f>+SUBTOTAL(9,R116:AC116)</f>
        <v>54359.845563225812</v>
      </c>
      <c r="AE116" s="224"/>
      <c r="AF116" s="222">
        <f>SUM(AF114:AF115)</f>
        <v>4717.371729657425</v>
      </c>
      <c r="AG116" s="221">
        <f>SUM(AG114:AG115)</f>
        <v>4509.7959506022908</v>
      </c>
      <c r="AH116" s="221">
        <f t="shared" ref="AH116:AQ116" si="431">SUM(AH114:AH115)</f>
        <v>4536.2181658261625</v>
      </c>
      <c r="AI116" s="221">
        <f t="shared" si="431"/>
        <v>4489.19991782542</v>
      </c>
      <c r="AJ116" s="221">
        <f t="shared" si="431"/>
        <v>4495.8765278179162</v>
      </c>
      <c r="AK116" s="221">
        <f t="shared" si="431"/>
        <v>4497.6648484179495</v>
      </c>
      <c r="AL116" s="221">
        <f t="shared" si="431"/>
        <v>4568.6122118366247</v>
      </c>
      <c r="AM116" s="221">
        <f t="shared" si="431"/>
        <v>4635.6887682390297</v>
      </c>
      <c r="AN116" s="221">
        <f t="shared" si="431"/>
        <v>4851.5745863651364</v>
      </c>
      <c r="AO116" s="221">
        <f t="shared" si="431"/>
        <v>4615.5604515882505</v>
      </c>
      <c r="AP116" s="221">
        <f t="shared" si="431"/>
        <v>4404.4003041734431</v>
      </c>
      <c r="AQ116" s="221">
        <f t="shared" si="431"/>
        <v>4292.8392028780745</v>
      </c>
      <c r="AR116" s="223">
        <f>+SUBTOTAL(9,AF116:AQ116)</f>
        <v>54614.802665227726</v>
      </c>
      <c r="AS116" s="225"/>
      <c r="AT116" s="233">
        <f>SUM(AT114:AT115)</f>
        <v>11130.607209666756</v>
      </c>
      <c r="AU116" s="227">
        <f>SUM(AU114:AU115)</f>
        <v>10992.223356963332</v>
      </c>
      <c r="AV116" s="227">
        <f t="shared" ref="AV116:BE116" si="432">SUM(AV114:AV115)</f>
        <v>11009.838167112579</v>
      </c>
      <c r="AW116" s="227">
        <f t="shared" si="432"/>
        <v>10978.492668445419</v>
      </c>
      <c r="AX116" s="227">
        <f t="shared" si="432"/>
        <v>10982.943741773748</v>
      </c>
      <c r="AY116" s="227">
        <f t="shared" si="432"/>
        <v>10984.135955507105</v>
      </c>
      <c r="AZ116" s="227">
        <f t="shared" si="432"/>
        <v>11039.366355396643</v>
      </c>
      <c r="BA116" s="227">
        <f t="shared" si="432"/>
        <v>11084.084059664912</v>
      </c>
      <c r="BB116" s="227">
        <f t="shared" si="432"/>
        <v>11228.007938415651</v>
      </c>
      <c r="BC116" s="227">
        <f t="shared" si="432"/>
        <v>11070.665181897728</v>
      </c>
      <c r="BD116" s="227">
        <f t="shared" si="432"/>
        <v>10929.891750287856</v>
      </c>
      <c r="BE116" s="227">
        <f t="shared" si="432"/>
        <v>10855.517682757609</v>
      </c>
      <c r="BF116" s="223">
        <f>+SUBTOTAL(9,AT116:BE116)</f>
        <v>132285.77406788935</v>
      </c>
      <c r="BG116" s="224"/>
      <c r="BH116" s="233">
        <f>SUM(BH114:BH115)</f>
        <v>62056.865797953476</v>
      </c>
      <c r="BI116" s="227">
        <f t="shared" ref="BI116:BS116" si="433">SUM(BI114:BI115)</f>
        <v>61015.054586185906</v>
      </c>
      <c r="BJ116" s="227">
        <f t="shared" si="433"/>
        <v>61147.16566230527</v>
      </c>
      <c r="BK116" s="227">
        <f t="shared" si="433"/>
        <v>60912.074422301557</v>
      </c>
      <c r="BL116" s="227">
        <f t="shared" si="433"/>
        <v>60945.457472264032</v>
      </c>
      <c r="BM116" s="227">
        <f t="shared" si="433"/>
        <v>60954.399075264198</v>
      </c>
      <c r="BN116" s="227">
        <f t="shared" si="433"/>
        <v>61328.094424292751</v>
      </c>
      <c r="BO116" s="227">
        <f t="shared" si="433"/>
        <v>61663.477206304779</v>
      </c>
      <c r="BP116" s="227">
        <f t="shared" si="433"/>
        <v>62742.906296935311</v>
      </c>
      <c r="BQ116" s="227">
        <f t="shared" si="433"/>
        <v>61546.153068236774</v>
      </c>
      <c r="BR116" s="227">
        <f t="shared" si="433"/>
        <v>60507.034885976856</v>
      </c>
      <c r="BS116" s="227">
        <f t="shared" si="433"/>
        <v>59949.229379500001</v>
      </c>
      <c r="BT116" s="223"/>
      <c r="BU116" s="225"/>
      <c r="BV116" s="233">
        <f>SUM(BV114:BV115)</f>
        <v>10843.044310267125</v>
      </c>
      <c r="BW116" s="234">
        <f t="shared" ref="BW116:CG116" si="434">SUM(BW114:BW115)</f>
        <v>10755.978218043152</v>
      </c>
      <c r="BX116" s="227">
        <f t="shared" si="434"/>
        <v>10764.785623117778</v>
      </c>
      <c r="BY116" s="227">
        <f t="shared" si="434"/>
        <v>10749.112873784197</v>
      </c>
      <c r="BZ116" s="227">
        <f t="shared" si="434"/>
        <v>10751.338410448363</v>
      </c>
      <c r="CA116" s="227">
        <f t="shared" si="434"/>
        <v>10751.93451731504</v>
      </c>
      <c r="CB116" s="227">
        <f t="shared" si="434"/>
        <v>10783.082844047227</v>
      </c>
      <c r="CC116" s="227">
        <f t="shared" si="434"/>
        <v>10823.315862053621</v>
      </c>
      <c r="CD116" s="227">
        <f t="shared" si="434"/>
        <v>10877.40363555673</v>
      </c>
      <c r="CE116" s="227">
        <f t="shared" si="434"/>
        <v>10798.732257297766</v>
      </c>
      <c r="CF116" s="227">
        <f t="shared" si="434"/>
        <v>10728.345541492832</v>
      </c>
      <c r="CG116" s="227">
        <f t="shared" si="434"/>
        <v>10691.158507727709</v>
      </c>
      <c r="CH116" s="223">
        <f>+SUBTOTAL(9,BV116:CG116)</f>
        <v>129318.23260115157</v>
      </c>
      <c r="CI116" s="224"/>
      <c r="CJ116" s="233">
        <f>SUM(CJ114:CJ115)</f>
        <v>29680.72049206134</v>
      </c>
      <c r="CK116" s="234">
        <f t="shared" ref="CK116:CU116" si="435">SUM(CK114:CK115)</f>
        <v>28919.609302192512</v>
      </c>
      <c r="CL116" s="227">
        <f t="shared" si="435"/>
        <v>29016.490758013373</v>
      </c>
      <c r="CM116" s="227">
        <f t="shared" si="435"/>
        <v>28844.090515343989</v>
      </c>
      <c r="CN116" s="227">
        <f t="shared" si="435"/>
        <v>28868.571418649808</v>
      </c>
      <c r="CO116" s="227">
        <f t="shared" si="435"/>
        <v>28875.128594183265</v>
      </c>
      <c r="CP116" s="227">
        <f t="shared" si="435"/>
        <v>29144.035212069532</v>
      </c>
      <c r="CQ116" s="227">
        <f t="shared" si="435"/>
        <v>29389.982585545018</v>
      </c>
      <c r="CR116" s="227">
        <f t="shared" si="435"/>
        <v>30181.56391867407</v>
      </c>
      <c r="CS116" s="227">
        <f t="shared" si="435"/>
        <v>29316.178757825495</v>
      </c>
      <c r="CT116" s="227">
        <f t="shared" si="435"/>
        <v>28541.924883971198</v>
      </c>
      <c r="CU116" s="227">
        <f t="shared" si="435"/>
        <v>28132.867512554843</v>
      </c>
      <c r="CV116" s="223">
        <f>+SUBTOTAL(9,CJ116:CU116)</f>
        <v>348911.16395108448</v>
      </c>
      <c r="CW116" s="224"/>
      <c r="CX116" s="233">
        <f>SUM(CX114:CX115)</f>
        <v>67018.801221321221</v>
      </c>
      <c r="CY116" s="227">
        <f t="shared" ref="CY116:DI116" si="436">SUM(CY114:CY115)</f>
        <v>64990.269037524791</v>
      </c>
      <c r="CZ116" s="227">
        <f t="shared" si="436"/>
        <v>65247.005073608532</v>
      </c>
      <c r="DA116" s="227">
        <f t="shared" si="436"/>
        <v>64798.039398273999</v>
      </c>
      <c r="DB116" s="227">
        <f t="shared" si="436"/>
        <v>64860.354424870617</v>
      </c>
      <c r="DC116" s="227">
        <f t="shared" si="436"/>
        <v>64877.045417137604</v>
      </c>
      <c r="DD116" s="227">
        <f t="shared" si="436"/>
        <v>65575.664247240347</v>
      </c>
      <c r="DE116" s="227">
        <f t="shared" si="436"/>
        <v>66270.229742839787</v>
      </c>
      <c r="DF116" s="227">
        <f t="shared" si="436"/>
        <v>68252.394741250973</v>
      </c>
      <c r="DG116" s="227">
        <f t="shared" si="436"/>
        <v>66057.937427407101</v>
      </c>
      <c r="DH116" s="227">
        <f t="shared" si="436"/>
        <v>64053.148469711596</v>
      </c>
      <c r="DI116" s="227">
        <f t="shared" si="436"/>
        <v>63012.507329817221</v>
      </c>
      <c r="DJ116" s="223">
        <f>+SUBTOTAL(9,CX116:DI116)</f>
        <v>785013.39653100376</v>
      </c>
      <c r="DK116" s="224"/>
      <c r="DL116" s="233">
        <f>SUM(DL114:DL115)</f>
        <v>47751.614925604968</v>
      </c>
      <c r="DM116" s="227">
        <f t="shared" ref="DM116:DW116" si="437">SUM(DM114:DM115)</f>
        <v>44001.144536866559</v>
      </c>
      <c r="DN116" s="227">
        <f t="shared" si="437"/>
        <v>43995.507330103748</v>
      </c>
      <c r="DO116" s="227">
        <f t="shared" si="437"/>
        <v>42053.425799911231</v>
      </c>
      <c r="DP116" s="227">
        <f t="shared" si="437"/>
        <v>42115.740826507856</v>
      </c>
      <c r="DQ116" s="227">
        <f t="shared" si="437"/>
        <v>42132.431818774836</v>
      </c>
      <c r="DR116" s="227">
        <f t="shared" si="437"/>
        <v>46341.963449333794</v>
      </c>
      <c r="DS116" s="227">
        <f t="shared" si="437"/>
        <v>43421.917368620932</v>
      </c>
      <c r="DT116" s="227">
        <f t="shared" si="437"/>
        <v>45427.914588195134</v>
      </c>
      <c r="DU116" s="227">
        <f t="shared" si="437"/>
        <v>43208.293900692297</v>
      </c>
      <c r="DV116" s="227">
        <f t="shared" si="437"/>
        <v>41248.069485758628</v>
      </c>
      <c r="DW116" s="227">
        <f t="shared" si="437"/>
        <v>40206.832540335177</v>
      </c>
      <c r="DX116" s="223">
        <f>+SUBTOTAL(9,DL116:DW116)</f>
        <v>521904.85657070519</v>
      </c>
      <c r="DY116" s="224"/>
      <c r="DZ116" s="233">
        <f>SUM(DZ114:DZ115)</f>
        <v>5148.188470616361</v>
      </c>
      <c r="EA116" s="227">
        <f t="shared" ref="EA116:EK116" si="438">SUM(EA114:EA115)</f>
        <v>5079.5235957271143</v>
      </c>
      <c r="EB116" s="227">
        <f t="shared" si="438"/>
        <v>5088.5755496540096</v>
      </c>
      <c r="EC116" s="227">
        <f t="shared" si="438"/>
        <v>8272.1473491727011</v>
      </c>
      <c r="ED116" s="227">
        <f t="shared" si="438"/>
        <v>5075.372885836864</v>
      </c>
      <c r="EE116" s="227">
        <f t="shared" si="438"/>
        <v>5075.9689927035415</v>
      </c>
      <c r="EF116" s="227">
        <f t="shared" si="438"/>
        <v>5105.6709632121147</v>
      </c>
      <c r="EG116" s="227">
        <f t="shared" si="438"/>
        <v>5128.360838751003</v>
      </c>
      <c r="EH116" s="227">
        <f t="shared" si="438"/>
        <v>5200.3227781263713</v>
      </c>
      <c r="EI116" s="227">
        <f t="shared" si="438"/>
        <v>5121.7909413052112</v>
      </c>
      <c r="EJ116" s="227">
        <f t="shared" si="438"/>
        <v>5057.4831527098631</v>
      </c>
      <c r="EK116" s="227">
        <f t="shared" si="438"/>
        <v>5020.2961189447406</v>
      </c>
      <c r="EL116" s="223">
        <f>+SUBTOTAL(9,DZ116:EK116)</f>
        <v>64373.701636759892</v>
      </c>
      <c r="EM116" s="224"/>
      <c r="EN116" s="233">
        <f>SUM(EN114:EN115)</f>
        <v>7601.4961515161349</v>
      </c>
      <c r="EO116" s="226">
        <f t="shared" ref="EO116:EY116" si="439">SUM(EO114:EO115)</f>
        <v>7463.1122988127108</v>
      </c>
      <c r="EP116" s="226">
        <f t="shared" si="439"/>
        <v>7480.7271089619599</v>
      </c>
      <c r="EQ116" s="226">
        <f t="shared" si="439"/>
        <v>7449.3816102947985</v>
      </c>
      <c r="ER116" s="226">
        <f t="shared" si="439"/>
        <v>7453.8326836231281</v>
      </c>
      <c r="ES116" s="226">
        <f t="shared" si="439"/>
        <v>7455.024897356484</v>
      </c>
      <c r="ET116" s="226">
        <f t="shared" si="439"/>
        <v>7510.2552972460244</v>
      </c>
      <c r="EU116" s="226">
        <f t="shared" si="439"/>
        <v>7554.9730015142932</v>
      </c>
      <c r="EV116" s="226">
        <f t="shared" si="439"/>
        <v>7698.8968802650306</v>
      </c>
      <c r="EW116" s="226">
        <f t="shared" si="439"/>
        <v>7541.5541237471061</v>
      </c>
      <c r="EX116" s="226">
        <f t="shared" si="439"/>
        <v>7400.7806921372357</v>
      </c>
      <c r="EY116" s="226">
        <f t="shared" si="439"/>
        <v>7326.4066246069897</v>
      </c>
      <c r="EZ116" s="223">
        <f>+SUBTOTAL(9,EN116:EY116)</f>
        <v>89936.441370081884</v>
      </c>
      <c r="FA116" s="224"/>
      <c r="FB116" s="233">
        <f>SUM(FB114:FB115)</f>
        <v>1683.1658545950554</v>
      </c>
      <c r="FC116" s="227">
        <f t="shared" ref="FC116:FM116" si="440">SUM(FC114:FC115)</f>
        <v>1613.9739282433438</v>
      </c>
      <c r="FD116" s="227">
        <f t="shared" si="440"/>
        <v>1622.7813333179677</v>
      </c>
      <c r="FE116" s="227">
        <f t="shared" si="440"/>
        <v>1607.1085839843872</v>
      </c>
      <c r="FF116" s="227">
        <f t="shared" si="440"/>
        <v>1609.3341206485522</v>
      </c>
      <c r="FG116" s="227">
        <f t="shared" si="440"/>
        <v>1609.9302275152302</v>
      </c>
      <c r="FH116" s="227">
        <f t="shared" si="440"/>
        <v>1634.0123006725835</v>
      </c>
      <c r="FI116" s="227">
        <f t="shared" si="440"/>
        <v>1656.3711528067183</v>
      </c>
      <c r="FJ116" s="227">
        <f t="shared" si="440"/>
        <v>1728.3330921820868</v>
      </c>
      <c r="FK116" s="227">
        <f t="shared" si="440"/>
        <v>1649.6617139231255</v>
      </c>
      <c r="FL116" s="227">
        <f t="shared" si="440"/>
        <v>1579.2749981181894</v>
      </c>
      <c r="FM116" s="227">
        <f t="shared" si="440"/>
        <v>1542.0879643530664</v>
      </c>
      <c r="FN116" s="223">
        <f>+SUBTOTAL(9,FB116:FM116)</f>
        <v>19536.035270360306</v>
      </c>
      <c r="FO116" s="224"/>
      <c r="FP116" s="235">
        <f t="shared" ref="FP116:FZ116" si="441">SUM(FP114:FP115)</f>
        <v>23059.87785537797</v>
      </c>
      <c r="FQ116" s="227">
        <f t="shared" si="441"/>
        <v>22513.153532021806</v>
      </c>
      <c r="FR116" s="227">
        <f t="shared" si="441"/>
        <v>22584.934061538454</v>
      </c>
      <c r="FS116" s="227">
        <f t="shared" si="441"/>
        <v>22465.09612220911</v>
      </c>
      <c r="FT116" s="227">
        <f t="shared" si="441"/>
        <v>22480.674878858266</v>
      </c>
      <c r="FU116" s="227">
        <f t="shared" si="441"/>
        <v>22484.847626925013</v>
      </c>
      <c r="FV116" s="227">
        <f t="shared" si="441"/>
        <v>22673.751023678535</v>
      </c>
      <c r="FW116" s="227">
        <f t="shared" si="441"/>
        <v>22871.969375652749</v>
      </c>
      <c r="FX116" s="227">
        <f t="shared" si="441"/>
        <v>23369.744895989577</v>
      </c>
      <c r="FY116" s="227">
        <f t="shared" si="441"/>
        <v>22827.386525583897</v>
      </c>
      <c r="FZ116" s="227">
        <f t="shared" si="441"/>
        <v>22300.718599792053</v>
      </c>
      <c r="GA116" s="227">
        <f>SUM(GA114:GA115)</f>
        <v>22041.005168965265</v>
      </c>
      <c r="GB116" s="223">
        <f>+SUBTOTAL(9,FP116:GA116)</f>
        <v>271673.15966659272</v>
      </c>
      <c r="GC116" s="224"/>
      <c r="GD116" s="235">
        <f t="shared" ref="GD116:GN116" si="442">SUM(GD114:GD115)</f>
        <v>10480.83029692108</v>
      </c>
      <c r="GE116" s="227">
        <f t="shared" si="442"/>
        <v>10474.019209463553</v>
      </c>
      <c r="GF116" s="227">
        <f t="shared" si="442"/>
        <v>10472.697920543898</v>
      </c>
      <c r="GG116" s="227">
        <f t="shared" si="442"/>
        <v>10467.153865204598</v>
      </c>
      <c r="GH116" s="227">
        <f t="shared" si="442"/>
        <v>10469.379401868762</v>
      </c>
      <c r="GI116" s="227">
        <f t="shared" si="442"/>
        <v>10469.975508735441</v>
      </c>
      <c r="GJ116" s="227">
        <f t="shared" si="442"/>
        <v>10490.244426506712</v>
      </c>
      <c r="GK116" s="227">
        <f t="shared" si="442"/>
        <v>10470.896891605576</v>
      </c>
      <c r="GL116" s="227">
        <f t="shared" si="442"/>
        <v>10548.816886271698</v>
      </c>
      <c r="GM116" s="227">
        <f t="shared" si="442"/>
        <v>10461.804230605681</v>
      </c>
      <c r="GN116" s="227">
        <f t="shared" si="442"/>
        <v>10425.378429958037</v>
      </c>
      <c r="GO116" s="227">
        <f>SUM(GO114:GO115)</f>
        <v>10387.595590663839</v>
      </c>
      <c r="GP116" s="223">
        <f>+SUBTOTAL(9,GD116:GO116)</f>
        <v>125618.79265834889</v>
      </c>
      <c r="GQ116" s="224"/>
      <c r="GR116" s="226">
        <f>SUM(GR114:GR115)</f>
        <v>-5959.765868601452</v>
      </c>
      <c r="GS116" s="226">
        <f t="shared" ref="GS116:HC116" si="443">SUM(GS114:GS115)</f>
        <v>-7113.670897200117</v>
      </c>
      <c r="GT116" s="226">
        <f t="shared" si="443"/>
        <v>21737.156430363517</v>
      </c>
      <c r="GU116" s="226">
        <f t="shared" si="443"/>
        <v>21659.999018542738</v>
      </c>
      <c r="GV116" s="226">
        <f t="shared" si="443"/>
        <v>21582.303594329202</v>
      </c>
      <c r="GW116" s="226">
        <f t="shared" si="443"/>
        <v>21504.066463728632</v>
      </c>
      <c r="GX116" s="226">
        <f t="shared" si="443"/>
        <v>21425.283932746741</v>
      </c>
      <c r="GY116" s="226">
        <f t="shared" si="443"/>
        <v>21345.952188228151</v>
      </c>
      <c r="GZ116" s="226">
        <f t="shared" si="443"/>
        <v>21266.067417017475</v>
      </c>
      <c r="HA116" s="226">
        <f t="shared" si="443"/>
        <v>21185.625567637115</v>
      </c>
      <c r="HB116" s="226">
        <f t="shared" si="443"/>
        <v>21104.623065253894</v>
      </c>
      <c r="HC116" s="226">
        <f t="shared" si="443"/>
        <v>21023.055739229105</v>
      </c>
      <c r="HD116" s="223">
        <f>+SUBTOTAL(9,GR116:HC116)</f>
        <v>200760.69665127504</v>
      </c>
      <c r="HE116" s="224"/>
      <c r="HF116" s="233">
        <f t="shared" ref="HF116:HP116" si="444">SUM(HF114:HF115)</f>
        <v>10562.441778723407</v>
      </c>
      <c r="HG116" s="227">
        <f t="shared" si="444"/>
        <v>10285.674073316559</v>
      </c>
      <c r="HH116" s="227">
        <f t="shared" si="444"/>
        <v>10320.903693615057</v>
      </c>
      <c r="HI116" s="227">
        <f t="shared" si="444"/>
        <v>10258.212696280732</v>
      </c>
      <c r="HJ116" s="227">
        <f t="shared" si="444"/>
        <v>10267.114842937393</v>
      </c>
      <c r="HK116" s="227">
        <f t="shared" si="444"/>
        <v>10269.499270404105</v>
      </c>
      <c r="HL116" s="227">
        <f t="shared" si="444"/>
        <v>10371.594960554969</v>
      </c>
      <c r="HM116" s="227">
        <f t="shared" si="444"/>
        <v>10461.030369091506</v>
      </c>
      <c r="HN116" s="227">
        <f t="shared" si="444"/>
        <v>10748.878126592981</v>
      </c>
      <c r="HO116" s="227">
        <f t="shared" si="444"/>
        <v>10434.192613557134</v>
      </c>
      <c r="HP116" s="227">
        <f t="shared" si="444"/>
        <v>10152.645750337391</v>
      </c>
      <c r="HQ116" s="228">
        <f>SUM(HQ114:HQ115)</f>
        <v>10003.897615276899</v>
      </c>
      <c r="HR116" s="229">
        <f>+SUBTOTAL(9,HF116:HQ116)</f>
        <v>124136.08579068816</v>
      </c>
      <c r="HS116" s="224"/>
      <c r="HT116" s="233">
        <f t="shared" ref="HT116:ID116" si="445">SUM(HT114:HT115)</f>
        <v>2724.324100543578</v>
      </c>
      <c r="HU116" s="227">
        <f t="shared" si="445"/>
        <v>2655.1321741918664</v>
      </c>
      <c r="HV116" s="227">
        <f t="shared" si="445"/>
        <v>2663.9395792664905</v>
      </c>
      <c r="HW116" s="227">
        <f t="shared" si="445"/>
        <v>2648.2668299329093</v>
      </c>
      <c r="HX116" s="227">
        <f t="shared" si="445"/>
        <v>2650.492366597075</v>
      </c>
      <c r="HY116" s="227">
        <f t="shared" si="445"/>
        <v>2651.088473463753</v>
      </c>
      <c r="HZ116" s="227">
        <f t="shared" si="445"/>
        <v>2675.5756943808774</v>
      </c>
      <c r="IA116" s="227">
        <f t="shared" si="445"/>
        <v>2697.9345465150118</v>
      </c>
      <c r="IB116" s="227">
        <f t="shared" si="445"/>
        <v>2769.8964858903805</v>
      </c>
      <c r="IC116" s="227">
        <f t="shared" si="445"/>
        <v>2691.2251076314187</v>
      </c>
      <c r="ID116" s="227">
        <f t="shared" si="445"/>
        <v>2620.8383918264835</v>
      </c>
      <c r="IE116" s="227">
        <f>SUM(IE114:IE115)</f>
        <v>2583.65135806136</v>
      </c>
      <c r="IF116" s="223">
        <f>+SUBTOTAL(9,HT116:IE116)</f>
        <v>32032.365108301205</v>
      </c>
      <c r="IG116" s="224"/>
      <c r="IH116" s="233">
        <f t="shared" ref="IH116:IR116" si="446">SUM(IH114:IH115)</f>
        <v>7771.8574656532064</v>
      </c>
      <c r="II116" s="227">
        <f t="shared" si="446"/>
        <v>7702.6655393014944</v>
      </c>
      <c r="IJ116" s="227">
        <f t="shared" si="446"/>
        <v>7711.4729443761189</v>
      </c>
      <c r="IK116" s="227">
        <f t="shared" si="446"/>
        <v>7695.8001950425387</v>
      </c>
      <c r="IL116" s="227">
        <f t="shared" si="446"/>
        <v>7698.0257317067035</v>
      </c>
      <c r="IM116" s="227">
        <f t="shared" si="446"/>
        <v>7698.621838573381</v>
      </c>
      <c r="IN116" s="227">
        <f t="shared" si="446"/>
        <v>7729.7701653055683</v>
      </c>
      <c r="IO116" s="227">
        <f t="shared" si="446"/>
        <v>7752.1290174397027</v>
      </c>
      <c r="IP116" s="227">
        <f t="shared" si="446"/>
        <v>7824.0909568150719</v>
      </c>
      <c r="IQ116" s="227">
        <f t="shared" si="446"/>
        <v>7745.4195785561105</v>
      </c>
      <c r="IR116" s="227">
        <f t="shared" si="446"/>
        <v>7675.0328627511735</v>
      </c>
      <c r="IS116" s="227">
        <f>SUM(IS114:IS115)</f>
        <v>7637.84582898605</v>
      </c>
      <c r="IT116" s="223">
        <f>+SUBTOTAL(9,IH116:IS116)</f>
        <v>92642.732124507136</v>
      </c>
      <c r="IU116" s="224"/>
      <c r="IV116" s="233">
        <f>SUM(IV114:IV115)</f>
        <v>24873.474137551468</v>
      </c>
      <c r="IW116" s="227">
        <f t="shared" ref="IW116:JG116" si="447">SUM(IW114:IW115)</f>
        <v>24389.130653089491</v>
      </c>
      <c r="IX116" s="227">
        <f t="shared" si="447"/>
        <v>24450.782488611854</v>
      </c>
      <c r="IY116" s="227">
        <f t="shared" si="447"/>
        <v>24341.073243276795</v>
      </c>
      <c r="IZ116" s="227">
        <f t="shared" si="447"/>
        <v>24356.651999925951</v>
      </c>
      <c r="JA116" s="227">
        <f t="shared" si="447"/>
        <v>24360.824747992698</v>
      </c>
      <c r="JB116" s="227">
        <f t="shared" si="447"/>
        <v>24543.936915003607</v>
      </c>
      <c r="JC116" s="227">
        <f t="shared" si="447"/>
        <v>24700.448879942549</v>
      </c>
      <c r="JD116" s="227">
        <f t="shared" si="447"/>
        <v>25204.182455570135</v>
      </c>
      <c r="JE116" s="227">
        <f t="shared" si="447"/>
        <v>24653.482807757398</v>
      </c>
      <c r="JF116" s="227">
        <f t="shared" si="447"/>
        <v>24160.775797122846</v>
      </c>
      <c r="JG116" s="227">
        <f t="shared" si="447"/>
        <v>23900.466560766981</v>
      </c>
      <c r="JH116" s="223">
        <f>+SUBTOTAL(9,IV116:JG116)</f>
        <v>293935.23068661179</v>
      </c>
      <c r="JI116" s="224"/>
      <c r="JJ116" s="233">
        <f t="shared" ref="JJ116:JT116" si="448">SUM(JJ114:JJ115)</f>
        <v>34550.787222280589</v>
      </c>
      <c r="JK116" s="227">
        <f t="shared" si="448"/>
        <v>33648.112638703475</v>
      </c>
      <c r="JL116" s="227">
        <f t="shared" si="448"/>
        <v>33765.251482512896</v>
      </c>
      <c r="JM116" s="227">
        <f t="shared" si="448"/>
        <v>33572.593851854952</v>
      </c>
      <c r="JN116" s="227">
        <f t="shared" si="448"/>
        <v>33597.074755160764</v>
      </c>
      <c r="JO116" s="227">
        <f t="shared" si="448"/>
        <v>33603.631930694224</v>
      </c>
      <c r="JP116" s="227">
        <f t="shared" si="448"/>
        <v>33875.446079562382</v>
      </c>
      <c r="JQ116" s="227">
        <f t="shared" si="448"/>
        <v>34213.743310044534</v>
      </c>
      <c r="JR116" s="227">
        <f t="shared" si="448"/>
        <v>34984.471449655961</v>
      </c>
      <c r="JS116" s="227">
        <f t="shared" si="448"/>
        <v>34102.403733993277</v>
      </c>
      <c r="JT116" s="227">
        <f t="shared" si="448"/>
        <v>33293.593139452612</v>
      </c>
      <c r="JU116" s="227">
        <f>SUM(JU114:JU115)</f>
        <v>32885.727379094409</v>
      </c>
      <c r="JV116" s="223">
        <f>+SUBTOTAL(9,JJ116:JU116)</f>
        <v>406092.8369730101</v>
      </c>
      <c r="JW116" s="224"/>
      <c r="JX116" s="233">
        <f t="shared" ref="JX116:KH116" si="449">SUM(JX114:JX115)</f>
        <v>18042.807347331811</v>
      </c>
      <c r="JY116" s="227">
        <f t="shared" si="449"/>
        <v>17694.881557327302</v>
      </c>
      <c r="JZ116" s="227">
        <f t="shared" si="449"/>
        <v>17738.918582700418</v>
      </c>
      <c r="KA116" s="227">
        <f t="shared" si="449"/>
        <v>17660.554836032523</v>
      </c>
      <c r="KB116" s="227">
        <f t="shared" si="449"/>
        <v>17671.682519353344</v>
      </c>
      <c r="KC116" s="227">
        <f t="shared" si="449"/>
        <v>17674.663053686734</v>
      </c>
      <c r="KD116" s="227">
        <f t="shared" si="449"/>
        <v>17801.126803648905</v>
      </c>
      <c r="KE116" s="227">
        <f t="shared" si="449"/>
        <v>17912.921064319577</v>
      </c>
      <c r="KF116" s="227">
        <f t="shared" si="449"/>
        <v>18272.730761196421</v>
      </c>
      <c r="KG116" s="227">
        <f t="shared" si="449"/>
        <v>17871.032592494561</v>
      </c>
      <c r="KH116" s="227">
        <f t="shared" si="449"/>
        <v>17527.440290876933</v>
      </c>
      <c r="KI116" s="227">
        <f>SUM(KI114:KI115)</f>
        <v>17341.505122051316</v>
      </c>
      <c r="KJ116" s="223">
        <f>+SUBTOTAL(9,JX116:KI116)</f>
        <v>213210.26453101984</v>
      </c>
      <c r="KK116" s="224"/>
      <c r="KL116" s="233">
        <f t="shared" ref="KL116:KV116" si="450">SUM(KL114:KL115)</f>
        <v>3431.4723684725723</v>
      </c>
      <c r="KM116" s="234">
        <f t="shared" si="450"/>
        <v>3292.0344128442161</v>
      </c>
      <c r="KN116" s="227">
        <f t="shared" si="450"/>
        <v>3309.1601252889232</v>
      </c>
      <c r="KO116" s="227">
        <f t="shared" si="450"/>
        <v>3277.3255289172212</v>
      </c>
      <c r="KP116" s="227">
        <f t="shared" si="450"/>
        <v>3281.7766022455512</v>
      </c>
      <c r="KQ116" s="227">
        <f t="shared" si="450"/>
        <v>3282.9688159789071</v>
      </c>
      <c r="KR116" s="227">
        <f t="shared" si="450"/>
        <v>3326.1610417570482</v>
      </c>
      <c r="KS116" s="227">
        <f t="shared" si="450"/>
        <v>3370.2166992158091</v>
      </c>
      <c r="KT116" s="227">
        <f t="shared" si="450"/>
        <v>3514.1405779665461</v>
      </c>
      <c r="KU116" s="227">
        <f t="shared" si="450"/>
        <v>3356.471074130694</v>
      </c>
      <c r="KV116" s="227">
        <f t="shared" si="450"/>
        <v>3203.5874525439735</v>
      </c>
      <c r="KW116" s="227">
        <f>SUM(KW114:KW115)</f>
        <v>3129.2133850137275</v>
      </c>
      <c r="KX116" s="223"/>
      <c r="KY116" s="224"/>
      <c r="KZ116" s="233">
        <f>SUM(KZ114:KZ115)</f>
        <v>2863.468523803826</v>
      </c>
      <c r="LA116" s="234">
        <f t="shared" ref="LA116:LK116" si="451">SUM(LA114:LA115)</f>
        <v>2794.2765974521139</v>
      </c>
      <c r="LB116" s="227">
        <f t="shared" si="451"/>
        <v>2803.084002526738</v>
      </c>
      <c r="LC116" s="227">
        <f t="shared" si="451"/>
        <v>2787.4112531931573</v>
      </c>
      <c r="LD116" s="227">
        <f t="shared" si="451"/>
        <v>2789.636789857323</v>
      </c>
      <c r="LE116" s="227">
        <f t="shared" si="451"/>
        <v>2790.2328967240005</v>
      </c>
      <c r="LF116" s="227">
        <f t="shared" si="451"/>
        <v>2813.8740737898383</v>
      </c>
      <c r="LG116" s="227">
        <f t="shared" si="451"/>
        <v>2836.2329259239727</v>
      </c>
      <c r="LH116" s="227">
        <f t="shared" si="451"/>
        <v>2908.1948652993415</v>
      </c>
      <c r="LI116" s="227">
        <f t="shared" si="451"/>
        <v>2829.5711514827058</v>
      </c>
      <c r="LJ116" s="227">
        <f t="shared" si="451"/>
        <v>2759.1367712354445</v>
      </c>
      <c r="LK116" s="227">
        <f t="shared" si="451"/>
        <v>2721.949737470321</v>
      </c>
      <c r="LL116" s="223">
        <f>+SUBTOTAL(9,KZ116:LK116)</f>
        <v>33697.069588758779</v>
      </c>
      <c r="LM116" s="224"/>
      <c r="LN116" s="226"/>
      <c r="LO116" s="227"/>
      <c r="LP116" s="227"/>
      <c r="LQ116" s="227"/>
      <c r="LR116" s="227"/>
      <c r="LS116" s="227"/>
      <c r="LT116" s="227"/>
      <c r="LU116" s="227"/>
      <c r="LV116" s="227"/>
      <c r="LW116" s="227"/>
      <c r="LX116" s="227"/>
      <c r="LY116" s="227"/>
      <c r="LZ116" s="223"/>
      <c r="MA116" s="224"/>
      <c r="MB116" s="231">
        <f>SUM(MB114:MB115)</f>
        <v>438355.57856676768</v>
      </c>
      <c r="MC116" s="231">
        <f t="shared" ref="MC116:MM116" si="452">SUM(MC114:MC115)</f>
        <v>423719.73283672828</v>
      </c>
      <c r="MD116" s="231">
        <f t="shared" si="452"/>
        <v>453803.00027480291</v>
      </c>
      <c r="ME116" s="231">
        <f t="shared" si="452"/>
        <v>452810.50809859316</v>
      </c>
      <c r="MF116" s="231">
        <f t="shared" si="452"/>
        <v>449898.80068730284</v>
      </c>
      <c r="MG116" s="231">
        <f t="shared" si="452"/>
        <v>449918.32508283737</v>
      </c>
      <c r="MH116" s="231">
        <f t="shared" si="452"/>
        <v>457451.15913246141</v>
      </c>
      <c r="MI116" s="231">
        <f t="shared" si="452"/>
        <v>457712.70221982524</v>
      </c>
      <c r="MJ116" s="231">
        <f t="shared" si="452"/>
        <v>469348.18370445922</v>
      </c>
      <c r="MK116" s="231">
        <f t="shared" si="452"/>
        <v>456315.3090732912</v>
      </c>
      <c r="ML116" s="231">
        <f t="shared" si="452"/>
        <v>444626.29643792071</v>
      </c>
      <c r="MM116" s="231">
        <f t="shared" si="452"/>
        <v>438448.43879653199</v>
      </c>
      <c r="MN116" s="231">
        <f t="shared" si="428"/>
        <v>5392408.0349115226</v>
      </c>
    </row>
    <row r="117" spans="1:352" s="170" customFormat="1" ht="13.5" thickBot="1" x14ac:dyDescent="0.35">
      <c r="A117" s="186"/>
      <c r="B117" s="236"/>
      <c r="C117" s="237"/>
      <c r="D117" s="238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40"/>
      <c r="Q117" s="241"/>
      <c r="R117" s="238"/>
      <c r="S117" s="239"/>
      <c r="T117" s="239"/>
      <c r="U117" s="239"/>
      <c r="V117" s="239"/>
      <c r="W117" s="239"/>
      <c r="X117" s="239"/>
      <c r="Y117" s="239"/>
      <c r="Z117" s="239"/>
      <c r="AA117" s="239"/>
      <c r="AB117" s="239"/>
      <c r="AC117" s="239"/>
      <c r="AD117" s="240"/>
      <c r="AE117" s="241"/>
      <c r="AF117" s="238"/>
      <c r="AG117" s="239"/>
      <c r="AH117" s="239"/>
      <c r="AI117" s="239"/>
      <c r="AJ117" s="239"/>
      <c r="AK117" s="239"/>
      <c r="AL117" s="239"/>
      <c r="AM117" s="239"/>
      <c r="AN117" s="239"/>
      <c r="AO117" s="239"/>
      <c r="AP117" s="239"/>
      <c r="AQ117" s="239"/>
      <c r="AR117" s="240"/>
      <c r="AS117" s="242"/>
      <c r="AT117" s="238"/>
      <c r="AU117" s="239"/>
      <c r="AV117" s="239"/>
      <c r="AW117" s="239"/>
      <c r="AX117" s="239"/>
      <c r="AY117" s="239"/>
      <c r="AZ117" s="239"/>
      <c r="BA117" s="239"/>
      <c r="BB117" s="239"/>
      <c r="BC117" s="239"/>
      <c r="BD117" s="239"/>
      <c r="BE117" s="239"/>
      <c r="BF117" s="240"/>
      <c r="BG117" s="241"/>
      <c r="BH117" s="238"/>
      <c r="BI117" s="239"/>
      <c r="BJ117" s="239"/>
      <c r="BK117" s="239"/>
      <c r="BL117" s="239"/>
      <c r="BM117" s="239"/>
      <c r="BN117" s="239"/>
      <c r="BO117" s="239"/>
      <c r="BP117" s="239"/>
      <c r="BQ117" s="239"/>
      <c r="BR117" s="239"/>
      <c r="BS117" s="239"/>
      <c r="BT117" s="240"/>
      <c r="BU117" s="242"/>
      <c r="BV117" s="238"/>
      <c r="BW117" s="239"/>
      <c r="BX117" s="239"/>
      <c r="BY117" s="239"/>
      <c r="BZ117" s="239"/>
      <c r="CA117" s="239"/>
      <c r="CB117" s="239"/>
      <c r="CC117" s="239"/>
      <c r="CD117" s="239"/>
      <c r="CE117" s="239"/>
      <c r="CF117" s="239"/>
      <c r="CG117" s="239"/>
      <c r="CH117" s="240"/>
      <c r="CI117" s="241"/>
      <c r="CJ117" s="238"/>
      <c r="CK117" s="239"/>
      <c r="CL117" s="239"/>
      <c r="CM117" s="239"/>
      <c r="CN117" s="239"/>
      <c r="CO117" s="239"/>
      <c r="CP117" s="239"/>
      <c r="CQ117" s="239"/>
      <c r="CR117" s="239"/>
      <c r="CS117" s="239"/>
      <c r="CT117" s="239"/>
      <c r="CU117" s="239"/>
      <c r="CV117" s="240"/>
      <c r="CW117" s="241"/>
      <c r="CX117" s="238"/>
      <c r="CY117" s="239"/>
      <c r="CZ117" s="239"/>
      <c r="DA117" s="239"/>
      <c r="DB117" s="239"/>
      <c r="DC117" s="239"/>
      <c r="DD117" s="239"/>
      <c r="DE117" s="239"/>
      <c r="DF117" s="239"/>
      <c r="DG117" s="239"/>
      <c r="DH117" s="239"/>
      <c r="DI117" s="239"/>
      <c r="DJ117" s="240"/>
      <c r="DK117" s="241"/>
      <c r="DL117" s="238"/>
      <c r="DM117" s="239"/>
      <c r="DN117" s="239"/>
      <c r="DO117" s="239"/>
      <c r="DP117" s="239"/>
      <c r="DQ117" s="239"/>
      <c r="DR117" s="239"/>
      <c r="DS117" s="239"/>
      <c r="DT117" s="239"/>
      <c r="DU117" s="239"/>
      <c r="DV117" s="239"/>
      <c r="DW117" s="239"/>
      <c r="DX117" s="240"/>
      <c r="DY117" s="241"/>
      <c r="DZ117" s="238"/>
      <c r="EA117" s="239"/>
      <c r="EB117" s="239"/>
      <c r="EC117" s="239"/>
      <c r="ED117" s="239"/>
      <c r="EE117" s="239"/>
      <c r="EF117" s="239"/>
      <c r="EG117" s="239"/>
      <c r="EH117" s="239"/>
      <c r="EI117" s="239"/>
      <c r="EJ117" s="239"/>
      <c r="EK117" s="239"/>
      <c r="EL117" s="240"/>
      <c r="EM117" s="241"/>
      <c r="EN117" s="238"/>
      <c r="EO117" s="239"/>
      <c r="EP117" s="239"/>
      <c r="EQ117" s="239"/>
      <c r="ER117" s="239"/>
      <c r="ES117" s="239"/>
      <c r="ET117" s="239"/>
      <c r="EU117" s="239"/>
      <c r="EV117" s="239"/>
      <c r="EW117" s="239"/>
      <c r="EX117" s="239"/>
      <c r="EY117" s="239"/>
      <c r="EZ117" s="240"/>
      <c r="FA117" s="241"/>
      <c r="FB117" s="238"/>
      <c r="FC117" s="239"/>
      <c r="FD117" s="239"/>
      <c r="FE117" s="239"/>
      <c r="FF117" s="239"/>
      <c r="FG117" s="239"/>
      <c r="FH117" s="239"/>
      <c r="FI117" s="239"/>
      <c r="FJ117" s="239"/>
      <c r="FK117" s="239"/>
      <c r="FL117" s="239"/>
      <c r="FM117" s="239"/>
      <c r="FN117" s="240"/>
      <c r="FO117" s="241"/>
      <c r="FP117" s="238"/>
      <c r="FQ117" s="239"/>
      <c r="FR117" s="239"/>
      <c r="FS117" s="239"/>
      <c r="FT117" s="239"/>
      <c r="FU117" s="239"/>
      <c r="FV117" s="239"/>
      <c r="FW117" s="239"/>
      <c r="FX117" s="239"/>
      <c r="FY117" s="239"/>
      <c r="FZ117" s="239"/>
      <c r="GA117" s="239"/>
      <c r="GB117" s="240"/>
      <c r="GC117" s="241"/>
      <c r="GD117" s="238"/>
      <c r="GE117" s="239"/>
      <c r="GF117" s="239"/>
      <c r="GG117" s="239"/>
      <c r="GH117" s="239"/>
      <c r="GI117" s="239"/>
      <c r="GJ117" s="239"/>
      <c r="GK117" s="239"/>
      <c r="GL117" s="239"/>
      <c r="GM117" s="239"/>
      <c r="GN117" s="239"/>
      <c r="GO117" s="239"/>
      <c r="GP117" s="240"/>
      <c r="GQ117" s="241"/>
      <c r="GR117" s="238"/>
      <c r="GS117" s="239"/>
      <c r="GT117" s="239"/>
      <c r="GU117" s="239"/>
      <c r="GV117" s="239"/>
      <c r="GW117" s="239"/>
      <c r="GX117" s="239"/>
      <c r="GY117" s="239"/>
      <c r="GZ117" s="239"/>
      <c r="HA117" s="239"/>
      <c r="HB117" s="239"/>
      <c r="HC117" s="239"/>
      <c r="HD117" s="240"/>
      <c r="HE117" s="241"/>
      <c r="HF117" s="238"/>
      <c r="HG117" s="239"/>
      <c r="HH117" s="239"/>
      <c r="HI117" s="239"/>
      <c r="HJ117" s="239"/>
      <c r="HK117" s="239"/>
      <c r="HL117" s="239"/>
      <c r="HM117" s="239"/>
      <c r="HN117" s="239"/>
      <c r="HO117" s="239"/>
      <c r="HP117" s="239"/>
      <c r="HQ117" s="239"/>
      <c r="HR117" s="240"/>
      <c r="HS117" s="241"/>
      <c r="HT117" s="238"/>
      <c r="HU117" s="239"/>
      <c r="HV117" s="239"/>
      <c r="HW117" s="239"/>
      <c r="HX117" s="239"/>
      <c r="HY117" s="239"/>
      <c r="HZ117" s="239"/>
      <c r="IA117" s="239"/>
      <c r="IB117" s="239"/>
      <c r="IC117" s="239"/>
      <c r="ID117" s="239"/>
      <c r="IE117" s="239"/>
      <c r="IF117" s="240"/>
      <c r="IG117" s="241"/>
      <c r="IH117" s="238"/>
      <c r="II117" s="239"/>
      <c r="IJ117" s="239"/>
      <c r="IK117" s="239"/>
      <c r="IL117" s="239"/>
      <c r="IM117" s="239"/>
      <c r="IN117" s="239"/>
      <c r="IO117" s="239"/>
      <c r="IP117" s="239"/>
      <c r="IQ117" s="239"/>
      <c r="IR117" s="239"/>
      <c r="IS117" s="239"/>
      <c r="IT117" s="240"/>
      <c r="IU117" s="241"/>
      <c r="IV117" s="238"/>
      <c r="IW117" s="239"/>
      <c r="IX117" s="239"/>
      <c r="IY117" s="239"/>
      <c r="IZ117" s="239"/>
      <c r="JA117" s="239"/>
      <c r="JB117" s="239"/>
      <c r="JC117" s="239"/>
      <c r="JD117" s="239"/>
      <c r="JE117" s="239"/>
      <c r="JF117" s="239"/>
      <c r="JG117" s="239"/>
      <c r="JH117" s="240"/>
      <c r="JI117" s="241"/>
      <c r="JJ117" s="238"/>
      <c r="JK117" s="239"/>
      <c r="JL117" s="239"/>
      <c r="JM117" s="239"/>
      <c r="JN117" s="239"/>
      <c r="JO117" s="239"/>
      <c r="JP117" s="239"/>
      <c r="JQ117" s="239"/>
      <c r="JR117" s="239"/>
      <c r="JS117" s="239"/>
      <c r="JT117" s="239"/>
      <c r="JU117" s="239"/>
      <c r="JV117" s="240"/>
      <c r="JW117" s="241"/>
      <c r="JX117" s="238"/>
      <c r="JY117" s="239"/>
      <c r="JZ117" s="239"/>
      <c r="KA117" s="239"/>
      <c r="KB117" s="239"/>
      <c r="KC117" s="239"/>
      <c r="KD117" s="239"/>
      <c r="KE117" s="239"/>
      <c r="KF117" s="239"/>
      <c r="KG117" s="239"/>
      <c r="KH117" s="239"/>
      <c r="KI117" s="239"/>
      <c r="KJ117" s="240"/>
      <c r="KK117" s="241"/>
      <c r="KL117" s="238"/>
      <c r="KM117" s="239"/>
      <c r="KN117" s="239"/>
      <c r="KO117" s="239"/>
      <c r="KP117" s="239"/>
      <c r="KQ117" s="239"/>
      <c r="KR117" s="239"/>
      <c r="KS117" s="239"/>
      <c r="KT117" s="239"/>
      <c r="KU117" s="239"/>
      <c r="KV117" s="239"/>
      <c r="KW117" s="239"/>
      <c r="KX117" s="240"/>
      <c r="KY117" s="241"/>
      <c r="KZ117" s="238"/>
      <c r="LA117" s="239"/>
      <c r="LB117" s="239"/>
      <c r="LC117" s="239"/>
      <c r="LD117" s="239"/>
      <c r="LE117" s="239"/>
      <c r="LF117" s="239"/>
      <c r="LG117" s="239"/>
      <c r="LH117" s="239"/>
      <c r="LI117" s="239"/>
      <c r="LJ117" s="239"/>
      <c r="LK117" s="239"/>
      <c r="LL117" s="240"/>
      <c r="LM117" s="241"/>
      <c r="LN117" s="238"/>
      <c r="LO117" s="239"/>
      <c r="LP117" s="239"/>
      <c r="LQ117" s="239"/>
      <c r="LR117" s="239"/>
      <c r="LS117" s="239"/>
      <c r="LT117" s="239"/>
      <c r="LU117" s="239"/>
      <c r="LV117" s="239"/>
      <c r="LW117" s="239"/>
      <c r="LX117" s="239"/>
      <c r="LY117" s="239"/>
      <c r="LZ117" s="240"/>
      <c r="MA117" s="241"/>
      <c r="MB117" s="238"/>
      <c r="MC117" s="238"/>
      <c r="MD117" s="238"/>
      <c r="ME117" s="238"/>
      <c r="MF117" s="238"/>
      <c r="MG117" s="238"/>
      <c r="MH117" s="238"/>
      <c r="MI117" s="238"/>
      <c r="MJ117" s="238"/>
      <c r="MK117" s="238"/>
      <c r="ML117" s="238"/>
      <c r="MM117" s="238"/>
      <c r="MN117" s="240"/>
    </row>
    <row r="118" spans="1:352" hidden="1" x14ac:dyDescent="0.3">
      <c r="A118" s="98"/>
      <c r="B118" s="243" t="s">
        <v>225</v>
      </c>
      <c r="C118" s="98"/>
      <c r="D118" s="163">
        <v>0</v>
      </c>
      <c r="E118" s="177">
        <v>0</v>
      </c>
      <c r="F118" s="177">
        <v>0</v>
      </c>
      <c r="G118" s="177">
        <v>0</v>
      </c>
      <c r="H118" s="177">
        <v>0</v>
      </c>
      <c r="I118" s="177">
        <v>0</v>
      </c>
      <c r="J118" s="177">
        <v>0</v>
      </c>
      <c r="K118" s="177">
        <v>0</v>
      </c>
      <c r="L118" s="177">
        <v>0</v>
      </c>
      <c r="M118" s="177">
        <v>0</v>
      </c>
      <c r="N118" s="177">
        <v>0</v>
      </c>
      <c r="O118" s="177">
        <v>0</v>
      </c>
      <c r="P118" s="204">
        <f>+SUBTOTAL(9,D118:O118)</f>
        <v>0</v>
      </c>
      <c r="Q118" s="205"/>
      <c r="R118" s="163">
        <v>0</v>
      </c>
      <c r="S118" s="177">
        <v>0</v>
      </c>
      <c r="T118" s="177">
        <v>0</v>
      </c>
      <c r="U118" s="177">
        <v>0</v>
      </c>
      <c r="V118" s="177">
        <v>0</v>
      </c>
      <c r="W118" s="177">
        <v>0</v>
      </c>
      <c r="X118" s="177">
        <v>0</v>
      </c>
      <c r="Y118" s="177">
        <v>0</v>
      </c>
      <c r="Z118" s="177">
        <v>0</v>
      </c>
      <c r="AA118" s="177">
        <v>0</v>
      </c>
      <c r="AB118" s="177">
        <v>0</v>
      </c>
      <c r="AC118" s="177">
        <v>0</v>
      </c>
      <c r="AD118" s="204">
        <f>+SUBTOTAL(9,R118:AC118)</f>
        <v>0</v>
      </c>
      <c r="AE118" s="205"/>
      <c r="AF118" s="163">
        <v>0</v>
      </c>
      <c r="AG118" s="177">
        <v>0</v>
      </c>
      <c r="AH118" s="177">
        <v>0</v>
      </c>
      <c r="AI118" s="177">
        <v>0</v>
      </c>
      <c r="AJ118" s="177">
        <v>0</v>
      </c>
      <c r="AK118" s="177">
        <v>0</v>
      </c>
      <c r="AL118" s="177">
        <v>0</v>
      </c>
      <c r="AM118" s="177">
        <v>0</v>
      </c>
      <c r="AN118" s="177">
        <v>0</v>
      </c>
      <c r="AO118" s="177">
        <v>0</v>
      </c>
      <c r="AP118" s="177">
        <v>0</v>
      </c>
      <c r="AQ118" s="177">
        <v>0</v>
      </c>
      <c r="AR118" s="204">
        <f>+SUBTOTAL(9,AF118:AQ118)</f>
        <v>0</v>
      </c>
      <c r="AT118" s="163">
        <v>0</v>
      </c>
      <c r="AU118" s="177">
        <v>0</v>
      </c>
      <c r="AV118" s="177">
        <v>0</v>
      </c>
      <c r="AW118" s="177">
        <v>0</v>
      </c>
      <c r="AX118" s="177">
        <v>0</v>
      </c>
      <c r="AY118" s="177">
        <v>0</v>
      </c>
      <c r="AZ118" s="177">
        <v>0</v>
      </c>
      <c r="BA118" s="177">
        <v>0</v>
      </c>
      <c r="BB118" s="177">
        <v>0</v>
      </c>
      <c r="BC118" s="177">
        <v>0</v>
      </c>
      <c r="BD118" s="177">
        <v>0</v>
      </c>
      <c r="BE118" s="177">
        <v>0</v>
      </c>
      <c r="BF118" s="204">
        <f>+SUBTOTAL(9,AT118:BE118)</f>
        <v>0</v>
      </c>
      <c r="BH118" s="163">
        <v>0</v>
      </c>
      <c r="BI118" s="164">
        <v>0</v>
      </c>
      <c r="BJ118" s="154">
        <v>0</v>
      </c>
      <c r="BK118" s="154">
        <v>0</v>
      </c>
      <c r="BL118" s="154">
        <v>0</v>
      </c>
      <c r="BM118" s="154">
        <v>0</v>
      </c>
      <c r="BN118" s="154">
        <v>0</v>
      </c>
      <c r="BO118" s="154">
        <v>0</v>
      </c>
      <c r="BP118" s="154">
        <v>0</v>
      </c>
      <c r="BQ118" s="154">
        <v>0</v>
      </c>
      <c r="BR118" s="154">
        <v>0</v>
      </c>
      <c r="BS118" s="154">
        <v>0</v>
      </c>
      <c r="BT118" s="204">
        <f>+SUBTOTAL(9,BH118:BS118)</f>
        <v>0</v>
      </c>
      <c r="BV118" s="163">
        <v>0</v>
      </c>
      <c r="BW118" s="164">
        <v>0</v>
      </c>
      <c r="BX118" s="154">
        <v>0</v>
      </c>
      <c r="BY118" s="154">
        <v>0</v>
      </c>
      <c r="BZ118" s="154">
        <v>0</v>
      </c>
      <c r="CA118" s="154">
        <v>0</v>
      </c>
      <c r="CB118" s="154">
        <v>0</v>
      </c>
      <c r="CC118" s="154">
        <v>0</v>
      </c>
      <c r="CD118" s="154">
        <v>0</v>
      </c>
      <c r="CE118" s="154">
        <v>0</v>
      </c>
      <c r="CF118" s="154">
        <v>0</v>
      </c>
      <c r="CG118" s="154">
        <v>0</v>
      </c>
      <c r="CH118" s="204">
        <f>+SUBTOTAL(9,BV118:CG118)</f>
        <v>0</v>
      </c>
      <c r="CI118" s="205"/>
      <c r="CJ118" s="163">
        <v>0</v>
      </c>
      <c r="CK118" s="164">
        <v>0</v>
      </c>
      <c r="CL118" s="154">
        <v>0</v>
      </c>
      <c r="CM118" s="154">
        <v>0</v>
      </c>
      <c r="CN118" s="154">
        <v>0</v>
      </c>
      <c r="CO118" s="154">
        <v>0</v>
      </c>
      <c r="CP118" s="154">
        <v>0</v>
      </c>
      <c r="CQ118" s="154">
        <v>0</v>
      </c>
      <c r="CR118" s="154">
        <v>0</v>
      </c>
      <c r="CS118" s="154">
        <v>0</v>
      </c>
      <c r="CT118" s="154">
        <v>0</v>
      </c>
      <c r="CU118" s="154">
        <v>0</v>
      </c>
      <c r="CV118" s="204">
        <f>+SUBTOTAL(9,CJ118:CU118)</f>
        <v>0</v>
      </c>
      <c r="CW118" s="205"/>
      <c r="CX118" s="163">
        <v>0</v>
      </c>
      <c r="CY118" s="164">
        <v>0</v>
      </c>
      <c r="CZ118" s="154">
        <v>0</v>
      </c>
      <c r="DA118" s="154">
        <v>0</v>
      </c>
      <c r="DB118" s="154">
        <v>0</v>
      </c>
      <c r="DC118" s="154">
        <v>0</v>
      </c>
      <c r="DD118" s="154">
        <v>0</v>
      </c>
      <c r="DE118" s="154">
        <v>0</v>
      </c>
      <c r="DF118" s="154">
        <v>0</v>
      </c>
      <c r="DG118" s="154">
        <v>0</v>
      </c>
      <c r="DH118" s="154">
        <v>0</v>
      </c>
      <c r="DI118" s="154">
        <v>0</v>
      </c>
      <c r="DJ118" s="204">
        <f>+SUBTOTAL(9,CX118:DI118)</f>
        <v>0</v>
      </c>
      <c r="DK118" s="205"/>
      <c r="DL118" s="163">
        <v>0</v>
      </c>
      <c r="DM118" s="164">
        <v>0</v>
      </c>
      <c r="DN118" s="154">
        <v>0</v>
      </c>
      <c r="DO118" s="154">
        <v>0</v>
      </c>
      <c r="DP118" s="154">
        <v>0</v>
      </c>
      <c r="DQ118" s="154">
        <v>0</v>
      </c>
      <c r="DR118" s="154">
        <v>0</v>
      </c>
      <c r="DS118" s="154">
        <v>0</v>
      </c>
      <c r="DT118" s="154">
        <v>0</v>
      </c>
      <c r="DU118" s="154">
        <v>0</v>
      </c>
      <c r="DV118" s="154">
        <v>0</v>
      </c>
      <c r="DW118" s="154">
        <v>0</v>
      </c>
      <c r="DX118" s="204">
        <f>+SUBTOTAL(9,DL118:DW118)</f>
        <v>0</v>
      </c>
      <c r="DY118" s="205"/>
      <c r="DZ118" s="163">
        <v>0</v>
      </c>
      <c r="EA118" s="164">
        <v>0</v>
      </c>
      <c r="EB118" s="154">
        <v>0</v>
      </c>
      <c r="EC118" s="154">
        <v>0</v>
      </c>
      <c r="ED118" s="154">
        <v>0</v>
      </c>
      <c r="EE118" s="154">
        <v>0</v>
      </c>
      <c r="EF118" s="154">
        <v>0</v>
      </c>
      <c r="EG118" s="154">
        <v>0</v>
      </c>
      <c r="EH118" s="154">
        <v>0</v>
      </c>
      <c r="EI118" s="154">
        <v>0</v>
      </c>
      <c r="EJ118" s="154">
        <v>0</v>
      </c>
      <c r="EK118" s="154">
        <v>0</v>
      </c>
      <c r="EL118" s="204">
        <f>+SUBTOTAL(9,DZ118:EK118)</f>
        <v>0</v>
      </c>
      <c r="EM118" s="205"/>
      <c r="EN118" s="163">
        <v>0</v>
      </c>
      <c r="EO118" s="164">
        <v>0</v>
      </c>
      <c r="EP118" s="154">
        <v>0</v>
      </c>
      <c r="EQ118" s="154">
        <v>0</v>
      </c>
      <c r="ER118" s="154">
        <v>0</v>
      </c>
      <c r="ES118" s="154">
        <v>0</v>
      </c>
      <c r="ET118" s="154">
        <v>0</v>
      </c>
      <c r="EU118" s="154">
        <v>0</v>
      </c>
      <c r="EV118" s="154">
        <v>0</v>
      </c>
      <c r="EW118" s="154">
        <v>0</v>
      </c>
      <c r="EX118" s="154">
        <v>0</v>
      </c>
      <c r="EY118" s="154">
        <v>0</v>
      </c>
      <c r="EZ118" s="204">
        <f>+SUBTOTAL(9,EN118:EY118)</f>
        <v>0</v>
      </c>
      <c r="FA118" s="205"/>
      <c r="FB118" s="163">
        <v>0</v>
      </c>
      <c r="FC118" s="164">
        <v>0</v>
      </c>
      <c r="FD118" s="154">
        <v>0</v>
      </c>
      <c r="FE118" s="154">
        <v>0</v>
      </c>
      <c r="FF118" s="154">
        <v>0</v>
      </c>
      <c r="FG118" s="154">
        <v>0</v>
      </c>
      <c r="FH118" s="154">
        <v>0</v>
      </c>
      <c r="FI118" s="154">
        <v>0</v>
      </c>
      <c r="FJ118" s="154">
        <v>0</v>
      </c>
      <c r="FK118" s="154">
        <v>0</v>
      </c>
      <c r="FL118" s="154">
        <v>0</v>
      </c>
      <c r="FM118" s="154">
        <v>0</v>
      </c>
      <c r="FN118" s="204">
        <f>+SUBTOTAL(9,FB118:FM118)</f>
        <v>0</v>
      </c>
      <c r="FO118" s="205"/>
      <c r="FP118" s="163">
        <v>0</v>
      </c>
      <c r="FQ118" s="164">
        <v>0</v>
      </c>
      <c r="FR118" s="154">
        <v>0</v>
      </c>
      <c r="FS118" s="154">
        <v>0</v>
      </c>
      <c r="FT118" s="154">
        <v>0</v>
      </c>
      <c r="FU118" s="154">
        <v>0</v>
      </c>
      <c r="FV118" s="154">
        <v>0</v>
      </c>
      <c r="FW118" s="154">
        <v>0</v>
      </c>
      <c r="FX118" s="154">
        <v>0</v>
      </c>
      <c r="FY118" s="154">
        <v>0</v>
      </c>
      <c r="FZ118" s="154">
        <v>0</v>
      </c>
      <c r="GA118" s="154">
        <v>0</v>
      </c>
      <c r="GB118" s="204">
        <f>+SUBTOTAL(9,FP118:GA118)</f>
        <v>0</v>
      </c>
      <c r="GC118" s="205"/>
      <c r="GD118" s="163">
        <v>0</v>
      </c>
      <c r="GE118" s="164">
        <v>0</v>
      </c>
      <c r="GF118" s="154">
        <v>0</v>
      </c>
      <c r="GG118" s="154">
        <v>0</v>
      </c>
      <c r="GH118" s="154">
        <v>0</v>
      </c>
      <c r="GI118" s="154">
        <v>0</v>
      </c>
      <c r="GJ118" s="154">
        <v>0</v>
      </c>
      <c r="GK118" s="154">
        <v>0</v>
      </c>
      <c r="GL118" s="154">
        <v>0</v>
      </c>
      <c r="GM118" s="154">
        <v>0</v>
      </c>
      <c r="GN118" s="154">
        <v>0</v>
      </c>
      <c r="GO118" s="154">
        <v>0</v>
      </c>
      <c r="GP118" s="204">
        <f>+SUBTOTAL(9,GD118:GO118)</f>
        <v>0</v>
      </c>
      <c r="GQ118" s="205"/>
      <c r="GR118" s="163">
        <v>0</v>
      </c>
      <c r="GS118" s="164">
        <v>0</v>
      </c>
      <c r="GT118" s="154">
        <v>0</v>
      </c>
      <c r="GU118" s="154">
        <v>0</v>
      </c>
      <c r="GV118" s="154">
        <v>0</v>
      </c>
      <c r="GW118" s="154">
        <v>0</v>
      </c>
      <c r="GX118" s="154">
        <v>0</v>
      </c>
      <c r="GY118" s="154">
        <v>0</v>
      </c>
      <c r="GZ118" s="154">
        <v>0</v>
      </c>
      <c r="HA118" s="154">
        <v>0</v>
      </c>
      <c r="HB118" s="154">
        <v>0</v>
      </c>
      <c r="HC118" s="154">
        <v>0</v>
      </c>
      <c r="HD118" s="204">
        <f t="shared" si="293"/>
        <v>0</v>
      </c>
      <c r="HE118" s="205"/>
      <c r="HF118" s="163">
        <v>0</v>
      </c>
      <c r="HG118" s="164">
        <v>0</v>
      </c>
      <c r="HH118" s="154">
        <v>0</v>
      </c>
      <c r="HI118" s="154">
        <v>0</v>
      </c>
      <c r="HJ118" s="154">
        <v>0</v>
      </c>
      <c r="HK118" s="154">
        <v>0</v>
      </c>
      <c r="HL118" s="154">
        <v>0</v>
      </c>
      <c r="HM118" s="154">
        <v>0</v>
      </c>
      <c r="HN118" s="154">
        <v>0</v>
      </c>
      <c r="HO118" s="154">
        <v>0</v>
      </c>
      <c r="HP118" s="154">
        <v>0</v>
      </c>
      <c r="HQ118" s="154">
        <v>0</v>
      </c>
      <c r="HR118" s="204">
        <f>+SUBTOTAL(9,HF118:HQ118)</f>
        <v>0</v>
      </c>
      <c r="HS118" s="205"/>
      <c r="HT118" s="163">
        <v>0</v>
      </c>
      <c r="HU118" s="164">
        <v>0</v>
      </c>
      <c r="HV118" s="154">
        <v>0</v>
      </c>
      <c r="HW118" s="154">
        <v>0</v>
      </c>
      <c r="HX118" s="154">
        <v>0</v>
      </c>
      <c r="HY118" s="154">
        <v>0</v>
      </c>
      <c r="HZ118" s="154">
        <v>0</v>
      </c>
      <c r="IA118" s="154">
        <v>0</v>
      </c>
      <c r="IB118" s="154">
        <v>0</v>
      </c>
      <c r="IC118" s="154">
        <v>0</v>
      </c>
      <c r="ID118" s="154">
        <v>0</v>
      </c>
      <c r="IE118" s="154">
        <v>0</v>
      </c>
      <c r="IF118" s="204">
        <f>+SUBTOTAL(9,HT118:IE118)</f>
        <v>0</v>
      </c>
      <c r="IG118" s="205"/>
      <c r="IH118" s="163">
        <v>0</v>
      </c>
      <c r="II118" s="164">
        <v>0</v>
      </c>
      <c r="IJ118" s="154">
        <v>0</v>
      </c>
      <c r="IK118" s="154">
        <v>0</v>
      </c>
      <c r="IL118" s="154">
        <v>0</v>
      </c>
      <c r="IM118" s="154">
        <v>0</v>
      </c>
      <c r="IN118" s="154">
        <v>0</v>
      </c>
      <c r="IO118" s="154">
        <v>0</v>
      </c>
      <c r="IP118" s="154">
        <v>0</v>
      </c>
      <c r="IQ118" s="154">
        <v>0</v>
      </c>
      <c r="IR118" s="154">
        <v>0</v>
      </c>
      <c r="IS118" s="154">
        <v>0</v>
      </c>
      <c r="IT118" s="204">
        <f>+SUBTOTAL(9,IH118:IS118)</f>
        <v>0</v>
      </c>
      <c r="IU118" s="205"/>
      <c r="IV118" s="163">
        <v>0</v>
      </c>
      <c r="IW118" s="164">
        <v>0</v>
      </c>
      <c r="IX118" s="154">
        <v>0</v>
      </c>
      <c r="IY118" s="154">
        <v>0</v>
      </c>
      <c r="IZ118" s="154">
        <v>0</v>
      </c>
      <c r="JA118" s="154">
        <v>0</v>
      </c>
      <c r="JB118" s="154">
        <v>0</v>
      </c>
      <c r="JC118" s="154">
        <v>0</v>
      </c>
      <c r="JD118" s="154">
        <v>0</v>
      </c>
      <c r="JE118" s="154">
        <v>0</v>
      </c>
      <c r="JF118" s="154">
        <v>0</v>
      </c>
      <c r="JG118" s="154">
        <v>0</v>
      </c>
      <c r="JH118" s="204">
        <f>+SUBTOTAL(9,IV118:JG118)</f>
        <v>0</v>
      </c>
      <c r="JI118" s="205"/>
      <c r="JJ118" s="163">
        <v>0</v>
      </c>
      <c r="JK118" s="164">
        <v>0</v>
      </c>
      <c r="JL118" s="154">
        <v>0</v>
      </c>
      <c r="JM118" s="154">
        <v>0</v>
      </c>
      <c r="JN118" s="154">
        <v>0</v>
      </c>
      <c r="JO118" s="154">
        <v>0</v>
      </c>
      <c r="JP118" s="154">
        <v>0</v>
      </c>
      <c r="JQ118" s="154">
        <v>0</v>
      </c>
      <c r="JR118" s="154">
        <v>0</v>
      </c>
      <c r="JS118" s="154">
        <v>0</v>
      </c>
      <c r="JT118" s="154">
        <v>0</v>
      </c>
      <c r="JU118" s="154">
        <v>0</v>
      </c>
      <c r="JV118" s="204">
        <f>+SUBTOTAL(9,JJ118:JU118)</f>
        <v>0</v>
      </c>
      <c r="JW118" s="205"/>
      <c r="JX118" s="163">
        <v>0</v>
      </c>
      <c r="JY118" s="164">
        <v>0</v>
      </c>
      <c r="JZ118" s="154">
        <v>0</v>
      </c>
      <c r="KA118" s="154">
        <v>0</v>
      </c>
      <c r="KB118" s="154">
        <v>0</v>
      </c>
      <c r="KC118" s="154">
        <v>0</v>
      </c>
      <c r="KD118" s="154">
        <v>0</v>
      </c>
      <c r="KE118" s="154">
        <v>0</v>
      </c>
      <c r="KF118" s="154">
        <v>0</v>
      </c>
      <c r="KG118" s="154">
        <v>0</v>
      </c>
      <c r="KH118" s="154">
        <v>0</v>
      </c>
      <c r="KI118" s="154">
        <v>0</v>
      </c>
      <c r="KJ118" s="204">
        <f>+SUBTOTAL(9,JX118:KI118)</f>
        <v>0</v>
      </c>
      <c r="KK118" s="205"/>
      <c r="KL118" s="163">
        <v>0</v>
      </c>
      <c r="KM118" s="164">
        <v>0</v>
      </c>
      <c r="KN118" s="154">
        <v>0</v>
      </c>
      <c r="KO118" s="154">
        <v>0</v>
      </c>
      <c r="KP118" s="154">
        <v>0</v>
      </c>
      <c r="KQ118" s="154">
        <v>0</v>
      </c>
      <c r="KR118" s="154">
        <v>0</v>
      </c>
      <c r="KS118" s="154">
        <v>0</v>
      </c>
      <c r="KT118" s="154">
        <v>0</v>
      </c>
      <c r="KU118" s="154">
        <v>0</v>
      </c>
      <c r="KV118" s="154">
        <v>0</v>
      </c>
      <c r="KW118" s="154">
        <v>0</v>
      </c>
      <c r="KX118" s="204">
        <f>+SUBTOTAL(9,KL118:KW118)</f>
        <v>0</v>
      </c>
      <c r="KY118" s="205"/>
      <c r="KZ118" s="163">
        <v>0</v>
      </c>
      <c r="LA118" s="164">
        <v>0</v>
      </c>
      <c r="LB118" s="154">
        <v>0</v>
      </c>
      <c r="LC118" s="154">
        <v>0</v>
      </c>
      <c r="LD118" s="154">
        <v>0</v>
      </c>
      <c r="LE118" s="154">
        <v>0</v>
      </c>
      <c r="LF118" s="154">
        <v>0</v>
      </c>
      <c r="LG118" s="154">
        <v>0</v>
      </c>
      <c r="LH118" s="154">
        <v>0</v>
      </c>
      <c r="LI118" s="154">
        <v>0</v>
      </c>
      <c r="LJ118" s="154">
        <v>0</v>
      </c>
      <c r="LK118" s="154">
        <v>0</v>
      </c>
      <c r="LL118" s="204">
        <f>+SUBTOTAL(9,KZ118:LK118)</f>
        <v>0</v>
      </c>
      <c r="LM118" s="205"/>
      <c r="LN118" s="163">
        <v>0</v>
      </c>
      <c r="LO118" s="164">
        <v>0</v>
      </c>
      <c r="LP118" s="154">
        <v>0</v>
      </c>
      <c r="LQ118" s="154">
        <v>0</v>
      </c>
      <c r="LR118" s="154">
        <v>0</v>
      </c>
      <c r="LS118" s="154">
        <v>0</v>
      </c>
      <c r="LT118" s="154">
        <v>0</v>
      </c>
      <c r="LU118" s="154">
        <v>0</v>
      </c>
      <c r="LV118" s="154">
        <v>0</v>
      </c>
      <c r="LW118" s="154">
        <v>0</v>
      </c>
      <c r="LX118" s="154">
        <v>0</v>
      </c>
      <c r="LY118" s="154">
        <v>0</v>
      </c>
      <c r="LZ118" s="204">
        <f>+SUBTOTAL(9,LN118:LY118)</f>
        <v>0</v>
      </c>
      <c r="MA118" s="205"/>
      <c r="MB118" s="157">
        <f t="shared" ref="MB118:MM118" si="453">SUMIF($D$6:$LY$6,MB$3,$D118:$LY118)</f>
        <v>0</v>
      </c>
      <c r="MC118" s="157">
        <f t="shared" si="453"/>
        <v>0</v>
      </c>
      <c r="MD118" s="157">
        <f t="shared" si="453"/>
        <v>0</v>
      </c>
      <c r="ME118" s="157">
        <f t="shared" si="453"/>
        <v>0</v>
      </c>
      <c r="MF118" s="157">
        <f t="shared" si="453"/>
        <v>0</v>
      </c>
      <c r="MG118" s="157">
        <f t="shared" si="453"/>
        <v>0</v>
      </c>
      <c r="MH118" s="157">
        <f t="shared" si="453"/>
        <v>0</v>
      </c>
      <c r="MI118" s="157">
        <f t="shared" si="453"/>
        <v>0</v>
      </c>
      <c r="MJ118" s="157">
        <f t="shared" si="453"/>
        <v>0</v>
      </c>
      <c r="MK118" s="157">
        <f t="shared" si="453"/>
        <v>0</v>
      </c>
      <c r="ML118" s="157">
        <f t="shared" si="453"/>
        <v>0</v>
      </c>
      <c r="MM118" s="157">
        <f t="shared" si="453"/>
        <v>0</v>
      </c>
      <c r="MN118" s="157">
        <f t="shared" ref="MN118" si="454">SUM(MB118:MM118)</f>
        <v>0</v>
      </c>
    </row>
    <row r="119" spans="1:352" hidden="1" x14ac:dyDescent="0.3">
      <c r="A119" s="98"/>
      <c r="B119" s="243"/>
      <c r="C119" s="98"/>
      <c r="D119" s="153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7"/>
      <c r="Q119" s="161"/>
      <c r="R119" s="153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7"/>
      <c r="AE119" s="161"/>
      <c r="AF119" s="153"/>
      <c r="AG119" s="154"/>
      <c r="AH119" s="154"/>
      <c r="AI119" s="154"/>
      <c r="AJ119" s="154"/>
      <c r="AK119" s="154"/>
      <c r="AL119" s="154"/>
      <c r="AM119" s="154"/>
      <c r="AN119" s="154"/>
      <c r="AO119" s="154"/>
      <c r="AP119" s="154"/>
      <c r="AQ119" s="154"/>
      <c r="AR119" s="157"/>
      <c r="AT119" s="153"/>
      <c r="AU119" s="154"/>
      <c r="AV119" s="154"/>
      <c r="AW119" s="154"/>
      <c r="AX119" s="154"/>
      <c r="AY119" s="154"/>
      <c r="AZ119" s="154"/>
      <c r="BA119" s="154"/>
      <c r="BB119" s="154"/>
      <c r="BC119" s="154"/>
      <c r="BD119" s="154"/>
      <c r="BE119" s="154"/>
      <c r="BF119" s="157"/>
      <c r="BH119" s="153"/>
      <c r="BI119" s="154"/>
      <c r="BJ119" s="154"/>
      <c r="BK119" s="154"/>
      <c r="BL119" s="154"/>
      <c r="BM119" s="154"/>
      <c r="BN119" s="154"/>
      <c r="BO119" s="154"/>
      <c r="BP119" s="154"/>
      <c r="BQ119" s="154"/>
      <c r="BR119" s="154"/>
      <c r="BS119" s="154"/>
      <c r="BT119" s="157"/>
      <c r="BV119" s="153"/>
      <c r="BW119" s="154"/>
      <c r="BX119" s="154"/>
      <c r="BY119" s="154"/>
      <c r="BZ119" s="154"/>
      <c r="CA119" s="154"/>
      <c r="CB119" s="154"/>
      <c r="CC119" s="154"/>
      <c r="CD119" s="154"/>
      <c r="CE119" s="154"/>
      <c r="CF119" s="154"/>
      <c r="CG119" s="154"/>
      <c r="CH119" s="157"/>
      <c r="CI119" s="161"/>
      <c r="CJ119" s="153"/>
      <c r="CK119" s="154"/>
      <c r="CL119" s="154"/>
      <c r="CM119" s="154"/>
      <c r="CN119" s="154"/>
      <c r="CO119" s="154"/>
      <c r="CP119" s="154"/>
      <c r="CQ119" s="154"/>
      <c r="CR119" s="154"/>
      <c r="CS119" s="154"/>
      <c r="CT119" s="154"/>
      <c r="CU119" s="154"/>
      <c r="CV119" s="157"/>
      <c r="CW119" s="161"/>
      <c r="CX119" s="153"/>
      <c r="CY119" s="154"/>
      <c r="CZ119" s="154"/>
      <c r="DA119" s="154"/>
      <c r="DB119" s="154"/>
      <c r="DC119" s="154"/>
      <c r="DD119" s="154"/>
      <c r="DE119" s="154"/>
      <c r="DF119" s="154"/>
      <c r="DG119" s="154"/>
      <c r="DH119" s="154"/>
      <c r="DI119" s="154"/>
      <c r="DJ119" s="157"/>
      <c r="DK119" s="161"/>
      <c r="DL119" s="153"/>
      <c r="DM119" s="154"/>
      <c r="DN119" s="154"/>
      <c r="DO119" s="154"/>
      <c r="DP119" s="154"/>
      <c r="DQ119" s="154"/>
      <c r="DR119" s="154"/>
      <c r="DS119" s="154"/>
      <c r="DT119" s="154"/>
      <c r="DU119" s="154"/>
      <c r="DV119" s="154"/>
      <c r="DW119" s="154"/>
      <c r="DX119" s="157"/>
      <c r="DY119" s="161"/>
      <c r="DZ119" s="153"/>
      <c r="EA119" s="154"/>
      <c r="EB119" s="154"/>
      <c r="EC119" s="154"/>
      <c r="ED119" s="154"/>
      <c r="EE119" s="154"/>
      <c r="EF119" s="154"/>
      <c r="EG119" s="154"/>
      <c r="EH119" s="154"/>
      <c r="EI119" s="154"/>
      <c r="EJ119" s="154"/>
      <c r="EK119" s="154"/>
      <c r="EL119" s="157"/>
      <c r="EM119" s="161"/>
      <c r="EN119" s="153"/>
      <c r="EO119" s="154"/>
      <c r="EP119" s="154"/>
      <c r="EQ119" s="154"/>
      <c r="ER119" s="154"/>
      <c r="ES119" s="154"/>
      <c r="ET119" s="154"/>
      <c r="EU119" s="154"/>
      <c r="EV119" s="154"/>
      <c r="EW119" s="154"/>
      <c r="EX119" s="154"/>
      <c r="EY119" s="154"/>
      <c r="EZ119" s="157"/>
      <c r="FA119" s="161"/>
      <c r="FB119" s="153"/>
      <c r="FC119" s="154"/>
      <c r="FD119" s="154"/>
      <c r="FE119" s="154"/>
      <c r="FF119" s="154"/>
      <c r="FG119" s="154"/>
      <c r="FH119" s="154"/>
      <c r="FI119" s="154"/>
      <c r="FJ119" s="154"/>
      <c r="FK119" s="154"/>
      <c r="FL119" s="154"/>
      <c r="FM119" s="154"/>
      <c r="FN119" s="157"/>
      <c r="FO119" s="161"/>
      <c r="FP119" s="153"/>
      <c r="FQ119" s="154"/>
      <c r="FR119" s="154"/>
      <c r="FS119" s="154"/>
      <c r="FT119" s="154"/>
      <c r="FU119" s="154"/>
      <c r="FV119" s="154"/>
      <c r="FW119" s="154"/>
      <c r="FX119" s="154"/>
      <c r="FY119" s="154"/>
      <c r="FZ119" s="154"/>
      <c r="GA119" s="154"/>
      <c r="GB119" s="157"/>
      <c r="GC119" s="161"/>
      <c r="GD119" s="153"/>
      <c r="GE119" s="154"/>
      <c r="GF119" s="154"/>
      <c r="GG119" s="154"/>
      <c r="GH119" s="154"/>
      <c r="GI119" s="154"/>
      <c r="GJ119" s="154"/>
      <c r="GK119" s="154"/>
      <c r="GL119" s="154"/>
      <c r="GM119" s="154"/>
      <c r="GN119" s="154"/>
      <c r="GO119" s="154"/>
      <c r="GP119" s="157"/>
      <c r="GQ119" s="161"/>
      <c r="GR119" s="153"/>
      <c r="GS119" s="154"/>
      <c r="GT119" s="154"/>
      <c r="GU119" s="154"/>
      <c r="GV119" s="154"/>
      <c r="GW119" s="154"/>
      <c r="GX119" s="154"/>
      <c r="GY119" s="154"/>
      <c r="GZ119" s="154"/>
      <c r="HA119" s="154"/>
      <c r="HB119" s="154"/>
      <c r="HC119" s="154"/>
      <c r="HD119" s="157">
        <f t="shared" si="293"/>
        <v>0</v>
      </c>
      <c r="HE119" s="161"/>
      <c r="HF119" s="153"/>
      <c r="HG119" s="154"/>
      <c r="HH119" s="154"/>
      <c r="HI119" s="154"/>
      <c r="HJ119" s="154"/>
      <c r="HK119" s="154"/>
      <c r="HL119" s="154"/>
      <c r="HM119" s="154"/>
      <c r="HN119" s="154"/>
      <c r="HO119" s="154"/>
      <c r="HP119" s="154"/>
      <c r="HQ119" s="154"/>
      <c r="HR119" s="157"/>
      <c r="HS119" s="161"/>
      <c r="HT119" s="153"/>
      <c r="HU119" s="154"/>
      <c r="HV119" s="154"/>
      <c r="HW119" s="154"/>
      <c r="HX119" s="154"/>
      <c r="HY119" s="154"/>
      <c r="HZ119" s="154"/>
      <c r="IA119" s="154"/>
      <c r="IB119" s="154"/>
      <c r="IC119" s="154"/>
      <c r="ID119" s="154"/>
      <c r="IE119" s="154"/>
      <c r="IF119" s="157"/>
      <c r="IG119" s="161"/>
      <c r="IH119" s="153"/>
      <c r="II119" s="154"/>
      <c r="IJ119" s="154"/>
      <c r="IK119" s="154"/>
      <c r="IL119" s="154"/>
      <c r="IM119" s="154"/>
      <c r="IN119" s="154"/>
      <c r="IO119" s="154"/>
      <c r="IP119" s="154"/>
      <c r="IQ119" s="154"/>
      <c r="IR119" s="154"/>
      <c r="IS119" s="154"/>
      <c r="IT119" s="157"/>
      <c r="IU119" s="161"/>
      <c r="IV119" s="153"/>
      <c r="IW119" s="154"/>
      <c r="IX119" s="154"/>
      <c r="IY119" s="154"/>
      <c r="IZ119" s="154"/>
      <c r="JA119" s="154"/>
      <c r="JB119" s="154"/>
      <c r="JC119" s="154"/>
      <c r="JD119" s="154"/>
      <c r="JE119" s="154"/>
      <c r="JF119" s="154"/>
      <c r="JG119" s="154"/>
      <c r="JH119" s="157"/>
      <c r="JI119" s="161"/>
      <c r="JJ119" s="153"/>
      <c r="JK119" s="154"/>
      <c r="JL119" s="154"/>
      <c r="JM119" s="154"/>
      <c r="JN119" s="154"/>
      <c r="JO119" s="154"/>
      <c r="JP119" s="154"/>
      <c r="JQ119" s="154"/>
      <c r="JR119" s="154"/>
      <c r="JS119" s="154"/>
      <c r="JT119" s="154"/>
      <c r="JU119" s="154"/>
      <c r="JV119" s="157"/>
      <c r="JW119" s="161"/>
      <c r="JX119" s="153"/>
      <c r="JY119" s="154"/>
      <c r="JZ119" s="154"/>
      <c r="KA119" s="154"/>
      <c r="KB119" s="154"/>
      <c r="KC119" s="154"/>
      <c r="KD119" s="154"/>
      <c r="KE119" s="154"/>
      <c r="KF119" s="154"/>
      <c r="KG119" s="154"/>
      <c r="KH119" s="154"/>
      <c r="KI119" s="154"/>
      <c r="KJ119" s="157"/>
      <c r="KK119" s="161"/>
      <c r="KL119" s="153"/>
      <c r="KM119" s="154"/>
      <c r="KN119" s="154"/>
      <c r="KO119" s="154"/>
      <c r="KP119" s="154"/>
      <c r="KQ119" s="154"/>
      <c r="KR119" s="154"/>
      <c r="KS119" s="154"/>
      <c r="KT119" s="154"/>
      <c r="KU119" s="154"/>
      <c r="KV119" s="154"/>
      <c r="KW119" s="154"/>
      <c r="KX119" s="157"/>
      <c r="KY119" s="161"/>
      <c r="KZ119" s="153"/>
      <c r="LA119" s="154"/>
      <c r="LB119" s="154"/>
      <c r="LC119" s="154"/>
      <c r="LD119" s="154"/>
      <c r="LE119" s="154"/>
      <c r="LF119" s="154"/>
      <c r="LG119" s="154"/>
      <c r="LH119" s="154"/>
      <c r="LI119" s="154"/>
      <c r="LJ119" s="154"/>
      <c r="LK119" s="154"/>
      <c r="LL119" s="157"/>
      <c r="LM119" s="161"/>
      <c r="LN119" s="153"/>
      <c r="LO119" s="154"/>
      <c r="LP119" s="154"/>
      <c r="LQ119" s="154"/>
      <c r="LR119" s="154"/>
      <c r="LS119" s="154"/>
      <c r="LT119" s="154"/>
      <c r="LU119" s="154"/>
      <c r="LV119" s="154"/>
      <c r="LW119" s="154"/>
      <c r="LX119" s="154"/>
      <c r="LY119" s="154"/>
      <c r="LZ119" s="157"/>
      <c r="MA119" s="161"/>
      <c r="MB119" s="157"/>
      <c r="MC119" s="157"/>
      <c r="MD119" s="157"/>
      <c r="ME119" s="157"/>
      <c r="MF119" s="157"/>
      <c r="MG119" s="157"/>
      <c r="MH119" s="157"/>
      <c r="MI119" s="157"/>
      <c r="MJ119" s="157"/>
      <c r="MK119" s="157"/>
      <c r="ML119" s="157"/>
      <c r="MM119" s="157"/>
      <c r="MN119" s="157"/>
    </row>
    <row r="120" spans="1:352" s="170" customFormat="1" hidden="1" x14ac:dyDescent="0.3">
      <c r="A120" s="186"/>
      <c r="B120" s="166" t="s">
        <v>226</v>
      </c>
      <c r="C120" s="186"/>
      <c r="D120" s="244">
        <f t="shared" ref="D120:P120" si="455">+D100+D103-D112+D118</f>
        <v>-4408602.9955823226</v>
      </c>
      <c r="E120" s="245">
        <f t="shared" si="455"/>
        <v>-4233529.3136555152</v>
      </c>
      <c r="F120" s="245">
        <f t="shared" si="455"/>
        <v>-4255218.5655867318</v>
      </c>
      <c r="G120" s="245">
        <f t="shared" si="455"/>
        <v>-4215630.9553377898</v>
      </c>
      <c r="H120" s="245">
        <f t="shared" si="455"/>
        <v>-4221047.1994066359</v>
      </c>
      <c r="I120" s="245">
        <f t="shared" si="455"/>
        <v>-4222497.9327659328</v>
      </c>
      <c r="J120" s="245">
        <f t="shared" si="455"/>
        <v>-4276944.9607818052</v>
      </c>
      <c r="K120" s="245">
        <f t="shared" si="455"/>
        <v>-4334053.6470039235</v>
      </c>
      <c r="L120" s="245">
        <f t="shared" si="455"/>
        <v>-4508685.9796229713</v>
      </c>
      <c r="M120" s="245">
        <f t="shared" si="455"/>
        <v>-4316885.4205753524</v>
      </c>
      <c r="N120" s="245">
        <f t="shared" si="455"/>
        <v>-4128642.5144837676</v>
      </c>
      <c r="O120" s="245">
        <f t="shared" si="455"/>
        <v>-4038191.1741502625</v>
      </c>
      <c r="P120" s="246">
        <f t="shared" si="455"/>
        <v>-47191302.864703827</v>
      </c>
      <c r="Q120" s="213"/>
      <c r="R120" s="244">
        <f t="shared" ref="R120:AD120" si="456">+R100+R103-R112+R118</f>
        <v>-384613.55126713682</v>
      </c>
      <c r="S120" s="245">
        <f t="shared" si="456"/>
        <v>-367061.10141263949</v>
      </c>
      <c r="T120" s="245">
        <f t="shared" si="456"/>
        <v>-369216.88609517919</v>
      </c>
      <c r="U120" s="245">
        <f t="shared" si="456"/>
        <v>-365209.54710390931</v>
      </c>
      <c r="V120" s="245">
        <f t="shared" si="456"/>
        <v>-365769.84821447957</v>
      </c>
      <c r="W120" s="245">
        <f t="shared" si="456"/>
        <v>-365919.92407923436</v>
      </c>
      <c r="X120" s="245">
        <f t="shared" si="456"/>
        <v>-371355.96146018669</v>
      </c>
      <c r="Y120" s="245">
        <f t="shared" si="456"/>
        <v>-376901.68762109551</v>
      </c>
      <c r="Z120" s="245">
        <f t="shared" si="456"/>
        <v>-395018.8254782384</v>
      </c>
      <c r="AA120" s="245">
        <f t="shared" si="456"/>
        <v>-375177.38833538123</v>
      </c>
      <c r="AB120" s="245">
        <f t="shared" si="456"/>
        <v>-355926.3980500449</v>
      </c>
      <c r="AC120" s="245">
        <f t="shared" si="456"/>
        <v>-346564.1904293375</v>
      </c>
      <c r="AD120" s="246">
        <f t="shared" si="456"/>
        <v>-4438735.3095468646</v>
      </c>
      <c r="AE120" s="213"/>
      <c r="AF120" s="244">
        <f t="shared" ref="AF120:AR120" si="457">+AF100+AF103-AF112+AF118</f>
        <v>-386396.55126713682</v>
      </c>
      <c r="AG120" s="245">
        <f t="shared" si="457"/>
        <v>-368844.10141263949</v>
      </c>
      <c r="AH120" s="245">
        <f t="shared" si="457"/>
        <v>-370999.88609517919</v>
      </c>
      <c r="AI120" s="245">
        <f t="shared" si="457"/>
        <v>-366992.54710390931</v>
      </c>
      <c r="AJ120" s="245">
        <f t="shared" si="457"/>
        <v>-367552.84821447957</v>
      </c>
      <c r="AK120" s="245">
        <f t="shared" si="457"/>
        <v>-367702.92407923436</v>
      </c>
      <c r="AL120" s="245">
        <f t="shared" si="457"/>
        <v>-373138.96146018669</v>
      </c>
      <c r="AM120" s="245">
        <f t="shared" si="457"/>
        <v>-378684.68762109551</v>
      </c>
      <c r="AN120" s="245">
        <f t="shared" si="457"/>
        <v>-396801.8254782384</v>
      </c>
      <c r="AO120" s="245">
        <f t="shared" si="457"/>
        <v>-376960.38833538123</v>
      </c>
      <c r="AP120" s="245">
        <f t="shared" si="457"/>
        <v>-357709.3980500449</v>
      </c>
      <c r="AQ120" s="245">
        <f t="shared" si="457"/>
        <v>-348347.1904293375</v>
      </c>
      <c r="AR120" s="246">
        <f t="shared" si="457"/>
        <v>-4460131.3095468646</v>
      </c>
      <c r="AS120" s="161"/>
      <c r="AT120" s="244">
        <f t="shared" ref="AT120:BF120" si="458">+AT100+AT103-AT112+AT118</f>
        <v>-927757.03417809121</v>
      </c>
      <c r="AU120" s="245">
        <f t="shared" si="458"/>
        <v>-916055.40094175958</v>
      </c>
      <c r="AV120" s="245">
        <f t="shared" si="458"/>
        <v>-917492.59073011938</v>
      </c>
      <c r="AW120" s="245">
        <f t="shared" si="458"/>
        <v>-914821.03140260617</v>
      </c>
      <c r="AX120" s="245">
        <f t="shared" si="458"/>
        <v>-915194.56547631964</v>
      </c>
      <c r="AY120" s="245">
        <f t="shared" si="458"/>
        <v>-915294.61605282291</v>
      </c>
      <c r="AZ120" s="245">
        <f t="shared" si="458"/>
        <v>-919584.30764012446</v>
      </c>
      <c r="BA120" s="245">
        <f t="shared" si="458"/>
        <v>-923281.45841406367</v>
      </c>
      <c r="BB120" s="245">
        <f t="shared" si="458"/>
        <v>-935359.55031882552</v>
      </c>
      <c r="BC120" s="245">
        <f t="shared" si="458"/>
        <v>-922131.92555692082</v>
      </c>
      <c r="BD120" s="245">
        <f t="shared" si="458"/>
        <v>-909297.93203336326</v>
      </c>
      <c r="BE120" s="245">
        <f t="shared" si="458"/>
        <v>-903056.46028622496</v>
      </c>
      <c r="BF120" s="246">
        <f t="shared" si="458"/>
        <v>-11019326.873031242</v>
      </c>
      <c r="BG120" s="176"/>
      <c r="BH120" s="244">
        <f t="shared" ref="BH120:BT120" si="459">+BH100+BH103-BH112+BH118</f>
        <v>-5160385.7563356841</v>
      </c>
      <c r="BI120" s="245">
        <f t="shared" si="459"/>
        <v>-5072293.5070631979</v>
      </c>
      <c r="BJ120" s="245">
        <f t="shared" si="459"/>
        <v>-5083072.4304758962</v>
      </c>
      <c r="BK120" s="245">
        <f t="shared" si="459"/>
        <v>-5063035.735519547</v>
      </c>
      <c r="BL120" s="245">
        <f t="shared" si="459"/>
        <v>-5065837.2410723977</v>
      </c>
      <c r="BM120" s="245">
        <f t="shared" si="459"/>
        <v>-5066587.6203961717</v>
      </c>
      <c r="BN120" s="245">
        <f t="shared" si="459"/>
        <v>-5095358.8073009336</v>
      </c>
      <c r="BO120" s="245">
        <f t="shared" si="459"/>
        <v>-5123087.438105478</v>
      </c>
      <c r="BP120" s="245">
        <f t="shared" si="459"/>
        <v>-5213673.1273911921</v>
      </c>
      <c r="BQ120" s="245">
        <f t="shared" si="459"/>
        <v>-5113065.9416769063</v>
      </c>
      <c r="BR120" s="245">
        <f t="shared" si="459"/>
        <v>-5018210.9902502252</v>
      </c>
      <c r="BS120" s="245">
        <f t="shared" si="459"/>
        <v>-4971399.9521466875</v>
      </c>
      <c r="BT120" s="246">
        <f t="shared" si="459"/>
        <v>-61046008.547734305</v>
      </c>
      <c r="BU120" s="161"/>
      <c r="BV120" s="244">
        <f t="shared" ref="BV120:CH120" si="460">+BV100+BV103-BV112+BV118</f>
        <v>-906786.51708904572</v>
      </c>
      <c r="BW120" s="245">
        <f t="shared" si="460"/>
        <v>-899435.70047087979</v>
      </c>
      <c r="BX120" s="245">
        <f t="shared" si="460"/>
        <v>-900154.29536505975</v>
      </c>
      <c r="BY120" s="245">
        <f t="shared" si="460"/>
        <v>-898818.51570130314</v>
      </c>
      <c r="BZ120" s="245">
        <f t="shared" si="460"/>
        <v>-899005.28273815988</v>
      </c>
      <c r="CA120" s="245">
        <f t="shared" si="460"/>
        <v>-899055.30802641145</v>
      </c>
      <c r="CB120" s="245">
        <f t="shared" si="460"/>
        <v>-901496.65382006229</v>
      </c>
      <c r="CC120" s="245">
        <f t="shared" si="460"/>
        <v>-904845.22920703189</v>
      </c>
      <c r="CD120" s="245">
        <f t="shared" si="460"/>
        <v>-909384.27515941276</v>
      </c>
      <c r="CE120" s="245">
        <f t="shared" si="460"/>
        <v>-902770.46277846035</v>
      </c>
      <c r="CF120" s="245">
        <f t="shared" si="460"/>
        <v>-896353.46601668163</v>
      </c>
      <c r="CG120" s="245">
        <f t="shared" si="460"/>
        <v>-893232.73014311248</v>
      </c>
      <c r="CH120" s="246">
        <f t="shared" si="460"/>
        <v>-10811338.436515622</v>
      </c>
      <c r="CI120" s="213"/>
      <c r="CJ120" s="244">
        <f t="shared" ref="CJ120:CV120" si="461">+CJ100+CJ103-CJ112+CJ118</f>
        <v>-2456026.6879795021</v>
      </c>
      <c r="CK120" s="245">
        <f t="shared" si="461"/>
        <v>-2391667.7051796783</v>
      </c>
      <c r="CL120" s="245">
        <f t="shared" si="461"/>
        <v>-2399572.2490156572</v>
      </c>
      <c r="CM120" s="245">
        <f t="shared" si="461"/>
        <v>-2384878.6727143344</v>
      </c>
      <c r="CN120" s="245">
        <f t="shared" si="461"/>
        <v>-2386933.1101197586</v>
      </c>
      <c r="CO120" s="245">
        <f t="shared" si="461"/>
        <v>-2387483.3882905263</v>
      </c>
      <c r="CP120" s="245">
        <f t="shared" si="461"/>
        <v>-2408151.1920206849</v>
      </c>
      <c r="CQ120" s="245">
        <f t="shared" si="461"/>
        <v>-2428485.5212773508</v>
      </c>
      <c r="CR120" s="245">
        <f t="shared" si="461"/>
        <v>-2494915.0267535411</v>
      </c>
      <c r="CS120" s="245">
        <f t="shared" si="461"/>
        <v>-2422163.0905630649</v>
      </c>
      <c r="CT120" s="245">
        <f t="shared" si="461"/>
        <v>-2351576.1261834982</v>
      </c>
      <c r="CU120" s="245">
        <f t="shared" si="461"/>
        <v>-2317248.0315742376</v>
      </c>
      <c r="CV120" s="246">
        <f t="shared" si="461"/>
        <v>-28829100.801671837</v>
      </c>
      <c r="CW120" s="213"/>
      <c r="CX120" s="244">
        <f t="shared" ref="CX120:DJ120" si="462">+CX100+CX103-CX112+CX118</f>
        <v>-5535688.478493277</v>
      </c>
      <c r="CY120" s="245">
        <f t="shared" si="462"/>
        <v>-5364215.6131846355</v>
      </c>
      <c r="CZ120" s="245">
        <f t="shared" si="462"/>
        <v>-5385186.270221672</v>
      </c>
      <c r="DA120" s="245">
        <f t="shared" si="462"/>
        <v>-5346934.4396364875</v>
      </c>
      <c r="DB120" s="245">
        <f t="shared" si="462"/>
        <v>-5352163.9166684756</v>
      </c>
      <c r="DC120" s="245">
        <f t="shared" si="462"/>
        <v>-5353564.6247395212</v>
      </c>
      <c r="DD120" s="245">
        <f t="shared" si="462"/>
        <v>-5407359.3069617432</v>
      </c>
      <c r="DE120" s="245">
        <f t="shared" si="462"/>
        <v>-5464869.4177968921</v>
      </c>
      <c r="DF120" s="245">
        <f t="shared" si="462"/>
        <v>-5631212.7044635592</v>
      </c>
      <c r="DG120" s="245">
        <f t="shared" si="462"/>
        <v>-5446725.9577968922</v>
      </c>
      <c r="DH120" s="245">
        <f t="shared" si="462"/>
        <v>-5264200.0484670857</v>
      </c>
      <c r="DI120" s="245">
        <f t="shared" si="462"/>
        <v>-5176869.4440071499</v>
      </c>
      <c r="DJ120" s="246">
        <f t="shared" si="462"/>
        <v>-64728990.222437397</v>
      </c>
      <c r="DK120" s="213"/>
      <c r="DL120" s="244">
        <f t="shared" ref="DL120:DX120" si="463">+DL100+DL103-DL112+DL118</f>
        <v>-3920955.9024932766</v>
      </c>
      <c r="DM120" s="245">
        <f t="shared" si="463"/>
        <v>-3605022.2131846352</v>
      </c>
      <c r="DN120" s="245">
        <f t="shared" si="463"/>
        <v>-3603995.0302216718</v>
      </c>
      <c r="DO120" s="245">
        <f t="shared" si="463"/>
        <v>-3440461.4396364866</v>
      </c>
      <c r="DP120" s="245">
        <f t="shared" si="463"/>
        <v>-3445690.9166684756</v>
      </c>
      <c r="DQ120" s="245">
        <f t="shared" si="463"/>
        <v>-3447091.6247395203</v>
      </c>
      <c r="DR120" s="245">
        <f t="shared" si="463"/>
        <v>-3795694.7309617428</v>
      </c>
      <c r="DS120" s="245">
        <f t="shared" si="463"/>
        <v>-3549894.4177968912</v>
      </c>
      <c r="DT120" s="245">
        <f t="shared" si="463"/>
        <v>-3718237.7044635583</v>
      </c>
      <c r="DU120" s="245">
        <f t="shared" si="463"/>
        <v>-3531650.9577968912</v>
      </c>
      <c r="DV120" s="245">
        <f t="shared" si="463"/>
        <v>-3353375.0484670857</v>
      </c>
      <c r="DW120" s="245">
        <f t="shared" si="463"/>
        <v>-3265994.4440071499</v>
      </c>
      <c r="DX120" s="246">
        <f t="shared" si="463"/>
        <v>-42678064.430437393</v>
      </c>
      <c r="DY120" s="213"/>
      <c r="DZ120" s="244">
        <f t="shared" ref="DZ120:EL120" si="464">+DZ100+DZ103-DZ112+DZ118</f>
        <v>-426704.51708904561</v>
      </c>
      <c r="EA120" s="245">
        <f t="shared" si="464"/>
        <v>-420853.70047087979</v>
      </c>
      <c r="EB120" s="245">
        <f t="shared" si="464"/>
        <v>-421572.29536505969</v>
      </c>
      <c r="EC120" s="245">
        <f t="shared" si="464"/>
        <v>-688696.59570130322</v>
      </c>
      <c r="ED120" s="245">
        <f t="shared" si="464"/>
        <v>-420423.28273815982</v>
      </c>
      <c r="EE120" s="245">
        <f t="shared" si="464"/>
        <v>-420473.3080264114</v>
      </c>
      <c r="EF120" s="245">
        <f t="shared" si="464"/>
        <v>-422620.65382006223</v>
      </c>
      <c r="EG120" s="245">
        <f t="shared" si="464"/>
        <v>-424469.22920703184</v>
      </c>
      <c r="EH120" s="245">
        <f t="shared" si="464"/>
        <v>-430508.27515941276</v>
      </c>
      <c r="EI120" s="245">
        <f t="shared" si="464"/>
        <v>-423894.46277846035</v>
      </c>
      <c r="EJ120" s="245">
        <f t="shared" si="464"/>
        <v>-417477.46601668157</v>
      </c>
      <c r="EK120" s="245">
        <f t="shared" si="464"/>
        <v>-414356.73014311248</v>
      </c>
      <c r="EL120" s="246">
        <f t="shared" si="464"/>
        <v>-5332050.516515621</v>
      </c>
      <c r="EM120" s="213"/>
      <c r="EN120" s="244">
        <f t="shared" ref="EN120:EZ120" si="465">+EN100+EN103-EN112+EN118</f>
        <v>-631594.03417809121</v>
      </c>
      <c r="EO120" s="245">
        <f t="shared" si="465"/>
        <v>-619892.40094175958</v>
      </c>
      <c r="EP120" s="245">
        <f t="shared" si="465"/>
        <v>-621329.59073011938</v>
      </c>
      <c r="EQ120" s="245">
        <f t="shared" si="465"/>
        <v>-618658.03140260617</v>
      </c>
      <c r="ER120" s="245">
        <f t="shared" si="465"/>
        <v>-619031.56547631964</v>
      </c>
      <c r="ES120" s="245">
        <f t="shared" si="465"/>
        <v>-619131.61605282279</v>
      </c>
      <c r="ET120" s="245">
        <f t="shared" si="465"/>
        <v>-623421.30764012446</v>
      </c>
      <c r="EU120" s="245">
        <f t="shared" si="465"/>
        <v>-627118.45841406367</v>
      </c>
      <c r="EV120" s="245">
        <f t="shared" si="465"/>
        <v>-639196.55031882552</v>
      </c>
      <c r="EW120" s="245">
        <f t="shared" si="465"/>
        <v>-625968.9255569207</v>
      </c>
      <c r="EX120" s="245">
        <f t="shared" si="465"/>
        <v>-613134.93203336315</v>
      </c>
      <c r="EY120" s="245">
        <f t="shared" si="465"/>
        <v>-606893.46028622496</v>
      </c>
      <c r="EZ120" s="246">
        <f t="shared" si="465"/>
        <v>-7465370.8730312418</v>
      </c>
      <c r="FA120" s="213"/>
      <c r="FB120" s="244">
        <f t="shared" ref="FB120:FN120" si="466">+FB100+FB103-FB112+FB118</f>
        <v>-138089.51708904564</v>
      </c>
      <c r="FC120" s="245">
        <f t="shared" si="466"/>
        <v>-132238.70047087982</v>
      </c>
      <c r="FD120" s="245">
        <f t="shared" si="466"/>
        <v>-132957.29536505972</v>
      </c>
      <c r="FE120" s="245">
        <f t="shared" si="466"/>
        <v>-131621.51570130311</v>
      </c>
      <c r="FF120" s="245">
        <f t="shared" si="466"/>
        <v>-131808.28273815985</v>
      </c>
      <c r="FG120" s="245">
        <f t="shared" si="466"/>
        <v>-131858.30802641145</v>
      </c>
      <c r="FH120" s="245">
        <f t="shared" si="466"/>
        <v>-133706.65382006226</v>
      </c>
      <c r="FI120" s="245">
        <f t="shared" si="466"/>
        <v>-135555.22920703187</v>
      </c>
      <c r="FJ120" s="245">
        <f t="shared" si="466"/>
        <v>-141594.27515941279</v>
      </c>
      <c r="FK120" s="245">
        <f t="shared" si="466"/>
        <v>-134980.46277846044</v>
      </c>
      <c r="FL120" s="245">
        <f t="shared" si="466"/>
        <v>-128563.46601668163</v>
      </c>
      <c r="FM120" s="245">
        <f t="shared" si="466"/>
        <v>-125442.73014311251</v>
      </c>
      <c r="FN120" s="246">
        <f t="shared" si="466"/>
        <v>-1598416.4365156211</v>
      </c>
      <c r="FO120" s="213"/>
      <c r="FP120" s="244">
        <f t="shared" ref="FP120:GB120" si="467">+FP100+FP103-FP112+FP118</f>
        <v>-1913052.6196233192</v>
      </c>
      <c r="FQ120" s="245">
        <f t="shared" si="467"/>
        <v>-1866861.9032961589</v>
      </c>
      <c r="FR120" s="245">
        <f t="shared" si="467"/>
        <v>-1872742.067555418</v>
      </c>
      <c r="FS120" s="245">
        <f t="shared" si="467"/>
        <v>-1862541.6099091219</v>
      </c>
      <c r="FT120" s="245">
        <f t="shared" si="467"/>
        <v>-1863848.9791671189</v>
      </c>
      <c r="FU120" s="245">
        <f t="shared" si="467"/>
        <v>-1864199.1561848803</v>
      </c>
      <c r="FV120" s="245">
        <f t="shared" si="467"/>
        <v>-1878843.5767404358</v>
      </c>
      <c r="FW120" s="245">
        <f t="shared" si="467"/>
        <v>-1895283.604449223</v>
      </c>
      <c r="FX120" s="245">
        <f t="shared" si="467"/>
        <v>-1937056.9261158898</v>
      </c>
      <c r="FY120" s="245">
        <f t="shared" si="467"/>
        <v>-1891460.239449223</v>
      </c>
      <c r="FZ120" s="245">
        <f t="shared" si="467"/>
        <v>-1843691.2621167714</v>
      </c>
      <c r="GA120" s="245">
        <f t="shared" si="467"/>
        <v>-1821896.1110017875</v>
      </c>
      <c r="GB120" s="246">
        <f t="shared" si="467"/>
        <v>-22511478.055609349</v>
      </c>
      <c r="GC120" s="213"/>
      <c r="GD120" s="244">
        <f t="shared" ref="GD120:GP120" si="468">+GD100+GD103-GD112+GD118</f>
        <v>-876389.51708904561</v>
      </c>
      <c r="GE120" s="245">
        <f t="shared" si="468"/>
        <v>-875773.70047087979</v>
      </c>
      <c r="GF120" s="245">
        <f t="shared" si="468"/>
        <v>-875642.29536505975</v>
      </c>
      <c r="GG120" s="245">
        <f t="shared" si="468"/>
        <v>-875156.51570130314</v>
      </c>
      <c r="GH120" s="245">
        <f t="shared" si="468"/>
        <v>-875343.28273815988</v>
      </c>
      <c r="GI120" s="245">
        <f t="shared" si="468"/>
        <v>-875393.30802641145</v>
      </c>
      <c r="GJ120" s="245">
        <f t="shared" si="468"/>
        <v>-876921.65382006229</v>
      </c>
      <c r="GK120" s="245">
        <f t="shared" si="468"/>
        <v>-875270.22920703189</v>
      </c>
      <c r="GL120" s="245">
        <f t="shared" si="468"/>
        <v>-881809.27515941288</v>
      </c>
      <c r="GM120" s="245">
        <f t="shared" si="468"/>
        <v>-874495.46277846047</v>
      </c>
      <c r="GN120" s="245">
        <f t="shared" si="468"/>
        <v>-870928.46601668163</v>
      </c>
      <c r="GO120" s="245">
        <f t="shared" si="468"/>
        <v>-867757.73014311248</v>
      </c>
      <c r="GP120" s="246">
        <f t="shared" si="468"/>
        <v>-10500881.436515622</v>
      </c>
      <c r="GQ120" s="213"/>
      <c r="GR120" s="244">
        <f t="shared" ref="GR120:HC120" si="469">+GR100+GR103-GR112+GR118</f>
        <v>500143.55169303389</v>
      </c>
      <c r="GS120" s="245">
        <f t="shared" si="469"/>
        <v>596979.26169303386</v>
      </c>
      <c r="GT120" s="245">
        <f t="shared" si="469"/>
        <v>-1824182.1676361065</v>
      </c>
      <c r="GU120" s="245">
        <f t="shared" si="469"/>
        <v>-1817707.1176361067</v>
      </c>
      <c r="GV120" s="245">
        <f t="shared" si="469"/>
        <v>-1811186.9176361065</v>
      </c>
      <c r="GW120" s="245">
        <f t="shared" si="469"/>
        <v>-1804621.2576361068</v>
      </c>
      <c r="GX120" s="245">
        <f t="shared" si="469"/>
        <v>-1798009.8276361066</v>
      </c>
      <c r="GY120" s="245">
        <f t="shared" si="469"/>
        <v>-1791352.3076361066</v>
      </c>
      <c r="GZ120" s="245">
        <f t="shared" si="469"/>
        <v>-1784648.3776361065</v>
      </c>
      <c r="HA120" s="245">
        <f t="shared" si="469"/>
        <v>-1777897.6976361067</v>
      </c>
      <c r="HB120" s="245">
        <f t="shared" si="469"/>
        <v>-1771099.9676361068</v>
      </c>
      <c r="HC120" s="245">
        <f t="shared" si="469"/>
        <v>-1764254.8376361064</v>
      </c>
      <c r="HD120" s="246">
        <f t="shared" si="293"/>
        <v>0</v>
      </c>
      <c r="HE120" s="213"/>
      <c r="HF120" s="244">
        <f t="shared" ref="HF120:HR120" si="470">+HF100+HF103-HF112+HF118</f>
        <v>-873753.06835618254</v>
      </c>
      <c r="HG120" s="245">
        <f t="shared" si="470"/>
        <v>-850349.80188351939</v>
      </c>
      <c r="HH120" s="245">
        <f t="shared" si="470"/>
        <v>-853224.18146023899</v>
      </c>
      <c r="HI120" s="245">
        <f t="shared" si="470"/>
        <v>-847881.06280521245</v>
      </c>
      <c r="HJ120" s="245">
        <f t="shared" si="470"/>
        <v>-848628.13095263951</v>
      </c>
      <c r="HK120" s="245">
        <f t="shared" si="470"/>
        <v>-848828.23210564593</v>
      </c>
      <c r="HL120" s="245">
        <f t="shared" si="470"/>
        <v>-856705.61528024904</v>
      </c>
      <c r="HM120" s="245">
        <f t="shared" si="470"/>
        <v>-864099.91682812746</v>
      </c>
      <c r="HN120" s="245">
        <f t="shared" si="470"/>
        <v>-888256.10063765128</v>
      </c>
      <c r="HO120" s="245">
        <f t="shared" si="470"/>
        <v>-861800.85111384175</v>
      </c>
      <c r="HP120" s="245">
        <f t="shared" si="470"/>
        <v>-836132.86406672664</v>
      </c>
      <c r="HQ120" s="245">
        <f t="shared" si="470"/>
        <v>-823649.92057245004</v>
      </c>
      <c r="HR120" s="246">
        <f t="shared" si="470"/>
        <v>-10253309.746062484</v>
      </c>
      <c r="HS120" s="213"/>
      <c r="HT120" s="244">
        <f t="shared" ref="HT120:IF120" si="471">+HT100+HT103-HT112+HT118</f>
        <v>-225463.51708904564</v>
      </c>
      <c r="HU120" s="245">
        <f t="shared" si="471"/>
        <v>-219612.70047087985</v>
      </c>
      <c r="HV120" s="245">
        <f t="shared" si="471"/>
        <v>-220331.29536505975</v>
      </c>
      <c r="HW120" s="245">
        <f t="shared" si="471"/>
        <v>-218995.51570130311</v>
      </c>
      <c r="HX120" s="245">
        <f t="shared" si="471"/>
        <v>-219182.28273815988</v>
      </c>
      <c r="HY120" s="245">
        <f t="shared" si="471"/>
        <v>-219232.30802641148</v>
      </c>
      <c r="HZ120" s="245">
        <f t="shared" si="471"/>
        <v>-221114.65382006226</v>
      </c>
      <c r="IA120" s="245">
        <f t="shared" si="471"/>
        <v>-222963.22920703187</v>
      </c>
      <c r="IB120" s="245">
        <f t="shared" si="471"/>
        <v>-229002.27515941282</v>
      </c>
      <c r="IC120" s="245">
        <f t="shared" si="471"/>
        <v>-222388.46277846044</v>
      </c>
      <c r="ID120" s="245">
        <f t="shared" si="471"/>
        <v>-215971.46601668166</v>
      </c>
      <c r="IE120" s="245">
        <f t="shared" si="471"/>
        <v>-212850.73014311251</v>
      </c>
      <c r="IF120" s="246">
        <f t="shared" si="471"/>
        <v>-2647108.4365156209</v>
      </c>
      <c r="IG120" s="213"/>
      <c r="IH120" s="244">
        <f t="shared" ref="IH120:IT120" si="472">+IH100+IH103-IH112+IH118</f>
        <v>-649052.51708904561</v>
      </c>
      <c r="II120" s="245">
        <f t="shared" si="472"/>
        <v>-643201.70047087979</v>
      </c>
      <c r="IJ120" s="245">
        <f t="shared" si="472"/>
        <v>-643920.29536505975</v>
      </c>
      <c r="IK120" s="245">
        <f t="shared" si="472"/>
        <v>-642584.51570130314</v>
      </c>
      <c r="IL120" s="245">
        <f t="shared" si="472"/>
        <v>-642771.28273815988</v>
      </c>
      <c r="IM120" s="245">
        <f t="shared" si="472"/>
        <v>-642821.30802641145</v>
      </c>
      <c r="IN120" s="245">
        <f t="shared" si="472"/>
        <v>-645262.65382006229</v>
      </c>
      <c r="IO120" s="245">
        <f t="shared" si="472"/>
        <v>-647111.22920703189</v>
      </c>
      <c r="IP120" s="245">
        <f t="shared" si="472"/>
        <v>-653150.27515941288</v>
      </c>
      <c r="IQ120" s="245">
        <f t="shared" si="472"/>
        <v>-646536.46277846047</v>
      </c>
      <c r="IR120" s="245">
        <f t="shared" si="472"/>
        <v>-640119.46601668163</v>
      </c>
      <c r="IS120" s="245">
        <f t="shared" si="472"/>
        <v>-636998.73014311248</v>
      </c>
      <c r="IT120" s="246">
        <f t="shared" si="472"/>
        <v>-7733530.4365156218</v>
      </c>
      <c r="IU120" s="213"/>
      <c r="IV120" s="244">
        <f t="shared" ref="IV120:JH120" si="473">+IV100+IV103-IV112+IV118</f>
        <v>-2065249.6196233192</v>
      </c>
      <c r="IW120" s="245">
        <f t="shared" si="473"/>
        <v>-2024293.9032961589</v>
      </c>
      <c r="IX120" s="245">
        <f t="shared" si="473"/>
        <v>-2029324.067555418</v>
      </c>
      <c r="IY120" s="245">
        <f t="shared" si="473"/>
        <v>-2019973.6099091219</v>
      </c>
      <c r="IZ120" s="245">
        <f t="shared" si="473"/>
        <v>-2021280.9791671189</v>
      </c>
      <c r="JA120" s="245">
        <f t="shared" si="473"/>
        <v>-2021631.1561848803</v>
      </c>
      <c r="JB120" s="245">
        <f t="shared" si="473"/>
        <v>-2035789.5767404358</v>
      </c>
      <c r="JC120" s="245">
        <f t="shared" si="473"/>
        <v>-2048729.604449223</v>
      </c>
      <c r="JD120" s="245">
        <f t="shared" si="473"/>
        <v>-2091002.9261158898</v>
      </c>
      <c r="JE120" s="245">
        <f t="shared" si="473"/>
        <v>-2044706.239449223</v>
      </c>
      <c r="JF120" s="245">
        <f t="shared" si="473"/>
        <v>-1999787.2621167714</v>
      </c>
      <c r="JG120" s="245">
        <f t="shared" si="473"/>
        <v>-1977942.1110017875</v>
      </c>
      <c r="JH120" s="246">
        <f t="shared" si="473"/>
        <v>-24379711.055609345</v>
      </c>
      <c r="JI120" s="213"/>
      <c r="JJ120" s="244">
        <f t="shared" ref="JJ120:JV120" si="474">+JJ100+JJ103-JJ112+JJ118</f>
        <v>-2864722.6879795017</v>
      </c>
      <c r="JK120" s="245">
        <f t="shared" si="474"/>
        <v>-2788483.7051796783</v>
      </c>
      <c r="JL120" s="245">
        <f t="shared" si="474"/>
        <v>-2798088.2490156572</v>
      </c>
      <c r="JM120" s="245">
        <f t="shared" si="474"/>
        <v>-2781694.6727143344</v>
      </c>
      <c r="JN120" s="245">
        <f t="shared" si="474"/>
        <v>-2783749.1101197586</v>
      </c>
      <c r="JO120" s="245">
        <f t="shared" si="474"/>
        <v>-2784299.3882905263</v>
      </c>
      <c r="JP120" s="245">
        <f t="shared" si="474"/>
        <v>-2805211.1920206849</v>
      </c>
      <c r="JQ120" s="245">
        <f t="shared" si="474"/>
        <v>-2833295.5212773504</v>
      </c>
      <c r="JR120" s="245">
        <f t="shared" si="474"/>
        <v>-2897975.0267535411</v>
      </c>
      <c r="JS120" s="245">
        <f t="shared" si="474"/>
        <v>-2823823.0905630649</v>
      </c>
      <c r="JT120" s="245">
        <f t="shared" si="474"/>
        <v>-2750336.1261834982</v>
      </c>
      <c r="JU120" s="245">
        <f t="shared" si="474"/>
        <v>-2716108.0315742376</v>
      </c>
      <c r="JV120" s="246">
        <f t="shared" si="474"/>
        <v>-33627786.801671825</v>
      </c>
      <c r="JW120" s="213"/>
      <c r="JX120" s="244">
        <f t="shared" ref="JX120:KJ120" si="475">+JX100+JX103-JX112+JX118</f>
        <v>-1498343.5854452283</v>
      </c>
      <c r="JY120" s="245">
        <f t="shared" si="475"/>
        <v>-1468924.5023543993</v>
      </c>
      <c r="JZ120" s="245">
        <f t="shared" si="475"/>
        <v>-1472517.4768252987</v>
      </c>
      <c r="KA120" s="245">
        <f t="shared" si="475"/>
        <v>-1465838.5785065158</v>
      </c>
      <c r="KB120" s="245">
        <f t="shared" si="475"/>
        <v>-1466772.4136907994</v>
      </c>
      <c r="KC120" s="245">
        <f t="shared" si="475"/>
        <v>-1467022.5401320574</v>
      </c>
      <c r="KD120" s="245">
        <f t="shared" si="475"/>
        <v>-1476772.2691003114</v>
      </c>
      <c r="KE120" s="245">
        <f t="shared" si="475"/>
        <v>-1486015.1460351595</v>
      </c>
      <c r="KF120" s="245">
        <f t="shared" si="475"/>
        <v>-1516210.3757970643</v>
      </c>
      <c r="KG120" s="245">
        <f t="shared" si="475"/>
        <v>-1482441.3138923023</v>
      </c>
      <c r="KH120" s="245">
        <f t="shared" si="475"/>
        <v>-1451056.3300834084</v>
      </c>
      <c r="KI120" s="245">
        <f t="shared" si="475"/>
        <v>-1435452.6507155625</v>
      </c>
      <c r="KJ120" s="246">
        <f t="shared" si="475"/>
        <v>-17687367.182578109</v>
      </c>
      <c r="KK120" s="213"/>
      <c r="KL120" s="244">
        <f t="shared" ref="KL120:KX120" si="476">+KL100+KL103-KL112+KL118</f>
        <v>-285985.03417809127</v>
      </c>
      <c r="KM120" s="245">
        <f t="shared" si="476"/>
        <v>-274283.40094175964</v>
      </c>
      <c r="KN120" s="245">
        <f t="shared" si="476"/>
        <v>-275720.59073011944</v>
      </c>
      <c r="KO120" s="245">
        <f t="shared" si="476"/>
        <v>-273049.03140260623</v>
      </c>
      <c r="KP120" s="245">
        <f t="shared" si="476"/>
        <v>-273422.56547631969</v>
      </c>
      <c r="KQ120" s="245">
        <f t="shared" si="476"/>
        <v>-273522.61605282291</v>
      </c>
      <c r="KR120" s="245">
        <f t="shared" si="476"/>
        <v>-277147.30764012452</v>
      </c>
      <c r="KS120" s="245">
        <f t="shared" si="476"/>
        <v>-280844.45841406373</v>
      </c>
      <c r="KT120" s="245">
        <f t="shared" si="476"/>
        <v>-292922.55031882558</v>
      </c>
      <c r="KU120" s="245">
        <f t="shared" si="476"/>
        <v>-279690.92555692088</v>
      </c>
      <c r="KV120" s="245">
        <f t="shared" si="476"/>
        <v>-266860.93203336326</v>
      </c>
      <c r="KW120" s="245">
        <f t="shared" si="476"/>
        <v>-260619.46028622502</v>
      </c>
      <c r="KX120" s="246">
        <f t="shared" si="476"/>
        <v>-3314068.8730312423</v>
      </c>
      <c r="KY120" s="213"/>
      <c r="KZ120" s="244">
        <f t="shared" ref="KZ120:LL120" si="477">+KZ100+KZ103-KZ112+KZ118</f>
        <v>-237140.51708904564</v>
      </c>
      <c r="LA120" s="245">
        <f t="shared" si="477"/>
        <v>-231289.70047087985</v>
      </c>
      <c r="LB120" s="245">
        <f t="shared" si="477"/>
        <v>-232008.29536505972</v>
      </c>
      <c r="LC120" s="245">
        <f t="shared" si="477"/>
        <v>-230672.51570130311</v>
      </c>
      <c r="LD120" s="245">
        <f t="shared" si="477"/>
        <v>-230859.28273815988</v>
      </c>
      <c r="LE120" s="245">
        <f t="shared" si="477"/>
        <v>-230909.30802641148</v>
      </c>
      <c r="LF120" s="245">
        <f t="shared" si="477"/>
        <v>-232720.65382006226</v>
      </c>
      <c r="LG120" s="245">
        <f t="shared" si="477"/>
        <v>-234569.22920703187</v>
      </c>
      <c r="LH120" s="245">
        <f t="shared" si="477"/>
        <v>-240608.27515941282</v>
      </c>
      <c r="LI120" s="245">
        <f t="shared" si="477"/>
        <v>-233998.46277846044</v>
      </c>
      <c r="LJ120" s="245">
        <f t="shared" si="477"/>
        <v>-227577.46601668166</v>
      </c>
      <c r="LK120" s="245">
        <f t="shared" si="477"/>
        <v>-224456.73014311251</v>
      </c>
      <c r="LL120" s="246">
        <f t="shared" si="477"/>
        <v>-2786810.4365156209</v>
      </c>
      <c r="LM120" s="213"/>
      <c r="LN120" s="244">
        <f t="shared" ref="LN120:LZ120" si="478">+LN100+LN103-LN112+LN118</f>
        <v>0</v>
      </c>
      <c r="LO120" s="245">
        <f t="shared" si="478"/>
        <v>0</v>
      </c>
      <c r="LP120" s="245">
        <f t="shared" si="478"/>
        <v>0</v>
      </c>
      <c r="LQ120" s="245">
        <f t="shared" si="478"/>
        <v>0</v>
      </c>
      <c r="LR120" s="245">
        <f t="shared" si="478"/>
        <v>0</v>
      </c>
      <c r="LS120" s="245">
        <f t="shared" si="478"/>
        <v>0</v>
      </c>
      <c r="LT120" s="245">
        <f t="shared" si="478"/>
        <v>0</v>
      </c>
      <c r="LU120" s="245">
        <f t="shared" si="478"/>
        <v>0</v>
      </c>
      <c r="LV120" s="245">
        <f t="shared" si="478"/>
        <v>0</v>
      </c>
      <c r="LW120" s="245">
        <f t="shared" si="478"/>
        <v>0</v>
      </c>
      <c r="LX120" s="245">
        <f t="shared" si="478"/>
        <v>0</v>
      </c>
      <c r="LY120" s="245">
        <f t="shared" si="478"/>
        <v>0</v>
      </c>
      <c r="LZ120" s="246">
        <f t="shared" si="478"/>
        <v>0</v>
      </c>
      <c r="MA120" s="213"/>
      <c r="MB120" s="246">
        <f t="shared" ref="MB120:MN120" si="479">+MB100+MB103-MB112+MB118</f>
        <v>-36272610.674910448</v>
      </c>
      <c r="MC120" s="246">
        <f t="shared" si="479"/>
        <v>-35037205.21553126</v>
      </c>
      <c r="MD120" s="246">
        <f t="shared" si="479"/>
        <v>-37558468.367505901</v>
      </c>
      <c r="ME120" s="246">
        <f t="shared" si="479"/>
        <v>-37471853.772649817</v>
      </c>
      <c r="MF120" s="246">
        <f t="shared" si="479"/>
        <v>-37227503.286694318</v>
      </c>
      <c r="MG120" s="246">
        <f t="shared" si="479"/>
        <v>-37229141.773967586</v>
      </c>
      <c r="MH120" s="246">
        <f t="shared" si="479"/>
        <v>-37833332.47812631</v>
      </c>
      <c r="MI120" s="246">
        <f t="shared" si="479"/>
        <v>-37850780.897589333</v>
      </c>
      <c r="MJ120" s="246">
        <f t="shared" si="479"/>
        <v>-38827230.503779806</v>
      </c>
      <c r="MK120" s="246">
        <f t="shared" si="479"/>
        <v>-37731614.593303613</v>
      </c>
      <c r="ML120" s="246">
        <f t="shared" si="479"/>
        <v>-36668029.39437189</v>
      </c>
      <c r="MM120" s="246">
        <f t="shared" si="479"/>
        <v>-36149583.581106551</v>
      </c>
      <c r="MN120" s="246">
        <f t="shared" si="479"/>
        <v>-445857354.53953695</v>
      </c>
    </row>
    <row r="121" spans="1:352" hidden="1" x14ac:dyDescent="0.3">
      <c r="A121" s="98"/>
      <c r="B121" s="166"/>
      <c r="C121" s="98"/>
      <c r="D121" s="153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7"/>
      <c r="Q121" s="161"/>
      <c r="R121" s="153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7"/>
      <c r="AE121" s="161"/>
      <c r="AF121" s="153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7"/>
      <c r="AT121" s="153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7"/>
      <c r="BH121" s="153"/>
      <c r="BI121" s="154"/>
      <c r="BJ121" s="154"/>
      <c r="BK121" s="154"/>
      <c r="BL121" s="154"/>
      <c r="BM121" s="154"/>
      <c r="BN121" s="154"/>
      <c r="BO121" s="154"/>
      <c r="BP121" s="154"/>
      <c r="BQ121" s="154"/>
      <c r="BR121" s="154"/>
      <c r="BS121" s="154"/>
      <c r="BT121" s="157"/>
      <c r="BV121" s="153"/>
      <c r="BW121" s="154"/>
      <c r="BX121" s="154"/>
      <c r="BY121" s="154"/>
      <c r="BZ121" s="154"/>
      <c r="CA121" s="154"/>
      <c r="CB121" s="154"/>
      <c r="CC121" s="154"/>
      <c r="CD121" s="154"/>
      <c r="CE121" s="154"/>
      <c r="CF121" s="154"/>
      <c r="CG121" s="154"/>
      <c r="CH121" s="157"/>
      <c r="CI121" s="161"/>
      <c r="CJ121" s="153"/>
      <c r="CK121" s="154"/>
      <c r="CL121" s="154"/>
      <c r="CM121" s="154"/>
      <c r="CN121" s="154"/>
      <c r="CO121" s="154"/>
      <c r="CP121" s="154"/>
      <c r="CQ121" s="154"/>
      <c r="CR121" s="154"/>
      <c r="CS121" s="154"/>
      <c r="CT121" s="154"/>
      <c r="CU121" s="154"/>
      <c r="CV121" s="157"/>
      <c r="CW121" s="161"/>
      <c r="CX121" s="153"/>
      <c r="CY121" s="154"/>
      <c r="CZ121" s="154"/>
      <c r="DA121" s="154"/>
      <c r="DB121" s="154"/>
      <c r="DC121" s="154"/>
      <c r="DD121" s="154"/>
      <c r="DE121" s="154"/>
      <c r="DF121" s="154"/>
      <c r="DG121" s="154"/>
      <c r="DH121" s="154"/>
      <c r="DI121" s="154"/>
      <c r="DJ121" s="157"/>
      <c r="DK121" s="161"/>
      <c r="DL121" s="153"/>
      <c r="DM121" s="154"/>
      <c r="DN121" s="154"/>
      <c r="DO121" s="154"/>
      <c r="DP121" s="154"/>
      <c r="DQ121" s="154"/>
      <c r="DR121" s="154"/>
      <c r="DS121" s="154"/>
      <c r="DT121" s="154"/>
      <c r="DU121" s="154"/>
      <c r="DV121" s="154"/>
      <c r="DW121" s="154"/>
      <c r="DX121" s="157"/>
      <c r="DY121" s="161"/>
      <c r="DZ121" s="153"/>
      <c r="EA121" s="154"/>
      <c r="EB121" s="154"/>
      <c r="EC121" s="154"/>
      <c r="ED121" s="154"/>
      <c r="EE121" s="154"/>
      <c r="EF121" s="154"/>
      <c r="EG121" s="154"/>
      <c r="EH121" s="154"/>
      <c r="EI121" s="154"/>
      <c r="EJ121" s="154"/>
      <c r="EK121" s="154"/>
      <c r="EL121" s="157"/>
      <c r="EM121" s="161"/>
      <c r="EN121" s="153"/>
      <c r="EO121" s="154"/>
      <c r="EP121" s="154"/>
      <c r="EQ121" s="154"/>
      <c r="ER121" s="154"/>
      <c r="ES121" s="154"/>
      <c r="ET121" s="154"/>
      <c r="EU121" s="154"/>
      <c r="EV121" s="154"/>
      <c r="EW121" s="154"/>
      <c r="EX121" s="154"/>
      <c r="EY121" s="154"/>
      <c r="EZ121" s="157"/>
      <c r="FA121" s="161"/>
      <c r="FB121" s="153"/>
      <c r="FC121" s="154"/>
      <c r="FD121" s="154"/>
      <c r="FE121" s="154"/>
      <c r="FF121" s="154"/>
      <c r="FG121" s="154"/>
      <c r="FH121" s="154"/>
      <c r="FI121" s="154"/>
      <c r="FJ121" s="154"/>
      <c r="FK121" s="154"/>
      <c r="FL121" s="154"/>
      <c r="FM121" s="154"/>
      <c r="FN121" s="157"/>
      <c r="FO121" s="161"/>
      <c r="FP121" s="153"/>
      <c r="FQ121" s="154"/>
      <c r="FR121" s="154"/>
      <c r="FS121" s="154"/>
      <c r="FT121" s="154"/>
      <c r="FU121" s="154"/>
      <c r="FV121" s="154"/>
      <c r="FW121" s="154"/>
      <c r="FX121" s="154"/>
      <c r="FY121" s="154"/>
      <c r="FZ121" s="154"/>
      <c r="GA121" s="154"/>
      <c r="GB121" s="157"/>
      <c r="GC121" s="161"/>
      <c r="GD121" s="153"/>
      <c r="GE121" s="154"/>
      <c r="GF121" s="154"/>
      <c r="GG121" s="154"/>
      <c r="GH121" s="154"/>
      <c r="GI121" s="154"/>
      <c r="GJ121" s="154"/>
      <c r="GK121" s="154"/>
      <c r="GL121" s="154"/>
      <c r="GM121" s="154"/>
      <c r="GN121" s="154"/>
      <c r="GO121" s="154"/>
      <c r="GP121" s="157"/>
      <c r="GQ121" s="161"/>
      <c r="GR121" s="153"/>
      <c r="GS121" s="154"/>
      <c r="GT121" s="154"/>
      <c r="GU121" s="154"/>
      <c r="GV121" s="154"/>
      <c r="GW121" s="154"/>
      <c r="GX121" s="154"/>
      <c r="GY121" s="154"/>
      <c r="GZ121" s="154"/>
      <c r="HA121" s="154"/>
      <c r="HB121" s="154"/>
      <c r="HC121" s="154"/>
      <c r="HD121" s="157">
        <f t="shared" si="293"/>
        <v>0</v>
      </c>
      <c r="HE121" s="161"/>
      <c r="HF121" s="153"/>
      <c r="HG121" s="154"/>
      <c r="HH121" s="154"/>
      <c r="HI121" s="154"/>
      <c r="HJ121" s="154"/>
      <c r="HK121" s="154"/>
      <c r="HL121" s="154"/>
      <c r="HM121" s="154"/>
      <c r="HN121" s="154"/>
      <c r="HO121" s="154"/>
      <c r="HP121" s="154"/>
      <c r="HQ121" s="154"/>
      <c r="HR121" s="157"/>
      <c r="HS121" s="161"/>
      <c r="HT121" s="153"/>
      <c r="HU121" s="154"/>
      <c r="HV121" s="154"/>
      <c r="HW121" s="154"/>
      <c r="HX121" s="154"/>
      <c r="HY121" s="154"/>
      <c r="HZ121" s="154"/>
      <c r="IA121" s="154"/>
      <c r="IB121" s="154"/>
      <c r="IC121" s="154"/>
      <c r="ID121" s="154"/>
      <c r="IE121" s="154"/>
      <c r="IF121" s="157"/>
      <c r="IG121" s="161"/>
      <c r="IH121" s="153"/>
      <c r="II121" s="154"/>
      <c r="IJ121" s="154"/>
      <c r="IK121" s="154"/>
      <c r="IL121" s="154"/>
      <c r="IM121" s="154"/>
      <c r="IN121" s="154"/>
      <c r="IO121" s="154"/>
      <c r="IP121" s="154"/>
      <c r="IQ121" s="154"/>
      <c r="IR121" s="154"/>
      <c r="IS121" s="154"/>
      <c r="IT121" s="157"/>
      <c r="IU121" s="161"/>
      <c r="IV121" s="153"/>
      <c r="IW121" s="154"/>
      <c r="IX121" s="154"/>
      <c r="IY121" s="154"/>
      <c r="IZ121" s="154"/>
      <c r="JA121" s="154"/>
      <c r="JB121" s="154"/>
      <c r="JC121" s="154"/>
      <c r="JD121" s="154"/>
      <c r="JE121" s="154"/>
      <c r="JF121" s="154"/>
      <c r="JG121" s="154"/>
      <c r="JH121" s="157"/>
      <c r="JI121" s="161"/>
      <c r="JJ121" s="153"/>
      <c r="JK121" s="154"/>
      <c r="JL121" s="154"/>
      <c r="JM121" s="154"/>
      <c r="JN121" s="154"/>
      <c r="JO121" s="154"/>
      <c r="JP121" s="154"/>
      <c r="JQ121" s="154"/>
      <c r="JR121" s="154"/>
      <c r="JS121" s="154"/>
      <c r="JT121" s="154"/>
      <c r="JU121" s="154"/>
      <c r="JV121" s="157"/>
      <c r="JW121" s="161"/>
      <c r="JX121" s="153"/>
      <c r="JY121" s="154"/>
      <c r="JZ121" s="154"/>
      <c r="KA121" s="154"/>
      <c r="KB121" s="154"/>
      <c r="KC121" s="154"/>
      <c r="KD121" s="154"/>
      <c r="KE121" s="154"/>
      <c r="KF121" s="154"/>
      <c r="KG121" s="154"/>
      <c r="KH121" s="154"/>
      <c r="KI121" s="154"/>
      <c r="KJ121" s="157"/>
      <c r="KK121" s="161"/>
      <c r="KL121" s="153"/>
      <c r="KM121" s="154"/>
      <c r="KN121" s="154"/>
      <c r="KO121" s="154"/>
      <c r="KP121" s="154"/>
      <c r="KQ121" s="154"/>
      <c r="KR121" s="154"/>
      <c r="KS121" s="154"/>
      <c r="KT121" s="154"/>
      <c r="KU121" s="154"/>
      <c r="KV121" s="154"/>
      <c r="KW121" s="154"/>
      <c r="KX121" s="157"/>
      <c r="KY121" s="161"/>
      <c r="KZ121" s="153"/>
      <c r="LA121" s="154"/>
      <c r="LB121" s="154"/>
      <c r="LC121" s="154"/>
      <c r="LD121" s="154"/>
      <c r="LE121" s="154"/>
      <c r="LF121" s="154"/>
      <c r="LG121" s="154"/>
      <c r="LH121" s="154"/>
      <c r="LI121" s="154"/>
      <c r="LJ121" s="154"/>
      <c r="LK121" s="154"/>
      <c r="LL121" s="157"/>
      <c r="LM121" s="161"/>
      <c r="LN121" s="153"/>
      <c r="LO121" s="154"/>
      <c r="LP121" s="154"/>
      <c r="LQ121" s="154"/>
      <c r="LR121" s="154"/>
      <c r="LS121" s="154"/>
      <c r="LT121" s="154"/>
      <c r="LU121" s="154"/>
      <c r="LV121" s="154"/>
      <c r="LW121" s="154"/>
      <c r="LX121" s="154"/>
      <c r="LY121" s="154"/>
      <c r="LZ121" s="157"/>
      <c r="MA121" s="161"/>
      <c r="MB121" s="157"/>
      <c r="MC121" s="157"/>
      <c r="MD121" s="157"/>
      <c r="ME121" s="157"/>
      <c r="MF121" s="157"/>
      <c r="MG121" s="157"/>
      <c r="MH121" s="157"/>
      <c r="MI121" s="157"/>
      <c r="MJ121" s="157"/>
      <c r="MK121" s="157"/>
      <c r="ML121" s="157"/>
      <c r="MM121" s="157"/>
      <c r="MN121" s="157"/>
    </row>
    <row r="122" spans="1:352" hidden="1" x14ac:dyDescent="0.3">
      <c r="A122" s="98"/>
      <c r="B122" s="71" t="s">
        <v>227</v>
      </c>
      <c r="C122" s="98"/>
      <c r="D122" s="163">
        <v>1109645.3739880708</v>
      </c>
      <c r="E122" s="177">
        <v>1065579.3282470934</v>
      </c>
      <c r="F122" s="177">
        <v>1071038.5129581806</v>
      </c>
      <c r="G122" s="177">
        <v>1061074.3114585218</v>
      </c>
      <c r="H122" s="177">
        <v>1062437.5800906504</v>
      </c>
      <c r="I122" s="177">
        <v>1062802.7296771854</v>
      </c>
      <c r="J122" s="177">
        <v>1076507.0466287804</v>
      </c>
      <c r="K122" s="177">
        <v>1090881.3029508877</v>
      </c>
      <c r="L122" s="177">
        <v>1134836.261071102</v>
      </c>
      <c r="M122" s="177">
        <v>1086560.0603588163</v>
      </c>
      <c r="N122" s="177">
        <v>1039179.3208955644</v>
      </c>
      <c r="O122" s="177">
        <v>1016412.7185336212</v>
      </c>
      <c r="P122" s="204">
        <f>+SUBTOTAL(9,D122:O122)</f>
        <v>12876954.546858475</v>
      </c>
      <c r="Q122" s="205"/>
      <c r="R122" s="163">
        <v>96807.230853938352</v>
      </c>
      <c r="S122" s="177">
        <v>92389.279225561375</v>
      </c>
      <c r="T122" s="177">
        <v>92931.890230156612</v>
      </c>
      <c r="U122" s="177">
        <v>91923.243006053992</v>
      </c>
      <c r="V122" s="177">
        <v>92064.270795584525</v>
      </c>
      <c r="W122" s="177">
        <v>92102.044890743302</v>
      </c>
      <c r="X122" s="177">
        <v>93470.295499529006</v>
      </c>
      <c r="Y122" s="177">
        <v>94866.154774229755</v>
      </c>
      <c r="Z122" s="177">
        <v>99426.238372872613</v>
      </c>
      <c r="AA122" s="177">
        <v>94432.148644015469</v>
      </c>
      <c r="AB122" s="177">
        <v>89586.674389196312</v>
      </c>
      <c r="AC122" s="177">
        <v>87230.20673106426</v>
      </c>
      <c r="AD122" s="204">
        <f>+SUBTOTAL(9,R122:AC122)</f>
        <v>1117229.6774129455</v>
      </c>
      <c r="AE122" s="205"/>
      <c r="AF122" s="163">
        <v>97256.011953938345</v>
      </c>
      <c r="AG122" s="177">
        <v>92838.060325561368</v>
      </c>
      <c r="AH122" s="177">
        <v>93380.67133015662</v>
      </c>
      <c r="AI122" s="177">
        <v>92372.024106053985</v>
      </c>
      <c r="AJ122" s="177">
        <v>92513.051895584518</v>
      </c>
      <c r="AK122" s="177">
        <v>92550.825990743295</v>
      </c>
      <c r="AL122" s="177">
        <v>93919.076599528998</v>
      </c>
      <c r="AM122" s="177">
        <v>95314.935874229748</v>
      </c>
      <c r="AN122" s="177">
        <v>99875.01947287262</v>
      </c>
      <c r="AO122" s="177">
        <v>94880.929744015462</v>
      </c>
      <c r="AP122" s="177">
        <v>90035.45548919632</v>
      </c>
      <c r="AQ122" s="177">
        <v>87678.987831064267</v>
      </c>
      <c r="AR122" s="204">
        <f>+SUBTOTAL(9,AF122:AQ122)</f>
        <v>1122615.0506129456</v>
      </c>
      <c r="AT122" s="163">
        <v>233516.4455026256</v>
      </c>
      <c r="AU122" s="177">
        <v>230571.14441704092</v>
      </c>
      <c r="AV122" s="177">
        <v>230932.88508677107</v>
      </c>
      <c r="AW122" s="177">
        <v>230260.45360403601</v>
      </c>
      <c r="AX122" s="177">
        <v>230354.47213038968</v>
      </c>
      <c r="AY122" s="177">
        <v>230379.65486049556</v>
      </c>
      <c r="AZ122" s="177">
        <v>231459.37023301935</v>
      </c>
      <c r="BA122" s="177">
        <v>232389.94308281987</v>
      </c>
      <c r="BB122" s="177">
        <v>235429.99881524843</v>
      </c>
      <c r="BC122" s="177">
        <v>232100.605662677</v>
      </c>
      <c r="BD122" s="177">
        <v>228870.28949279757</v>
      </c>
      <c r="BE122" s="177">
        <v>227299.31105404286</v>
      </c>
      <c r="BF122" s="204">
        <f>+SUBTOTAL(9,AT122:BE122)</f>
        <v>2773564.5739419642</v>
      </c>
      <c r="BH122" s="163">
        <v>1298869.0948696919</v>
      </c>
      <c r="BI122" s="164">
        <v>1276696.2757278071</v>
      </c>
      <c r="BJ122" s="154">
        <v>1279409.3307507832</v>
      </c>
      <c r="BK122" s="154">
        <v>1274366.0946302703</v>
      </c>
      <c r="BL122" s="154">
        <v>1275071.2335779227</v>
      </c>
      <c r="BM122" s="154">
        <v>1275260.1040537166</v>
      </c>
      <c r="BN122" s="154">
        <v>1282501.8117976452</v>
      </c>
      <c r="BO122" s="154">
        <v>1289481.1081711489</v>
      </c>
      <c r="BP122" s="154">
        <v>1312281.5261643631</v>
      </c>
      <c r="BQ122" s="154">
        <v>1286958.6975200775</v>
      </c>
      <c r="BR122" s="154">
        <v>1263083.7062459819</v>
      </c>
      <c r="BS122" s="154">
        <v>1251301.3679553214</v>
      </c>
      <c r="BT122" s="204">
        <f>+SUBTOTAL(9,BH122:BS122)</f>
        <v>15365280.351464728</v>
      </c>
      <c r="BV122" s="163">
        <v>228238.16635131283</v>
      </c>
      <c r="BW122" s="164">
        <v>226387.96580852047</v>
      </c>
      <c r="BX122" s="154">
        <v>226568.83614338556</v>
      </c>
      <c r="BY122" s="154">
        <v>226232.62040201804</v>
      </c>
      <c r="BZ122" s="154">
        <v>226279.62966519487</v>
      </c>
      <c r="CA122" s="154">
        <v>226292.22103024781</v>
      </c>
      <c r="CB122" s="154">
        <v>226906.7077665097</v>
      </c>
      <c r="CC122" s="154">
        <v>227749.54419140995</v>
      </c>
      <c r="CD122" s="154">
        <v>228892.02205762421</v>
      </c>
      <c r="CE122" s="154">
        <v>227227.32548133851</v>
      </c>
      <c r="CF122" s="154">
        <v>225612.16739639879</v>
      </c>
      <c r="CG122" s="154">
        <v>224826.67817702144</v>
      </c>
      <c r="CH122" s="204">
        <f>+SUBTOTAL(9,BV122:CG122)</f>
        <v>2721213.8844709825</v>
      </c>
      <c r="CI122" s="205"/>
      <c r="CJ122" s="163">
        <v>618181.91736444074</v>
      </c>
      <c r="CK122" s="164">
        <v>601982.76139372506</v>
      </c>
      <c r="CL122" s="154">
        <v>603972.33507724106</v>
      </c>
      <c r="CM122" s="154">
        <v>600273.96192219807</v>
      </c>
      <c r="CN122" s="154">
        <v>600791.06381714332</v>
      </c>
      <c r="CO122" s="154">
        <v>600929.56883272552</v>
      </c>
      <c r="CP122" s="154">
        <v>606131.65503160644</v>
      </c>
      <c r="CQ122" s="154">
        <v>611249.80570550926</v>
      </c>
      <c r="CR122" s="154">
        <v>627970.11223386636</v>
      </c>
      <c r="CS122" s="154">
        <v>609658.44989472348</v>
      </c>
      <c r="CT122" s="154">
        <v>591891.71096038655</v>
      </c>
      <c r="CU122" s="154">
        <v>583251.32954723574</v>
      </c>
      <c r="CV122" s="204">
        <f>+SUBTOTAL(9,CJ122:CU122)</f>
        <v>7256284.6717808014</v>
      </c>
      <c r="CW122" s="205"/>
      <c r="CX122" s="163">
        <v>1393332.7900367579</v>
      </c>
      <c r="CY122" s="164">
        <v>1350173.069838573</v>
      </c>
      <c r="CZ122" s="154">
        <v>1355451.384214795</v>
      </c>
      <c r="DA122" s="154">
        <v>1345823.3984565041</v>
      </c>
      <c r="DB122" s="154">
        <v>1347139.6578254555</v>
      </c>
      <c r="DC122" s="154">
        <v>1347492.2160469377</v>
      </c>
      <c r="DD122" s="154">
        <v>1361032.3375622709</v>
      </c>
      <c r="DE122" s="154">
        <v>1375507.632459478</v>
      </c>
      <c r="DF122" s="154">
        <v>1417376.237713478</v>
      </c>
      <c r="DG122" s="154">
        <v>1370940.9235774779</v>
      </c>
      <c r="DH122" s="154">
        <v>1324999.1521991657</v>
      </c>
      <c r="DI122" s="154">
        <v>1303018.0390565998</v>
      </c>
      <c r="DJ122" s="204">
        <f>+SUBTOTAL(9,CX122:DI122)</f>
        <v>16292286.838987494</v>
      </c>
      <c r="DK122" s="205"/>
      <c r="DL122" s="163">
        <v>986904.60065755784</v>
      </c>
      <c r="DM122" s="164">
        <v>907384.09105857275</v>
      </c>
      <c r="DN122" s="154">
        <v>907125.54910679488</v>
      </c>
      <c r="DO122" s="154">
        <v>865964.14435650385</v>
      </c>
      <c r="DP122" s="154">
        <v>867280.4037254554</v>
      </c>
      <c r="DQ122" s="154">
        <v>867632.96194693737</v>
      </c>
      <c r="DR122" s="154">
        <v>955376.36378307082</v>
      </c>
      <c r="DS122" s="154">
        <v>893508.42495947762</v>
      </c>
      <c r="DT122" s="154">
        <v>935880.4302134777</v>
      </c>
      <c r="DU122" s="154">
        <v>888916.54607747763</v>
      </c>
      <c r="DV122" s="154">
        <v>844044.49969916558</v>
      </c>
      <c r="DW122" s="154">
        <v>822050.80155659979</v>
      </c>
      <c r="DX122" s="204">
        <f>+SUBTOTAL(9,DL122:DW122)</f>
        <v>10742068.817141091</v>
      </c>
      <c r="DY122" s="205"/>
      <c r="DZ122" s="163">
        <v>107401.5269513128</v>
      </c>
      <c r="EA122" s="164">
        <v>105928.87640852046</v>
      </c>
      <c r="EB122" s="154">
        <v>106109.74674338553</v>
      </c>
      <c r="EC122" s="154">
        <v>173344.93313801804</v>
      </c>
      <c r="ED122" s="154">
        <v>105820.54026519484</v>
      </c>
      <c r="EE122" s="154">
        <v>105833.13163024776</v>
      </c>
      <c r="EF122" s="154">
        <v>106373.61856650969</v>
      </c>
      <c r="EG122" s="154">
        <v>106838.90499140993</v>
      </c>
      <c r="EH122" s="154">
        <v>108358.93285762421</v>
      </c>
      <c r="EI122" s="154">
        <v>106694.23628133848</v>
      </c>
      <c r="EJ122" s="154">
        <v>105079.07819639877</v>
      </c>
      <c r="EK122" s="154">
        <v>104293.58897702143</v>
      </c>
      <c r="EL122" s="204">
        <f>+SUBTOTAL(9,DZ122:EK122)</f>
        <v>1342077.1150069819</v>
      </c>
      <c r="EM122" s="205"/>
      <c r="EN122" s="163">
        <v>158972.21840262559</v>
      </c>
      <c r="EO122" s="164">
        <v>156026.9173170409</v>
      </c>
      <c r="EP122" s="154">
        <v>156388.65798677108</v>
      </c>
      <c r="EQ122" s="154">
        <v>155716.22650403599</v>
      </c>
      <c r="ER122" s="154">
        <v>155810.24503038966</v>
      </c>
      <c r="ES122" s="154">
        <v>155835.42776049551</v>
      </c>
      <c r="ET122" s="154">
        <v>156915.14313301936</v>
      </c>
      <c r="EU122" s="154">
        <v>157845.71598281985</v>
      </c>
      <c r="EV122" s="154">
        <v>160885.77171524841</v>
      </c>
      <c r="EW122" s="154">
        <v>157556.37856267695</v>
      </c>
      <c r="EX122" s="154">
        <v>154326.06239279752</v>
      </c>
      <c r="EY122" s="154">
        <v>152755.08395404284</v>
      </c>
      <c r="EZ122" s="204">
        <f>+SUBTOTAL(9,EN122:EY122)</f>
        <v>1879033.8487419637</v>
      </c>
      <c r="FA122" s="205"/>
      <c r="FB122" s="163">
        <v>34757.131451312795</v>
      </c>
      <c r="FC122" s="164">
        <v>33284.480908520454</v>
      </c>
      <c r="FD122" s="154">
        <v>33465.351243385536</v>
      </c>
      <c r="FE122" s="154">
        <v>33129.135502017998</v>
      </c>
      <c r="FF122" s="154">
        <v>33176.14476519484</v>
      </c>
      <c r="FG122" s="154">
        <v>33188.736130247766</v>
      </c>
      <c r="FH122" s="154">
        <v>33653.964766509678</v>
      </c>
      <c r="FI122" s="154">
        <v>34119.251191409923</v>
      </c>
      <c r="FJ122" s="154">
        <v>35639.279057624204</v>
      </c>
      <c r="FK122" s="154">
        <v>33974.582481338497</v>
      </c>
      <c r="FL122" s="154">
        <v>32359.424396398772</v>
      </c>
      <c r="FM122" s="154">
        <v>31573.935177021423</v>
      </c>
      <c r="FN122" s="204">
        <f>+SUBTOTAL(9,FB122:FM122)</f>
        <v>402321.41707098187</v>
      </c>
      <c r="FO122" s="205"/>
      <c r="FP122" s="163">
        <v>481515.3443591895</v>
      </c>
      <c r="FQ122" s="164">
        <v>469889.14105964324</v>
      </c>
      <c r="FR122" s="154">
        <v>471369.17840369878</v>
      </c>
      <c r="FS122" s="154">
        <v>468801.72321412602</v>
      </c>
      <c r="FT122" s="154">
        <v>469130.78805636388</v>
      </c>
      <c r="FU122" s="154">
        <v>469218.92761173443</v>
      </c>
      <c r="FV122" s="154">
        <v>472904.92826556775</v>
      </c>
      <c r="FW122" s="154">
        <v>477042.88323986949</v>
      </c>
      <c r="FX122" s="154">
        <v>487557.22830336954</v>
      </c>
      <c r="FY122" s="154">
        <v>476080.54226936953</v>
      </c>
      <c r="FZ122" s="154">
        <v>464057.09067479143</v>
      </c>
      <c r="GA122" s="154">
        <v>458571.25113914994</v>
      </c>
      <c r="GB122" s="204">
        <f>+SUBTOTAL(9,FP122:GA122)</f>
        <v>5666139.0265968731</v>
      </c>
      <c r="GC122" s="205"/>
      <c r="GD122" s="163">
        <v>220587.24145131282</v>
      </c>
      <c r="GE122" s="164">
        <v>220432.24040852048</v>
      </c>
      <c r="GF122" s="154">
        <v>220399.16574338556</v>
      </c>
      <c r="GG122" s="154">
        <v>220276.89500201802</v>
      </c>
      <c r="GH122" s="154">
        <v>220323.90426519487</v>
      </c>
      <c r="GI122" s="154">
        <v>220336.49563024778</v>
      </c>
      <c r="GJ122" s="154">
        <v>220721.18026650971</v>
      </c>
      <c r="GK122" s="154">
        <v>220305.51669140995</v>
      </c>
      <c r="GL122" s="154">
        <v>221951.39455762424</v>
      </c>
      <c r="GM122" s="154">
        <v>220110.50798133854</v>
      </c>
      <c r="GN122" s="154">
        <v>219212.69489639881</v>
      </c>
      <c r="GO122" s="154">
        <v>218414.62067702145</v>
      </c>
      <c r="GP122" s="204">
        <f>+SUBTOTAL(9,GD122:GO122)</f>
        <v>2643071.8575709825</v>
      </c>
      <c r="GQ122" s="205"/>
      <c r="GR122" s="163">
        <v>-125886.13196113665</v>
      </c>
      <c r="GS122" s="164">
        <v>-150259.68016813663</v>
      </c>
      <c r="GT122" s="154">
        <v>459146.65159400809</v>
      </c>
      <c r="GU122" s="154">
        <v>457516.88150900812</v>
      </c>
      <c r="GV122" s="154">
        <v>455875.74716900807</v>
      </c>
      <c r="GW122" s="154">
        <v>454223.17054700817</v>
      </c>
      <c r="GX122" s="154">
        <v>452559.0736160081</v>
      </c>
      <c r="GY122" s="154">
        <v>450883.37583200808</v>
      </c>
      <c r="GZ122" s="154">
        <v>449195.99665100808</v>
      </c>
      <c r="HA122" s="154">
        <v>447496.85049500811</v>
      </c>
      <c r="HB122" s="154">
        <v>445785.86185400811</v>
      </c>
      <c r="HC122" s="154">
        <v>444062.94263300806</v>
      </c>
      <c r="HD122" s="204">
        <f t="shared" si="293"/>
        <v>0</v>
      </c>
      <c r="HE122" s="205"/>
      <c r="HF122" s="163">
        <v>219923.64730525119</v>
      </c>
      <c r="HG122" s="164">
        <v>214033.04513408185</v>
      </c>
      <c r="HH122" s="154">
        <v>214756.52647354218</v>
      </c>
      <c r="HI122" s="154">
        <v>213411.663508072</v>
      </c>
      <c r="HJ122" s="154">
        <v>213599.7005607794</v>
      </c>
      <c r="HK122" s="154">
        <v>213650.0660209911</v>
      </c>
      <c r="HL122" s="154">
        <v>215632.80336603872</v>
      </c>
      <c r="HM122" s="154">
        <v>217493.94906563972</v>
      </c>
      <c r="HN122" s="154">
        <v>223574.06053049685</v>
      </c>
      <c r="HO122" s="154">
        <v>216915.27422535399</v>
      </c>
      <c r="HP122" s="154">
        <v>210454.64188559513</v>
      </c>
      <c r="HQ122" s="154">
        <v>207312.68500808571</v>
      </c>
      <c r="HR122" s="204">
        <f>+SUBTOTAL(9,HF122:HQ122)</f>
        <v>2580758.0630839276</v>
      </c>
      <c r="HS122" s="205"/>
      <c r="HT122" s="163">
        <v>56749.167251312792</v>
      </c>
      <c r="HU122" s="164">
        <v>55276.516708520467</v>
      </c>
      <c r="HV122" s="154">
        <v>55457.387043385548</v>
      </c>
      <c r="HW122" s="154">
        <v>55121.171302018003</v>
      </c>
      <c r="HX122" s="154">
        <v>55168.180565194845</v>
      </c>
      <c r="HY122" s="154">
        <v>55180.771930247778</v>
      </c>
      <c r="HZ122" s="154">
        <v>55654.558366509678</v>
      </c>
      <c r="IA122" s="154">
        <v>56119.844791409931</v>
      </c>
      <c r="IB122" s="154">
        <v>57639.872657624212</v>
      </c>
      <c r="IC122" s="154">
        <v>55975.176081338497</v>
      </c>
      <c r="ID122" s="154">
        <v>54360.017996398783</v>
      </c>
      <c r="IE122" s="154">
        <v>53574.528777021427</v>
      </c>
      <c r="IF122" s="204">
        <f>+SUBTOTAL(9,HT122:IE122)</f>
        <v>666277.1934709819</v>
      </c>
      <c r="IG122" s="205"/>
      <c r="IH122" s="163">
        <v>163366.51855131279</v>
      </c>
      <c r="II122" s="164">
        <v>161893.86800852045</v>
      </c>
      <c r="IJ122" s="154">
        <v>162074.73834338557</v>
      </c>
      <c r="IK122" s="154">
        <v>161738.52260201803</v>
      </c>
      <c r="IL122" s="154">
        <v>161785.53186519488</v>
      </c>
      <c r="IM122" s="154">
        <v>161798.12323024779</v>
      </c>
      <c r="IN122" s="154">
        <v>162412.60996650971</v>
      </c>
      <c r="IO122" s="154">
        <v>162877.89639140994</v>
      </c>
      <c r="IP122" s="154">
        <v>164397.92425762425</v>
      </c>
      <c r="IQ122" s="154">
        <v>162733.22768133853</v>
      </c>
      <c r="IR122" s="154">
        <v>161118.0695963988</v>
      </c>
      <c r="IS122" s="154">
        <v>160332.58037702143</v>
      </c>
      <c r="IT122" s="204">
        <f>+SUBTOTAL(9,IH122:IS122)</f>
        <v>1946529.6108709821</v>
      </c>
      <c r="IU122" s="205"/>
      <c r="IV122" s="163">
        <v>519823.32925918954</v>
      </c>
      <c r="IW122" s="164">
        <v>509514.77545964328</v>
      </c>
      <c r="IX122" s="154">
        <v>510780.86780369875</v>
      </c>
      <c r="IY122" s="154">
        <v>508427.35761412606</v>
      </c>
      <c r="IZ122" s="154">
        <v>508756.42245636391</v>
      </c>
      <c r="JA122" s="154">
        <v>508844.56201173447</v>
      </c>
      <c r="JB122" s="154">
        <v>512408.23646556778</v>
      </c>
      <c r="JC122" s="154">
        <v>515665.24143986951</v>
      </c>
      <c r="JD122" s="154">
        <v>526305.43650336948</v>
      </c>
      <c r="JE122" s="154">
        <v>514652.56046936952</v>
      </c>
      <c r="JF122" s="154">
        <v>503346.45387479145</v>
      </c>
      <c r="JG122" s="154">
        <v>497848.02933915</v>
      </c>
      <c r="JH122" s="204">
        <f>+SUBTOTAL(9,IV122:JG122)</f>
        <v>6136373.2726968732</v>
      </c>
      <c r="JI122" s="205"/>
      <c r="JJ122" s="163">
        <v>721050.70056444069</v>
      </c>
      <c r="JK122" s="164">
        <v>701861.34859372512</v>
      </c>
      <c r="JL122" s="154">
        <v>704278.81227724103</v>
      </c>
      <c r="JM122" s="154">
        <v>700152.54912219802</v>
      </c>
      <c r="JN122" s="154">
        <v>700669.65101714339</v>
      </c>
      <c r="JO122" s="154">
        <v>700808.15603272559</v>
      </c>
      <c r="JP122" s="154">
        <v>706071.65703160653</v>
      </c>
      <c r="JQ122" s="154">
        <v>713140.48270550917</v>
      </c>
      <c r="JR122" s="154">
        <v>729420.3142338664</v>
      </c>
      <c r="JS122" s="154">
        <v>710756.27189472353</v>
      </c>
      <c r="JT122" s="154">
        <v>692259.60296038655</v>
      </c>
      <c r="JU122" s="154">
        <v>683644.39154723566</v>
      </c>
      <c r="JV122" s="204">
        <f>+SUBTOTAL(9,JJ122:JU122)</f>
        <v>8464113.9379808009</v>
      </c>
      <c r="JW122" s="205"/>
      <c r="JX122" s="163">
        <v>377133.08045656403</v>
      </c>
      <c r="JY122" s="164">
        <v>369728.29724260233</v>
      </c>
      <c r="JZ122" s="154">
        <v>370632.64891692775</v>
      </c>
      <c r="KA122" s="154">
        <v>368951.57021009008</v>
      </c>
      <c r="KB122" s="154">
        <v>369186.61652597424</v>
      </c>
      <c r="KC122" s="154">
        <v>369249.57335123891</v>
      </c>
      <c r="KD122" s="154">
        <v>371703.58013254846</v>
      </c>
      <c r="KE122" s="154">
        <v>374030.01225704968</v>
      </c>
      <c r="KF122" s="154">
        <v>381630.15158812114</v>
      </c>
      <c r="KG122" s="154">
        <v>373130.47870669258</v>
      </c>
      <c r="KH122" s="154">
        <v>365230.87828199397</v>
      </c>
      <c r="KI122" s="154">
        <v>361303.43218510714</v>
      </c>
      <c r="KJ122" s="204">
        <f>+SUBTOTAL(9,JX122:KI122)</f>
        <v>4451910.3198549105</v>
      </c>
      <c r="KK122" s="205"/>
      <c r="KL122" s="163">
        <v>71982.433102625582</v>
      </c>
      <c r="KM122" s="164">
        <v>69037.132017040916</v>
      </c>
      <c r="KN122" s="154">
        <v>69398.872686771079</v>
      </c>
      <c r="KO122" s="154">
        <v>68726.441204035989</v>
      </c>
      <c r="KP122" s="154">
        <v>68820.459730389673</v>
      </c>
      <c r="KQ122" s="154">
        <v>68845.642460495539</v>
      </c>
      <c r="KR122" s="154">
        <v>69757.977333019357</v>
      </c>
      <c r="KS122" s="154">
        <v>70688.550182819847</v>
      </c>
      <c r="KT122" s="154">
        <v>73728.605915248409</v>
      </c>
      <c r="KU122" s="154">
        <v>70398.205962676991</v>
      </c>
      <c r="KV122" s="154">
        <v>67168.896592797537</v>
      </c>
      <c r="KW122" s="154">
        <v>65597.91815404284</v>
      </c>
      <c r="KX122" s="204">
        <f>+SUBTOTAL(9,KL122:KW122)</f>
        <v>834151.13534196385</v>
      </c>
      <c r="KY122" s="205"/>
      <c r="KZ122" s="163">
        <v>59688.268151312797</v>
      </c>
      <c r="LA122" s="164">
        <v>58215.617608520464</v>
      </c>
      <c r="LB122" s="154">
        <v>58396.487943385539</v>
      </c>
      <c r="LC122" s="154">
        <v>58060.272202018001</v>
      </c>
      <c r="LD122" s="154">
        <v>58107.28146519485</v>
      </c>
      <c r="LE122" s="154">
        <v>58119.872830247776</v>
      </c>
      <c r="LF122" s="154">
        <v>58575.788566509676</v>
      </c>
      <c r="LG122" s="154">
        <v>59041.074991409929</v>
      </c>
      <c r="LH122" s="154">
        <v>60561.102857624217</v>
      </c>
      <c r="LI122" s="154">
        <v>58897.413081338498</v>
      </c>
      <c r="LJ122" s="154">
        <v>57281.248196398781</v>
      </c>
      <c r="LK122" s="154">
        <v>56495.758977021425</v>
      </c>
      <c r="LL122" s="204">
        <f>+SUBTOTAL(9,KZ122:LK122)</f>
        <v>701440.18687098206</v>
      </c>
      <c r="LM122" s="205"/>
      <c r="LN122" s="163">
        <v>0</v>
      </c>
      <c r="LO122" s="164">
        <v>0</v>
      </c>
      <c r="LP122" s="154">
        <v>0</v>
      </c>
      <c r="LQ122" s="154">
        <v>0</v>
      </c>
      <c r="LR122" s="154">
        <v>0</v>
      </c>
      <c r="LS122" s="154">
        <v>0</v>
      </c>
      <c r="LT122" s="154">
        <v>0</v>
      </c>
      <c r="LU122" s="154">
        <v>0</v>
      </c>
      <c r="LV122" s="154">
        <v>0</v>
      </c>
      <c r="LW122" s="154">
        <v>0</v>
      </c>
      <c r="LX122" s="154">
        <v>0</v>
      </c>
      <c r="LY122" s="154">
        <v>0</v>
      </c>
      <c r="LZ122" s="204">
        <f>+SUBTOTAL(9,LN122:LY122)</f>
        <v>0</v>
      </c>
      <c r="MA122" s="205"/>
      <c r="MB122" s="157">
        <f t="shared" ref="MB122:MM122" si="480">SUMIF($D$6:$LY$6,MB$3,$D122:$LY122)</f>
        <v>9129816.1068749614</v>
      </c>
      <c r="MC122" s="157">
        <f t="shared" si="480"/>
        <v>8818864.5527492184</v>
      </c>
      <c r="MD122" s="157">
        <f t="shared" si="480"/>
        <v>9453466.4881012384</v>
      </c>
      <c r="ME122" s="157">
        <f t="shared" si="480"/>
        <v>9431665.5945759602</v>
      </c>
      <c r="MF122" s="157">
        <f t="shared" si="480"/>
        <v>9370162.5772609655</v>
      </c>
      <c r="MG122" s="157">
        <f t="shared" si="480"/>
        <v>9370574.9845076427</v>
      </c>
      <c r="MH122" s="157">
        <f t="shared" si="480"/>
        <v>9522649.7847443931</v>
      </c>
      <c r="MI122" s="157">
        <f t="shared" si="480"/>
        <v>9527041.551923234</v>
      </c>
      <c r="MJ122" s="157">
        <f t="shared" si="480"/>
        <v>9772813.9178013783</v>
      </c>
      <c r="MK122" s="157">
        <f t="shared" si="480"/>
        <v>9497047.3931345213</v>
      </c>
      <c r="ML122" s="157">
        <f t="shared" si="480"/>
        <v>9229342.998563407</v>
      </c>
      <c r="MM122" s="157">
        <f t="shared" si="480"/>
        <v>9098850.1873645205</v>
      </c>
      <c r="MN122" s="157">
        <f t="shared" ref="MN122" si="481">SUM(MB122:MM122)</f>
        <v>112222296.13760144</v>
      </c>
    </row>
    <row r="123" spans="1:352" hidden="1" x14ac:dyDescent="0.25">
      <c r="A123" s="98"/>
      <c r="B123" s="64"/>
      <c r="C123" s="98"/>
      <c r="D123" s="153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7"/>
      <c r="Q123" s="161"/>
      <c r="R123" s="153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7"/>
      <c r="AE123" s="161"/>
      <c r="AF123" s="153"/>
      <c r="AG123" s="154"/>
      <c r="AH123" s="154"/>
      <c r="AI123" s="154"/>
      <c r="AJ123" s="154"/>
      <c r="AK123" s="154"/>
      <c r="AL123" s="154"/>
      <c r="AM123" s="154"/>
      <c r="AN123" s="154"/>
      <c r="AO123" s="154"/>
      <c r="AP123" s="154"/>
      <c r="AQ123" s="154"/>
      <c r="AR123" s="157"/>
      <c r="AT123" s="153"/>
      <c r="AU123" s="154"/>
      <c r="AV123" s="154"/>
      <c r="AW123" s="154"/>
      <c r="AX123" s="154"/>
      <c r="AY123" s="154"/>
      <c r="AZ123" s="154"/>
      <c r="BA123" s="154"/>
      <c r="BB123" s="154"/>
      <c r="BC123" s="154"/>
      <c r="BD123" s="154"/>
      <c r="BE123" s="154"/>
      <c r="BF123" s="157"/>
      <c r="BH123" s="153"/>
      <c r="BI123" s="154"/>
      <c r="BJ123" s="154"/>
      <c r="BK123" s="154"/>
      <c r="BL123" s="154"/>
      <c r="BM123" s="154"/>
      <c r="BN123" s="154"/>
      <c r="BO123" s="154"/>
      <c r="BP123" s="154"/>
      <c r="BQ123" s="154"/>
      <c r="BR123" s="154"/>
      <c r="BS123" s="154"/>
      <c r="BT123" s="157"/>
      <c r="BV123" s="153"/>
      <c r="BW123" s="154"/>
      <c r="BX123" s="154"/>
      <c r="BY123" s="154"/>
      <c r="BZ123" s="154"/>
      <c r="CA123" s="154"/>
      <c r="CB123" s="154"/>
      <c r="CC123" s="154"/>
      <c r="CD123" s="154"/>
      <c r="CE123" s="154"/>
      <c r="CF123" s="154"/>
      <c r="CG123" s="154"/>
      <c r="CH123" s="157"/>
      <c r="CI123" s="161"/>
      <c r="CJ123" s="153"/>
      <c r="CK123" s="154"/>
      <c r="CL123" s="154"/>
      <c r="CM123" s="154"/>
      <c r="CN123" s="154"/>
      <c r="CO123" s="154"/>
      <c r="CP123" s="154"/>
      <c r="CQ123" s="154"/>
      <c r="CR123" s="154"/>
      <c r="CS123" s="154"/>
      <c r="CT123" s="154"/>
      <c r="CU123" s="154"/>
      <c r="CV123" s="157"/>
      <c r="CW123" s="161"/>
      <c r="CX123" s="153"/>
      <c r="CY123" s="154"/>
      <c r="CZ123" s="154"/>
      <c r="DA123" s="154"/>
      <c r="DB123" s="154"/>
      <c r="DC123" s="154"/>
      <c r="DD123" s="154"/>
      <c r="DE123" s="154"/>
      <c r="DF123" s="154"/>
      <c r="DG123" s="154"/>
      <c r="DH123" s="154"/>
      <c r="DI123" s="154"/>
      <c r="DJ123" s="157"/>
      <c r="DK123" s="161"/>
      <c r="DL123" s="153"/>
      <c r="DM123" s="154"/>
      <c r="DN123" s="154"/>
      <c r="DO123" s="154"/>
      <c r="DP123" s="154"/>
      <c r="DQ123" s="154"/>
      <c r="DR123" s="154"/>
      <c r="DS123" s="154"/>
      <c r="DT123" s="154"/>
      <c r="DU123" s="154"/>
      <c r="DV123" s="154"/>
      <c r="DW123" s="154"/>
      <c r="DX123" s="157"/>
      <c r="DY123" s="161"/>
      <c r="DZ123" s="153"/>
      <c r="EA123" s="154"/>
      <c r="EB123" s="154"/>
      <c r="EC123" s="154"/>
      <c r="ED123" s="154"/>
      <c r="EE123" s="154"/>
      <c r="EF123" s="154"/>
      <c r="EG123" s="154"/>
      <c r="EH123" s="154"/>
      <c r="EI123" s="154"/>
      <c r="EJ123" s="154"/>
      <c r="EK123" s="154"/>
      <c r="EL123" s="157"/>
      <c r="EM123" s="161"/>
      <c r="EN123" s="153"/>
      <c r="EO123" s="154"/>
      <c r="EP123" s="154"/>
      <c r="EQ123" s="154"/>
      <c r="ER123" s="154"/>
      <c r="ES123" s="154"/>
      <c r="ET123" s="154"/>
      <c r="EU123" s="154"/>
      <c r="EV123" s="154"/>
      <c r="EW123" s="154"/>
      <c r="EX123" s="154"/>
      <c r="EY123" s="154"/>
      <c r="EZ123" s="157"/>
      <c r="FA123" s="161"/>
      <c r="FB123" s="153"/>
      <c r="FC123" s="154"/>
      <c r="FD123" s="154"/>
      <c r="FE123" s="154"/>
      <c r="FF123" s="154"/>
      <c r="FG123" s="154"/>
      <c r="FH123" s="154"/>
      <c r="FI123" s="154"/>
      <c r="FJ123" s="154"/>
      <c r="FK123" s="154"/>
      <c r="FL123" s="154"/>
      <c r="FM123" s="154"/>
      <c r="FN123" s="157"/>
      <c r="FO123" s="161"/>
      <c r="FP123" s="153"/>
      <c r="FQ123" s="154"/>
      <c r="FR123" s="154"/>
      <c r="FS123" s="154"/>
      <c r="FT123" s="154"/>
      <c r="FU123" s="154"/>
      <c r="FV123" s="154"/>
      <c r="FW123" s="154"/>
      <c r="FX123" s="154"/>
      <c r="FY123" s="154"/>
      <c r="FZ123" s="154"/>
      <c r="GA123" s="154"/>
      <c r="GB123" s="157"/>
      <c r="GC123" s="161"/>
      <c r="GD123" s="153"/>
      <c r="GE123" s="154"/>
      <c r="GF123" s="154"/>
      <c r="GG123" s="154"/>
      <c r="GH123" s="154"/>
      <c r="GI123" s="154"/>
      <c r="GJ123" s="154"/>
      <c r="GK123" s="154"/>
      <c r="GL123" s="154"/>
      <c r="GM123" s="154"/>
      <c r="GN123" s="154"/>
      <c r="GO123" s="154"/>
      <c r="GP123" s="157"/>
      <c r="GQ123" s="161"/>
      <c r="GR123" s="153"/>
      <c r="GS123" s="154"/>
      <c r="GT123" s="154"/>
      <c r="GU123" s="154"/>
      <c r="GV123" s="154"/>
      <c r="GW123" s="154"/>
      <c r="GX123" s="154"/>
      <c r="GY123" s="154"/>
      <c r="GZ123" s="154"/>
      <c r="HA123" s="154"/>
      <c r="HB123" s="154"/>
      <c r="HC123" s="154"/>
      <c r="HD123" s="157">
        <f t="shared" si="293"/>
        <v>0</v>
      </c>
      <c r="HE123" s="161"/>
      <c r="HF123" s="153"/>
      <c r="HG123" s="154"/>
      <c r="HH123" s="154"/>
      <c r="HI123" s="154"/>
      <c r="HJ123" s="154"/>
      <c r="HK123" s="154"/>
      <c r="HL123" s="154"/>
      <c r="HM123" s="154"/>
      <c r="HN123" s="154"/>
      <c r="HO123" s="154"/>
      <c r="HP123" s="154"/>
      <c r="HQ123" s="154"/>
      <c r="HR123" s="157"/>
      <c r="HS123" s="161"/>
      <c r="HT123" s="153"/>
      <c r="HU123" s="154"/>
      <c r="HV123" s="154"/>
      <c r="HW123" s="154"/>
      <c r="HX123" s="154"/>
      <c r="HY123" s="154"/>
      <c r="HZ123" s="154"/>
      <c r="IA123" s="154"/>
      <c r="IB123" s="154"/>
      <c r="IC123" s="154"/>
      <c r="ID123" s="154"/>
      <c r="IE123" s="154"/>
      <c r="IF123" s="157"/>
      <c r="IG123" s="161"/>
      <c r="IH123" s="153"/>
      <c r="II123" s="154"/>
      <c r="IJ123" s="154"/>
      <c r="IK123" s="154"/>
      <c r="IL123" s="154"/>
      <c r="IM123" s="154"/>
      <c r="IN123" s="154"/>
      <c r="IO123" s="154"/>
      <c r="IP123" s="154"/>
      <c r="IQ123" s="154"/>
      <c r="IR123" s="154"/>
      <c r="IS123" s="154"/>
      <c r="IT123" s="157"/>
      <c r="IU123" s="161"/>
      <c r="IV123" s="153"/>
      <c r="IW123" s="154"/>
      <c r="IX123" s="154"/>
      <c r="IY123" s="154"/>
      <c r="IZ123" s="154"/>
      <c r="JA123" s="154"/>
      <c r="JB123" s="154"/>
      <c r="JC123" s="154"/>
      <c r="JD123" s="154"/>
      <c r="JE123" s="154"/>
      <c r="JF123" s="154"/>
      <c r="JG123" s="154"/>
      <c r="JH123" s="157"/>
      <c r="JI123" s="161"/>
      <c r="JJ123" s="153"/>
      <c r="JK123" s="154"/>
      <c r="JL123" s="154"/>
      <c r="JM123" s="154"/>
      <c r="JN123" s="154"/>
      <c r="JO123" s="154"/>
      <c r="JP123" s="154"/>
      <c r="JQ123" s="154"/>
      <c r="JR123" s="154"/>
      <c r="JS123" s="154"/>
      <c r="JT123" s="154"/>
      <c r="JU123" s="154"/>
      <c r="JV123" s="157"/>
      <c r="JW123" s="161"/>
      <c r="JX123" s="153"/>
      <c r="JY123" s="154"/>
      <c r="JZ123" s="154"/>
      <c r="KA123" s="154"/>
      <c r="KB123" s="154"/>
      <c r="KC123" s="154"/>
      <c r="KD123" s="154"/>
      <c r="KE123" s="154"/>
      <c r="KF123" s="154"/>
      <c r="KG123" s="154"/>
      <c r="KH123" s="154"/>
      <c r="KI123" s="154"/>
      <c r="KJ123" s="157"/>
      <c r="KK123" s="161"/>
      <c r="KL123" s="153"/>
      <c r="KM123" s="154"/>
      <c r="KN123" s="154"/>
      <c r="KO123" s="154"/>
      <c r="KP123" s="154"/>
      <c r="KQ123" s="154"/>
      <c r="KR123" s="154"/>
      <c r="KS123" s="154"/>
      <c r="KT123" s="154"/>
      <c r="KU123" s="154"/>
      <c r="KV123" s="154"/>
      <c r="KW123" s="154"/>
      <c r="KX123" s="157"/>
      <c r="KY123" s="161"/>
      <c r="KZ123" s="153"/>
      <c r="LA123" s="154"/>
      <c r="LB123" s="154"/>
      <c r="LC123" s="154"/>
      <c r="LD123" s="154"/>
      <c r="LE123" s="154"/>
      <c r="LF123" s="154"/>
      <c r="LG123" s="154"/>
      <c r="LH123" s="154"/>
      <c r="LI123" s="154"/>
      <c r="LJ123" s="154"/>
      <c r="LK123" s="154"/>
      <c r="LL123" s="157"/>
      <c r="LM123" s="161"/>
      <c r="LN123" s="153"/>
      <c r="LO123" s="154"/>
      <c r="LP123" s="154"/>
      <c r="LQ123" s="154"/>
      <c r="LR123" s="154"/>
      <c r="LS123" s="154"/>
      <c r="LT123" s="154"/>
      <c r="LU123" s="154"/>
      <c r="LV123" s="154"/>
      <c r="LW123" s="154"/>
      <c r="LX123" s="154"/>
      <c r="LY123" s="154"/>
      <c r="LZ123" s="157"/>
      <c r="MA123" s="161"/>
      <c r="MB123" s="157"/>
      <c r="MC123" s="157"/>
      <c r="MD123" s="157"/>
      <c r="ME123" s="157"/>
      <c r="MF123" s="157"/>
      <c r="MG123" s="157"/>
      <c r="MH123" s="157"/>
      <c r="MI123" s="157"/>
      <c r="MJ123" s="157"/>
      <c r="MK123" s="157"/>
      <c r="ML123" s="157"/>
      <c r="MM123" s="157"/>
      <c r="MN123" s="157"/>
    </row>
    <row r="124" spans="1:352" s="170" customFormat="1" ht="14.5" hidden="1" thickBot="1" x14ac:dyDescent="0.35">
      <c r="A124" s="186"/>
      <c r="B124" s="166" t="s">
        <v>228</v>
      </c>
      <c r="C124" s="186"/>
      <c r="D124" s="247">
        <f>SUM(D120:D123)</f>
        <v>-3298957.6215942521</v>
      </c>
      <c r="E124" s="248">
        <f t="shared" ref="E124:P124" si="482">SUM(E120:E123)</f>
        <v>-3167949.9854084216</v>
      </c>
      <c r="F124" s="248">
        <f t="shared" si="482"/>
        <v>-3184180.0526285511</v>
      </c>
      <c r="G124" s="248">
        <f t="shared" si="482"/>
        <v>-3154556.6438792683</v>
      </c>
      <c r="H124" s="248">
        <f t="shared" si="482"/>
        <v>-3158609.6193159856</v>
      </c>
      <c r="I124" s="248">
        <f t="shared" si="482"/>
        <v>-3159695.2030887473</v>
      </c>
      <c r="J124" s="248">
        <f t="shared" si="482"/>
        <v>-3200437.9141530246</v>
      </c>
      <c r="K124" s="248">
        <f t="shared" si="482"/>
        <v>-3243172.3440530356</v>
      </c>
      <c r="L124" s="248">
        <f t="shared" si="482"/>
        <v>-3373849.7185518695</v>
      </c>
      <c r="M124" s="248">
        <f t="shared" si="482"/>
        <v>-3230325.3602165361</v>
      </c>
      <c r="N124" s="248">
        <f t="shared" si="482"/>
        <v>-3089463.1935882033</v>
      </c>
      <c r="O124" s="248">
        <f t="shared" si="482"/>
        <v>-3021778.4556166413</v>
      </c>
      <c r="P124" s="249">
        <f t="shared" si="482"/>
        <v>-34314348.317845352</v>
      </c>
      <c r="Q124" s="213"/>
      <c r="R124" s="247">
        <f>SUM(R120:R123)</f>
        <v>-287806.32041319844</v>
      </c>
      <c r="S124" s="248">
        <f t="shared" ref="S124:AD124" si="483">SUM(S120:S123)</f>
        <v>-274671.82218707813</v>
      </c>
      <c r="T124" s="248">
        <f t="shared" si="483"/>
        <v>-276284.99586502259</v>
      </c>
      <c r="U124" s="248">
        <f t="shared" si="483"/>
        <v>-273286.30409785535</v>
      </c>
      <c r="V124" s="248">
        <f t="shared" si="483"/>
        <v>-273705.57741889503</v>
      </c>
      <c r="W124" s="248">
        <f t="shared" si="483"/>
        <v>-273817.87918849103</v>
      </c>
      <c r="X124" s="248">
        <f t="shared" si="483"/>
        <v>-277885.6659606577</v>
      </c>
      <c r="Y124" s="248">
        <f t="shared" si="483"/>
        <v>-282035.53284686577</v>
      </c>
      <c r="Z124" s="248">
        <f t="shared" si="483"/>
        <v>-295592.58710536582</v>
      </c>
      <c r="AA124" s="248">
        <f t="shared" si="483"/>
        <v>-280745.23969136574</v>
      </c>
      <c r="AB124" s="248">
        <f t="shared" si="483"/>
        <v>-266339.72366084857</v>
      </c>
      <c r="AC124" s="248">
        <f t="shared" si="483"/>
        <v>-259333.98369827325</v>
      </c>
      <c r="AD124" s="249">
        <f t="shared" si="483"/>
        <v>-3321505.6321339188</v>
      </c>
      <c r="AE124" s="213"/>
      <c r="AF124" s="247">
        <f>SUM(AF120:AF123)</f>
        <v>-289140.53931319847</v>
      </c>
      <c r="AG124" s="248">
        <f t="shared" ref="AG124:AR124" si="484">SUM(AG120:AG123)</f>
        <v>-276006.04108707811</v>
      </c>
      <c r="AH124" s="248">
        <f t="shared" si="484"/>
        <v>-277619.21476502257</v>
      </c>
      <c r="AI124" s="248">
        <f t="shared" si="484"/>
        <v>-274620.52299785533</v>
      </c>
      <c r="AJ124" s="248">
        <f t="shared" si="484"/>
        <v>-275039.79631889507</v>
      </c>
      <c r="AK124" s="248">
        <f t="shared" si="484"/>
        <v>-275152.09808849107</v>
      </c>
      <c r="AL124" s="248">
        <f t="shared" si="484"/>
        <v>-279219.88486065768</v>
      </c>
      <c r="AM124" s="248">
        <f t="shared" si="484"/>
        <v>-283369.75174686575</v>
      </c>
      <c r="AN124" s="248">
        <f t="shared" si="484"/>
        <v>-296926.8060053658</v>
      </c>
      <c r="AO124" s="248">
        <f t="shared" si="484"/>
        <v>-282079.45859136578</v>
      </c>
      <c r="AP124" s="248">
        <f t="shared" si="484"/>
        <v>-267673.94256084855</v>
      </c>
      <c r="AQ124" s="248">
        <f t="shared" si="484"/>
        <v>-260668.20259827323</v>
      </c>
      <c r="AR124" s="249">
        <f t="shared" si="484"/>
        <v>-3337516.258933919</v>
      </c>
      <c r="AS124" s="161"/>
      <c r="AT124" s="247">
        <f>SUM(AT120:AT123)</f>
        <v>-694240.58867546567</v>
      </c>
      <c r="AU124" s="248">
        <f t="shared" ref="AU124:BF124" si="485">SUM(AU120:AU123)</f>
        <v>-685484.2565247186</v>
      </c>
      <c r="AV124" s="248">
        <f t="shared" si="485"/>
        <v>-686559.70564334828</v>
      </c>
      <c r="AW124" s="248">
        <f t="shared" si="485"/>
        <v>-684560.57779857016</v>
      </c>
      <c r="AX124" s="248">
        <f t="shared" si="485"/>
        <v>-684840.09334592998</v>
      </c>
      <c r="AY124" s="248">
        <f t="shared" si="485"/>
        <v>-684914.96119232732</v>
      </c>
      <c r="AZ124" s="248">
        <f t="shared" si="485"/>
        <v>-688124.93740710511</v>
      </c>
      <c r="BA124" s="248">
        <f t="shared" si="485"/>
        <v>-690891.51533124386</v>
      </c>
      <c r="BB124" s="248">
        <f t="shared" si="485"/>
        <v>-699929.55150357704</v>
      </c>
      <c r="BC124" s="248">
        <f t="shared" si="485"/>
        <v>-690031.31989424385</v>
      </c>
      <c r="BD124" s="248">
        <f t="shared" si="485"/>
        <v>-680427.64254056569</v>
      </c>
      <c r="BE124" s="248">
        <f t="shared" si="485"/>
        <v>-675757.14923218207</v>
      </c>
      <c r="BF124" s="249">
        <f t="shared" si="485"/>
        <v>-8245762.2990892772</v>
      </c>
      <c r="BG124" s="176"/>
      <c r="BH124" s="247">
        <f>SUM(BH120:BH123)</f>
        <v>-3861516.6614659922</v>
      </c>
      <c r="BI124" s="248">
        <f t="shared" ref="BI124:BT124" si="486">SUM(BI120:BI123)</f>
        <v>-3795597.2313353908</v>
      </c>
      <c r="BJ124" s="248">
        <f t="shared" si="486"/>
        <v>-3803663.0997251133</v>
      </c>
      <c r="BK124" s="248">
        <f t="shared" si="486"/>
        <v>-3788669.6408892768</v>
      </c>
      <c r="BL124" s="248">
        <f t="shared" si="486"/>
        <v>-3790766.0074944748</v>
      </c>
      <c r="BM124" s="248">
        <f t="shared" si="486"/>
        <v>-3791327.5163424551</v>
      </c>
      <c r="BN124" s="248">
        <f t="shared" si="486"/>
        <v>-3812856.9955032887</v>
      </c>
      <c r="BO124" s="248">
        <f t="shared" si="486"/>
        <v>-3833606.3299343288</v>
      </c>
      <c r="BP124" s="248">
        <f t="shared" si="486"/>
        <v>-3901391.601226829</v>
      </c>
      <c r="BQ124" s="248">
        <f t="shared" si="486"/>
        <v>-3826107.2441568291</v>
      </c>
      <c r="BR124" s="248">
        <f t="shared" si="486"/>
        <v>-3755127.2840042431</v>
      </c>
      <c r="BS124" s="248">
        <f t="shared" si="486"/>
        <v>-3720098.5841913661</v>
      </c>
      <c r="BT124" s="249">
        <f t="shared" si="486"/>
        <v>-45680728.196269579</v>
      </c>
      <c r="BU124" s="161"/>
      <c r="BV124" s="247">
        <f>SUM(BV120:BV123)</f>
        <v>-678548.35073773284</v>
      </c>
      <c r="BW124" s="248">
        <f t="shared" ref="BW124:CH124" si="487">SUM(BW120:BW123)</f>
        <v>-673047.73466235935</v>
      </c>
      <c r="BX124" s="248">
        <f t="shared" si="487"/>
        <v>-673585.45922167413</v>
      </c>
      <c r="BY124" s="248">
        <f t="shared" si="487"/>
        <v>-672585.89529928507</v>
      </c>
      <c r="BZ124" s="248">
        <f t="shared" si="487"/>
        <v>-672725.65307296498</v>
      </c>
      <c r="CA124" s="248">
        <f t="shared" si="487"/>
        <v>-672763.08699616371</v>
      </c>
      <c r="CB124" s="248">
        <f t="shared" si="487"/>
        <v>-674589.94605355256</v>
      </c>
      <c r="CC124" s="248">
        <f t="shared" si="487"/>
        <v>-677095.68501562194</v>
      </c>
      <c r="CD124" s="248">
        <f t="shared" si="487"/>
        <v>-680492.25310178858</v>
      </c>
      <c r="CE124" s="248">
        <f t="shared" si="487"/>
        <v>-675543.13729712181</v>
      </c>
      <c r="CF124" s="248">
        <f t="shared" si="487"/>
        <v>-670741.29862028291</v>
      </c>
      <c r="CG124" s="248">
        <f t="shared" si="487"/>
        <v>-668406.05196609104</v>
      </c>
      <c r="CH124" s="249">
        <f t="shared" si="487"/>
        <v>-8090124.5520446394</v>
      </c>
      <c r="CI124" s="213"/>
      <c r="CJ124" s="247">
        <f>SUM(CJ120:CJ123)</f>
        <v>-1837844.7706150613</v>
      </c>
      <c r="CK124" s="248">
        <f t="shared" ref="CK124:CV124" si="488">SUM(CK120:CK123)</f>
        <v>-1789684.9437859533</v>
      </c>
      <c r="CL124" s="248">
        <f t="shared" si="488"/>
        <v>-1795599.9139384162</v>
      </c>
      <c r="CM124" s="248">
        <f t="shared" si="488"/>
        <v>-1784604.7107921364</v>
      </c>
      <c r="CN124" s="248">
        <f t="shared" si="488"/>
        <v>-1786142.0463026152</v>
      </c>
      <c r="CO124" s="248">
        <f t="shared" si="488"/>
        <v>-1786553.8194578008</v>
      </c>
      <c r="CP124" s="248">
        <f t="shared" si="488"/>
        <v>-1802019.5369890784</v>
      </c>
      <c r="CQ124" s="248">
        <f t="shared" si="488"/>
        <v>-1817235.7155718417</v>
      </c>
      <c r="CR124" s="248">
        <f t="shared" si="488"/>
        <v>-1866944.9145196746</v>
      </c>
      <c r="CS124" s="248">
        <f t="shared" si="488"/>
        <v>-1812504.6406683414</v>
      </c>
      <c r="CT124" s="248">
        <f t="shared" si="488"/>
        <v>-1759684.4152231116</v>
      </c>
      <c r="CU124" s="248">
        <f t="shared" si="488"/>
        <v>-1733996.7020270019</v>
      </c>
      <c r="CV124" s="249">
        <f t="shared" si="488"/>
        <v>-21572816.129891034</v>
      </c>
      <c r="CW124" s="213"/>
      <c r="CX124" s="247">
        <f>SUM(CX120:CX123)</f>
        <v>-4142355.688456519</v>
      </c>
      <c r="CY124" s="248">
        <f t="shared" ref="CY124:DJ124" si="489">SUM(CY120:CY123)</f>
        <v>-4014042.5433460623</v>
      </c>
      <c r="CZ124" s="248">
        <f t="shared" si="489"/>
        <v>-4029734.8860068768</v>
      </c>
      <c r="DA124" s="248">
        <f t="shared" si="489"/>
        <v>-4001111.0411799834</v>
      </c>
      <c r="DB124" s="248">
        <f t="shared" si="489"/>
        <v>-4005024.2588430201</v>
      </c>
      <c r="DC124" s="248">
        <f t="shared" si="489"/>
        <v>-4006072.4086925834</v>
      </c>
      <c r="DD124" s="248">
        <f t="shared" si="489"/>
        <v>-4046326.9693994722</v>
      </c>
      <c r="DE124" s="248">
        <f t="shared" si="489"/>
        <v>-4089361.7853374141</v>
      </c>
      <c r="DF124" s="248">
        <f t="shared" si="489"/>
        <v>-4213836.4667500816</v>
      </c>
      <c r="DG124" s="248">
        <f t="shared" si="489"/>
        <v>-4075785.034219414</v>
      </c>
      <c r="DH124" s="248">
        <f t="shared" si="489"/>
        <v>-3939200.8962679198</v>
      </c>
      <c r="DI124" s="248">
        <f t="shared" si="489"/>
        <v>-3873851.4049505498</v>
      </c>
      <c r="DJ124" s="249">
        <f t="shared" si="489"/>
        <v>-48436703.383449905</v>
      </c>
      <c r="DK124" s="213"/>
      <c r="DL124" s="247">
        <f>SUM(DL120:DL123)</f>
        <v>-2934051.3018357186</v>
      </c>
      <c r="DM124" s="248">
        <f t="shared" ref="DM124:DX124" si="490">SUM(DM120:DM123)</f>
        <v>-2697638.1221260624</v>
      </c>
      <c r="DN124" s="248">
        <f t="shared" si="490"/>
        <v>-2696869.4811148769</v>
      </c>
      <c r="DO124" s="248">
        <f t="shared" si="490"/>
        <v>-2574497.2952799825</v>
      </c>
      <c r="DP124" s="248">
        <f t="shared" si="490"/>
        <v>-2578410.5129430201</v>
      </c>
      <c r="DQ124" s="248">
        <f t="shared" si="490"/>
        <v>-2579458.662792583</v>
      </c>
      <c r="DR124" s="248">
        <f t="shared" si="490"/>
        <v>-2840318.367178672</v>
      </c>
      <c r="DS124" s="248">
        <f t="shared" si="490"/>
        <v>-2656385.9928374137</v>
      </c>
      <c r="DT124" s="248">
        <f t="shared" si="490"/>
        <v>-2782357.2742500808</v>
      </c>
      <c r="DU124" s="248">
        <f t="shared" si="490"/>
        <v>-2642734.4117194135</v>
      </c>
      <c r="DV124" s="248">
        <f t="shared" si="490"/>
        <v>-2509330.5487679201</v>
      </c>
      <c r="DW124" s="248">
        <f t="shared" si="490"/>
        <v>-2443943.6424505501</v>
      </c>
      <c r="DX124" s="249">
        <f t="shared" si="490"/>
        <v>-31935995.6132963</v>
      </c>
      <c r="DY124" s="213"/>
      <c r="DZ124" s="247">
        <f>SUM(DZ120:DZ123)</f>
        <v>-319302.99013773282</v>
      </c>
      <c r="EA124" s="248">
        <f t="shared" ref="EA124:EL124" si="491">SUM(EA120:EA123)</f>
        <v>-314924.82406235934</v>
      </c>
      <c r="EB124" s="248">
        <f t="shared" si="491"/>
        <v>-315462.54862167418</v>
      </c>
      <c r="EC124" s="248">
        <f t="shared" si="491"/>
        <v>-515351.66256328521</v>
      </c>
      <c r="ED124" s="248">
        <f t="shared" si="491"/>
        <v>-314602.74247296498</v>
      </c>
      <c r="EE124" s="248">
        <f t="shared" si="491"/>
        <v>-314640.17639616365</v>
      </c>
      <c r="EF124" s="248">
        <f t="shared" si="491"/>
        <v>-316247.03525355255</v>
      </c>
      <c r="EG124" s="248">
        <f t="shared" si="491"/>
        <v>-317630.32421562192</v>
      </c>
      <c r="EH124" s="248">
        <f t="shared" si="491"/>
        <v>-322149.34230178857</v>
      </c>
      <c r="EI124" s="248">
        <f t="shared" si="491"/>
        <v>-317200.22649712185</v>
      </c>
      <c r="EJ124" s="248">
        <f t="shared" si="491"/>
        <v>-312398.38782028283</v>
      </c>
      <c r="EK124" s="248">
        <f t="shared" si="491"/>
        <v>-310063.14116609108</v>
      </c>
      <c r="EL124" s="249">
        <f t="shared" si="491"/>
        <v>-3989973.4015086391</v>
      </c>
      <c r="EM124" s="213"/>
      <c r="EN124" s="247">
        <f>SUM(EN120:EN123)</f>
        <v>-472621.81577546563</v>
      </c>
      <c r="EO124" s="248">
        <f t="shared" ref="EO124:EZ124" si="492">SUM(EO120:EO123)</f>
        <v>-463865.48362471868</v>
      </c>
      <c r="EP124" s="248">
        <f t="shared" si="492"/>
        <v>-464940.9327433483</v>
      </c>
      <c r="EQ124" s="248">
        <f t="shared" si="492"/>
        <v>-462941.80489857018</v>
      </c>
      <c r="ER124" s="248">
        <f t="shared" si="492"/>
        <v>-463221.32044593</v>
      </c>
      <c r="ES124" s="248">
        <f t="shared" si="492"/>
        <v>-463296.18829232728</v>
      </c>
      <c r="ET124" s="248">
        <f t="shared" si="492"/>
        <v>-466506.16450710513</v>
      </c>
      <c r="EU124" s="248">
        <f t="shared" si="492"/>
        <v>-469272.74243124382</v>
      </c>
      <c r="EV124" s="248">
        <f t="shared" si="492"/>
        <v>-478310.77860357711</v>
      </c>
      <c r="EW124" s="248">
        <f t="shared" si="492"/>
        <v>-468412.54699424375</v>
      </c>
      <c r="EX124" s="248">
        <f t="shared" si="492"/>
        <v>-458808.86964056559</v>
      </c>
      <c r="EY124" s="248">
        <f t="shared" si="492"/>
        <v>-454138.37633218209</v>
      </c>
      <c r="EZ124" s="249">
        <f t="shared" si="492"/>
        <v>-5586337.0242892783</v>
      </c>
      <c r="FA124" s="213"/>
      <c r="FB124" s="247">
        <f>SUM(FB120:FB123)</f>
        <v>-103332.38563773283</v>
      </c>
      <c r="FC124" s="248">
        <f t="shared" ref="FC124:FN124" si="493">SUM(FC120:FC123)</f>
        <v>-98954.219562359358</v>
      </c>
      <c r="FD124" s="248">
        <f t="shared" si="493"/>
        <v>-99491.944121674183</v>
      </c>
      <c r="FE124" s="248">
        <f t="shared" si="493"/>
        <v>-98492.380199285108</v>
      </c>
      <c r="FF124" s="248">
        <f t="shared" si="493"/>
        <v>-98632.137972965007</v>
      </c>
      <c r="FG124" s="248">
        <f t="shared" si="493"/>
        <v>-98669.571896163689</v>
      </c>
      <c r="FH124" s="248">
        <f t="shared" si="493"/>
        <v>-100052.68905355257</v>
      </c>
      <c r="FI124" s="248">
        <f t="shared" si="493"/>
        <v>-101435.97801562195</v>
      </c>
      <c r="FJ124" s="248">
        <f t="shared" si="493"/>
        <v>-105954.99610178859</v>
      </c>
      <c r="FK124" s="248">
        <f t="shared" si="493"/>
        <v>-101005.88029712194</v>
      </c>
      <c r="FL124" s="248">
        <f t="shared" si="493"/>
        <v>-96204.041620282864</v>
      </c>
      <c r="FM124" s="248">
        <f t="shared" si="493"/>
        <v>-93868.794966091082</v>
      </c>
      <c r="FN124" s="249">
        <f t="shared" si="493"/>
        <v>-1196095.0194446393</v>
      </c>
      <c r="FO124" s="213"/>
      <c r="FP124" s="247">
        <f>SUM(FP120:FP123)</f>
        <v>-1431537.2752641297</v>
      </c>
      <c r="FQ124" s="248">
        <f t="shared" ref="FQ124:GB124" si="494">SUM(FQ120:FQ123)</f>
        <v>-1396972.7622365155</v>
      </c>
      <c r="FR124" s="248">
        <f t="shared" si="494"/>
        <v>-1401372.8891517192</v>
      </c>
      <c r="FS124" s="248">
        <f t="shared" si="494"/>
        <v>-1393739.8866949959</v>
      </c>
      <c r="FT124" s="248">
        <f t="shared" si="494"/>
        <v>-1394718.1911107551</v>
      </c>
      <c r="FU124" s="248">
        <f t="shared" si="494"/>
        <v>-1394980.2285731458</v>
      </c>
      <c r="FV124" s="248">
        <f t="shared" si="494"/>
        <v>-1405938.6484748679</v>
      </c>
      <c r="FW124" s="248">
        <f t="shared" si="494"/>
        <v>-1418240.7212093535</v>
      </c>
      <c r="FX124" s="248">
        <f t="shared" si="494"/>
        <v>-1449499.6978125202</v>
      </c>
      <c r="FY124" s="248">
        <f t="shared" si="494"/>
        <v>-1415379.6971798535</v>
      </c>
      <c r="FZ124" s="248">
        <f t="shared" si="494"/>
        <v>-1379634.1714419799</v>
      </c>
      <c r="GA124" s="248">
        <f t="shared" si="494"/>
        <v>-1363324.8598626375</v>
      </c>
      <c r="GB124" s="249">
        <f t="shared" si="494"/>
        <v>-16845339.029012475</v>
      </c>
      <c r="GC124" s="213"/>
      <c r="GD124" s="247">
        <f>SUM(GD120:GD123)</f>
        <v>-655802.27563773282</v>
      </c>
      <c r="GE124" s="248">
        <f t="shared" ref="GE124:GP124" si="495">SUM(GE120:GE123)</f>
        <v>-655341.46006235934</v>
      </c>
      <c r="GF124" s="248">
        <f t="shared" si="495"/>
        <v>-655243.12962167419</v>
      </c>
      <c r="GG124" s="248">
        <f t="shared" si="495"/>
        <v>-654879.62069928506</v>
      </c>
      <c r="GH124" s="248">
        <f t="shared" si="495"/>
        <v>-655019.37847296498</v>
      </c>
      <c r="GI124" s="248">
        <f t="shared" si="495"/>
        <v>-655056.8123961637</v>
      </c>
      <c r="GJ124" s="248">
        <f t="shared" si="495"/>
        <v>-656200.47355355253</v>
      </c>
      <c r="GK124" s="248">
        <f t="shared" si="495"/>
        <v>-654964.71251562191</v>
      </c>
      <c r="GL124" s="248">
        <f t="shared" si="495"/>
        <v>-659857.88060178864</v>
      </c>
      <c r="GM124" s="248">
        <f t="shared" si="495"/>
        <v>-654384.95479712193</v>
      </c>
      <c r="GN124" s="248">
        <f t="shared" si="495"/>
        <v>-651715.77112028282</v>
      </c>
      <c r="GO124" s="248">
        <f t="shared" si="495"/>
        <v>-649343.10946609103</v>
      </c>
      <c r="GP124" s="249">
        <f t="shared" si="495"/>
        <v>-7857809.5789446393</v>
      </c>
      <c r="GQ124" s="213"/>
      <c r="GR124" s="247">
        <f>SUM(GR120:GR123)</f>
        <v>374257.41973189724</v>
      </c>
      <c r="GS124" s="248">
        <f t="shared" ref="GS124:HC124" si="496">SUM(GS120:GS123)</f>
        <v>446719.58152489725</v>
      </c>
      <c r="GT124" s="248">
        <f t="shared" si="496"/>
        <v>-1365035.5160420984</v>
      </c>
      <c r="GU124" s="248">
        <f t="shared" si="496"/>
        <v>-1360190.2361270986</v>
      </c>
      <c r="GV124" s="248">
        <f t="shared" si="496"/>
        <v>-1355311.1704670985</v>
      </c>
      <c r="GW124" s="248">
        <f t="shared" si="496"/>
        <v>-1350398.0870890985</v>
      </c>
      <c r="GX124" s="248">
        <f t="shared" si="496"/>
        <v>-1345450.7540200986</v>
      </c>
      <c r="GY124" s="248">
        <f t="shared" si="496"/>
        <v>-1340468.9318040987</v>
      </c>
      <c r="GZ124" s="248">
        <f t="shared" si="496"/>
        <v>-1335452.3809850984</v>
      </c>
      <c r="HA124" s="248">
        <f t="shared" si="496"/>
        <v>-1330400.8471410987</v>
      </c>
      <c r="HB124" s="248">
        <f t="shared" si="496"/>
        <v>-1325314.1057820986</v>
      </c>
      <c r="HC124" s="248">
        <f t="shared" si="496"/>
        <v>-1320191.8950030983</v>
      </c>
      <c r="HD124" s="249">
        <f t="shared" si="293"/>
        <v>0</v>
      </c>
      <c r="HE124" s="213"/>
      <c r="HF124" s="247">
        <f>SUM(HF120:HF123)</f>
        <v>-653829.42105093133</v>
      </c>
      <c r="HG124" s="248">
        <f t="shared" ref="HG124:HR124" si="497">SUM(HG120:HG123)</f>
        <v>-636316.75674943754</v>
      </c>
      <c r="HH124" s="248">
        <f t="shared" si="497"/>
        <v>-638467.65498669678</v>
      </c>
      <c r="HI124" s="248">
        <f t="shared" si="497"/>
        <v>-634469.39929714042</v>
      </c>
      <c r="HJ124" s="248">
        <f t="shared" si="497"/>
        <v>-635028.43039186008</v>
      </c>
      <c r="HK124" s="248">
        <f t="shared" si="497"/>
        <v>-635178.16608465486</v>
      </c>
      <c r="HL124" s="248">
        <f t="shared" si="497"/>
        <v>-641072.81191421032</v>
      </c>
      <c r="HM124" s="248">
        <f t="shared" si="497"/>
        <v>-646605.96776248771</v>
      </c>
      <c r="HN124" s="248">
        <f t="shared" si="497"/>
        <v>-664682.0401071544</v>
      </c>
      <c r="HO124" s="248">
        <f t="shared" si="497"/>
        <v>-644885.57688848779</v>
      </c>
      <c r="HP124" s="248">
        <f t="shared" si="497"/>
        <v>-625678.22218113148</v>
      </c>
      <c r="HQ124" s="248">
        <f t="shared" si="497"/>
        <v>-616337.23556436435</v>
      </c>
      <c r="HR124" s="249">
        <f t="shared" si="497"/>
        <v>-7672551.6829785556</v>
      </c>
      <c r="HS124" s="213"/>
      <c r="HT124" s="247">
        <f>SUM(HT120:HT123)</f>
        <v>-168714.34983773285</v>
      </c>
      <c r="HU124" s="248">
        <f t="shared" ref="HU124:IF124" si="498">SUM(HU120:HU123)</f>
        <v>-164336.18376235937</v>
      </c>
      <c r="HV124" s="248">
        <f t="shared" si="498"/>
        <v>-164873.90832167421</v>
      </c>
      <c r="HW124" s="248">
        <f t="shared" si="498"/>
        <v>-163874.3443992851</v>
      </c>
      <c r="HX124" s="248">
        <f t="shared" si="498"/>
        <v>-164014.10217296504</v>
      </c>
      <c r="HY124" s="248">
        <f t="shared" si="498"/>
        <v>-164051.53609616371</v>
      </c>
      <c r="HZ124" s="248">
        <f t="shared" si="498"/>
        <v>-165460.09545355258</v>
      </c>
      <c r="IA124" s="248">
        <f t="shared" si="498"/>
        <v>-166843.38441562193</v>
      </c>
      <c r="IB124" s="248">
        <f t="shared" si="498"/>
        <v>-171362.4025017886</v>
      </c>
      <c r="IC124" s="248">
        <f t="shared" si="498"/>
        <v>-166413.28669712195</v>
      </c>
      <c r="ID124" s="248">
        <f t="shared" si="498"/>
        <v>-161611.44802028287</v>
      </c>
      <c r="IE124" s="248">
        <f t="shared" si="498"/>
        <v>-159276.20136609109</v>
      </c>
      <c r="IF124" s="249">
        <f t="shared" si="498"/>
        <v>-1980831.243044639</v>
      </c>
      <c r="IG124" s="213"/>
      <c r="IH124" s="247">
        <f>SUM(IH120:IH123)</f>
        <v>-485685.99853773281</v>
      </c>
      <c r="II124" s="248">
        <f t="shared" ref="II124:IT124" si="499">SUM(II120:II123)</f>
        <v>-481307.83246235934</v>
      </c>
      <c r="IJ124" s="248">
        <f t="shared" si="499"/>
        <v>-481845.55702167418</v>
      </c>
      <c r="IK124" s="248">
        <f t="shared" si="499"/>
        <v>-480845.99309928512</v>
      </c>
      <c r="IL124" s="248">
        <f t="shared" si="499"/>
        <v>-480985.75087296497</v>
      </c>
      <c r="IM124" s="248">
        <f t="shared" si="499"/>
        <v>-481023.1847961637</v>
      </c>
      <c r="IN124" s="248">
        <f t="shared" si="499"/>
        <v>-482850.04385355255</v>
      </c>
      <c r="IO124" s="248">
        <f t="shared" si="499"/>
        <v>-484233.33281562198</v>
      </c>
      <c r="IP124" s="248">
        <f t="shared" si="499"/>
        <v>-488752.35090178862</v>
      </c>
      <c r="IQ124" s="248">
        <f t="shared" si="499"/>
        <v>-483803.23509712191</v>
      </c>
      <c r="IR124" s="248">
        <f t="shared" si="499"/>
        <v>-479001.39642028284</v>
      </c>
      <c r="IS124" s="248">
        <f t="shared" si="499"/>
        <v>-476666.14976609102</v>
      </c>
      <c r="IT124" s="249">
        <f t="shared" si="499"/>
        <v>-5787000.8256446403</v>
      </c>
      <c r="IU124" s="213"/>
      <c r="IV124" s="247">
        <f>SUM(IV120:IV123)</f>
        <v>-1545426.2903641297</v>
      </c>
      <c r="IW124" s="248">
        <f t="shared" ref="IW124:JH124" si="500">SUM(IW120:IW123)</f>
        <v>-1514779.1278365157</v>
      </c>
      <c r="IX124" s="248">
        <f t="shared" si="500"/>
        <v>-1518543.1997517194</v>
      </c>
      <c r="IY124" s="248">
        <f t="shared" si="500"/>
        <v>-1511546.2522949958</v>
      </c>
      <c r="IZ124" s="248">
        <f t="shared" si="500"/>
        <v>-1512524.556710755</v>
      </c>
      <c r="JA124" s="248">
        <f t="shared" si="500"/>
        <v>-1512786.5941731459</v>
      </c>
      <c r="JB124" s="248">
        <f t="shared" si="500"/>
        <v>-1523381.3402748681</v>
      </c>
      <c r="JC124" s="248">
        <f t="shared" si="500"/>
        <v>-1533064.3630093536</v>
      </c>
      <c r="JD124" s="248">
        <f t="shared" si="500"/>
        <v>-1564697.4896125202</v>
      </c>
      <c r="JE124" s="248">
        <f t="shared" si="500"/>
        <v>-1530053.6789798536</v>
      </c>
      <c r="JF124" s="248">
        <f t="shared" si="500"/>
        <v>-1496440.8082419799</v>
      </c>
      <c r="JG124" s="248">
        <f t="shared" si="500"/>
        <v>-1480094.0816626374</v>
      </c>
      <c r="JH124" s="249">
        <f t="shared" si="500"/>
        <v>-18243337.78291247</v>
      </c>
      <c r="JI124" s="213"/>
      <c r="JJ124" s="247">
        <f>SUM(JJ120:JJ123)</f>
        <v>-2143671.9874150609</v>
      </c>
      <c r="JK124" s="248">
        <f t="shared" ref="JK124:JV124" si="501">SUM(JK120:JK123)</f>
        <v>-2086622.3565859532</v>
      </c>
      <c r="JL124" s="248">
        <f t="shared" si="501"/>
        <v>-2093809.4367384161</v>
      </c>
      <c r="JM124" s="248">
        <f t="shared" si="501"/>
        <v>-2081542.1235921364</v>
      </c>
      <c r="JN124" s="248">
        <f t="shared" si="501"/>
        <v>-2083079.4591026152</v>
      </c>
      <c r="JO124" s="248">
        <f t="shared" si="501"/>
        <v>-2083491.2322578006</v>
      </c>
      <c r="JP124" s="248">
        <f t="shared" si="501"/>
        <v>-2099139.5349890785</v>
      </c>
      <c r="JQ124" s="248">
        <f t="shared" si="501"/>
        <v>-2120155.0385718411</v>
      </c>
      <c r="JR124" s="248">
        <f t="shared" si="501"/>
        <v>-2168554.7125196746</v>
      </c>
      <c r="JS124" s="248">
        <f t="shared" si="501"/>
        <v>-2113066.8186683413</v>
      </c>
      <c r="JT124" s="248">
        <f t="shared" si="501"/>
        <v>-2058076.5232231116</v>
      </c>
      <c r="JU124" s="248">
        <f t="shared" si="501"/>
        <v>-2032463.640027002</v>
      </c>
      <c r="JV124" s="249">
        <f t="shared" si="501"/>
        <v>-25163672.863691024</v>
      </c>
      <c r="JW124" s="213"/>
      <c r="JX124" s="247">
        <f>SUM(JX120:JX123)</f>
        <v>-1121210.5049886643</v>
      </c>
      <c r="JY124" s="248">
        <f t="shared" ref="JY124:KJ124" si="502">SUM(JY120:JY123)</f>
        <v>-1099196.205111797</v>
      </c>
      <c r="JZ124" s="248">
        <f t="shared" si="502"/>
        <v>-1101884.8279083711</v>
      </c>
      <c r="KA124" s="248">
        <f t="shared" si="502"/>
        <v>-1096887.0082964257</v>
      </c>
      <c r="KB124" s="248">
        <f t="shared" si="502"/>
        <v>-1097585.7971648253</v>
      </c>
      <c r="KC124" s="248">
        <f t="shared" si="502"/>
        <v>-1097772.9667808185</v>
      </c>
      <c r="KD124" s="248">
        <f t="shared" si="502"/>
        <v>-1105068.688967763</v>
      </c>
      <c r="KE124" s="248">
        <f t="shared" si="502"/>
        <v>-1111985.1337781097</v>
      </c>
      <c r="KF124" s="248">
        <f t="shared" si="502"/>
        <v>-1134580.2242089431</v>
      </c>
      <c r="KG124" s="248">
        <f t="shared" si="502"/>
        <v>-1109310.8351856098</v>
      </c>
      <c r="KH124" s="248">
        <f t="shared" si="502"/>
        <v>-1085825.4518014144</v>
      </c>
      <c r="KI124" s="248">
        <f t="shared" si="502"/>
        <v>-1074149.2185304554</v>
      </c>
      <c r="KJ124" s="249">
        <f t="shared" si="502"/>
        <v>-13235456.862723198</v>
      </c>
      <c r="KK124" s="213"/>
      <c r="KL124" s="247">
        <f>SUM(KL120:KL123)</f>
        <v>-214002.60107546567</v>
      </c>
      <c r="KM124" s="248">
        <f t="shared" ref="KM124:KX124" si="503">SUM(KM120:KM123)</f>
        <v>-205246.26892471872</v>
      </c>
      <c r="KN124" s="248">
        <f t="shared" si="503"/>
        <v>-206321.71804334834</v>
      </c>
      <c r="KO124" s="248">
        <f t="shared" si="503"/>
        <v>-204322.59019857022</v>
      </c>
      <c r="KP124" s="248">
        <f t="shared" si="503"/>
        <v>-204602.10574593002</v>
      </c>
      <c r="KQ124" s="248">
        <f t="shared" si="503"/>
        <v>-204676.97359232738</v>
      </c>
      <c r="KR124" s="248">
        <f t="shared" si="503"/>
        <v>-207389.33030710515</v>
      </c>
      <c r="KS124" s="248">
        <f t="shared" si="503"/>
        <v>-210155.9082312439</v>
      </c>
      <c r="KT124" s="248">
        <f t="shared" si="503"/>
        <v>-219193.94440357719</v>
      </c>
      <c r="KU124" s="248">
        <f t="shared" si="503"/>
        <v>-209292.71959424388</v>
      </c>
      <c r="KV124" s="248">
        <f t="shared" si="503"/>
        <v>-199692.03544056573</v>
      </c>
      <c r="KW124" s="248">
        <f t="shared" si="503"/>
        <v>-195021.54213218216</v>
      </c>
      <c r="KX124" s="249">
        <f t="shared" si="503"/>
        <v>-2479917.7376892786</v>
      </c>
      <c r="KY124" s="213"/>
      <c r="KZ124" s="247">
        <f>SUM(KZ120:KZ123)</f>
        <v>-177452.24893773283</v>
      </c>
      <c r="LA124" s="248">
        <f t="shared" ref="LA124:LL124" si="504">SUM(LA120:LA123)</f>
        <v>-173074.08286235938</v>
      </c>
      <c r="LB124" s="248">
        <f t="shared" si="504"/>
        <v>-173611.8074216742</v>
      </c>
      <c r="LC124" s="248">
        <f t="shared" si="504"/>
        <v>-172612.2434992851</v>
      </c>
      <c r="LD124" s="248">
        <f t="shared" si="504"/>
        <v>-172752.00127296502</v>
      </c>
      <c r="LE124" s="248">
        <f t="shared" si="504"/>
        <v>-172789.43519616371</v>
      </c>
      <c r="LF124" s="248">
        <f t="shared" si="504"/>
        <v>-174144.86525355259</v>
      </c>
      <c r="LG124" s="248">
        <f t="shared" si="504"/>
        <v>-175528.15421562194</v>
      </c>
      <c r="LH124" s="248">
        <f t="shared" si="504"/>
        <v>-180047.17230178861</v>
      </c>
      <c r="LI124" s="248">
        <f t="shared" si="504"/>
        <v>-175101.04969712195</v>
      </c>
      <c r="LJ124" s="248">
        <f t="shared" si="504"/>
        <v>-170296.21782028288</v>
      </c>
      <c r="LK124" s="248">
        <f t="shared" si="504"/>
        <v>-167960.9711660911</v>
      </c>
      <c r="LL124" s="249">
        <f t="shared" si="504"/>
        <v>-2085370.249644639</v>
      </c>
      <c r="LM124" s="213"/>
      <c r="LN124" s="247">
        <f>SUM(LN120:LN123)</f>
        <v>0</v>
      </c>
      <c r="LO124" s="248">
        <f t="shared" ref="LO124:LZ124" si="505">SUM(LO120:LO123)</f>
        <v>0</v>
      </c>
      <c r="LP124" s="248">
        <f t="shared" si="505"/>
        <v>0</v>
      </c>
      <c r="LQ124" s="248">
        <f t="shared" si="505"/>
        <v>0</v>
      </c>
      <c r="LR124" s="248">
        <f t="shared" si="505"/>
        <v>0</v>
      </c>
      <c r="LS124" s="248">
        <f t="shared" si="505"/>
        <v>0</v>
      </c>
      <c r="LT124" s="248">
        <f t="shared" si="505"/>
        <v>0</v>
      </c>
      <c r="LU124" s="248">
        <f t="shared" si="505"/>
        <v>0</v>
      </c>
      <c r="LV124" s="248">
        <f t="shared" si="505"/>
        <v>0</v>
      </c>
      <c r="LW124" s="248">
        <f t="shared" si="505"/>
        <v>0</v>
      </c>
      <c r="LX124" s="248">
        <f t="shared" si="505"/>
        <v>0</v>
      </c>
      <c r="LY124" s="248">
        <f t="shared" si="505"/>
        <v>0</v>
      </c>
      <c r="LZ124" s="249">
        <f t="shared" si="505"/>
        <v>0</v>
      </c>
      <c r="MA124" s="213"/>
      <c r="MB124" s="249">
        <f t="shared" ref="MB124:MN124" si="506">SUM(MB120:MB123)</f>
        <v>-27142794.568035487</v>
      </c>
      <c r="MC124" s="249">
        <f t="shared" si="506"/>
        <v>-26218340.662782043</v>
      </c>
      <c r="MD124" s="249">
        <f t="shared" si="506"/>
        <v>-28105001.879404664</v>
      </c>
      <c r="ME124" s="249">
        <f t="shared" si="506"/>
        <v>-28040188.178073857</v>
      </c>
      <c r="MF124" s="249">
        <f t="shared" si="506"/>
        <v>-27857340.709433354</v>
      </c>
      <c r="MG124" s="249">
        <f t="shared" si="506"/>
        <v>-27858566.789459944</v>
      </c>
      <c r="MH124" s="249">
        <f t="shared" si="506"/>
        <v>-28310682.693381917</v>
      </c>
      <c r="MI124" s="249">
        <f t="shared" si="506"/>
        <v>-28323739.345666099</v>
      </c>
      <c r="MJ124" s="249">
        <f t="shared" si="506"/>
        <v>-29054416.585978426</v>
      </c>
      <c r="MK124" s="249">
        <f t="shared" si="506"/>
        <v>-28234567.200169094</v>
      </c>
      <c r="ML124" s="249">
        <f t="shared" si="506"/>
        <v>-27438686.395808481</v>
      </c>
      <c r="MM124" s="249">
        <f t="shared" si="506"/>
        <v>-27050733.393742032</v>
      </c>
      <c r="MN124" s="249">
        <f t="shared" si="506"/>
        <v>-333635058.40193552</v>
      </c>
    </row>
    <row r="125" spans="1:352" hidden="1" x14ac:dyDescent="0.25">
      <c r="A125" s="98"/>
      <c r="B125" s="64"/>
      <c r="C125" s="98"/>
      <c r="D125" s="153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7"/>
      <c r="Q125" s="161"/>
      <c r="R125" s="153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7"/>
      <c r="AE125" s="161"/>
      <c r="AF125" s="153"/>
      <c r="AG125" s="154"/>
      <c r="AH125" s="154"/>
      <c r="AI125" s="154"/>
      <c r="AJ125" s="154"/>
      <c r="AK125" s="154"/>
      <c r="AL125" s="154"/>
      <c r="AM125" s="154"/>
      <c r="AN125" s="154"/>
      <c r="AO125" s="154"/>
      <c r="AP125" s="154"/>
      <c r="AQ125" s="154"/>
      <c r="AR125" s="157"/>
      <c r="AT125" s="153"/>
      <c r="AU125" s="154"/>
      <c r="AV125" s="154"/>
      <c r="AW125" s="154"/>
      <c r="AX125" s="154"/>
      <c r="AY125" s="154"/>
      <c r="AZ125" s="154"/>
      <c r="BA125" s="154"/>
      <c r="BB125" s="154"/>
      <c r="BC125" s="154"/>
      <c r="BD125" s="154"/>
      <c r="BE125" s="154"/>
      <c r="BF125" s="157"/>
      <c r="BH125" s="153"/>
      <c r="BI125" s="154"/>
      <c r="BJ125" s="154"/>
      <c r="BK125" s="154"/>
      <c r="BL125" s="154"/>
      <c r="BM125" s="154"/>
      <c r="BN125" s="154"/>
      <c r="BO125" s="154"/>
      <c r="BP125" s="154"/>
      <c r="BQ125" s="154"/>
      <c r="BR125" s="154"/>
      <c r="BS125" s="154"/>
      <c r="BT125" s="157"/>
      <c r="BV125" s="153"/>
      <c r="BW125" s="154"/>
      <c r="BX125" s="154"/>
      <c r="BY125" s="154"/>
      <c r="BZ125" s="154"/>
      <c r="CA125" s="154"/>
      <c r="CB125" s="154"/>
      <c r="CC125" s="154"/>
      <c r="CD125" s="154"/>
      <c r="CE125" s="154"/>
      <c r="CF125" s="154"/>
      <c r="CG125" s="154"/>
      <c r="CH125" s="157"/>
      <c r="CI125" s="161"/>
      <c r="CJ125" s="153"/>
      <c r="CK125" s="154"/>
      <c r="CL125" s="154"/>
      <c r="CM125" s="154"/>
      <c r="CN125" s="154"/>
      <c r="CO125" s="154"/>
      <c r="CP125" s="154"/>
      <c r="CQ125" s="154"/>
      <c r="CR125" s="154"/>
      <c r="CS125" s="154"/>
      <c r="CT125" s="154"/>
      <c r="CU125" s="154"/>
      <c r="CV125" s="157"/>
      <c r="CW125" s="161"/>
      <c r="CX125" s="153"/>
      <c r="CY125" s="154"/>
      <c r="CZ125" s="154"/>
      <c r="DA125" s="154"/>
      <c r="DB125" s="154"/>
      <c r="DC125" s="154"/>
      <c r="DD125" s="154"/>
      <c r="DE125" s="154"/>
      <c r="DF125" s="154"/>
      <c r="DG125" s="154"/>
      <c r="DH125" s="154"/>
      <c r="DI125" s="154"/>
      <c r="DJ125" s="157"/>
      <c r="DK125" s="161"/>
      <c r="DL125" s="153"/>
      <c r="DM125" s="154"/>
      <c r="DN125" s="154"/>
      <c r="DO125" s="154"/>
      <c r="DP125" s="154"/>
      <c r="DQ125" s="154"/>
      <c r="DR125" s="154"/>
      <c r="DS125" s="154"/>
      <c r="DT125" s="154"/>
      <c r="DU125" s="154"/>
      <c r="DV125" s="154"/>
      <c r="DW125" s="154"/>
      <c r="DX125" s="157"/>
      <c r="DY125" s="161"/>
      <c r="DZ125" s="153"/>
      <c r="EA125" s="154"/>
      <c r="EB125" s="154"/>
      <c r="EC125" s="154"/>
      <c r="ED125" s="154"/>
      <c r="EE125" s="154"/>
      <c r="EF125" s="154"/>
      <c r="EG125" s="154"/>
      <c r="EH125" s="154"/>
      <c r="EI125" s="154"/>
      <c r="EJ125" s="154"/>
      <c r="EK125" s="154"/>
      <c r="EL125" s="157"/>
      <c r="EM125" s="161"/>
      <c r="EN125" s="153"/>
      <c r="EO125" s="154"/>
      <c r="EP125" s="154"/>
      <c r="EQ125" s="154"/>
      <c r="ER125" s="154"/>
      <c r="ES125" s="154"/>
      <c r="ET125" s="154"/>
      <c r="EU125" s="154"/>
      <c r="EV125" s="154"/>
      <c r="EW125" s="154"/>
      <c r="EX125" s="154"/>
      <c r="EY125" s="154"/>
      <c r="EZ125" s="157"/>
      <c r="FA125" s="161"/>
      <c r="FB125" s="153"/>
      <c r="FC125" s="154"/>
      <c r="FD125" s="154"/>
      <c r="FE125" s="154"/>
      <c r="FF125" s="154"/>
      <c r="FG125" s="154"/>
      <c r="FH125" s="154"/>
      <c r="FI125" s="154"/>
      <c r="FJ125" s="154"/>
      <c r="FK125" s="154"/>
      <c r="FL125" s="154"/>
      <c r="FM125" s="154"/>
      <c r="FN125" s="157"/>
      <c r="FO125" s="161"/>
      <c r="FP125" s="153"/>
      <c r="FQ125" s="154"/>
      <c r="FR125" s="154"/>
      <c r="FS125" s="154"/>
      <c r="FT125" s="154"/>
      <c r="FU125" s="154"/>
      <c r="FV125" s="154"/>
      <c r="FW125" s="154"/>
      <c r="FX125" s="154"/>
      <c r="FY125" s="154"/>
      <c r="FZ125" s="154"/>
      <c r="GA125" s="154"/>
      <c r="GB125" s="157"/>
      <c r="GC125" s="161"/>
      <c r="GD125" s="153"/>
      <c r="GE125" s="154"/>
      <c r="GF125" s="154"/>
      <c r="GG125" s="154"/>
      <c r="GH125" s="154"/>
      <c r="GI125" s="154"/>
      <c r="GJ125" s="154"/>
      <c r="GK125" s="154"/>
      <c r="GL125" s="154"/>
      <c r="GM125" s="154"/>
      <c r="GN125" s="154"/>
      <c r="GO125" s="154"/>
      <c r="GP125" s="157"/>
      <c r="GQ125" s="161"/>
      <c r="GR125" s="153"/>
      <c r="GS125" s="154"/>
      <c r="GT125" s="154"/>
      <c r="GU125" s="154"/>
      <c r="GV125" s="154"/>
      <c r="GW125" s="154"/>
      <c r="GX125" s="154"/>
      <c r="GY125" s="154"/>
      <c r="GZ125" s="154"/>
      <c r="HA125" s="154"/>
      <c r="HB125" s="154"/>
      <c r="HC125" s="154"/>
      <c r="HD125" s="157">
        <f t="shared" si="293"/>
        <v>0</v>
      </c>
      <c r="HE125" s="161"/>
      <c r="HF125" s="153"/>
      <c r="HG125" s="154"/>
      <c r="HH125" s="154"/>
      <c r="HI125" s="154"/>
      <c r="HJ125" s="154"/>
      <c r="HK125" s="154"/>
      <c r="HL125" s="154"/>
      <c r="HM125" s="154"/>
      <c r="HN125" s="154"/>
      <c r="HO125" s="154"/>
      <c r="HP125" s="154"/>
      <c r="HQ125" s="154"/>
      <c r="HR125" s="157"/>
      <c r="HS125" s="161"/>
      <c r="HT125" s="153"/>
      <c r="HU125" s="154"/>
      <c r="HV125" s="154"/>
      <c r="HW125" s="154"/>
      <c r="HX125" s="154"/>
      <c r="HY125" s="154"/>
      <c r="HZ125" s="154"/>
      <c r="IA125" s="154"/>
      <c r="IB125" s="154"/>
      <c r="IC125" s="154"/>
      <c r="ID125" s="154"/>
      <c r="IE125" s="154"/>
      <c r="IF125" s="157"/>
      <c r="IG125" s="161"/>
      <c r="IH125" s="153"/>
      <c r="II125" s="154"/>
      <c r="IJ125" s="154"/>
      <c r="IK125" s="154"/>
      <c r="IL125" s="154"/>
      <c r="IM125" s="154"/>
      <c r="IN125" s="154"/>
      <c r="IO125" s="154"/>
      <c r="IP125" s="154"/>
      <c r="IQ125" s="154"/>
      <c r="IR125" s="154"/>
      <c r="IS125" s="154"/>
      <c r="IT125" s="157"/>
      <c r="IU125" s="161"/>
      <c r="IV125" s="153"/>
      <c r="IW125" s="154"/>
      <c r="IX125" s="154"/>
      <c r="IY125" s="154"/>
      <c r="IZ125" s="154"/>
      <c r="JA125" s="154"/>
      <c r="JB125" s="154"/>
      <c r="JC125" s="154"/>
      <c r="JD125" s="154"/>
      <c r="JE125" s="154"/>
      <c r="JF125" s="154"/>
      <c r="JG125" s="154"/>
      <c r="JH125" s="157"/>
      <c r="JI125" s="161"/>
      <c r="JJ125" s="153"/>
      <c r="JK125" s="154"/>
      <c r="JL125" s="154"/>
      <c r="JM125" s="154"/>
      <c r="JN125" s="154"/>
      <c r="JO125" s="154"/>
      <c r="JP125" s="154"/>
      <c r="JQ125" s="154"/>
      <c r="JR125" s="154"/>
      <c r="JS125" s="154"/>
      <c r="JT125" s="154"/>
      <c r="JU125" s="154"/>
      <c r="JV125" s="157"/>
      <c r="JW125" s="161"/>
      <c r="JX125" s="153"/>
      <c r="JY125" s="154"/>
      <c r="JZ125" s="154"/>
      <c r="KA125" s="154"/>
      <c r="KB125" s="154"/>
      <c r="KC125" s="154"/>
      <c r="KD125" s="154"/>
      <c r="KE125" s="154"/>
      <c r="KF125" s="154"/>
      <c r="KG125" s="154"/>
      <c r="KH125" s="154"/>
      <c r="KI125" s="154"/>
      <c r="KJ125" s="157"/>
      <c r="KK125" s="161"/>
      <c r="KL125" s="153"/>
      <c r="KM125" s="154"/>
      <c r="KN125" s="154"/>
      <c r="KO125" s="154"/>
      <c r="KP125" s="154"/>
      <c r="KQ125" s="154"/>
      <c r="KR125" s="154"/>
      <c r="KS125" s="154"/>
      <c r="KT125" s="154"/>
      <c r="KU125" s="154"/>
      <c r="KV125" s="154"/>
      <c r="KW125" s="154"/>
      <c r="KX125" s="157"/>
      <c r="KY125" s="161"/>
      <c r="KZ125" s="153"/>
      <c r="LA125" s="154"/>
      <c r="LB125" s="154"/>
      <c r="LC125" s="154"/>
      <c r="LD125" s="154"/>
      <c r="LE125" s="154"/>
      <c r="LF125" s="154"/>
      <c r="LG125" s="154"/>
      <c r="LH125" s="154"/>
      <c r="LI125" s="154"/>
      <c r="LJ125" s="154"/>
      <c r="LK125" s="154"/>
      <c r="LL125" s="157"/>
      <c r="LM125" s="161"/>
      <c r="LN125" s="153"/>
      <c r="LO125" s="154"/>
      <c r="LP125" s="154"/>
      <c r="LQ125" s="154"/>
      <c r="LR125" s="154"/>
      <c r="LS125" s="154"/>
      <c r="LT125" s="154"/>
      <c r="LU125" s="154"/>
      <c r="LV125" s="154"/>
      <c r="LW125" s="154"/>
      <c r="LX125" s="154"/>
      <c r="LY125" s="154"/>
      <c r="LZ125" s="157"/>
      <c r="MA125" s="161"/>
      <c r="MB125" s="157"/>
      <c r="MC125" s="157"/>
      <c r="MD125" s="157"/>
      <c r="ME125" s="157"/>
      <c r="MF125" s="157"/>
      <c r="MG125" s="157"/>
      <c r="MH125" s="157"/>
      <c r="MI125" s="157"/>
      <c r="MJ125" s="157"/>
      <c r="MK125" s="157"/>
      <c r="ML125" s="157"/>
      <c r="MM125" s="157"/>
      <c r="MN125" s="157"/>
    </row>
    <row r="126" spans="1:352" hidden="1" x14ac:dyDescent="0.25">
      <c r="A126" s="98"/>
      <c r="B126" s="64" t="s">
        <v>229</v>
      </c>
      <c r="C126" s="98"/>
      <c r="D126" s="163">
        <v>0</v>
      </c>
      <c r="E126" s="177">
        <v>0</v>
      </c>
      <c r="F126" s="177">
        <v>0</v>
      </c>
      <c r="G126" s="177">
        <v>0</v>
      </c>
      <c r="H126" s="177">
        <v>0</v>
      </c>
      <c r="I126" s="177">
        <v>0</v>
      </c>
      <c r="J126" s="177">
        <v>0</v>
      </c>
      <c r="K126" s="177">
        <v>0</v>
      </c>
      <c r="L126" s="177">
        <v>0</v>
      </c>
      <c r="M126" s="177">
        <v>0</v>
      </c>
      <c r="N126" s="177">
        <v>0</v>
      </c>
      <c r="O126" s="177">
        <v>0</v>
      </c>
      <c r="P126" s="204">
        <f>+SUBTOTAL(9,D126:O126)</f>
        <v>0</v>
      </c>
      <c r="Q126" s="205"/>
      <c r="R126" s="163">
        <v>0</v>
      </c>
      <c r="S126" s="177">
        <v>0</v>
      </c>
      <c r="T126" s="177">
        <v>0</v>
      </c>
      <c r="U126" s="177">
        <v>0</v>
      </c>
      <c r="V126" s="177">
        <v>0</v>
      </c>
      <c r="W126" s="177">
        <v>0</v>
      </c>
      <c r="X126" s="177">
        <v>0</v>
      </c>
      <c r="Y126" s="177">
        <v>0</v>
      </c>
      <c r="Z126" s="177">
        <v>0</v>
      </c>
      <c r="AA126" s="177">
        <v>0</v>
      </c>
      <c r="AB126" s="177">
        <v>0</v>
      </c>
      <c r="AC126" s="177">
        <v>0</v>
      </c>
      <c r="AD126" s="204">
        <f>+SUBTOTAL(9,R126:AC126)</f>
        <v>0</v>
      </c>
      <c r="AE126" s="205"/>
      <c r="AF126" s="163">
        <v>0</v>
      </c>
      <c r="AG126" s="177">
        <v>0</v>
      </c>
      <c r="AH126" s="177">
        <v>0</v>
      </c>
      <c r="AI126" s="177">
        <v>0</v>
      </c>
      <c r="AJ126" s="177">
        <v>0</v>
      </c>
      <c r="AK126" s="177">
        <v>0</v>
      </c>
      <c r="AL126" s="177">
        <v>0</v>
      </c>
      <c r="AM126" s="177">
        <v>0</v>
      </c>
      <c r="AN126" s="177">
        <v>0</v>
      </c>
      <c r="AO126" s="177">
        <v>0</v>
      </c>
      <c r="AP126" s="177">
        <v>0</v>
      </c>
      <c r="AQ126" s="177">
        <v>0</v>
      </c>
      <c r="AR126" s="204">
        <f>+SUBTOTAL(9,AF126:AQ126)</f>
        <v>0</v>
      </c>
      <c r="AT126" s="163">
        <v>0</v>
      </c>
      <c r="AU126" s="177">
        <v>0</v>
      </c>
      <c r="AV126" s="177">
        <v>0</v>
      </c>
      <c r="AW126" s="177">
        <v>0</v>
      </c>
      <c r="AX126" s="177">
        <v>0</v>
      </c>
      <c r="AY126" s="177">
        <v>0</v>
      </c>
      <c r="AZ126" s="177">
        <v>0</v>
      </c>
      <c r="BA126" s="177">
        <v>0</v>
      </c>
      <c r="BB126" s="177">
        <v>0</v>
      </c>
      <c r="BC126" s="177">
        <v>0</v>
      </c>
      <c r="BD126" s="177">
        <v>0</v>
      </c>
      <c r="BE126" s="177">
        <v>0</v>
      </c>
      <c r="BF126" s="204">
        <f>+SUBTOTAL(9,AT126:BE126)</f>
        <v>0</v>
      </c>
      <c r="BH126" s="163">
        <v>0</v>
      </c>
      <c r="BI126" s="164">
        <v>0</v>
      </c>
      <c r="BJ126" s="154">
        <v>0</v>
      </c>
      <c r="BK126" s="154">
        <v>0</v>
      </c>
      <c r="BL126" s="154">
        <v>0</v>
      </c>
      <c r="BM126" s="154">
        <v>0</v>
      </c>
      <c r="BN126" s="154">
        <v>0</v>
      </c>
      <c r="BO126" s="154">
        <v>0</v>
      </c>
      <c r="BP126" s="154">
        <v>0</v>
      </c>
      <c r="BQ126" s="154">
        <v>0</v>
      </c>
      <c r="BR126" s="154">
        <v>0</v>
      </c>
      <c r="BS126" s="154">
        <v>0</v>
      </c>
      <c r="BT126" s="204">
        <f>+SUBTOTAL(9,BH126:BS126)</f>
        <v>0</v>
      </c>
      <c r="BV126" s="163">
        <v>0</v>
      </c>
      <c r="BW126" s="164">
        <v>0</v>
      </c>
      <c r="BX126" s="154">
        <v>0</v>
      </c>
      <c r="BY126" s="154">
        <v>0</v>
      </c>
      <c r="BZ126" s="154">
        <v>0</v>
      </c>
      <c r="CA126" s="154">
        <v>0</v>
      </c>
      <c r="CB126" s="154">
        <v>0</v>
      </c>
      <c r="CC126" s="154">
        <v>0</v>
      </c>
      <c r="CD126" s="154">
        <v>0</v>
      </c>
      <c r="CE126" s="154">
        <v>0</v>
      </c>
      <c r="CF126" s="154">
        <v>0</v>
      </c>
      <c r="CG126" s="154">
        <v>0</v>
      </c>
      <c r="CH126" s="204">
        <f>+SUBTOTAL(9,BV126:CG126)</f>
        <v>0</v>
      </c>
      <c r="CI126" s="205"/>
      <c r="CJ126" s="163">
        <v>0</v>
      </c>
      <c r="CK126" s="164">
        <v>0</v>
      </c>
      <c r="CL126" s="154">
        <v>0</v>
      </c>
      <c r="CM126" s="154">
        <v>0</v>
      </c>
      <c r="CN126" s="154">
        <v>0</v>
      </c>
      <c r="CO126" s="154">
        <v>0</v>
      </c>
      <c r="CP126" s="154">
        <v>0</v>
      </c>
      <c r="CQ126" s="154">
        <v>0</v>
      </c>
      <c r="CR126" s="154">
        <v>0</v>
      </c>
      <c r="CS126" s="154">
        <v>0</v>
      </c>
      <c r="CT126" s="154">
        <v>0</v>
      </c>
      <c r="CU126" s="154">
        <v>0</v>
      </c>
      <c r="CV126" s="204">
        <f>+SUBTOTAL(9,CJ126:CU126)</f>
        <v>0</v>
      </c>
      <c r="CW126" s="205"/>
      <c r="CX126" s="163">
        <v>0</v>
      </c>
      <c r="CY126" s="164">
        <v>0</v>
      </c>
      <c r="CZ126" s="154">
        <v>0</v>
      </c>
      <c r="DA126" s="154">
        <v>0</v>
      </c>
      <c r="DB126" s="154">
        <v>0</v>
      </c>
      <c r="DC126" s="154">
        <v>0</v>
      </c>
      <c r="DD126" s="154">
        <v>0</v>
      </c>
      <c r="DE126" s="154">
        <v>0</v>
      </c>
      <c r="DF126" s="154">
        <v>0</v>
      </c>
      <c r="DG126" s="154">
        <v>0</v>
      </c>
      <c r="DH126" s="154">
        <v>0</v>
      </c>
      <c r="DI126" s="154">
        <v>0</v>
      </c>
      <c r="DJ126" s="204">
        <f>+SUBTOTAL(9,CX126:DI126)</f>
        <v>0</v>
      </c>
      <c r="DK126" s="205"/>
      <c r="DL126" s="163">
        <v>0</v>
      </c>
      <c r="DM126" s="164">
        <v>0</v>
      </c>
      <c r="DN126" s="154">
        <v>0</v>
      </c>
      <c r="DO126" s="154">
        <v>0</v>
      </c>
      <c r="DP126" s="154">
        <v>0</v>
      </c>
      <c r="DQ126" s="154">
        <v>0</v>
      </c>
      <c r="DR126" s="154">
        <v>0</v>
      </c>
      <c r="DS126" s="154">
        <v>0</v>
      </c>
      <c r="DT126" s="154">
        <v>0</v>
      </c>
      <c r="DU126" s="154">
        <v>0</v>
      </c>
      <c r="DV126" s="154">
        <v>0</v>
      </c>
      <c r="DW126" s="154">
        <v>0</v>
      </c>
      <c r="DX126" s="204">
        <f>+SUBTOTAL(9,DL126:DW126)</f>
        <v>0</v>
      </c>
      <c r="DY126" s="205"/>
      <c r="DZ126" s="163">
        <v>0</v>
      </c>
      <c r="EA126" s="164">
        <v>0</v>
      </c>
      <c r="EB126" s="154">
        <v>0</v>
      </c>
      <c r="EC126" s="154">
        <v>0</v>
      </c>
      <c r="ED126" s="154">
        <v>0</v>
      </c>
      <c r="EE126" s="154">
        <v>0</v>
      </c>
      <c r="EF126" s="154">
        <v>0</v>
      </c>
      <c r="EG126" s="154">
        <v>0</v>
      </c>
      <c r="EH126" s="154">
        <v>0</v>
      </c>
      <c r="EI126" s="154">
        <v>0</v>
      </c>
      <c r="EJ126" s="154">
        <v>0</v>
      </c>
      <c r="EK126" s="154">
        <v>0</v>
      </c>
      <c r="EL126" s="204">
        <f>+SUBTOTAL(9,DZ126:EK126)</f>
        <v>0</v>
      </c>
      <c r="EM126" s="205"/>
      <c r="EN126" s="163">
        <v>0</v>
      </c>
      <c r="EO126" s="164">
        <v>0</v>
      </c>
      <c r="EP126" s="154">
        <v>0</v>
      </c>
      <c r="EQ126" s="154">
        <v>0</v>
      </c>
      <c r="ER126" s="154">
        <v>0</v>
      </c>
      <c r="ES126" s="154">
        <v>0</v>
      </c>
      <c r="ET126" s="154">
        <v>0</v>
      </c>
      <c r="EU126" s="154">
        <v>0</v>
      </c>
      <c r="EV126" s="154">
        <v>0</v>
      </c>
      <c r="EW126" s="154">
        <v>0</v>
      </c>
      <c r="EX126" s="154">
        <v>0</v>
      </c>
      <c r="EY126" s="154">
        <v>0</v>
      </c>
      <c r="EZ126" s="204">
        <f>+SUBTOTAL(9,EN126:EY126)</f>
        <v>0</v>
      </c>
      <c r="FA126" s="205"/>
      <c r="FB126" s="163">
        <v>0</v>
      </c>
      <c r="FC126" s="164">
        <v>0</v>
      </c>
      <c r="FD126" s="154">
        <v>0</v>
      </c>
      <c r="FE126" s="154">
        <v>0</v>
      </c>
      <c r="FF126" s="154">
        <v>0</v>
      </c>
      <c r="FG126" s="154">
        <v>0</v>
      </c>
      <c r="FH126" s="154">
        <v>0</v>
      </c>
      <c r="FI126" s="154">
        <v>0</v>
      </c>
      <c r="FJ126" s="154">
        <v>0</v>
      </c>
      <c r="FK126" s="154">
        <v>0</v>
      </c>
      <c r="FL126" s="154">
        <v>0</v>
      </c>
      <c r="FM126" s="154">
        <v>0</v>
      </c>
      <c r="FN126" s="204">
        <f>+SUBTOTAL(9,FB126:FM126)</f>
        <v>0</v>
      </c>
      <c r="FO126" s="205"/>
      <c r="FP126" s="163">
        <v>0</v>
      </c>
      <c r="FQ126" s="164">
        <v>0</v>
      </c>
      <c r="FR126" s="154">
        <v>0</v>
      </c>
      <c r="FS126" s="154">
        <v>0</v>
      </c>
      <c r="FT126" s="154">
        <v>0</v>
      </c>
      <c r="FU126" s="154">
        <v>0</v>
      </c>
      <c r="FV126" s="154">
        <v>0</v>
      </c>
      <c r="FW126" s="154">
        <v>0</v>
      </c>
      <c r="FX126" s="154">
        <v>0</v>
      </c>
      <c r="FY126" s="154">
        <v>0</v>
      </c>
      <c r="FZ126" s="154">
        <v>0</v>
      </c>
      <c r="GA126" s="154">
        <v>0</v>
      </c>
      <c r="GB126" s="204">
        <f>+SUBTOTAL(9,FP126:GA126)</f>
        <v>0</v>
      </c>
      <c r="GC126" s="205"/>
      <c r="GD126" s="163">
        <v>0</v>
      </c>
      <c r="GE126" s="164">
        <v>0</v>
      </c>
      <c r="GF126" s="154">
        <v>0</v>
      </c>
      <c r="GG126" s="154">
        <v>0</v>
      </c>
      <c r="GH126" s="154">
        <v>0</v>
      </c>
      <c r="GI126" s="154">
        <v>0</v>
      </c>
      <c r="GJ126" s="154">
        <v>0</v>
      </c>
      <c r="GK126" s="154">
        <v>0</v>
      </c>
      <c r="GL126" s="154">
        <v>0</v>
      </c>
      <c r="GM126" s="154">
        <v>0</v>
      </c>
      <c r="GN126" s="154">
        <v>0</v>
      </c>
      <c r="GO126" s="154">
        <v>0</v>
      </c>
      <c r="GP126" s="204">
        <f>+SUBTOTAL(9,GD126:GO126)</f>
        <v>0</v>
      </c>
      <c r="GQ126" s="205"/>
      <c r="GR126" s="163">
        <v>0</v>
      </c>
      <c r="GS126" s="164">
        <v>0</v>
      </c>
      <c r="GT126" s="154">
        <v>0</v>
      </c>
      <c r="GU126" s="154">
        <v>0</v>
      </c>
      <c r="GV126" s="154">
        <v>0</v>
      </c>
      <c r="GW126" s="154">
        <v>0</v>
      </c>
      <c r="GX126" s="154">
        <v>0</v>
      </c>
      <c r="GY126" s="154">
        <v>0</v>
      </c>
      <c r="GZ126" s="154">
        <v>0</v>
      </c>
      <c r="HA126" s="154">
        <v>0</v>
      </c>
      <c r="HB126" s="154">
        <v>0</v>
      </c>
      <c r="HC126" s="154">
        <v>0</v>
      </c>
      <c r="HD126" s="204">
        <f t="shared" si="293"/>
        <v>0</v>
      </c>
      <c r="HE126" s="205"/>
      <c r="HF126" s="163">
        <v>0</v>
      </c>
      <c r="HG126" s="164">
        <v>0</v>
      </c>
      <c r="HH126" s="154">
        <v>0</v>
      </c>
      <c r="HI126" s="154">
        <v>0</v>
      </c>
      <c r="HJ126" s="154">
        <v>0</v>
      </c>
      <c r="HK126" s="154">
        <v>0</v>
      </c>
      <c r="HL126" s="154">
        <v>0</v>
      </c>
      <c r="HM126" s="154">
        <v>0</v>
      </c>
      <c r="HN126" s="154">
        <v>0</v>
      </c>
      <c r="HO126" s="154">
        <v>0</v>
      </c>
      <c r="HP126" s="154">
        <v>0</v>
      </c>
      <c r="HQ126" s="154">
        <v>0</v>
      </c>
      <c r="HR126" s="204">
        <f>+SUBTOTAL(9,HF126:HQ126)</f>
        <v>0</v>
      </c>
      <c r="HS126" s="205"/>
      <c r="HT126" s="163">
        <v>0</v>
      </c>
      <c r="HU126" s="164">
        <v>0</v>
      </c>
      <c r="HV126" s="154">
        <v>0</v>
      </c>
      <c r="HW126" s="154">
        <v>0</v>
      </c>
      <c r="HX126" s="154">
        <v>0</v>
      </c>
      <c r="HY126" s="154">
        <v>0</v>
      </c>
      <c r="HZ126" s="154">
        <v>0</v>
      </c>
      <c r="IA126" s="154">
        <v>0</v>
      </c>
      <c r="IB126" s="154">
        <v>0</v>
      </c>
      <c r="IC126" s="154">
        <v>0</v>
      </c>
      <c r="ID126" s="154">
        <v>0</v>
      </c>
      <c r="IE126" s="154">
        <v>0</v>
      </c>
      <c r="IF126" s="204">
        <f>+SUBTOTAL(9,HT126:IE126)</f>
        <v>0</v>
      </c>
      <c r="IG126" s="205"/>
      <c r="IH126" s="163">
        <v>0</v>
      </c>
      <c r="II126" s="164">
        <v>0</v>
      </c>
      <c r="IJ126" s="154">
        <v>0</v>
      </c>
      <c r="IK126" s="154">
        <v>0</v>
      </c>
      <c r="IL126" s="154">
        <v>0</v>
      </c>
      <c r="IM126" s="154">
        <v>0</v>
      </c>
      <c r="IN126" s="154">
        <v>0</v>
      </c>
      <c r="IO126" s="154">
        <v>0</v>
      </c>
      <c r="IP126" s="154">
        <v>0</v>
      </c>
      <c r="IQ126" s="154">
        <v>0</v>
      </c>
      <c r="IR126" s="154">
        <v>0</v>
      </c>
      <c r="IS126" s="154">
        <v>0</v>
      </c>
      <c r="IT126" s="204">
        <f>+SUBTOTAL(9,IH126:IS126)</f>
        <v>0</v>
      </c>
      <c r="IU126" s="205"/>
      <c r="IV126" s="163">
        <v>0</v>
      </c>
      <c r="IW126" s="164">
        <v>0</v>
      </c>
      <c r="IX126" s="154">
        <v>0</v>
      </c>
      <c r="IY126" s="154">
        <v>0</v>
      </c>
      <c r="IZ126" s="154">
        <v>0</v>
      </c>
      <c r="JA126" s="154">
        <v>0</v>
      </c>
      <c r="JB126" s="154">
        <v>0</v>
      </c>
      <c r="JC126" s="154">
        <v>0</v>
      </c>
      <c r="JD126" s="154">
        <v>0</v>
      </c>
      <c r="JE126" s="154">
        <v>0</v>
      </c>
      <c r="JF126" s="154">
        <v>0</v>
      </c>
      <c r="JG126" s="154">
        <v>0</v>
      </c>
      <c r="JH126" s="204">
        <f>+SUBTOTAL(9,IV126:JG126)</f>
        <v>0</v>
      </c>
      <c r="JI126" s="205"/>
      <c r="JJ126" s="163">
        <v>0</v>
      </c>
      <c r="JK126" s="164">
        <v>0</v>
      </c>
      <c r="JL126" s="154">
        <v>0</v>
      </c>
      <c r="JM126" s="154">
        <v>0</v>
      </c>
      <c r="JN126" s="154">
        <v>0</v>
      </c>
      <c r="JO126" s="154">
        <v>0</v>
      </c>
      <c r="JP126" s="154">
        <v>0</v>
      </c>
      <c r="JQ126" s="154">
        <v>0</v>
      </c>
      <c r="JR126" s="154">
        <v>0</v>
      </c>
      <c r="JS126" s="154">
        <v>0</v>
      </c>
      <c r="JT126" s="154">
        <v>0</v>
      </c>
      <c r="JU126" s="154">
        <v>0</v>
      </c>
      <c r="JV126" s="204">
        <f>+SUBTOTAL(9,JJ126:JU126)</f>
        <v>0</v>
      </c>
      <c r="JW126" s="205"/>
      <c r="JX126" s="163">
        <v>0</v>
      </c>
      <c r="JY126" s="164">
        <v>0</v>
      </c>
      <c r="JZ126" s="154">
        <v>0</v>
      </c>
      <c r="KA126" s="154">
        <v>0</v>
      </c>
      <c r="KB126" s="154">
        <v>0</v>
      </c>
      <c r="KC126" s="154">
        <v>0</v>
      </c>
      <c r="KD126" s="154">
        <v>0</v>
      </c>
      <c r="KE126" s="154">
        <v>0</v>
      </c>
      <c r="KF126" s="154">
        <v>0</v>
      </c>
      <c r="KG126" s="154">
        <v>0</v>
      </c>
      <c r="KH126" s="154">
        <v>0</v>
      </c>
      <c r="KI126" s="154">
        <v>0</v>
      </c>
      <c r="KJ126" s="204">
        <f>+SUBTOTAL(9,JX126:KI126)</f>
        <v>0</v>
      </c>
      <c r="KK126" s="205"/>
      <c r="KL126" s="163">
        <v>0</v>
      </c>
      <c r="KM126" s="164">
        <v>0</v>
      </c>
      <c r="KN126" s="154">
        <v>0</v>
      </c>
      <c r="KO126" s="154">
        <v>0</v>
      </c>
      <c r="KP126" s="154">
        <v>0</v>
      </c>
      <c r="KQ126" s="154">
        <v>0</v>
      </c>
      <c r="KR126" s="154">
        <v>0</v>
      </c>
      <c r="KS126" s="154">
        <v>0</v>
      </c>
      <c r="KT126" s="154">
        <v>0</v>
      </c>
      <c r="KU126" s="154">
        <v>0</v>
      </c>
      <c r="KV126" s="154">
        <v>0</v>
      </c>
      <c r="KW126" s="154">
        <v>0</v>
      </c>
      <c r="KX126" s="204">
        <f>+SUBTOTAL(9,KL126:KW126)</f>
        <v>0</v>
      </c>
      <c r="KY126" s="205"/>
      <c r="KZ126" s="163">
        <v>0</v>
      </c>
      <c r="LA126" s="164">
        <v>0</v>
      </c>
      <c r="LB126" s="154">
        <v>0</v>
      </c>
      <c r="LC126" s="154">
        <v>0</v>
      </c>
      <c r="LD126" s="154">
        <v>0</v>
      </c>
      <c r="LE126" s="154">
        <v>0</v>
      </c>
      <c r="LF126" s="154">
        <v>0</v>
      </c>
      <c r="LG126" s="154">
        <v>0</v>
      </c>
      <c r="LH126" s="154">
        <v>0</v>
      </c>
      <c r="LI126" s="154">
        <v>0</v>
      </c>
      <c r="LJ126" s="154">
        <v>0</v>
      </c>
      <c r="LK126" s="154">
        <v>0</v>
      </c>
      <c r="LL126" s="204">
        <f>+SUBTOTAL(9,KZ126:LK126)</f>
        <v>0</v>
      </c>
      <c r="LM126" s="205"/>
      <c r="LN126" s="163">
        <v>0</v>
      </c>
      <c r="LO126" s="164">
        <v>0</v>
      </c>
      <c r="LP126" s="154">
        <v>0</v>
      </c>
      <c r="LQ126" s="154">
        <v>0</v>
      </c>
      <c r="LR126" s="154">
        <v>0</v>
      </c>
      <c r="LS126" s="154">
        <v>0</v>
      </c>
      <c r="LT126" s="154">
        <v>0</v>
      </c>
      <c r="LU126" s="154">
        <v>0</v>
      </c>
      <c r="LV126" s="154">
        <v>0</v>
      </c>
      <c r="LW126" s="154">
        <v>0</v>
      </c>
      <c r="LX126" s="154">
        <v>0</v>
      </c>
      <c r="LY126" s="154">
        <v>0</v>
      </c>
      <c r="LZ126" s="204">
        <f>+SUBTOTAL(9,LN126:LY126)</f>
        <v>0</v>
      </c>
      <c r="MA126" s="205"/>
      <c r="MB126" s="157">
        <f t="shared" ref="MB126:MM127" si="507">SUMIF($D$6:$LY$6,MB$3,$D126:$LY126)</f>
        <v>0</v>
      </c>
      <c r="MC126" s="157">
        <f t="shared" si="507"/>
        <v>0</v>
      </c>
      <c r="MD126" s="157">
        <f t="shared" si="507"/>
        <v>0</v>
      </c>
      <c r="ME126" s="157">
        <f t="shared" si="507"/>
        <v>0</v>
      </c>
      <c r="MF126" s="157">
        <f t="shared" si="507"/>
        <v>0</v>
      </c>
      <c r="MG126" s="157">
        <f t="shared" si="507"/>
        <v>0</v>
      </c>
      <c r="MH126" s="157">
        <f t="shared" si="507"/>
        <v>0</v>
      </c>
      <c r="MI126" s="157">
        <f t="shared" si="507"/>
        <v>0</v>
      </c>
      <c r="MJ126" s="157">
        <f t="shared" si="507"/>
        <v>0</v>
      </c>
      <c r="MK126" s="157">
        <f t="shared" si="507"/>
        <v>0</v>
      </c>
      <c r="ML126" s="157">
        <f t="shared" si="507"/>
        <v>0</v>
      </c>
      <c r="MM126" s="157">
        <f t="shared" si="507"/>
        <v>0</v>
      </c>
      <c r="MN126" s="157">
        <f t="shared" ref="MN126" si="508">SUM(MB126:MM126)</f>
        <v>0</v>
      </c>
    </row>
    <row r="127" spans="1:352" hidden="1" x14ac:dyDescent="0.25">
      <c r="A127" s="98"/>
      <c r="B127" s="64" t="s">
        <v>230</v>
      </c>
      <c r="C127" s="98"/>
      <c r="D127" s="163">
        <v>0</v>
      </c>
      <c r="E127" s="177">
        <v>0</v>
      </c>
      <c r="F127" s="177">
        <v>0</v>
      </c>
      <c r="G127" s="177">
        <v>0</v>
      </c>
      <c r="H127" s="177">
        <v>0</v>
      </c>
      <c r="I127" s="177">
        <v>0</v>
      </c>
      <c r="J127" s="177">
        <v>0</v>
      </c>
      <c r="K127" s="177">
        <v>0</v>
      </c>
      <c r="L127" s="177">
        <v>0</v>
      </c>
      <c r="M127" s="177">
        <v>0</v>
      </c>
      <c r="N127" s="177">
        <v>0</v>
      </c>
      <c r="O127" s="177">
        <v>0</v>
      </c>
      <c r="P127" s="204">
        <f>+SUBTOTAL(9,D127:O127)</f>
        <v>0</v>
      </c>
      <c r="Q127" s="205"/>
      <c r="R127" s="163">
        <v>0</v>
      </c>
      <c r="S127" s="177">
        <v>0</v>
      </c>
      <c r="T127" s="177">
        <v>0</v>
      </c>
      <c r="U127" s="177">
        <v>0</v>
      </c>
      <c r="V127" s="177">
        <v>0</v>
      </c>
      <c r="W127" s="177">
        <v>0</v>
      </c>
      <c r="X127" s="177">
        <v>0</v>
      </c>
      <c r="Y127" s="177">
        <v>0</v>
      </c>
      <c r="Z127" s="177">
        <v>0</v>
      </c>
      <c r="AA127" s="177">
        <v>0</v>
      </c>
      <c r="AB127" s="177">
        <v>0</v>
      </c>
      <c r="AC127" s="177">
        <v>0</v>
      </c>
      <c r="AD127" s="204">
        <f>+SUBTOTAL(9,R127:AC127)</f>
        <v>0</v>
      </c>
      <c r="AE127" s="205"/>
      <c r="AF127" s="163">
        <v>0</v>
      </c>
      <c r="AG127" s="177">
        <v>0</v>
      </c>
      <c r="AH127" s="177">
        <v>0</v>
      </c>
      <c r="AI127" s="177">
        <v>0</v>
      </c>
      <c r="AJ127" s="177">
        <v>0</v>
      </c>
      <c r="AK127" s="177">
        <v>0</v>
      </c>
      <c r="AL127" s="177">
        <v>0</v>
      </c>
      <c r="AM127" s="177">
        <v>0</v>
      </c>
      <c r="AN127" s="177">
        <v>0</v>
      </c>
      <c r="AO127" s="177">
        <v>0</v>
      </c>
      <c r="AP127" s="177">
        <v>0</v>
      </c>
      <c r="AQ127" s="177">
        <v>0</v>
      </c>
      <c r="AR127" s="204">
        <f>+SUBTOTAL(9,AF127:AQ127)</f>
        <v>0</v>
      </c>
      <c r="AT127" s="163">
        <v>0</v>
      </c>
      <c r="AU127" s="177">
        <v>0</v>
      </c>
      <c r="AV127" s="177">
        <v>0</v>
      </c>
      <c r="AW127" s="177">
        <v>0</v>
      </c>
      <c r="AX127" s="177">
        <v>0</v>
      </c>
      <c r="AY127" s="177">
        <v>0</v>
      </c>
      <c r="AZ127" s="177">
        <v>0</v>
      </c>
      <c r="BA127" s="177">
        <v>0</v>
      </c>
      <c r="BB127" s="177">
        <v>0</v>
      </c>
      <c r="BC127" s="177">
        <v>0</v>
      </c>
      <c r="BD127" s="177">
        <v>0</v>
      </c>
      <c r="BE127" s="177">
        <v>0</v>
      </c>
      <c r="BF127" s="204">
        <f>+SUBTOTAL(9,AT127:BE127)</f>
        <v>0</v>
      </c>
      <c r="BH127" s="163">
        <v>0</v>
      </c>
      <c r="BI127" s="164">
        <v>0</v>
      </c>
      <c r="BJ127" s="154">
        <v>0</v>
      </c>
      <c r="BK127" s="154">
        <v>0</v>
      </c>
      <c r="BL127" s="154">
        <v>0</v>
      </c>
      <c r="BM127" s="154">
        <v>0</v>
      </c>
      <c r="BN127" s="154">
        <v>0</v>
      </c>
      <c r="BO127" s="154">
        <v>0</v>
      </c>
      <c r="BP127" s="154">
        <v>0</v>
      </c>
      <c r="BQ127" s="154">
        <v>0</v>
      </c>
      <c r="BR127" s="154">
        <v>0</v>
      </c>
      <c r="BS127" s="154">
        <v>0</v>
      </c>
      <c r="BT127" s="204">
        <f>+SUBTOTAL(9,BH127:BS127)</f>
        <v>0</v>
      </c>
      <c r="BV127" s="163">
        <v>0</v>
      </c>
      <c r="BW127" s="164">
        <v>0</v>
      </c>
      <c r="BX127" s="154">
        <v>0</v>
      </c>
      <c r="BY127" s="154">
        <v>0</v>
      </c>
      <c r="BZ127" s="154">
        <v>0</v>
      </c>
      <c r="CA127" s="154">
        <v>0</v>
      </c>
      <c r="CB127" s="154">
        <v>0</v>
      </c>
      <c r="CC127" s="154">
        <v>0</v>
      </c>
      <c r="CD127" s="154">
        <v>0</v>
      </c>
      <c r="CE127" s="154">
        <v>0</v>
      </c>
      <c r="CF127" s="154">
        <v>0</v>
      </c>
      <c r="CG127" s="154">
        <v>0</v>
      </c>
      <c r="CH127" s="204">
        <f>+SUBTOTAL(9,BV127:CG127)</f>
        <v>0</v>
      </c>
      <c r="CI127" s="205"/>
      <c r="CJ127" s="163">
        <v>0</v>
      </c>
      <c r="CK127" s="164">
        <v>0</v>
      </c>
      <c r="CL127" s="154">
        <v>0</v>
      </c>
      <c r="CM127" s="154">
        <v>0</v>
      </c>
      <c r="CN127" s="154">
        <v>0</v>
      </c>
      <c r="CO127" s="154">
        <v>0</v>
      </c>
      <c r="CP127" s="154">
        <v>0</v>
      </c>
      <c r="CQ127" s="154">
        <v>0</v>
      </c>
      <c r="CR127" s="154">
        <v>0</v>
      </c>
      <c r="CS127" s="154">
        <v>0</v>
      </c>
      <c r="CT127" s="154">
        <v>0</v>
      </c>
      <c r="CU127" s="154">
        <v>0</v>
      </c>
      <c r="CV127" s="204">
        <f>+SUBTOTAL(9,CJ127:CU127)</f>
        <v>0</v>
      </c>
      <c r="CW127" s="205"/>
      <c r="CX127" s="163">
        <v>0</v>
      </c>
      <c r="CY127" s="164">
        <v>0</v>
      </c>
      <c r="CZ127" s="154">
        <v>0</v>
      </c>
      <c r="DA127" s="154">
        <v>0</v>
      </c>
      <c r="DB127" s="154">
        <v>0</v>
      </c>
      <c r="DC127" s="154">
        <v>0</v>
      </c>
      <c r="DD127" s="154">
        <v>0</v>
      </c>
      <c r="DE127" s="154">
        <v>0</v>
      </c>
      <c r="DF127" s="154">
        <v>0</v>
      </c>
      <c r="DG127" s="154">
        <v>0</v>
      </c>
      <c r="DH127" s="154">
        <v>0</v>
      </c>
      <c r="DI127" s="154">
        <v>0</v>
      </c>
      <c r="DJ127" s="204">
        <f>+SUBTOTAL(9,CX127:DI127)</f>
        <v>0</v>
      </c>
      <c r="DK127" s="205"/>
      <c r="DL127" s="163">
        <v>0</v>
      </c>
      <c r="DM127" s="164">
        <v>0</v>
      </c>
      <c r="DN127" s="154">
        <v>0</v>
      </c>
      <c r="DO127" s="154">
        <v>0</v>
      </c>
      <c r="DP127" s="154">
        <v>0</v>
      </c>
      <c r="DQ127" s="154">
        <v>0</v>
      </c>
      <c r="DR127" s="154">
        <v>0</v>
      </c>
      <c r="DS127" s="154">
        <v>0</v>
      </c>
      <c r="DT127" s="154">
        <v>0</v>
      </c>
      <c r="DU127" s="154">
        <v>0</v>
      </c>
      <c r="DV127" s="154">
        <v>0</v>
      </c>
      <c r="DW127" s="154">
        <v>0</v>
      </c>
      <c r="DX127" s="204">
        <f>+SUBTOTAL(9,DL127:DW127)</f>
        <v>0</v>
      </c>
      <c r="DY127" s="205"/>
      <c r="DZ127" s="163">
        <v>0</v>
      </c>
      <c r="EA127" s="164">
        <v>0</v>
      </c>
      <c r="EB127" s="154">
        <v>0</v>
      </c>
      <c r="EC127" s="154">
        <v>0</v>
      </c>
      <c r="ED127" s="154">
        <v>0</v>
      </c>
      <c r="EE127" s="154">
        <v>0</v>
      </c>
      <c r="EF127" s="154">
        <v>0</v>
      </c>
      <c r="EG127" s="154">
        <v>0</v>
      </c>
      <c r="EH127" s="154">
        <v>0</v>
      </c>
      <c r="EI127" s="154">
        <v>0</v>
      </c>
      <c r="EJ127" s="154">
        <v>0</v>
      </c>
      <c r="EK127" s="154">
        <v>0</v>
      </c>
      <c r="EL127" s="204">
        <f>+SUBTOTAL(9,DZ127:EK127)</f>
        <v>0</v>
      </c>
      <c r="EM127" s="205"/>
      <c r="EN127" s="163">
        <v>0</v>
      </c>
      <c r="EO127" s="164">
        <v>0</v>
      </c>
      <c r="EP127" s="154">
        <v>0</v>
      </c>
      <c r="EQ127" s="154">
        <v>0</v>
      </c>
      <c r="ER127" s="154">
        <v>0</v>
      </c>
      <c r="ES127" s="154">
        <v>0</v>
      </c>
      <c r="ET127" s="154">
        <v>0</v>
      </c>
      <c r="EU127" s="154">
        <v>0</v>
      </c>
      <c r="EV127" s="154">
        <v>0</v>
      </c>
      <c r="EW127" s="154">
        <v>0</v>
      </c>
      <c r="EX127" s="154">
        <v>0</v>
      </c>
      <c r="EY127" s="154">
        <v>0</v>
      </c>
      <c r="EZ127" s="204">
        <f>+SUBTOTAL(9,EN127:EY127)</f>
        <v>0</v>
      </c>
      <c r="FA127" s="205"/>
      <c r="FB127" s="163">
        <v>0</v>
      </c>
      <c r="FC127" s="164">
        <v>0</v>
      </c>
      <c r="FD127" s="154">
        <v>0</v>
      </c>
      <c r="FE127" s="154">
        <v>0</v>
      </c>
      <c r="FF127" s="154">
        <v>0</v>
      </c>
      <c r="FG127" s="154">
        <v>0</v>
      </c>
      <c r="FH127" s="154">
        <v>0</v>
      </c>
      <c r="FI127" s="154">
        <v>0</v>
      </c>
      <c r="FJ127" s="154">
        <v>0</v>
      </c>
      <c r="FK127" s="154">
        <v>0</v>
      </c>
      <c r="FL127" s="154">
        <v>0</v>
      </c>
      <c r="FM127" s="154">
        <v>0</v>
      </c>
      <c r="FN127" s="204">
        <f>+SUBTOTAL(9,FB127:FM127)</f>
        <v>0</v>
      </c>
      <c r="FO127" s="205"/>
      <c r="FP127" s="163">
        <v>0</v>
      </c>
      <c r="FQ127" s="164">
        <v>0</v>
      </c>
      <c r="FR127" s="154">
        <v>0</v>
      </c>
      <c r="FS127" s="154">
        <v>0</v>
      </c>
      <c r="FT127" s="154">
        <v>0</v>
      </c>
      <c r="FU127" s="154">
        <v>0</v>
      </c>
      <c r="FV127" s="154">
        <v>0</v>
      </c>
      <c r="FW127" s="154">
        <v>0</v>
      </c>
      <c r="FX127" s="154">
        <v>0</v>
      </c>
      <c r="FY127" s="154">
        <v>0</v>
      </c>
      <c r="FZ127" s="154">
        <v>0</v>
      </c>
      <c r="GA127" s="154">
        <v>0</v>
      </c>
      <c r="GB127" s="204">
        <f>+SUBTOTAL(9,FP127:GA127)</f>
        <v>0</v>
      </c>
      <c r="GC127" s="205"/>
      <c r="GD127" s="163">
        <v>0</v>
      </c>
      <c r="GE127" s="164">
        <v>0</v>
      </c>
      <c r="GF127" s="154">
        <v>0</v>
      </c>
      <c r="GG127" s="154">
        <v>0</v>
      </c>
      <c r="GH127" s="154">
        <v>0</v>
      </c>
      <c r="GI127" s="154">
        <v>0</v>
      </c>
      <c r="GJ127" s="154">
        <v>0</v>
      </c>
      <c r="GK127" s="154">
        <v>0</v>
      </c>
      <c r="GL127" s="154">
        <v>0</v>
      </c>
      <c r="GM127" s="154">
        <v>0</v>
      </c>
      <c r="GN127" s="154">
        <v>0</v>
      </c>
      <c r="GO127" s="154">
        <v>0</v>
      </c>
      <c r="GP127" s="204">
        <f>+SUBTOTAL(9,GD127:GO127)</f>
        <v>0</v>
      </c>
      <c r="GQ127" s="205"/>
      <c r="GR127" s="163">
        <v>0</v>
      </c>
      <c r="GS127" s="164">
        <v>0</v>
      </c>
      <c r="GT127" s="154">
        <v>0</v>
      </c>
      <c r="GU127" s="154">
        <v>0</v>
      </c>
      <c r="GV127" s="154">
        <v>0</v>
      </c>
      <c r="GW127" s="154">
        <v>0</v>
      </c>
      <c r="GX127" s="154">
        <v>0</v>
      </c>
      <c r="GY127" s="154">
        <v>0</v>
      </c>
      <c r="GZ127" s="154">
        <v>0</v>
      </c>
      <c r="HA127" s="154">
        <v>0</v>
      </c>
      <c r="HB127" s="154">
        <v>0</v>
      </c>
      <c r="HC127" s="154">
        <v>0</v>
      </c>
      <c r="HD127" s="204">
        <f t="shared" si="293"/>
        <v>0</v>
      </c>
      <c r="HE127" s="205"/>
      <c r="HF127" s="163">
        <v>0</v>
      </c>
      <c r="HG127" s="164">
        <v>0</v>
      </c>
      <c r="HH127" s="154">
        <v>0</v>
      </c>
      <c r="HI127" s="154">
        <v>0</v>
      </c>
      <c r="HJ127" s="154">
        <v>0</v>
      </c>
      <c r="HK127" s="154">
        <v>0</v>
      </c>
      <c r="HL127" s="154">
        <v>0</v>
      </c>
      <c r="HM127" s="154">
        <v>0</v>
      </c>
      <c r="HN127" s="154">
        <v>0</v>
      </c>
      <c r="HO127" s="154">
        <v>0</v>
      </c>
      <c r="HP127" s="154">
        <v>0</v>
      </c>
      <c r="HQ127" s="154">
        <v>0</v>
      </c>
      <c r="HR127" s="204">
        <f>+SUBTOTAL(9,HF127:HQ127)</f>
        <v>0</v>
      </c>
      <c r="HS127" s="205"/>
      <c r="HT127" s="163">
        <v>0</v>
      </c>
      <c r="HU127" s="164">
        <v>0</v>
      </c>
      <c r="HV127" s="154">
        <v>0</v>
      </c>
      <c r="HW127" s="154">
        <v>0</v>
      </c>
      <c r="HX127" s="154">
        <v>0</v>
      </c>
      <c r="HY127" s="154">
        <v>0</v>
      </c>
      <c r="HZ127" s="154">
        <v>0</v>
      </c>
      <c r="IA127" s="154">
        <v>0</v>
      </c>
      <c r="IB127" s="154">
        <v>0</v>
      </c>
      <c r="IC127" s="154">
        <v>0</v>
      </c>
      <c r="ID127" s="154">
        <v>0</v>
      </c>
      <c r="IE127" s="154">
        <v>0</v>
      </c>
      <c r="IF127" s="204">
        <f>+SUBTOTAL(9,HT127:IE127)</f>
        <v>0</v>
      </c>
      <c r="IG127" s="205"/>
      <c r="IH127" s="163">
        <v>0</v>
      </c>
      <c r="II127" s="164">
        <v>0</v>
      </c>
      <c r="IJ127" s="154">
        <v>0</v>
      </c>
      <c r="IK127" s="154">
        <v>0</v>
      </c>
      <c r="IL127" s="154">
        <v>0</v>
      </c>
      <c r="IM127" s="154">
        <v>0</v>
      </c>
      <c r="IN127" s="154">
        <v>0</v>
      </c>
      <c r="IO127" s="154">
        <v>0</v>
      </c>
      <c r="IP127" s="154">
        <v>0</v>
      </c>
      <c r="IQ127" s="154">
        <v>0</v>
      </c>
      <c r="IR127" s="154">
        <v>0</v>
      </c>
      <c r="IS127" s="154">
        <v>0</v>
      </c>
      <c r="IT127" s="204">
        <f>+SUBTOTAL(9,IH127:IS127)</f>
        <v>0</v>
      </c>
      <c r="IU127" s="205"/>
      <c r="IV127" s="163">
        <v>0</v>
      </c>
      <c r="IW127" s="164">
        <v>0</v>
      </c>
      <c r="IX127" s="154">
        <v>0</v>
      </c>
      <c r="IY127" s="154">
        <v>0</v>
      </c>
      <c r="IZ127" s="154">
        <v>0</v>
      </c>
      <c r="JA127" s="154">
        <v>0</v>
      </c>
      <c r="JB127" s="154">
        <v>0</v>
      </c>
      <c r="JC127" s="154">
        <v>0</v>
      </c>
      <c r="JD127" s="154">
        <v>0</v>
      </c>
      <c r="JE127" s="154">
        <v>0</v>
      </c>
      <c r="JF127" s="154">
        <v>0</v>
      </c>
      <c r="JG127" s="154">
        <v>0</v>
      </c>
      <c r="JH127" s="204">
        <f>+SUBTOTAL(9,IV127:JG127)</f>
        <v>0</v>
      </c>
      <c r="JI127" s="205"/>
      <c r="JJ127" s="163">
        <v>0</v>
      </c>
      <c r="JK127" s="164">
        <v>0</v>
      </c>
      <c r="JL127" s="154">
        <v>0</v>
      </c>
      <c r="JM127" s="154">
        <v>0</v>
      </c>
      <c r="JN127" s="154">
        <v>0</v>
      </c>
      <c r="JO127" s="154">
        <v>0</v>
      </c>
      <c r="JP127" s="154">
        <v>0</v>
      </c>
      <c r="JQ127" s="154">
        <v>0</v>
      </c>
      <c r="JR127" s="154">
        <v>0</v>
      </c>
      <c r="JS127" s="154">
        <v>0</v>
      </c>
      <c r="JT127" s="154">
        <v>0</v>
      </c>
      <c r="JU127" s="154">
        <v>0</v>
      </c>
      <c r="JV127" s="204">
        <f>+SUBTOTAL(9,JJ127:JU127)</f>
        <v>0</v>
      </c>
      <c r="JW127" s="205"/>
      <c r="JX127" s="163">
        <v>0</v>
      </c>
      <c r="JY127" s="164">
        <v>0</v>
      </c>
      <c r="JZ127" s="154">
        <v>0</v>
      </c>
      <c r="KA127" s="154">
        <v>0</v>
      </c>
      <c r="KB127" s="154">
        <v>0</v>
      </c>
      <c r="KC127" s="154">
        <v>0</v>
      </c>
      <c r="KD127" s="154">
        <v>0</v>
      </c>
      <c r="KE127" s="154">
        <v>0</v>
      </c>
      <c r="KF127" s="154">
        <v>0</v>
      </c>
      <c r="KG127" s="154">
        <v>0</v>
      </c>
      <c r="KH127" s="154">
        <v>0</v>
      </c>
      <c r="KI127" s="154">
        <v>0</v>
      </c>
      <c r="KJ127" s="204">
        <f>+SUBTOTAL(9,JX127:KI127)</f>
        <v>0</v>
      </c>
      <c r="KK127" s="205"/>
      <c r="KL127" s="163">
        <v>0</v>
      </c>
      <c r="KM127" s="164">
        <v>0</v>
      </c>
      <c r="KN127" s="154">
        <v>0</v>
      </c>
      <c r="KO127" s="154">
        <v>0</v>
      </c>
      <c r="KP127" s="154">
        <v>0</v>
      </c>
      <c r="KQ127" s="154">
        <v>0</v>
      </c>
      <c r="KR127" s="154">
        <v>0</v>
      </c>
      <c r="KS127" s="154">
        <v>0</v>
      </c>
      <c r="KT127" s="154">
        <v>0</v>
      </c>
      <c r="KU127" s="154">
        <v>0</v>
      </c>
      <c r="KV127" s="154">
        <v>0</v>
      </c>
      <c r="KW127" s="154">
        <v>0</v>
      </c>
      <c r="KX127" s="204">
        <f>+SUBTOTAL(9,KL127:KW127)</f>
        <v>0</v>
      </c>
      <c r="KY127" s="205"/>
      <c r="KZ127" s="163">
        <v>0</v>
      </c>
      <c r="LA127" s="164">
        <v>0</v>
      </c>
      <c r="LB127" s="154">
        <v>0</v>
      </c>
      <c r="LC127" s="154">
        <v>0</v>
      </c>
      <c r="LD127" s="154">
        <v>0</v>
      </c>
      <c r="LE127" s="154">
        <v>0</v>
      </c>
      <c r="LF127" s="154">
        <v>0</v>
      </c>
      <c r="LG127" s="154">
        <v>0</v>
      </c>
      <c r="LH127" s="154">
        <v>0</v>
      </c>
      <c r="LI127" s="154">
        <v>0</v>
      </c>
      <c r="LJ127" s="154">
        <v>0</v>
      </c>
      <c r="LK127" s="154">
        <v>0</v>
      </c>
      <c r="LL127" s="204">
        <f>+SUBTOTAL(9,KZ127:LK127)</f>
        <v>0</v>
      </c>
      <c r="LM127" s="205"/>
      <c r="LN127" s="163">
        <v>0</v>
      </c>
      <c r="LO127" s="164">
        <v>0</v>
      </c>
      <c r="LP127" s="154">
        <v>0</v>
      </c>
      <c r="LQ127" s="154">
        <v>0</v>
      </c>
      <c r="LR127" s="154">
        <v>0</v>
      </c>
      <c r="LS127" s="154">
        <v>0</v>
      </c>
      <c r="LT127" s="154">
        <v>0</v>
      </c>
      <c r="LU127" s="154">
        <v>0</v>
      </c>
      <c r="LV127" s="154">
        <v>0</v>
      </c>
      <c r="LW127" s="154">
        <v>0</v>
      </c>
      <c r="LX127" s="154">
        <v>0</v>
      </c>
      <c r="LY127" s="154">
        <v>0</v>
      </c>
      <c r="LZ127" s="204">
        <f>+SUBTOTAL(9,LN127:LY127)</f>
        <v>0</v>
      </c>
      <c r="MA127" s="205"/>
      <c r="MB127" s="157">
        <f t="shared" si="507"/>
        <v>0</v>
      </c>
      <c r="MC127" s="157">
        <f t="shared" si="507"/>
        <v>0</v>
      </c>
      <c r="MD127" s="157">
        <f t="shared" si="507"/>
        <v>0</v>
      </c>
      <c r="ME127" s="157">
        <f t="shared" si="507"/>
        <v>0</v>
      </c>
      <c r="MF127" s="157">
        <f t="shared" si="507"/>
        <v>0</v>
      </c>
      <c r="MG127" s="157">
        <f t="shared" si="507"/>
        <v>0</v>
      </c>
      <c r="MH127" s="157">
        <f t="shared" si="507"/>
        <v>0</v>
      </c>
      <c r="MI127" s="157">
        <f t="shared" si="507"/>
        <v>0</v>
      </c>
      <c r="MJ127" s="157">
        <f t="shared" si="507"/>
        <v>0</v>
      </c>
      <c r="MK127" s="157">
        <f t="shared" si="507"/>
        <v>0</v>
      </c>
      <c r="ML127" s="157">
        <f t="shared" si="507"/>
        <v>0</v>
      </c>
      <c r="MM127" s="157">
        <f t="shared" si="507"/>
        <v>0</v>
      </c>
      <c r="MN127" s="157">
        <f t="shared" ref="MN127" si="509">SUM(MB127:MM127)</f>
        <v>0</v>
      </c>
    </row>
    <row r="128" spans="1:352" hidden="1" x14ac:dyDescent="0.25">
      <c r="A128" s="98"/>
      <c r="B128" s="64"/>
      <c r="C128" s="98"/>
      <c r="D128" s="153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7"/>
      <c r="Q128" s="161"/>
      <c r="R128" s="153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7"/>
      <c r="AE128" s="161"/>
      <c r="AF128" s="153"/>
      <c r="AG128" s="154"/>
      <c r="AH128" s="154"/>
      <c r="AI128" s="154"/>
      <c r="AJ128" s="154"/>
      <c r="AK128" s="154"/>
      <c r="AL128" s="154"/>
      <c r="AM128" s="154"/>
      <c r="AN128" s="154"/>
      <c r="AO128" s="154"/>
      <c r="AP128" s="154"/>
      <c r="AQ128" s="154"/>
      <c r="AR128" s="157"/>
      <c r="AT128" s="153"/>
      <c r="AU128" s="154"/>
      <c r="AV128" s="154"/>
      <c r="AW128" s="154"/>
      <c r="AX128" s="154"/>
      <c r="AY128" s="154"/>
      <c r="AZ128" s="154"/>
      <c r="BA128" s="154"/>
      <c r="BB128" s="154"/>
      <c r="BC128" s="154"/>
      <c r="BD128" s="154"/>
      <c r="BE128" s="154"/>
      <c r="BF128" s="157"/>
      <c r="BH128" s="153"/>
      <c r="BI128" s="154"/>
      <c r="BJ128" s="154"/>
      <c r="BK128" s="154"/>
      <c r="BL128" s="154"/>
      <c r="BM128" s="154"/>
      <c r="BN128" s="154"/>
      <c r="BO128" s="154"/>
      <c r="BP128" s="154"/>
      <c r="BQ128" s="154"/>
      <c r="BR128" s="154"/>
      <c r="BS128" s="154"/>
      <c r="BT128" s="157"/>
      <c r="BV128" s="153"/>
      <c r="BW128" s="154"/>
      <c r="BX128" s="154"/>
      <c r="BY128" s="154"/>
      <c r="BZ128" s="154"/>
      <c r="CA128" s="154"/>
      <c r="CB128" s="154"/>
      <c r="CC128" s="154"/>
      <c r="CD128" s="154"/>
      <c r="CE128" s="154"/>
      <c r="CF128" s="154"/>
      <c r="CG128" s="154"/>
      <c r="CH128" s="157"/>
      <c r="CI128" s="161"/>
      <c r="CJ128" s="153"/>
      <c r="CK128" s="154"/>
      <c r="CL128" s="154"/>
      <c r="CM128" s="154"/>
      <c r="CN128" s="154"/>
      <c r="CO128" s="154"/>
      <c r="CP128" s="154"/>
      <c r="CQ128" s="154"/>
      <c r="CR128" s="154"/>
      <c r="CS128" s="154"/>
      <c r="CT128" s="154"/>
      <c r="CU128" s="154"/>
      <c r="CV128" s="157"/>
      <c r="CW128" s="161"/>
      <c r="CX128" s="153"/>
      <c r="CY128" s="154"/>
      <c r="CZ128" s="154"/>
      <c r="DA128" s="154"/>
      <c r="DB128" s="154"/>
      <c r="DC128" s="154"/>
      <c r="DD128" s="154"/>
      <c r="DE128" s="154"/>
      <c r="DF128" s="154"/>
      <c r="DG128" s="154"/>
      <c r="DH128" s="154"/>
      <c r="DI128" s="154"/>
      <c r="DJ128" s="157"/>
      <c r="DK128" s="161"/>
      <c r="DL128" s="153"/>
      <c r="DM128" s="154"/>
      <c r="DN128" s="154"/>
      <c r="DO128" s="154"/>
      <c r="DP128" s="154"/>
      <c r="DQ128" s="154"/>
      <c r="DR128" s="154"/>
      <c r="DS128" s="154"/>
      <c r="DT128" s="154"/>
      <c r="DU128" s="154"/>
      <c r="DV128" s="154"/>
      <c r="DW128" s="154"/>
      <c r="DX128" s="157"/>
      <c r="DY128" s="161"/>
      <c r="DZ128" s="153"/>
      <c r="EA128" s="154"/>
      <c r="EB128" s="154"/>
      <c r="EC128" s="154"/>
      <c r="ED128" s="154"/>
      <c r="EE128" s="154"/>
      <c r="EF128" s="154"/>
      <c r="EG128" s="154"/>
      <c r="EH128" s="154"/>
      <c r="EI128" s="154"/>
      <c r="EJ128" s="154"/>
      <c r="EK128" s="154"/>
      <c r="EL128" s="157"/>
      <c r="EM128" s="161"/>
      <c r="EN128" s="153"/>
      <c r="EO128" s="154"/>
      <c r="EP128" s="154"/>
      <c r="EQ128" s="154"/>
      <c r="ER128" s="154"/>
      <c r="ES128" s="154"/>
      <c r="ET128" s="154"/>
      <c r="EU128" s="154"/>
      <c r="EV128" s="154"/>
      <c r="EW128" s="154"/>
      <c r="EX128" s="154"/>
      <c r="EY128" s="154"/>
      <c r="EZ128" s="157"/>
      <c r="FA128" s="161"/>
      <c r="FB128" s="153"/>
      <c r="FC128" s="154"/>
      <c r="FD128" s="154"/>
      <c r="FE128" s="154"/>
      <c r="FF128" s="154"/>
      <c r="FG128" s="154"/>
      <c r="FH128" s="154"/>
      <c r="FI128" s="154"/>
      <c r="FJ128" s="154"/>
      <c r="FK128" s="154"/>
      <c r="FL128" s="154"/>
      <c r="FM128" s="154"/>
      <c r="FN128" s="157"/>
      <c r="FO128" s="161"/>
      <c r="FP128" s="153"/>
      <c r="FQ128" s="154"/>
      <c r="FR128" s="154"/>
      <c r="FS128" s="154"/>
      <c r="FT128" s="154"/>
      <c r="FU128" s="154"/>
      <c r="FV128" s="154"/>
      <c r="FW128" s="154"/>
      <c r="FX128" s="154"/>
      <c r="FY128" s="154"/>
      <c r="FZ128" s="154"/>
      <c r="GA128" s="154"/>
      <c r="GB128" s="157"/>
      <c r="GC128" s="161"/>
      <c r="GD128" s="153"/>
      <c r="GE128" s="154"/>
      <c r="GF128" s="154"/>
      <c r="GG128" s="154"/>
      <c r="GH128" s="154"/>
      <c r="GI128" s="154"/>
      <c r="GJ128" s="154"/>
      <c r="GK128" s="154"/>
      <c r="GL128" s="154"/>
      <c r="GM128" s="154"/>
      <c r="GN128" s="154"/>
      <c r="GO128" s="154"/>
      <c r="GP128" s="157"/>
      <c r="GQ128" s="161"/>
      <c r="GR128" s="153"/>
      <c r="GS128" s="154"/>
      <c r="GT128" s="154"/>
      <c r="GU128" s="154"/>
      <c r="GV128" s="154"/>
      <c r="GW128" s="154"/>
      <c r="GX128" s="154"/>
      <c r="GY128" s="154"/>
      <c r="GZ128" s="154"/>
      <c r="HA128" s="154"/>
      <c r="HB128" s="154"/>
      <c r="HC128" s="154"/>
      <c r="HD128" s="157">
        <f t="shared" si="293"/>
        <v>0</v>
      </c>
      <c r="HE128" s="161"/>
      <c r="HF128" s="153"/>
      <c r="HG128" s="154"/>
      <c r="HH128" s="154"/>
      <c r="HI128" s="154"/>
      <c r="HJ128" s="154"/>
      <c r="HK128" s="154"/>
      <c r="HL128" s="154"/>
      <c r="HM128" s="154"/>
      <c r="HN128" s="154"/>
      <c r="HO128" s="154"/>
      <c r="HP128" s="154"/>
      <c r="HQ128" s="154"/>
      <c r="HR128" s="157"/>
      <c r="HS128" s="161"/>
      <c r="HT128" s="153"/>
      <c r="HU128" s="154"/>
      <c r="HV128" s="154"/>
      <c r="HW128" s="154"/>
      <c r="HX128" s="154"/>
      <c r="HY128" s="154"/>
      <c r="HZ128" s="154"/>
      <c r="IA128" s="154"/>
      <c r="IB128" s="154"/>
      <c r="IC128" s="154"/>
      <c r="ID128" s="154"/>
      <c r="IE128" s="154"/>
      <c r="IF128" s="157"/>
      <c r="IG128" s="161"/>
      <c r="IH128" s="153"/>
      <c r="II128" s="154"/>
      <c r="IJ128" s="154"/>
      <c r="IK128" s="154"/>
      <c r="IL128" s="154"/>
      <c r="IM128" s="154"/>
      <c r="IN128" s="154"/>
      <c r="IO128" s="154"/>
      <c r="IP128" s="154"/>
      <c r="IQ128" s="154"/>
      <c r="IR128" s="154"/>
      <c r="IS128" s="154"/>
      <c r="IT128" s="157"/>
      <c r="IU128" s="161"/>
      <c r="IV128" s="153"/>
      <c r="IW128" s="154"/>
      <c r="IX128" s="154"/>
      <c r="IY128" s="154"/>
      <c r="IZ128" s="154"/>
      <c r="JA128" s="154"/>
      <c r="JB128" s="154"/>
      <c r="JC128" s="154"/>
      <c r="JD128" s="154"/>
      <c r="JE128" s="154"/>
      <c r="JF128" s="154"/>
      <c r="JG128" s="154"/>
      <c r="JH128" s="157"/>
      <c r="JI128" s="161"/>
      <c r="JJ128" s="153"/>
      <c r="JK128" s="154"/>
      <c r="JL128" s="154"/>
      <c r="JM128" s="154"/>
      <c r="JN128" s="154"/>
      <c r="JO128" s="154"/>
      <c r="JP128" s="154"/>
      <c r="JQ128" s="154"/>
      <c r="JR128" s="154"/>
      <c r="JS128" s="154"/>
      <c r="JT128" s="154"/>
      <c r="JU128" s="154"/>
      <c r="JV128" s="157"/>
      <c r="JW128" s="161"/>
      <c r="JX128" s="153"/>
      <c r="JY128" s="154"/>
      <c r="JZ128" s="154"/>
      <c r="KA128" s="154"/>
      <c r="KB128" s="154"/>
      <c r="KC128" s="154"/>
      <c r="KD128" s="154"/>
      <c r="KE128" s="154"/>
      <c r="KF128" s="154"/>
      <c r="KG128" s="154"/>
      <c r="KH128" s="154"/>
      <c r="KI128" s="154"/>
      <c r="KJ128" s="157"/>
      <c r="KK128" s="161"/>
      <c r="KL128" s="153"/>
      <c r="KM128" s="154"/>
      <c r="KN128" s="154"/>
      <c r="KO128" s="154"/>
      <c r="KP128" s="154"/>
      <c r="KQ128" s="154"/>
      <c r="KR128" s="154"/>
      <c r="KS128" s="154"/>
      <c r="KT128" s="154"/>
      <c r="KU128" s="154"/>
      <c r="KV128" s="154"/>
      <c r="KW128" s="154"/>
      <c r="KX128" s="157"/>
      <c r="KY128" s="161"/>
      <c r="KZ128" s="153"/>
      <c r="LA128" s="154"/>
      <c r="LB128" s="154"/>
      <c r="LC128" s="154"/>
      <c r="LD128" s="154"/>
      <c r="LE128" s="154"/>
      <c r="LF128" s="154"/>
      <c r="LG128" s="154"/>
      <c r="LH128" s="154"/>
      <c r="LI128" s="154"/>
      <c r="LJ128" s="154"/>
      <c r="LK128" s="154"/>
      <c r="LL128" s="157"/>
      <c r="LM128" s="161"/>
      <c r="LN128" s="153"/>
      <c r="LO128" s="154"/>
      <c r="LP128" s="154"/>
      <c r="LQ128" s="154"/>
      <c r="LR128" s="154"/>
      <c r="LS128" s="154"/>
      <c r="LT128" s="154"/>
      <c r="LU128" s="154"/>
      <c r="LV128" s="154"/>
      <c r="LW128" s="154"/>
      <c r="LX128" s="154"/>
      <c r="LY128" s="154"/>
      <c r="LZ128" s="157"/>
      <c r="MA128" s="161"/>
      <c r="MB128" s="157"/>
      <c r="MC128" s="157"/>
      <c r="MD128" s="157"/>
      <c r="ME128" s="157"/>
      <c r="MF128" s="157"/>
      <c r="MG128" s="157"/>
      <c r="MH128" s="157"/>
      <c r="MI128" s="157"/>
      <c r="MJ128" s="157"/>
      <c r="MK128" s="157"/>
      <c r="ML128" s="157"/>
      <c r="MM128" s="157"/>
      <c r="MN128" s="157"/>
    </row>
    <row r="129" spans="1:352" ht="14.5" hidden="1" thickBot="1" x14ac:dyDescent="0.3">
      <c r="A129" s="98"/>
      <c r="B129" s="64"/>
      <c r="C129" s="98"/>
      <c r="D129" s="247">
        <f>SUM(D124:D128)</f>
        <v>-3298957.6215942521</v>
      </c>
      <c r="E129" s="248">
        <f t="shared" ref="E129:P129" si="510">SUM(E124:E128)</f>
        <v>-3167949.9854084216</v>
      </c>
      <c r="F129" s="248">
        <f t="shared" si="510"/>
        <v>-3184180.0526285511</v>
      </c>
      <c r="G129" s="248">
        <f t="shared" si="510"/>
        <v>-3154556.6438792683</v>
      </c>
      <c r="H129" s="248">
        <f t="shared" si="510"/>
        <v>-3158609.6193159856</v>
      </c>
      <c r="I129" s="248">
        <f t="shared" si="510"/>
        <v>-3159695.2030887473</v>
      </c>
      <c r="J129" s="248">
        <f t="shared" si="510"/>
        <v>-3200437.9141530246</v>
      </c>
      <c r="K129" s="248">
        <f t="shared" si="510"/>
        <v>-3243172.3440530356</v>
      </c>
      <c r="L129" s="248">
        <f t="shared" si="510"/>
        <v>-3373849.7185518695</v>
      </c>
      <c r="M129" s="248">
        <f t="shared" si="510"/>
        <v>-3230325.3602165361</v>
      </c>
      <c r="N129" s="248">
        <f t="shared" si="510"/>
        <v>-3089463.1935882033</v>
      </c>
      <c r="O129" s="248">
        <f t="shared" si="510"/>
        <v>-3021778.4556166413</v>
      </c>
      <c r="P129" s="249">
        <f t="shared" si="510"/>
        <v>-34314348.317845352</v>
      </c>
      <c r="Q129" s="213"/>
      <c r="R129" s="247">
        <f>SUM(R124:R128)</f>
        <v>-287806.32041319844</v>
      </c>
      <c r="S129" s="248">
        <f t="shared" ref="S129:AD129" si="511">SUM(S124:S128)</f>
        <v>-274671.82218707813</v>
      </c>
      <c r="T129" s="248">
        <f t="shared" si="511"/>
        <v>-276284.99586502259</v>
      </c>
      <c r="U129" s="248">
        <f t="shared" si="511"/>
        <v>-273286.30409785535</v>
      </c>
      <c r="V129" s="248">
        <f t="shared" si="511"/>
        <v>-273705.57741889503</v>
      </c>
      <c r="W129" s="248">
        <f t="shared" si="511"/>
        <v>-273817.87918849103</v>
      </c>
      <c r="X129" s="248">
        <f t="shared" si="511"/>
        <v>-277885.6659606577</v>
      </c>
      <c r="Y129" s="248">
        <f t="shared" si="511"/>
        <v>-282035.53284686577</v>
      </c>
      <c r="Z129" s="248">
        <f t="shared" si="511"/>
        <v>-295592.58710536582</v>
      </c>
      <c r="AA129" s="248">
        <f t="shared" si="511"/>
        <v>-280745.23969136574</v>
      </c>
      <c r="AB129" s="248">
        <f t="shared" si="511"/>
        <v>-266339.72366084857</v>
      </c>
      <c r="AC129" s="248">
        <f t="shared" si="511"/>
        <v>-259333.98369827325</v>
      </c>
      <c r="AD129" s="249">
        <f t="shared" si="511"/>
        <v>-3321505.6321339188</v>
      </c>
      <c r="AE129" s="213"/>
      <c r="AF129" s="247">
        <f>SUM(AF124:AF128)</f>
        <v>-289140.53931319847</v>
      </c>
      <c r="AG129" s="248">
        <f t="shared" ref="AG129:AR129" si="512">SUM(AG124:AG128)</f>
        <v>-276006.04108707811</v>
      </c>
      <c r="AH129" s="248">
        <f t="shared" si="512"/>
        <v>-277619.21476502257</v>
      </c>
      <c r="AI129" s="248">
        <f t="shared" si="512"/>
        <v>-274620.52299785533</v>
      </c>
      <c r="AJ129" s="248">
        <f t="shared" si="512"/>
        <v>-275039.79631889507</v>
      </c>
      <c r="AK129" s="248">
        <f t="shared" si="512"/>
        <v>-275152.09808849107</v>
      </c>
      <c r="AL129" s="248">
        <f t="shared" si="512"/>
        <v>-279219.88486065768</v>
      </c>
      <c r="AM129" s="248">
        <f t="shared" si="512"/>
        <v>-283369.75174686575</v>
      </c>
      <c r="AN129" s="248">
        <f t="shared" si="512"/>
        <v>-296926.8060053658</v>
      </c>
      <c r="AO129" s="248">
        <f t="shared" si="512"/>
        <v>-282079.45859136578</v>
      </c>
      <c r="AP129" s="248">
        <f t="shared" si="512"/>
        <v>-267673.94256084855</v>
      </c>
      <c r="AQ129" s="248">
        <f t="shared" si="512"/>
        <v>-260668.20259827323</v>
      </c>
      <c r="AR129" s="249">
        <f t="shared" si="512"/>
        <v>-3337516.258933919</v>
      </c>
      <c r="AT129" s="247">
        <f>SUM(AT124:AT128)</f>
        <v>-694240.58867546567</v>
      </c>
      <c r="AU129" s="248">
        <f t="shared" ref="AU129:BF129" si="513">SUM(AU124:AU128)</f>
        <v>-685484.2565247186</v>
      </c>
      <c r="AV129" s="248">
        <f t="shared" si="513"/>
        <v>-686559.70564334828</v>
      </c>
      <c r="AW129" s="248">
        <f t="shared" si="513"/>
        <v>-684560.57779857016</v>
      </c>
      <c r="AX129" s="248">
        <f t="shared" si="513"/>
        <v>-684840.09334592998</v>
      </c>
      <c r="AY129" s="248">
        <f t="shared" si="513"/>
        <v>-684914.96119232732</v>
      </c>
      <c r="AZ129" s="248">
        <f t="shared" si="513"/>
        <v>-688124.93740710511</v>
      </c>
      <c r="BA129" s="248">
        <f t="shared" si="513"/>
        <v>-690891.51533124386</v>
      </c>
      <c r="BB129" s="248">
        <f t="shared" si="513"/>
        <v>-699929.55150357704</v>
      </c>
      <c r="BC129" s="248">
        <f t="shared" si="513"/>
        <v>-690031.31989424385</v>
      </c>
      <c r="BD129" s="248">
        <f t="shared" si="513"/>
        <v>-680427.64254056569</v>
      </c>
      <c r="BE129" s="248">
        <f t="shared" si="513"/>
        <v>-675757.14923218207</v>
      </c>
      <c r="BF129" s="249">
        <f t="shared" si="513"/>
        <v>-8245762.2990892772</v>
      </c>
      <c r="BH129" s="247">
        <f>SUM(BH124:BH128)</f>
        <v>-3861516.6614659922</v>
      </c>
      <c r="BI129" s="248">
        <f t="shared" ref="BI129:BT129" si="514">SUM(BI124:BI128)</f>
        <v>-3795597.2313353908</v>
      </c>
      <c r="BJ129" s="248">
        <f t="shared" si="514"/>
        <v>-3803663.0997251133</v>
      </c>
      <c r="BK129" s="248">
        <f t="shared" si="514"/>
        <v>-3788669.6408892768</v>
      </c>
      <c r="BL129" s="248">
        <f t="shared" si="514"/>
        <v>-3790766.0074944748</v>
      </c>
      <c r="BM129" s="248">
        <f t="shared" si="514"/>
        <v>-3791327.5163424551</v>
      </c>
      <c r="BN129" s="248">
        <f t="shared" si="514"/>
        <v>-3812856.9955032887</v>
      </c>
      <c r="BO129" s="248">
        <f t="shared" si="514"/>
        <v>-3833606.3299343288</v>
      </c>
      <c r="BP129" s="248">
        <f t="shared" si="514"/>
        <v>-3901391.601226829</v>
      </c>
      <c r="BQ129" s="248">
        <f t="shared" si="514"/>
        <v>-3826107.2441568291</v>
      </c>
      <c r="BR129" s="248">
        <f t="shared" si="514"/>
        <v>-3755127.2840042431</v>
      </c>
      <c r="BS129" s="248">
        <f t="shared" si="514"/>
        <v>-3720098.5841913661</v>
      </c>
      <c r="BT129" s="249">
        <f t="shared" si="514"/>
        <v>-45680728.196269579</v>
      </c>
      <c r="BV129" s="247">
        <f>SUM(BV124:BV128)</f>
        <v>-678548.35073773284</v>
      </c>
      <c r="BW129" s="248">
        <f t="shared" ref="BW129:CH129" si="515">SUM(BW124:BW128)</f>
        <v>-673047.73466235935</v>
      </c>
      <c r="BX129" s="248">
        <f t="shared" si="515"/>
        <v>-673585.45922167413</v>
      </c>
      <c r="BY129" s="248">
        <f t="shared" si="515"/>
        <v>-672585.89529928507</v>
      </c>
      <c r="BZ129" s="248">
        <f t="shared" si="515"/>
        <v>-672725.65307296498</v>
      </c>
      <c r="CA129" s="248">
        <f t="shared" si="515"/>
        <v>-672763.08699616371</v>
      </c>
      <c r="CB129" s="248">
        <f t="shared" si="515"/>
        <v>-674589.94605355256</v>
      </c>
      <c r="CC129" s="248">
        <f t="shared" si="515"/>
        <v>-677095.68501562194</v>
      </c>
      <c r="CD129" s="248">
        <f t="shared" si="515"/>
        <v>-680492.25310178858</v>
      </c>
      <c r="CE129" s="248">
        <f t="shared" si="515"/>
        <v>-675543.13729712181</v>
      </c>
      <c r="CF129" s="248">
        <f t="shared" si="515"/>
        <v>-670741.29862028291</v>
      </c>
      <c r="CG129" s="248">
        <f t="shared" si="515"/>
        <v>-668406.05196609104</v>
      </c>
      <c r="CH129" s="249">
        <f t="shared" si="515"/>
        <v>-8090124.5520446394</v>
      </c>
      <c r="CI129" s="213"/>
      <c r="CJ129" s="247">
        <f>SUM(CJ124:CJ128)</f>
        <v>-1837844.7706150613</v>
      </c>
      <c r="CK129" s="248">
        <f t="shared" ref="CK129:CV129" si="516">SUM(CK124:CK128)</f>
        <v>-1789684.9437859533</v>
      </c>
      <c r="CL129" s="248">
        <f t="shared" si="516"/>
        <v>-1795599.9139384162</v>
      </c>
      <c r="CM129" s="248">
        <f t="shared" si="516"/>
        <v>-1784604.7107921364</v>
      </c>
      <c r="CN129" s="248">
        <f t="shared" si="516"/>
        <v>-1786142.0463026152</v>
      </c>
      <c r="CO129" s="248">
        <f t="shared" si="516"/>
        <v>-1786553.8194578008</v>
      </c>
      <c r="CP129" s="248">
        <f t="shared" si="516"/>
        <v>-1802019.5369890784</v>
      </c>
      <c r="CQ129" s="248">
        <f t="shared" si="516"/>
        <v>-1817235.7155718417</v>
      </c>
      <c r="CR129" s="248">
        <f t="shared" si="516"/>
        <v>-1866944.9145196746</v>
      </c>
      <c r="CS129" s="248">
        <f t="shared" si="516"/>
        <v>-1812504.6406683414</v>
      </c>
      <c r="CT129" s="248">
        <f t="shared" si="516"/>
        <v>-1759684.4152231116</v>
      </c>
      <c r="CU129" s="248">
        <f t="shared" si="516"/>
        <v>-1733996.7020270019</v>
      </c>
      <c r="CV129" s="249">
        <f t="shared" si="516"/>
        <v>-21572816.129891034</v>
      </c>
      <c r="CW129" s="213"/>
      <c r="CX129" s="247">
        <f>SUM(CX124:CX128)</f>
        <v>-4142355.688456519</v>
      </c>
      <c r="CY129" s="248">
        <f t="shared" ref="CY129:DJ129" si="517">SUM(CY124:CY128)</f>
        <v>-4014042.5433460623</v>
      </c>
      <c r="CZ129" s="248">
        <f t="shared" si="517"/>
        <v>-4029734.8860068768</v>
      </c>
      <c r="DA129" s="248">
        <f t="shared" si="517"/>
        <v>-4001111.0411799834</v>
      </c>
      <c r="DB129" s="248">
        <f t="shared" si="517"/>
        <v>-4005024.2588430201</v>
      </c>
      <c r="DC129" s="248">
        <f t="shared" si="517"/>
        <v>-4006072.4086925834</v>
      </c>
      <c r="DD129" s="248">
        <f t="shared" si="517"/>
        <v>-4046326.9693994722</v>
      </c>
      <c r="DE129" s="248">
        <f t="shared" si="517"/>
        <v>-4089361.7853374141</v>
      </c>
      <c r="DF129" s="248">
        <f t="shared" si="517"/>
        <v>-4213836.4667500816</v>
      </c>
      <c r="DG129" s="248">
        <f t="shared" si="517"/>
        <v>-4075785.034219414</v>
      </c>
      <c r="DH129" s="248">
        <f t="shared" si="517"/>
        <v>-3939200.8962679198</v>
      </c>
      <c r="DI129" s="248">
        <f t="shared" si="517"/>
        <v>-3873851.4049505498</v>
      </c>
      <c r="DJ129" s="249">
        <f t="shared" si="517"/>
        <v>-48436703.383449905</v>
      </c>
      <c r="DK129" s="213"/>
      <c r="DL129" s="247">
        <f>SUM(DL124:DL128)</f>
        <v>-2934051.3018357186</v>
      </c>
      <c r="DM129" s="248">
        <f t="shared" ref="DM129:DX129" si="518">SUM(DM124:DM128)</f>
        <v>-2697638.1221260624</v>
      </c>
      <c r="DN129" s="248">
        <f t="shared" si="518"/>
        <v>-2696869.4811148769</v>
      </c>
      <c r="DO129" s="248">
        <f t="shared" si="518"/>
        <v>-2574497.2952799825</v>
      </c>
      <c r="DP129" s="248">
        <f t="shared" si="518"/>
        <v>-2578410.5129430201</v>
      </c>
      <c r="DQ129" s="248">
        <f t="shared" si="518"/>
        <v>-2579458.662792583</v>
      </c>
      <c r="DR129" s="248">
        <f t="shared" si="518"/>
        <v>-2840318.367178672</v>
      </c>
      <c r="DS129" s="248">
        <f t="shared" si="518"/>
        <v>-2656385.9928374137</v>
      </c>
      <c r="DT129" s="248">
        <f t="shared" si="518"/>
        <v>-2782357.2742500808</v>
      </c>
      <c r="DU129" s="248">
        <f t="shared" si="518"/>
        <v>-2642734.4117194135</v>
      </c>
      <c r="DV129" s="248">
        <f t="shared" si="518"/>
        <v>-2509330.5487679201</v>
      </c>
      <c r="DW129" s="248">
        <f t="shared" si="518"/>
        <v>-2443943.6424505501</v>
      </c>
      <c r="DX129" s="249">
        <f t="shared" si="518"/>
        <v>-31935995.6132963</v>
      </c>
      <c r="DY129" s="213"/>
      <c r="DZ129" s="247">
        <f>SUM(DZ124:DZ128)</f>
        <v>-319302.99013773282</v>
      </c>
      <c r="EA129" s="248">
        <f t="shared" ref="EA129:EL129" si="519">SUM(EA124:EA128)</f>
        <v>-314924.82406235934</v>
      </c>
      <c r="EB129" s="248">
        <f t="shared" si="519"/>
        <v>-315462.54862167418</v>
      </c>
      <c r="EC129" s="248">
        <f t="shared" si="519"/>
        <v>-515351.66256328521</v>
      </c>
      <c r="ED129" s="248">
        <f t="shared" si="519"/>
        <v>-314602.74247296498</v>
      </c>
      <c r="EE129" s="248">
        <f t="shared" si="519"/>
        <v>-314640.17639616365</v>
      </c>
      <c r="EF129" s="248">
        <f t="shared" si="519"/>
        <v>-316247.03525355255</v>
      </c>
      <c r="EG129" s="248">
        <f t="shared" si="519"/>
        <v>-317630.32421562192</v>
      </c>
      <c r="EH129" s="248">
        <f t="shared" si="519"/>
        <v>-322149.34230178857</v>
      </c>
      <c r="EI129" s="248">
        <f t="shared" si="519"/>
        <v>-317200.22649712185</v>
      </c>
      <c r="EJ129" s="248">
        <f t="shared" si="519"/>
        <v>-312398.38782028283</v>
      </c>
      <c r="EK129" s="248">
        <f t="shared" si="519"/>
        <v>-310063.14116609108</v>
      </c>
      <c r="EL129" s="249">
        <f t="shared" si="519"/>
        <v>-3989973.4015086391</v>
      </c>
      <c r="EM129" s="213"/>
      <c r="EN129" s="247">
        <f>SUM(EN124:EN128)</f>
        <v>-472621.81577546563</v>
      </c>
      <c r="EO129" s="248">
        <f t="shared" ref="EO129:EZ129" si="520">SUM(EO124:EO128)</f>
        <v>-463865.48362471868</v>
      </c>
      <c r="EP129" s="248">
        <f t="shared" si="520"/>
        <v>-464940.9327433483</v>
      </c>
      <c r="EQ129" s="248">
        <f t="shared" si="520"/>
        <v>-462941.80489857018</v>
      </c>
      <c r="ER129" s="248">
        <f t="shared" si="520"/>
        <v>-463221.32044593</v>
      </c>
      <c r="ES129" s="248">
        <f t="shared" si="520"/>
        <v>-463296.18829232728</v>
      </c>
      <c r="ET129" s="248">
        <f t="shared" si="520"/>
        <v>-466506.16450710513</v>
      </c>
      <c r="EU129" s="248">
        <f t="shared" si="520"/>
        <v>-469272.74243124382</v>
      </c>
      <c r="EV129" s="248">
        <f t="shared" si="520"/>
        <v>-478310.77860357711</v>
      </c>
      <c r="EW129" s="248">
        <f t="shared" si="520"/>
        <v>-468412.54699424375</v>
      </c>
      <c r="EX129" s="248">
        <f t="shared" si="520"/>
        <v>-458808.86964056559</v>
      </c>
      <c r="EY129" s="248">
        <f t="shared" si="520"/>
        <v>-454138.37633218209</v>
      </c>
      <c r="EZ129" s="249">
        <f t="shared" si="520"/>
        <v>-5586337.0242892783</v>
      </c>
      <c r="FA129" s="213"/>
      <c r="FB129" s="247">
        <f>SUM(FB124:FB128)</f>
        <v>-103332.38563773283</v>
      </c>
      <c r="FC129" s="248">
        <f t="shared" ref="FC129:FN129" si="521">SUM(FC124:FC128)</f>
        <v>-98954.219562359358</v>
      </c>
      <c r="FD129" s="248">
        <f t="shared" si="521"/>
        <v>-99491.944121674183</v>
      </c>
      <c r="FE129" s="248">
        <f t="shared" si="521"/>
        <v>-98492.380199285108</v>
      </c>
      <c r="FF129" s="248">
        <f t="shared" si="521"/>
        <v>-98632.137972965007</v>
      </c>
      <c r="FG129" s="248">
        <f t="shared" si="521"/>
        <v>-98669.571896163689</v>
      </c>
      <c r="FH129" s="248">
        <f t="shared" si="521"/>
        <v>-100052.68905355257</v>
      </c>
      <c r="FI129" s="248">
        <f t="shared" si="521"/>
        <v>-101435.97801562195</v>
      </c>
      <c r="FJ129" s="248">
        <f t="shared" si="521"/>
        <v>-105954.99610178859</v>
      </c>
      <c r="FK129" s="248">
        <f t="shared" si="521"/>
        <v>-101005.88029712194</v>
      </c>
      <c r="FL129" s="248">
        <f t="shared" si="521"/>
        <v>-96204.041620282864</v>
      </c>
      <c r="FM129" s="248">
        <f t="shared" si="521"/>
        <v>-93868.794966091082</v>
      </c>
      <c r="FN129" s="249">
        <f t="shared" si="521"/>
        <v>-1196095.0194446393</v>
      </c>
      <c r="FO129" s="213"/>
      <c r="FP129" s="247">
        <f>SUM(FP124:FP128)</f>
        <v>-1431537.2752641297</v>
      </c>
      <c r="FQ129" s="248">
        <f t="shared" ref="FQ129:GB129" si="522">SUM(FQ124:FQ128)</f>
        <v>-1396972.7622365155</v>
      </c>
      <c r="FR129" s="248">
        <f t="shared" si="522"/>
        <v>-1401372.8891517192</v>
      </c>
      <c r="FS129" s="248">
        <f t="shared" si="522"/>
        <v>-1393739.8866949959</v>
      </c>
      <c r="FT129" s="248">
        <f t="shared" si="522"/>
        <v>-1394718.1911107551</v>
      </c>
      <c r="FU129" s="248">
        <f t="shared" si="522"/>
        <v>-1394980.2285731458</v>
      </c>
      <c r="FV129" s="248">
        <f t="shared" si="522"/>
        <v>-1405938.6484748679</v>
      </c>
      <c r="FW129" s="248">
        <f t="shared" si="522"/>
        <v>-1418240.7212093535</v>
      </c>
      <c r="FX129" s="248">
        <f t="shared" si="522"/>
        <v>-1449499.6978125202</v>
      </c>
      <c r="FY129" s="248">
        <f t="shared" si="522"/>
        <v>-1415379.6971798535</v>
      </c>
      <c r="FZ129" s="248">
        <f t="shared" si="522"/>
        <v>-1379634.1714419799</v>
      </c>
      <c r="GA129" s="248">
        <f t="shared" si="522"/>
        <v>-1363324.8598626375</v>
      </c>
      <c r="GB129" s="249">
        <f t="shared" si="522"/>
        <v>-16845339.029012475</v>
      </c>
      <c r="GC129" s="213"/>
      <c r="GD129" s="247">
        <f>SUM(GD124:GD128)</f>
        <v>-655802.27563773282</v>
      </c>
      <c r="GE129" s="248">
        <f t="shared" ref="GE129:GP129" si="523">SUM(GE124:GE128)</f>
        <v>-655341.46006235934</v>
      </c>
      <c r="GF129" s="248">
        <f t="shared" si="523"/>
        <v>-655243.12962167419</v>
      </c>
      <c r="GG129" s="248">
        <f t="shared" si="523"/>
        <v>-654879.62069928506</v>
      </c>
      <c r="GH129" s="248">
        <f t="shared" si="523"/>
        <v>-655019.37847296498</v>
      </c>
      <c r="GI129" s="248">
        <f t="shared" si="523"/>
        <v>-655056.8123961637</v>
      </c>
      <c r="GJ129" s="248">
        <f t="shared" si="523"/>
        <v>-656200.47355355253</v>
      </c>
      <c r="GK129" s="248">
        <f t="shared" si="523"/>
        <v>-654964.71251562191</v>
      </c>
      <c r="GL129" s="248">
        <f t="shared" si="523"/>
        <v>-659857.88060178864</v>
      </c>
      <c r="GM129" s="248">
        <f t="shared" si="523"/>
        <v>-654384.95479712193</v>
      </c>
      <c r="GN129" s="248">
        <f t="shared" si="523"/>
        <v>-651715.77112028282</v>
      </c>
      <c r="GO129" s="248">
        <f t="shared" si="523"/>
        <v>-649343.10946609103</v>
      </c>
      <c r="GP129" s="249">
        <f t="shared" si="523"/>
        <v>-7857809.5789446393</v>
      </c>
      <c r="GQ129" s="213"/>
      <c r="GR129" s="247">
        <f>SUM(GR124:GR128)</f>
        <v>374257.41973189724</v>
      </c>
      <c r="GS129" s="248">
        <f t="shared" ref="GS129:HC129" si="524">SUM(GS124:GS128)</f>
        <v>446719.58152489725</v>
      </c>
      <c r="GT129" s="248">
        <f t="shared" si="524"/>
        <v>-1365035.5160420984</v>
      </c>
      <c r="GU129" s="248">
        <f t="shared" si="524"/>
        <v>-1360190.2361270986</v>
      </c>
      <c r="GV129" s="248">
        <f t="shared" si="524"/>
        <v>-1355311.1704670985</v>
      </c>
      <c r="GW129" s="248">
        <f t="shared" si="524"/>
        <v>-1350398.0870890985</v>
      </c>
      <c r="GX129" s="248">
        <f t="shared" si="524"/>
        <v>-1345450.7540200986</v>
      </c>
      <c r="GY129" s="248">
        <f t="shared" si="524"/>
        <v>-1340468.9318040987</v>
      </c>
      <c r="GZ129" s="248">
        <f t="shared" si="524"/>
        <v>-1335452.3809850984</v>
      </c>
      <c r="HA129" s="248">
        <f t="shared" si="524"/>
        <v>-1330400.8471410987</v>
      </c>
      <c r="HB129" s="248">
        <f t="shared" si="524"/>
        <v>-1325314.1057820986</v>
      </c>
      <c r="HC129" s="248">
        <f t="shared" si="524"/>
        <v>-1320191.8950030983</v>
      </c>
      <c r="HD129" s="249">
        <f t="shared" si="293"/>
        <v>0</v>
      </c>
      <c r="HE129" s="213"/>
      <c r="HF129" s="247">
        <f>SUM(HF124:HF128)</f>
        <v>-653829.42105093133</v>
      </c>
      <c r="HG129" s="248">
        <f t="shared" ref="HG129:HR129" si="525">SUM(HG124:HG128)</f>
        <v>-636316.75674943754</v>
      </c>
      <c r="HH129" s="248">
        <f t="shared" si="525"/>
        <v>-638467.65498669678</v>
      </c>
      <c r="HI129" s="248">
        <f t="shared" si="525"/>
        <v>-634469.39929714042</v>
      </c>
      <c r="HJ129" s="248">
        <f t="shared" si="525"/>
        <v>-635028.43039186008</v>
      </c>
      <c r="HK129" s="248">
        <f t="shared" si="525"/>
        <v>-635178.16608465486</v>
      </c>
      <c r="HL129" s="248">
        <f t="shared" si="525"/>
        <v>-641072.81191421032</v>
      </c>
      <c r="HM129" s="248">
        <f t="shared" si="525"/>
        <v>-646605.96776248771</v>
      </c>
      <c r="HN129" s="248">
        <f t="shared" si="525"/>
        <v>-664682.0401071544</v>
      </c>
      <c r="HO129" s="248">
        <f t="shared" si="525"/>
        <v>-644885.57688848779</v>
      </c>
      <c r="HP129" s="248">
        <f t="shared" si="525"/>
        <v>-625678.22218113148</v>
      </c>
      <c r="HQ129" s="248">
        <f t="shared" si="525"/>
        <v>-616337.23556436435</v>
      </c>
      <c r="HR129" s="249">
        <f t="shared" si="525"/>
        <v>-7672551.6829785556</v>
      </c>
      <c r="HS129" s="213"/>
      <c r="HT129" s="247">
        <f>SUM(HT124:HT128)</f>
        <v>-168714.34983773285</v>
      </c>
      <c r="HU129" s="248">
        <f t="shared" ref="HU129:IF129" si="526">SUM(HU124:HU128)</f>
        <v>-164336.18376235937</v>
      </c>
      <c r="HV129" s="248">
        <f t="shared" si="526"/>
        <v>-164873.90832167421</v>
      </c>
      <c r="HW129" s="248">
        <f t="shared" si="526"/>
        <v>-163874.3443992851</v>
      </c>
      <c r="HX129" s="248">
        <f t="shared" si="526"/>
        <v>-164014.10217296504</v>
      </c>
      <c r="HY129" s="248">
        <f t="shared" si="526"/>
        <v>-164051.53609616371</v>
      </c>
      <c r="HZ129" s="248">
        <f t="shared" si="526"/>
        <v>-165460.09545355258</v>
      </c>
      <c r="IA129" s="248">
        <f t="shared" si="526"/>
        <v>-166843.38441562193</v>
      </c>
      <c r="IB129" s="248">
        <f t="shared" si="526"/>
        <v>-171362.4025017886</v>
      </c>
      <c r="IC129" s="248">
        <f t="shared" si="526"/>
        <v>-166413.28669712195</v>
      </c>
      <c r="ID129" s="248">
        <f t="shared" si="526"/>
        <v>-161611.44802028287</v>
      </c>
      <c r="IE129" s="248">
        <f t="shared" si="526"/>
        <v>-159276.20136609109</v>
      </c>
      <c r="IF129" s="249">
        <f t="shared" si="526"/>
        <v>-1980831.243044639</v>
      </c>
      <c r="IG129" s="213"/>
      <c r="IH129" s="247">
        <f>SUM(IH124:IH128)</f>
        <v>-485685.99853773281</v>
      </c>
      <c r="II129" s="248">
        <f t="shared" ref="II129:IT129" si="527">SUM(II124:II128)</f>
        <v>-481307.83246235934</v>
      </c>
      <c r="IJ129" s="248">
        <f t="shared" si="527"/>
        <v>-481845.55702167418</v>
      </c>
      <c r="IK129" s="248">
        <f t="shared" si="527"/>
        <v>-480845.99309928512</v>
      </c>
      <c r="IL129" s="248">
        <f t="shared" si="527"/>
        <v>-480985.75087296497</v>
      </c>
      <c r="IM129" s="248">
        <f t="shared" si="527"/>
        <v>-481023.1847961637</v>
      </c>
      <c r="IN129" s="248">
        <f t="shared" si="527"/>
        <v>-482850.04385355255</v>
      </c>
      <c r="IO129" s="248">
        <f t="shared" si="527"/>
        <v>-484233.33281562198</v>
      </c>
      <c r="IP129" s="248">
        <f t="shared" si="527"/>
        <v>-488752.35090178862</v>
      </c>
      <c r="IQ129" s="248">
        <f t="shared" si="527"/>
        <v>-483803.23509712191</v>
      </c>
      <c r="IR129" s="248">
        <f t="shared" si="527"/>
        <v>-479001.39642028284</v>
      </c>
      <c r="IS129" s="248">
        <f t="shared" si="527"/>
        <v>-476666.14976609102</v>
      </c>
      <c r="IT129" s="249">
        <f t="shared" si="527"/>
        <v>-5787000.8256446403</v>
      </c>
      <c r="IU129" s="213"/>
      <c r="IV129" s="247">
        <f>SUM(IV124:IV128)</f>
        <v>-1545426.2903641297</v>
      </c>
      <c r="IW129" s="248">
        <f t="shared" ref="IW129:JH129" si="528">SUM(IW124:IW128)</f>
        <v>-1514779.1278365157</v>
      </c>
      <c r="IX129" s="248">
        <f t="shared" si="528"/>
        <v>-1518543.1997517194</v>
      </c>
      <c r="IY129" s="248">
        <f t="shared" si="528"/>
        <v>-1511546.2522949958</v>
      </c>
      <c r="IZ129" s="248">
        <f t="shared" si="528"/>
        <v>-1512524.556710755</v>
      </c>
      <c r="JA129" s="248">
        <f t="shared" si="528"/>
        <v>-1512786.5941731459</v>
      </c>
      <c r="JB129" s="248">
        <f t="shared" si="528"/>
        <v>-1523381.3402748681</v>
      </c>
      <c r="JC129" s="248">
        <f t="shared" si="528"/>
        <v>-1533064.3630093536</v>
      </c>
      <c r="JD129" s="248">
        <f t="shared" si="528"/>
        <v>-1564697.4896125202</v>
      </c>
      <c r="JE129" s="248">
        <f t="shared" si="528"/>
        <v>-1530053.6789798536</v>
      </c>
      <c r="JF129" s="248">
        <f t="shared" si="528"/>
        <v>-1496440.8082419799</v>
      </c>
      <c r="JG129" s="248">
        <f t="shared" si="528"/>
        <v>-1480094.0816626374</v>
      </c>
      <c r="JH129" s="249">
        <f t="shared" si="528"/>
        <v>-18243337.78291247</v>
      </c>
      <c r="JI129" s="213"/>
      <c r="JJ129" s="247">
        <f>SUM(JJ124:JJ128)</f>
        <v>-2143671.9874150609</v>
      </c>
      <c r="JK129" s="248">
        <f t="shared" ref="JK129:JV129" si="529">SUM(JK124:JK128)</f>
        <v>-2086622.3565859532</v>
      </c>
      <c r="JL129" s="248">
        <f t="shared" si="529"/>
        <v>-2093809.4367384161</v>
      </c>
      <c r="JM129" s="248">
        <f t="shared" si="529"/>
        <v>-2081542.1235921364</v>
      </c>
      <c r="JN129" s="248">
        <f t="shared" si="529"/>
        <v>-2083079.4591026152</v>
      </c>
      <c r="JO129" s="248">
        <f t="shared" si="529"/>
        <v>-2083491.2322578006</v>
      </c>
      <c r="JP129" s="248">
        <f t="shared" si="529"/>
        <v>-2099139.5349890785</v>
      </c>
      <c r="JQ129" s="248">
        <f t="shared" si="529"/>
        <v>-2120155.0385718411</v>
      </c>
      <c r="JR129" s="248">
        <f t="shared" si="529"/>
        <v>-2168554.7125196746</v>
      </c>
      <c r="JS129" s="248">
        <f t="shared" si="529"/>
        <v>-2113066.8186683413</v>
      </c>
      <c r="JT129" s="248">
        <f t="shared" si="529"/>
        <v>-2058076.5232231116</v>
      </c>
      <c r="JU129" s="248">
        <f t="shared" si="529"/>
        <v>-2032463.640027002</v>
      </c>
      <c r="JV129" s="249">
        <f t="shared" si="529"/>
        <v>-25163672.863691024</v>
      </c>
      <c r="JW129" s="213"/>
      <c r="JX129" s="247">
        <f>SUM(JX124:JX128)</f>
        <v>-1121210.5049886643</v>
      </c>
      <c r="JY129" s="248">
        <f t="shared" ref="JY129:KJ129" si="530">SUM(JY124:JY128)</f>
        <v>-1099196.205111797</v>
      </c>
      <c r="JZ129" s="248">
        <f t="shared" si="530"/>
        <v>-1101884.8279083711</v>
      </c>
      <c r="KA129" s="248">
        <f t="shared" si="530"/>
        <v>-1096887.0082964257</v>
      </c>
      <c r="KB129" s="248">
        <f t="shared" si="530"/>
        <v>-1097585.7971648253</v>
      </c>
      <c r="KC129" s="248">
        <f t="shared" si="530"/>
        <v>-1097772.9667808185</v>
      </c>
      <c r="KD129" s="248">
        <f t="shared" si="530"/>
        <v>-1105068.688967763</v>
      </c>
      <c r="KE129" s="248">
        <f t="shared" si="530"/>
        <v>-1111985.1337781097</v>
      </c>
      <c r="KF129" s="248">
        <f t="shared" si="530"/>
        <v>-1134580.2242089431</v>
      </c>
      <c r="KG129" s="248">
        <f t="shared" si="530"/>
        <v>-1109310.8351856098</v>
      </c>
      <c r="KH129" s="248">
        <f t="shared" si="530"/>
        <v>-1085825.4518014144</v>
      </c>
      <c r="KI129" s="248">
        <f t="shared" si="530"/>
        <v>-1074149.2185304554</v>
      </c>
      <c r="KJ129" s="249">
        <f t="shared" si="530"/>
        <v>-13235456.862723198</v>
      </c>
      <c r="KK129" s="213"/>
      <c r="KL129" s="247">
        <f>SUM(KL124:KL128)</f>
        <v>-214002.60107546567</v>
      </c>
      <c r="KM129" s="248">
        <f t="shared" ref="KM129:KX129" si="531">SUM(KM124:KM128)</f>
        <v>-205246.26892471872</v>
      </c>
      <c r="KN129" s="248">
        <f t="shared" si="531"/>
        <v>-206321.71804334834</v>
      </c>
      <c r="KO129" s="248">
        <f t="shared" si="531"/>
        <v>-204322.59019857022</v>
      </c>
      <c r="KP129" s="248">
        <f t="shared" si="531"/>
        <v>-204602.10574593002</v>
      </c>
      <c r="KQ129" s="248">
        <f t="shared" si="531"/>
        <v>-204676.97359232738</v>
      </c>
      <c r="KR129" s="248">
        <f t="shared" si="531"/>
        <v>-207389.33030710515</v>
      </c>
      <c r="KS129" s="248">
        <f t="shared" si="531"/>
        <v>-210155.9082312439</v>
      </c>
      <c r="KT129" s="248">
        <f t="shared" si="531"/>
        <v>-219193.94440357719</v>
      </c>
      <c r="KU129" s="248">
        <f t="shared" si="531"/>
        <v>-209292.71959424388</v>
      </c>
      <c r="KV129" s="248">
        <f t="shared" si="531"/>
        <v>-199692.03544056573</v>
      </c>
      <c r="KW129" s="248">
        <f t="shared" si="531"/>
        <v>-195021.54213218216</v>
      </c>
      <c r="KX129" s="249">
        <f t="shared" si="531"/>
        <v>-2479917.7376892786</v>
      </c>
      <c r="KY129" s="213"/>
      <c r="KZ129" s="247">
        <f>SUM(KZ124:KZ128)</f>
        <v>-177452.24893773283</v>
      </c>
      <c r="LA129" s="248">
        <f t="shared" ref="LA129:LL129" si="532">SUM(LA124:LA128)</f>
        <v>-173074.08286235938</v>
      </c>
      <c r="LB129" s="248">
        <f t="shared" si="532"/>
        <v>-173611.8074216742</v>
      </c>
      <c r="LC129" s="248">
        <f t="shared" si="532"/>
        <v>-172612.2434992851</v>
      </c>
      <c r="LD129" s="248">
        <f t="shared" si="532"/>
        <v>-172752.00127296502</v>
      </c>
      <c r="LE129" s="248">
        <f t="shared" si="532"/>
        <v>-172789.43519616371</v>
      </c>
      <c r="LF129" s="248">
        <f t="shared" si="532"/>
        <v>-174144.86525355259</v>
      </c>
      <c r="LG129" s="248">
        <f t="shared" si="532"/>
        <v>-175528.15421562194</v>
      </c>
      <c r="LH129" s="248">
        <f t="shared" si="532"/>
        <v>-180047.17230178861</v>
      </c>
      <c r="LI129" s="248">
        <f t="shared" si="532"/>
        <v>-175101.04969712195</v>
      </c>
      <c r="LJ129" s="248">
        <f t="shared" si="532"/>
        <v>-170296.21782028288</v>
      </c>
      <c r="LK129" s="248">
        <f t="shared" si="532"/>
        <v>-167960.9711660911</v>
      </c>
      <c r="LL129" s="249">
        <f t="shared" si="532"/>
        <v>-2085370.249644639</v>
      </c>
      <c r="LM129" s="213"/>
      <c r="LN129" s="247">
        <f>SUM(LN124:LN128)</f>
        <v>0</v>
      </c>
      <c r="LO129" s="248">
        <f t="shared" ref="LO129:LZ129" si="533">SUM(LO124:LO128)</f>
        <v>0</v>
      </c>
      <c r="LP129" s="248">
        <f t="shared" si="533"/>
        <v>0</v>
      </c>
      <c r="LQ129" s="248">
        <f t="shared" si="533"/>
        <v>0</v>
      </c>
      <c r="LR129" s="248">
        <f t="shared" si="533"/>
        <v>0</v>
      </c>
      <c r="LS129" s="248">
        <f t="shared" si="533"/>
        <v>0</v>
      </c>
      <c r="LT129" s="248">
        <f t="shared" si="533"/>
        <v>0</v>
      </c>
      <c r="LU129" s="248">
        <f t="shared" si="533"/>
        <v>0</v>
      </c>
      <c r="LV129" s="248">
        <f t="shared" si="533"/>
        <v>0</v>
      </c>
      <c r="LW129" s="248">
        <f t="shared" si="533"/>
        <v>0</v>
      </c>
      <c r="LX129" s="248">
        <f t="shared" si="533"/>
        <v>0</v>
      </c>
      <c r="LY129" s="248">
        <f t="shared" si="533"/>
        <v>0</v>
      </c>
      <c r="LZ129" s="249">
        <f t="shared" si="533"/>
        <v>0</v>
      </c>
      <c r="MA129" s="213"/>
      <c r="MB129" s="249">
        <f t="shared" ref="MB129:MN129" si="534">SUM(MB124:MB128)</f>
        <v>-27142794.568035487</v>
      </c>
      <c r="MC129" s="249">
        <f t="shared" si="534"/>
        <v>-26218340.662782043</v>
      </c>
      <c r="MD129" s="249">
        <f t="shared" si="534"/>
        <v>-28105001.879404664</v>
      </c>
      <c r="ME129" s="249">
        <f t="shared" si="534"/>
        <v>-28040188.178073857</v>
      </c>
      <c r="MF129" s="249">
        <f t="shared" si="534"/>
        <v>-27857340.709433354</v>
      </c>
      <c r="MG129" s="249">
        <f t="shared" si="534"/>
        <v>-27858566.789459944</v>
      </c>
      <c r="MH129" s="249">
        <f t="shared" si="534"/>
        <v>-28310682.693381917</v>
      </c>
      <c r="MI129" s="249">
        <f t="shared" si="534"/>
        <v>-28323739.345666099</v>
      </c>
      <c r="MJ129" s="249">
        <f t="shared" si="534"/>
        <v>-29054416.585978426</v>
      </c>
      <c r="MK129" s="249">
        <f t="shared" si="534"/>
        <v>-28234567.200169094</v>
      </c>
      <c r="ML129" s="249">
        <f t="shared" si="534"/>
        <v>-27438686.395808481</v>
      </c>
      <c r="MM129" s="249">
        <f t="shared" si="534"/>
        <v>-27050733.393742032</v>
      </c>
      <c r="MN129" s="249">
        <f t="shared" si="534"/>
        <v>-333635058.40193552</v>
      </c>
    </row>
    <row r="130" spans="1:352" hidden="1" x14ac:dyDescent="0.3">
      <c r="A130" s="250"/>
      <c r="B130" s="250"/>
      <c r="C130" s="98"/>
      <c r="D130" s="153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1"/>
      <c r="P130" s="252"/>
      <c r="Q130" s="161"/>
      <c r="R130" s="153"/>
      <c r="S130" s="251"/>
      <c r="T130" s="251"/>
      <c r="U130" s="251"/>
      <c r="V130" s="251"/>
      <c r="W130" s="251"/>
      <c r="X130" s="251"/>
      <c r="Y130" s="251"/>
      <c r="Z130" s="251"/>
      <c r="AA130" s="251"/>
      <c r="AB130" s="251"/>
      <c r="AC130" s="251"/>
      <c r="AD130" s="252"/>
      <c r="AE130" s="161"/>
      <c r="AF130" s="153"/>
      <c r="AG130" s="251"/>
      <c r="AH130" s="251"/>
      <c r="AI130" s="251"/>
      <c r="AJ130" s="251"/>
      <c r="AK130" s="251"/>
      <c r="AL130" s="251"/>
      <c r="AM130" s="251"/>
      <c r="AN130" s="251"/>
      <c r="AO130" s="251"/>
      <c r="AP130" s="251"/>
      <c r="AQ130" s="251"/>
      <c r="AR130" s="252"/>
      <c r="AT130" s="153"/>
      <c r="AU130" s="251"/>
      <c r="AV130" s="251"/>
      <c r="AW130" s="251"/>
      <c r="AX130" s="251"/>
      <c r="AY130" s="251"/>
      <c r="AZ130" s="251"/>
      <c r="BA130" s="251"/>
      <c r="BB130" s="251"/>
      <c r="BC130" s="251"/>
      <c r="BD130" s="251"/>
      <c r="BE130" s="251"/>
      <c r="BF130" s="252"/>
      <c r="BH130" s="153"/>
      <c r="BI130" s="251"/>
      <c r="BJ130" s="251"/>
      <c r="BK130" s="251"/>
      <c r="BL130" s="251"/>
      <c r="BM130" s="251"/>
      <c r="BN130" s="251"/>
      <c r="BO130" s="251"/>
      <c r="BP130" s="251"/>
      <c r="BQ130" s="251"/>
      <c r="BR130" s="251"/>
      <c r="BS130" s="251"/>
      <c r="BT130" s="252"/>
      <c r="BV130" s="153"/>
      <c r="BW130" s="251"/>
      <c r="BX130" s="251"/>
      <c r="BY130" s="251"/>
      <c r="BZ130" s="251"/>
      <c r="CA130" s="251"/>
      <c r="CB130" s="251"/>
      <c r="CC130" s="251"/>
      <c r="CD130" s="251"/>
      <c r="CE130" s="251"/>
      <c r="CF130" s="251"/>
      <c r="CG130" s="251"/>
      <c r="CH130" s="252"/>
      <c r="CI130" s="161"/>
      <c r="CJ130" s="153"/>
      <c r="CK130" s="251"/>
      <c r="CL130" s="251"/>
      <c r="CM130" s="251"/>
      <c r="CN130" s="251"/>
      <c r="CO130" s="251"/>
      <c r="CP130" s="251"/>
      <c r="CQ130" s="251"/>
      <c r="CR130" s="251"/>
      <c r="CS130" s="251"/>
      <c r="CT130" s="251"/>
      <c r="CU130" s="251"/>
      <c r="CV130" s="252"/>
      <c r="CW130" s="161"/>
      <c r="CX130" s="153"/>
      <c r="CY130" s="251"/>
      <c r="CZ130" s="251"/>
      <c r="DA130" s="251"/>
      <c r="DB130" s="251"/>
      <c r="DC130" s="251"/>
      <c r="DD130" s="251"/>
      <c r="DE130" s="251"/>
      <c r="DF130" s="251"/>
      <c r="DG130" s="251"/>
      <c r="DH130" s="251"/>
      <c r="DI130" s="251"/>
      <c r="DJ130" s="252"/>
      <c r="DK130" s="161"/>
      <c r="DL130" s="153"/>
      <c r="DM130" s="251"/>
      <c r="DN130" s="251"/>
      <c r="DO130" s="251"/>
      <c r="DP130" s="251"/>
      <c r="DQ130" s="251"/>
      <c r="DR130" s="251"/>
      <c r="DS130" s="251"/>
      <c r="DT130" s="251"/>
      <c r="DU130" s="251"/>
      <c r="DV130" s="251"/>
      <c r="DW130" s="251"/>
      <c r="DX130" s="252"/>
      <c r="DY130" s="161"/>
      <c r="DZ130" s="153"/>
      <c r="EA130" s="251"/>
      <c r="EB130" s="251"/>
      <c r="EC130" s="251"/>
      <c r="ED130" s="251"/>
      <c r="EE130" s="251"/>
      <c r="EF130" s="251"/>
      <c r="EG130" s="251"/>
      <c r="EH130" s="251"/>
      <c r="EI130" s="251"/>
      <c r="EJ130" s="251"/>
      <c r="EK130" s="251"/>
      <c r="EL130" s="252"/>
      <c r="EM130" s="161"/>
      <c r="EN130" s="153"/>
      <c r="EO130" s="251"/>
      <c r="EP130" s="251"/>
      <c r="EQ130" s="251"/>
      <c r="ER130" s="251"/>
      <c r="ES130" s="251"/>
      <c r="ET130" s="251"/>
      <c r="EU130" s="251"/>
      <c r="EV130" s="251"/>
      <c r="EW130" s="251"/>
      <c r="EX130" s="251"/>
      <c r="EY130" s="251"/>
      <c r="EZ130" s="252"/>
      <c r="FA130" s="161"/>
      <c r="FB130" s="153"/>
      <c r="FC130" s="251"/>
      <c r="FD130" s="251"/>
      <c r="FE130" s="251"/>
      <c r="FF130" s="251"/>
      <c r="FG130" s="251"/>
      <c r="FH130" s="251"/>
      <c r="FI130" s="251"/>
      <c r="FJ130" s="251"/>
      <c r="FK130" s="251"/>
      <c r="FL130" s="251"/>
      <c r="FM130" s="251"/>
      <c r="FN130" s="252"/>
      <c r="FO130" s="161"/>
      <c r="FP130" s="153"/>
      <c r="FQ130" s="251"/>
      <c r="FR130" s="251"/>
      <c r="FS130" s="251"/>
      <c r="FT130" s="251"/>
      <c r="FU130" s="251"/>
      <c r="FV130" s="251"/>
      <c r="FW130" s="251"/>
      <c r="FX130" s="251"/>
      <c r="FY130" s="251"/>
      <c r="FZ130" s="251"/>
      <c r="GA130" s="251"/>
      <c r="GB130" s="252"/>
      <c r="GC130" s="161"/>
      <c r="GD130" s="153"/>
      <c r="GE130" s="251"/>
      <c r="GF130" s="251"/>
      <c r="GG130" s="251"/>
      <c r="GH130" s="251"/>
      <c r="GI130" s="251"/>
      <c r="GJ130" s="251"/>
      <c r="GK130" s="251"/>
      <c r="GL130" s="251"/>
      <c r="GM130" s="251"/>
      <c r="GN130" s="251"/>
      <c r="GO130" s="251"/>
      <c r="GP130" s="252"/>
      <c r="GQ130" s="161"/>
      <c r="GR130" s="153"/>
      <c r="GS130" s="251"/>
      <c r="GT130" s="251"/>
      <c r="GU130" s="251"/>
      <c r="GV130" s="251"/>
      <c r="GW130" s="251"/>
      <c r="GX130" s="251"/>
      <c r="GY130" s="251"/>
      <c r="GZ130" s="251"/>
      <c r="HA130" s="251"/>
      <c r="HB130" s="251"/>
      <c r="HC130" s="251"/>
      <c r="HD130" s="252">
        <f t="shared" si="293"/>
        <v>0</v>
      </c>
      <c r="HE130" s="161"/>
      <c r="HF130" s="153"/>
      <c r="HG130" s="251"/>
      <c r="HH130" s="251"/>
      <c r="HI130" s="251"/>
      <c r="HJ130" s="251"/>
      <c r="HK130" s="251"/>
      <c r="HL130" s="251"/>
      <c r="HM130" s="251"/>
      <c r="HN130" s="251"/>
      <c r="HO130" s="251"/>
      <c r="HP130" s="251"/>
      <c r="HQ130" s="251"/>
      <c r="HR130" s="252"/>
      <c r="HS130" s="161"/>
      <c r="HT130" s="153"/>
      <c r="HU130" s="251"/>
      <c r="HV130" s="251"/>
      <c r="HW130" s="251"/>
      <c r="HX130" s="251"/>
      <c r="HY130" s="251"/>
      <c r="HZ130" s="251"/>
      <c r="IA130" s="251"/>
      <c r="IB130" s="251"/>
      <c r="IC130" s="251"/>
      <c r="ID130" s="251"/>
      <c r="IE130" s="251"/>
      <c r="IF130" s="252"/>
      <c r="IG130" s="161"/>
      <c r="IH130" s="153"/>
      <c r="II130" s="251"/>
      <c r="IJ130" s="251"/>
      <c r="IK130" s="251"/>
      <c r="IL130" s="251"/>
      <c r="IM130" s="251"/>
      <c r="IN130" s="251"/>
      <c r="IO130" s="251"/>
      <c r="IP130" s="251"/>
      <c r="IQ130" s="251"/>
      <c r="IR130" s="251"/>
      <c r="IS130" s="251"/>
      <c r="IT130" s="252"/>
      <c r="IU130" s="161"/>
      <c r="IV130" s="153"/>
      <c r="IW130" s="251"/>
      <c r="IX130" s="251"/>
      <c r="IY130" s="251"/>
      <c r="IZ130" s="251"/>
      <c r="JA130" s="251"/>
      <c r="JB130" s="251"/>
      <c r="JC130" s="251"/>
      <c r="JD130" s="251"/>
      <c r="JE130" s="251"/>
      <c r="JF130" s="251"/>
      <c r="JG130" s="251"/>
      <c r="JH130" s="252"/>
      <c r="JI130" s="161"/>
      <c r="JJ130" s="153"/>
      <c r="JK130" s="251"/>
      <c r="JL130" s="251"/>
      <c r="JM130" s="251"/>
      <c r="JN130" s="251"/>
      <c r="JO130" s="251"/>
      <c r="JP130" s="251"/>
      <c r="JQ130" s="251"/>
      <c r="JR130" s="251"/>
      <c r="JS130" s="251"/>
      <c r="JT130" s="251"/>
      <c r="JU130" s="251"/>
      <c r="JV130" s="252"/>
      <c r="JW130" s="161"/>
      <c r="JX130" s="153"/>
      <c r="JY130" s="251"/>
      <c r="JZ130" s="251"/>
      <c r="KA130" s="251"/>
      <c r="KB130" s="251"/>
      <c r="KC130" s="251"/>
      <c r="KD130" s="251"/>
      <c r="KE130" s="251"/>
      <c r="KF130" s="251"/>
      <c r="KG130" s="251"/>
      <c r="KH130" s="251"/>
      <c r="KI130" s="251"/>
      <c r="KJ130" s="252"/>
      <c r="KK130" s="161"/>
      <c r="KL130" s="153"/>
      <c r="KM130" s="251"/>
      <c r="KN130" s="251"/>
      <c r="KO130" s="251"/>
      <c r="KP130" s="251"/>
      <c r="KQ130" s="251"/>
      <c r="KR130" s="251"/>
      <c r="KS130" s="251"/>
      <c r="KT130" s="251"/>
      <c r="KU130" s="251"/>
      <c r="KV130" s="251"/>
      <c r="KW130" s="251"/>
      <c r="KX130" s="252"/>
      <c r="KY130" s="161"/>
      <c r="KZ130" s="153"/>
      <c r="LA130" s="251"/>
      <c r="LB130" s="251"/>
      <c r="LC130" s="251"/>
      <c r="LD130" s="251"/>
      <c r="LE130" s="251"/>
      <c r="LF130" s="251"/>
      <c r="LG130" s="251"/>
      <c r="LH130" s="251"/>
      <c r="LI130" s="251"/>
      <c r="LJ130" s="251"/>
      <c r="LK130" s="251"/>
      <c r="LL130" s="252"/>
      <c r="LM130" s="161"/>
      <c r="LN130" s="153"/>
      <c r="LO130" s="251"/>
      <c r="LP130" s="251"/>
      <c r="LQ130" s="251"/>
      <c r="LR130" s="251"/>
      <c r="LS130" s="251"/>
      <c r="LT130" s="251"/>
      <c r="LU130" s="251"/>
      <c r="LV130" s="251"/>
      <c r="LW130" s="251"/>
      <c r="LX130" s="251"/>
      <c r="LY130" s="251"/>
      <c r="LZ130" s="252"/>
      <c r="MA130" s="161"/>
      <c r="MB130" s="252"/>
      <c r="MC130" s="252"/>
      <c r="MD130" s="252"/>
      <c r="ME130" s="252"/>
      <c r="MF130" s="252"/>
      <c r="MG130" s="252"/>
      <c r="MH130" s="252"/>
      <c r="MI130" s="252"/>
      <c r="MJ130" s="252"/>
      <c r="MK130" s="252"/>
      <c r="ML130" s="252"/>
      <c r="MM130" s="252"/>
      <c r="MN130" s="252"/>
    </row>
    <row r="131" spans="1:352" hidden="1" x14ac:dyDescent="0.3">
      <c r="A131" s="98"/>
      <c r="C131" s="253"/>
      <c r="D131" s="254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6"/>
      <c r="Q131" s="205"/>
      <c r="R131" s="254"/>
      <c r="S131" s="255"/>
      <c r="T131" s="255"/>
      <c r="U131" s="255"/>
      <c r="V131" s="255"/>
      <c r="W131" s="255"/>
      <c r="X131" s="255"/>
      <c r="Y131" s="255"/>
      <c r="Z131" s="255"/>
      <c r="AA131" s="255"/>
      <c r="AB131" s="255"/>
      <c r="AC131" s="255"/>
      <c r="AD131" s="256"/>
      <c r="AE131" s="205"/>
      <c r="AF131" s="254"/>
      <c r="AG131" s="255"/>
      <c r="AH131" s="255"/>
      <c r="AI131" s="255"/>
      <c r="AJ131" s="255"/>
      <c r="AK131" s="255"/>
      <c r="AL131" s="255"/>
      <c r="AM131" s="255"/>
      <c r="AN131" s="255"/>
      <c r="AO131" s="255"/>
      <c r="AP131" s="255"/>
      <c r="AQ131" s="255"/>
      <c r="AR131" s="256"/>
      <c r="AT131" s="254"/>
      <c r="AU131" s="255"/>
      <c r="AV131" s="255"/>
      <c r="AW131" s="255"/>
      <c r="AX131" s="255"/>
      <c r="AY131" s="255"/>
      <c r="AZ131" s="255"/>
      <c r="BA131" s="255"/>
      <c r="BB131" s="255"/>
      <c r="BC131" s="255"/>
      <c r="BD131" s="255"/>
      <c r="BE131" s="255"/>
      <c r="BF131" s="256"/>
      <c r="BH131" s="254"/>
      <c r="BI131" s="255"/>
      <c r="BJ131" s="255"/>
      <c r="BK131" s="255"/>
      <c r="BL131" s="255"/>
      <c r="BM131" s="255"/>
      <c r="BN131" s="255"/>
      <c r="BO131" s="255"/>
      <c r="BP131" s="255"/>
      <c r="BQ131" s="255"/>
      <c r="BR131" s="255"/>
      <c r="BS131" s="255"/>
      <c r="BT131" s="256"/>
      <c r="BV131" s="254"/>
      <c r="BW131" s="255"/>
      <c r="BX131" s="255"/>
      <c r="BY131" s="255"/>
      <c r="BZ131" s="255"/>
      <c r="CA131" s="255"/>
      <c r="CB131" s="255"/>
      <c r="CC131" s="255"/>
      <c r="CD131" s="255"/>
      <c r="CE131" s="255"/>
      <c r="CF131" s="255"/>
      <c r="CG131" s="255"/>
      <c r="CH131" s="256"/>
      <c r="CI131" s="205"/>
      <c r="CJ131" s="254"/>
      <c r="CK131" s="255"/>
      <c r="CL131" s="255"/>
      <c r="CM131" s="255"/>
      <c r="CN131" s="255"/>
      <c r="CO131" s="255"/>
      <c r="CP131" s="255"/>
      <c r="CQ131" s="255"/>
      <c r="CR131" s="255"/>
      <c r="CS131" s="255"/>
      <c r="CT131" s="255"/>
      <c r="CU131" s="255"/>
      <c r="CV131" s="256"/>
      <c r="CW131" s="205"/>
      <c r="CX131" s="254"/>
      <c r="CY131" s="255"/>
      <c r="CZ131" s="255"/>
      <c r="DA131" s="255"/>
      <c r="DB131" s="255"/>
      <c r="DC131" s="255"/>
      <c r="DD131" s="255"/>
      <c r="DE131" s="255"/>
      <c r="DF131" s="255"/>
      <c r="DG131" s="255"/>
      <c r="DH131" s="255"/>
      <c r="DI131" s="255"/>
      <c r="DJ131" s="256"/>
      <c r="DK131" s="205"/>
      <c r="DL131" s="254"/>
      <c r="DM131" s="255"/>
      <c r="DN131" s="255"/>
      <c r="DO131" s="255"/>
      <c r="DP131" s="255"/>
      <c r="DQ131" s="255"/>
      <c r="DR131" s="255"/>
      <c r="DS131" s="255"/>
      <c r="DT131" s="255"/>
      <c r="DU131" s="255"/>
      <c r="DV131" s="255"/>
      <c r="DW131" s="255"/>
      <c r="DX131" s="256"/>
      <c r="DY131" s="205"/>
      <c r="DZ131" s="254"/>
      <c r="EA131" s="255"/>
      <c r="EB131" s="255"/>
      <c r="EC131" s="255"/>
      <c r="ED131" s="255"/>
      <c r="EE131" s="255"/>
      <c r="EF131" s="255"/>
      <c r="EG131" s="255"/>
      <c r="EH131" s="255"/>
      <c r="EI131" s="255"/>
      <c r="EJ131" s="255"/>
      <c r="EK131" s="255"/>
      <c r="EL131" s="256"/>
      <c r="EM131" s="205"/>
      <c r="EN131" s="254"/>
      <c r="EO131" s="255"/>
      <c r="EP131" s="255"/>
      <c r="EQ131" s="255"/>
      <c r="ER131" s="255"/>
      <c r="ES131" s="255"/>
      <c r="ET131" s="255"/>
      <c r="EU131" s="255"/>
      <c r="EV131" s="255"/>
      <c r="EW131" s="255"/>
      <c r="EX131" s="255"/>
      <c r="EY131" s="255"/>
      <c r="EZ131" s="256"/>
      <c r="FA131" s="205"/>
      <c r="FB131" s="254"/>
      <c r="FC131" s="255"/>
      <c r="FD131" s="255"/>
      <c r="FE131" s="255"/>
      <c r="FF131" s="255"/>
      <c r="FG131" s="255"/>
      <c r="FH131" s="255"/>
      <c r="FI131" s="255"/>
      <c r="FJ131" s="255"/>
      <c r="FK131" s="255"/>
      <c r="FL131" s="255"/>
      <c r="FM131" s="255"/>
      <c r="FN131" s="256"/>
      <c r="FO131" s="205"/>
      <c r="FP131" s="254"/>
      <c r="FQ131" s="255"/>
      <c r="FR131" s="255"/>
      <c r="FS131" s="255"/>
      <c r="FT131" s="255"/>
      <c r="FU131" s="255"/>
      <c r="FV131" s="255"/>
      <c r="FW131" s="255"/>
      <c r="FX131" s="255"/>
      <c r="FY131" s="255"/>
      <c r="FZ131" s="255"/>
      <c r="GA131" s="255"/>
      <c r="GB131" s="256"/>
      <c r="GC131" s="205"/>
      <c r="GD131" s="254"/>
      <c r="GE131" s="255"/>
      <c r="GF131" s="255"/>
      <c r="GG131" s="255"/>
      <c r="GH131" s="255"/>
      <c r="GI131" s="255"/>
      <c r="GJ131" s="255"/>
      <c r="GK131" s="255"/>
      <c r="GL131" s="255"/>
      <c r="GM131" s="255"/>
      <c r="GN131" s="255"/>
      <c r="GO131" s="255"/>
      <c r="GP131" s="256"/>
      <c r="GQ131" s="205"/>
      <c r="GR131" s="254"/>
      <c r="GS131" s="255"/>
      <c r="GT131" s="255"/>
      <c r="GU131" s="255"/>
      <c r="GV131" s="255"/>
      <c r="GW131" s="255"/>
      <c r="GX131" s="255"/>
      <c r="GY131" s="255"/>
      <c r="GZ131" s="255"/>
      <c r="HA131" s="255"/>
      <c r="HB131" s="255"/>
      <c r="HC131" s="255"/>
      <c r="HD131" s="256">
        <f t="shared" si="293"/>
        <v>0</v>
      </c>
      <c r="HE131" s="205"/>
      <c r="HF131" s="254"/>
      <c r="HG131" s="255"/>
      <c r="HH131" s="255"/>
      <c r="HI131" s="255"/>
      <c r="HJ131" s="255"/>
      <c r="HK131" s="255"/>
      <c r="HL131" s="255"/>
      <c r="HM131" s="255"/>
      <c r="HN131" s="255"/>
      <c r="HO131" s="255"/>
      <c r="HP131" s="255"/>
      <c r="HQ131" s="255"/>
      <c r="HR131" s="256"/>
      <c r="HS131" s="205"/>
      <c r="HT131" s="254"/>
      <c r="HU131" s="255"/>
      <c r="HV131" s="255"/>
      <c r="HW131" s="255"/>
      <c r="HX131" s="255"/>
      <c r="HY131" s="255"/>
      <c r="HZ131" s="255"/>
      <c r="IA131" s="255"/>
      <c r="IB131" s="255"/>
      <c r="IC131" s="255"/>
      <c r="ID131" s="255"/>
      <c r="IE131" s="255"/>
      <c r="IF131" s="256"/>
      <c r="IG131" s="205"/>
      <c r="IH131" s="254"/>
      <c r="II131" s="255"/>
      <c r="IJ131" s="255"/>
      <c r="IK131" s="255"/>
      <c r="IL131" s="255"/>
      <c r="IM131" s="255"/>
      <c r="IN131" s="255"/>
      <c r="IO131" s="255"/>
      <c r="IP131" s="255"/>
      <c r="IQ131" s="255"/>
      <c r="IR131" s="255"/>
      <c r="IS131" s="255"/>
      <c r="IT131" s="256"/>
      <c r="IU131" s="205"/>
      <c r="IV131" s="254"/>
      <c r="IW131" s="255"/>
      <c r="IX131" s="255"/>
      <c r="IY131" s="255"/>
      <c r="IZ131" s="255"/>
      <c r="JA131" s="255"/>
      <c r="JB131" s="255"/>
      <c r="JC131" s="255"/>
      <c r="JD131" s="255"/>
      <c r="JE131" s="255"/>
      <c r="JF131" s="255"/>
      <c r="JG131" s="255"/>
      <c r="JH131" s="256"/>
      <c r="JI131" s="205"/>
      <c r="JJ131" s="254"/>
      <c r="JK131" s="255"/>
      <c r="JL131" s="255"/>
      <c r="JM131" s="255"/>
      <c r="JN131" s="255"/>
      <c r="JO131" s="255"/>
      <c r="JP131" s="255"/>
      <c r="JQ131" s="255"/>
      <c r="JR131" s="255"/>
      <c r="JS131" s="255"/>
      <c r="JT131" s="255"/>
      <c r="JU131" s="255"/>
      <c r="JV131" s="256"/>
      <c r="JW131" s="205"/>
      <c r="JX131" s="254"/>
      <c r="JY131" s="255"/>
      <c r="JZ131" s="255"/>
      <c r="KA131" s="255"/>
      <c r="KB131" s="255"/>
      <c r="KC131" s="255"/>
      <c r="KD131" s="255"/>
      <c r="KE131" s="255"/>
      <c r="KF131" s="255"/>
      <c r="KG131" s="255"/>
      <c r="KH131" s="255"/>
      <c r="KI131" s="255"/>
      <c r="KJ131" s="256"/>
      <c r="KK131" s="205"/>
      <c r="KL131" s="254"/>
      <c r="KM131" s="255"/>
      <c r="KN131" s="255"/>
      <c r="KO131" s="255"/>
      <c r="KP131" s="255"/>
      <c r="KQ131" s="255"/>
      <c r="KR131" s="255"/>
      <c r="KS131" s="255"/>
      <c r="KT131" s="255"/>
      <c r="KU131" s="255"/>
      <c r="KV131" s="255"/>
      <c r="KW131" s="255"/>
      <c r="KX131" s="256"/>
      <c r="KY131" s="205"/>
      <c r="KZ131" s="254"/>
      <c r="LA131" s="255"/>
      <c r="LB131" s="255"/>
      <c r="LC131" s="255"/>
      <c r="LD131" s="255"/>
      <c r="LE131" s="255"/>
      <c r="LF131" s="255"/>
      <c r="LG131" s="255"/>
      <c r="LH131" s="255"/>
      <c r="LI131" s="255"/>
      <c r="LJ131" s="255"/>
      <c r="LK131" s="255"/>
      <c r="LL131" s="256"/>
      <c r="LM131" s="205"/>
      <c r="LN131" s="254"/>
      <c r="LO131" s="255"/>
      <c r="LP131" s="255"/>
      <c r="LQ131" s="255"/>
      <c r="LR131" s="255"/>
      <c r="LS131" s="255"/>
      <c r="LT131" s="255"/>
      <c r="LU131" s="255"/>
      <c r="LV131" s="255"/>
      <c r="LW131" s="255"/>
      <c r="LX131" s="255"/>
      <c r="LY131" s="255"/>
      <c r="LZ131" s="256"/>
      <c r="MA131" s="205"/>
      <c r="MB131" s="256"/>
      <c r="MC131" s="256"/>
      <c r="MD131" s="256"/>
      <c r="ME131" s="256"/>
      <c r="MF131" s="256"/>
      <c r="MG131" s="256"/>
      <c r="MH131" s="256"/>
      <c r="MI131" s="256"/>
      <c r="MJ131" s="256"/>
      <c r="MK131" s="256"/>
      <c r="ML131" s="256"/>
      <c r="MM131" s="256"/>
      <c r="MN131" s="256"/>
    </row>
    <row r="132" spans="1:352" hidden="1" x14ac:dyDescent="0.3">
      <c r="A132" s="98"/>
      <c r="B132" s="63" t="s">
        <v>231</v>
      </c>
      <c r="C132" s="98"/>
      <c r="D132" s="203">
        <f t="shared" ref="D132:P132" si="535">+D124+D88</f>
        <v>-3298957.6215942521</v>
      </c>
      <c r="E132" s="177">
        <f t="shared" si="535"/>
        <v>-3167949.9854084216</v>
      </c>
      <c r="F132" s="177">
        <f t="shared" si="535"/>
        <v>-3184180.0526285511</v>
      </c>
      <c r="G132" s="177">
        <f t="shared" si="535"/>
        <v>-3154556.6438792683</v>
      </c>
      <c r="H132" s="177">
        <f t="shared" si="535"/>
        <v>-3158609.6193159856</v>
      </c>
      <c r="I132" s="177">
        <f t="shared" si="535"/>
        <v>-3159695.2030887473</v>
      </c>
      <c r="J132" s="177">
        <f t="shared" si="535"/>
        <v>-3200437.9141530246</v>
      </c>
      <c r="K132" s="177">
        <f t="shared" si="535"/>
        <v>-3243172.3440530356</v>
      </c>
      <c r="L132" s="177">
        <f t="shared" si="535"/>
        <v>-3373849.7185518695</v>
      </c>
      <c r="M132" s="177">
        <f t="shared" si="535"/>
        <v>-3230325.3602165361</v>
      </c>
      <c r="N132" s="177">
        <f t="shared" si="535"/>
        <v>-3089463.1935882033</v>
      </c>
      <c r="O132" s="177">
        <f t="shared" si="535"/>
        <v>-3021778.4556166413</v>
      </c>
      <c r="P132" s="204">
        <f t="shared" si="535"/>
        <v>-34314348.317845352</v>
      </c>
      <c r="Q132" s="205"/>
      <c r="R132" s="203">
        <f t="shared" ref="R132:AD132" si="536">+R124+R88</f>
        <v>-287806.32041319844</v>
      </c>
      <c r="S132" s="177">
        <f t="shared" si="536"/>
        <v>-274671.82218707813</v>
      </c>
      <c r="T132" s="177">
        <f t="shared" si="536"/>
        <v>-276284.99586502259</v>
      </c>
      <c r="U132" s="177">
        <f t="shared" si="536"/>
        <v>-273286.30409785535</v>
      </c>
      <c r="V132" s="177">
        <f t="shared" si="536"/>
        <v>-273705.57741889503</v>
      </c>
      <c r="W132" s="177">
        <f t="shared" si="536"/>
        <v>-273817.87918849103</v>
      </c>
      <c r="X132" s="177">
        <f t="shared" si="536"/>
        <v>-277885.6659606577</v>
      </c>
      <c r="Y132" s="177">
        <f t="shared" si="536"/>
        <v>-282035.53284686577</v>
      </c>
      <c r="Z132" s="177">
        <f t="shared" si="536"/>
        <v>-295592.58710536582</v>
      </c>
      <c r="AA132" s="177">
        <f t="shared" si="536"/>
        <v>-280745.23969136574</v>
      </c>
      <c r="AB132" s="177">
        <f t="shared" si="536"/>
        <v>-266339.72366084857</v>
      </c>
      <c r="AC132" s="177">
        <f t="shared" si="536"/>
        <v>-259333.98369827325</v>
      </c>
      <c r="AD132" s="204">
        <f t="shared" si="536"/>
        <v>-3321505.6321339188</v>
      </c>
      <c r="AE132" s="205"/>
      <c r="AF132" s="203">
        <f t="shared" ref="AF132:AR132" si="537">+AF124+AF88</f>
        <v>-289140.53931319847</v>
      </c>
      <c r="AG132" s="177">
        <f t="shared" si="537"/>
        <v>-276006.04108707811</v>
      </c>
      <c r="AH132" s="177">
        <f t="shared" si="537"/>
        <v>-277619.21476502257</v>
      </c>
      <c r="AI132" s="177">
        <f t="shared" si="537"/>
        <v>-274620.52299785533</v>
      </c>
      <c r="AJ132" s="177">
        <f t="shared" si="537"/>
        <v>-275039.79631889507</v>
      </c>
      <c r="AK132" s="177">
        <f t="shared" si="537"/>
        <v>-275152.09808849107</v>
      </c>
      <c r="AL132" s="177">
        <f t="shared" si="537"/>
        <v>-279219.88486065768</v>
      </c>
      <c r="AM132" s="177">
        <f t="shared" si="537"/>
        <v>-283369.75174686575</v>
      </c>
      <c r="AN132" s="177">
        <f t="shared" si="537"/>
        <v>-296926.8060053658</v>
      </c>
      <c r="AO132" s="177">
        <f t="shared" si="537"/>
        <v>-282079.45859136578</v>
      </c>
      <c r="AP132" s="177">
        <f t="shared" si="537"/>
        <v>-267673.94256084855</v>
      </c>
      <c r="AQ132" s="177">
        <f t="shared" si="537"/>
        <v>-260668.20259827323</v>
      </c>
      <c r="AR132" s="204">
        <f t="shared" si="537"/>
        <v>-3337516.258933919</v>
      </c>
      <c r="AT132" s="203">
        <f t="shared" ref="AT132:BF132" si="538">+AT124+AT88</f>
        <v>-694240.58867546567</v>
      </c>
      <c r="AU132" s="177">
        <f t="shared" si="538"/>
        <v>-685484.2565247186</v>
      </c>
      <c r="AV132" s="177">
        <f t="shared" si="538"/>
        <v>-686559.70564334828</v>
      </c>
      <c r="AW132" s="177">
        <f t="shared" si="538"/>
        <v>-684560.57779857016</v>
      </c>
      <c r="AX132" s="177">
        <f t="shared" si="538"/>
        <v>-684840.09334592998</v>
      </c>
      <c r="AY132" s="177">
        <f t="shared" si="538"/>
        <v>-684914.96119232732</v>
      </c>
      <c r="AZ132" s="177">
        <f t="shared" si="538"/>
        <v>-688124.93740710511</v>
      </c>
      <c r="BA132" s="177">
        <f t="shared" si="538"/>
        <v>-690891.51533124386</v>
      </c>
      <c r="BB132" s="177">
        <f t="shared" si="538"/>
        <v>-699929.55150357704</v>
      </c>
      <c r="BC132" s="177">
        <f t="shared" si="538"/>
        <v>-690031.31989424385</v>
      </c>
      <c r="BD132" s="177">
        <f t="shared" si="538"/>
        <v>-680427.64254056569</v>
      </c>
      <c r="BE132" s="177">
        <f t="shared" si="538"/>
        <v>-675757.14923218207</v>
      </c>
      <c r="BF132" s="204">
        <f t="shared" si="538"/>
        <v>-8245762.2990892772</v>
      </c>
      <c r="BH132" s="203">
        <f t="shared" ref="BH132:BT132" si="539">+BH124+BH88</f>
        <v>-3861516.6614659922</v>
      </c>
      <c r="BI132" s="177">
        <f t="shared" si="539"/>
        <v>-3795597.2313353908</v>
      </c>
      <c r="BJ132" s="177">
        <f t="shared" si="539"/>
        <v>-3803663.0997251133</v>
      </c>
      <c r="BK132" s="177">
        <f t="shared" si="539"/>
        <v>-3788669.6408892768</v>
      </c>
      <c r="BL132" s="177">
        <f t="shared" si="539"/>
        <v>-3790766.0074944748</v>
      </c>
      <c r="BM132" s="177">
        <f t="shared" si="539"/>
        <v>-3791327.5163424551</v>
      </c>
      <c r="BN132" s="177">
        <f t="shared" si="539"/>
        <v>-3812856.9955032887</v>
      </c>
      <c r="BO132" s="177">
        <f t="shared" si="539"/>
        <v>-3833606.3299343288</v>
      </c>
      <c r="BP132" s="177">
        <f t="shared" si="539"/>
        <v>-3901391.601226829</v>
      </c>
      <c r="BQ132" s="177">
        <f t="shared" si="539"/>
        <v>-3826107.2441568291</v>
      </c>
      <c r="BR132" s="177">
        <f t="shared" si="539"/>
        <v>-3755127.2840042431</v>
      </c>
      <c r="BS132" s="177">
        <f t="shared" si="539"/>
        <v>-3720098.5841913661</v>
      </c>
      <c r="BT132" s="204">
        <f t="shared" si="539"/>
        <v>-45680728.196269579</v>
      </c>
      <c r="BV132" s="203">
        <f t="shared" ref="BV132:CH132" si="540">+BV124+BV88</f>
        <v>-678548.35073773284</v>
      </c>
      <c r="BW132" s="177">
        <f t="shared" si="540"/>
        <v>-673047.73466235935</v>
      </c>
      <c r="BX132" s="177">
        <f t="shared" si="540"/>
        <v>-673585.45922167413</v>
      </c>
      <c r="BY132" s="177">
        <f t="shared" si="540"/>
        <v>-672585.89529928507</v>
      </c>
      <c r="BZ132" s="177">
        <f t="shared" si="540"/>
        <v>-672725.65307296498</v>
      </c>
      <c r="CA132" s="177">
        <f t="shared" si="540"/>
        <v>-672763.08699616371</v>
      </c>
      <c r="CB132" s="177">
        <f t="shared" si="540"/>
        <v>-674589.94605355256</v>
      </c>
      <c r="CC132" s="177">
        <f t="shared" si="540"/>
        <v>-677095.68501562194</v>
      </c>
      <c r="CD132" s="177">
        <f t="shared" si="540"/>
        <v>-680492.25310178858</v>
      </c>
      <c r="CE132" s="177">
        <f t="shared" si="540"/>
        <v>-675543.13729712181</v>
      </c>
      <c r="CF132" s="177">
        <f t="shared" si="540"/>
        <v>-670741.29862028291</v>
      </c>
      <c r="CG132" s="177">
        <f t="shared" si="540"/>
        <v>-668406.05196609104</v>
      </c>
      <c r="CH132" s="204">
        <f t="shared" si="540"/>
        <v>-8090124.5520446394</v>
      </c>
      <c r="CI132" s="205"/>
      <c r="CJ132" s="203">
        <f t="shared" ref="CJ132:CV132" si="541">+CJ124+CJ88</f>
        <v>-1837844.7706150613</v>
      </c>
      <c r="CK132" s="177">
        <f t="shared" si="541"/>
        <v>-1789684.9437859533</v>
      </c>
      <c r="CL132" s="177">
        <f t="shared" si="541"/>
        <v>-1795599.9139384162</v>
      </c>
      <c r="CM132" s="177">
        <f t="shared" si="541"/>
        <v>-1784604.7107921364</v>
      </c>
      <c r="CN132" s="177">
        <f t="shared" si="541"/>
        <v>-1786142.0463026152</v>
      </c>
      <c r="CO132" s="177">
        <f t="shared" si="541"/>
        <v>-1786553.8194578008</v>
      </c>
      <c r="CP132" s="177">
        <f t="shared" si="541"/>
        <v>-1802019.5369890784</v>
      </c>
      <c r="CQ132" s="177">
        <f t="shared" si="541"/>
        <v>-1817235.7155718417</v>
      </c>
      <c r="CR132" s="177">
        <f t="shared" si="541"/>
        <v>-1866944.9145196746</v>
      </c>
      <c r="CS132" s="177">
        <f t="shared" si="541"/>
        <v>-1812504.6406683414</v>
      </c>
      <c r="CT132" s="177">
        <f t="shared" si="541"/>
        <v>-1759684.4152231116</v>
      </c>
      <c r="CU132" s="177">
        <f t="shared" si="541"/>
        <v>-1733996.7020270019</v>
      </c>
      <c r="CV132" s="204">
        <f t="shared" si="541"/>
        <v>-21572816.129891034</v>
      </c>
      <c r="CW132" s="205"/>
      <c r="CX132" s="203">
        <f t="shared" ref="CX132:DJ132" si="542">+CX124+CX88</f>
        <v>-4142355.688456519</v>
      </c>
      <c r="CY132" s="177">
        <f t="shared" si="542"/>
        <v>-4014042.5433460623</v>
      </c>
      <c r="CZ132" s="177">
        <f t="shared" si="542"/>
        <v>-4029734.8860068768</v>
      </c>
      <c r="DA132" s="177">
        <f t="shared" si="542"/>
        <v>-4001111.0411799834</v>
      </c>
      <c r="DB132" s="177">
        <f t="shared" si="542"/>
        <v>-4005024.2588430201</v>
      </c>
      <c r="DC132" s="177">
        <f t="shared" si="542"/>
        <v>-4006072.4086925834</v>
      </c>
      <c r="DD132" s="177">
        <f t="shared" si="542"/>
        <v>-4046326.9693994722</v>
      </c>
      <c r="DE132" s="177">
        <f t="shared" si="542"/>
        <v>-4089361.7853374141</v>
      </c>
      <c r="DF132" s="177">
        <f t="shared" si="542"/>
        <v>-4213836.4667500816</v>
      </c>
      <c r="DG132" s="177">
        <f t="shared" si="542"/>
        <v>-4075785.034219414</v>
      </c>
      <c r="DH132" s="177">
        <f t="shared" si="542"/>
        <v>-3939200.8962679198</v>
      </c>
      <c r="DI132" s="177">
        <f t="shared" si="542"/>
        <v>-3873851.4049505498</v>
      </c>
      <c r="DJ132" s="204">
        <f t="shared" si="542"/>
        <v>-48436703.383449905</v>
      </c>
      <c r="DK132" s="205"/>
      <c r="DL132" s="203">
        <f t="shared" ref="DL132:DX132" si="543">+DL124+DL88</f>
        <v>-2934051.3018357186</v>
      </c>
      <c r="DM132" s="177">
        <f t="shared" si="543"/>
        <v>-2697638.1221260624</v>
      </c>
      <c r="DN132" s="177">
        <f t="shared" si="543"/>
        <v>-2696869.4811148769</v>
      </c>
      <c r="DO132" s="177">
        <f t="shared" si="543"/>
        <v>-2574497.2952799825</v>
      </c>
      <c r="DP132" s="177">
        <f t="shared" si="543"/>
        <v>-2578410.5129430201</v>
      </c>
      <c r="DQ132" s="177">
        <f t="shared" si="543"/>
        <v>-2579458.662792583</v>
      </c>
      <c r="DR132" s="177">
        <f t="shared" si="543"/>
        <v>-2840318.367178672</v>
      </c>
      <c r="DS132" s="177">
        <f t="shared" si="543"/>
        <v>-2656385.9928374137</v>
      </c>
      <c r="DT132" s="177">
        <f t="shared" si="543"/>
        <v>-2782357.2742500808</v>
      </c>
      <c r="DU132" s="177">
        <f t="shared" si="543"/>
        <v>-2642734.4117194135</v>
      </c>
      <c r="DV132" s="177">
        <f t="shared" si="543"/>
        <v>-2509330.5487679201</v>
      </c>
      <c r="DW132" s="177">
        <f t="shared" si="543"/>
        <v>-2443943.6424505501</v>
      </c>
      <c r="DX132" s="204">
        <f t="shared" si="543"/>
        <v>-31935995.6132963</v>
      </c>
      <c r="DY132" s="205"/>
      <c r="DZ132" s="203">
        <f t="shared" ref="DZ132:EL132" si="544">+DZ124+DZ88</f>
        <v>-319302.99013773282</v>
      </c>
      <c r="EA132" s="177">
        <f t="shared" si="544"/>
        <v>-314924.82406235934</v>
      </c>
      <c r="EB132" s="177">
        <f t="shared" si="544"/>
        <v>-315462.54862167418</v>
      </c>
      <c r="EC132" s="177">
        <f t="shared" si="544"/>
        <v>-515351.66256328521</v>
      </c>
      <c r="ED132" s="177">
        <f t="shared" si="544"/>
        <v>-314602.74247296498</v>
      </c>
      <c r="EE132" s="177">
        <f t="shared" si="544"/>
        <v>-314640.17639616365</v>
      </c>
      <c r="EF132" s="177">
        <f t="shared" si="544"/>
        <v>-316247.03525355255</v>
      </c>
      <c r="EG132" s="177">
        <f t="shared" si="544"/>
        <v>-317630.32421562192</v>
      </c>
      <c r="EH132" s="177">
        <f t="shared" si="544"/>
        <v>-322149.34230178857</v>
      </c>
      <c r="EI132" s="177">
        <f t="shared" si="544"/>
        <v>-317200.22649712185</v>
      </c>
      <c r="EJ132" s="177">
        <f t="shared" si="544"/>
        <v>-312398.38782028283</v>
      </c>
      <c r="EK132" s="177">
        <f t="shared" si="544"/>
        <v>-310063.14116609108</v>
      </c>
      <c r="EL132" s="204">
        <f t="shared" si="544"/>
        <v>-3989973.4015086391</v>
      </c>
      <c r="EM132" s="205"/>
      <c r="EN132" s="203">
        <f t="shared" ref="EN132:EZ132" si="545">+EN124+EN88</f>
        <v>-472621.81577546563</v>
      </c>
      <c r="EO132" s="177">
        <f t="shared" si="545"/>
        <v>-463865.48362471868</v>
      </c>
      <c r="EP132" s="177">
        <f t="shared" si="545"/>
        <v>-464940.9327433483</v>
      </c>
      <c r="EQ132" s="177">
        <f t="shared" si="545"/>
        <v>-462941.80489857018</v>
      </c>
      <c r="ER132" s="177">
        <f t="shared" si="545"/>
        <v>-463221.32044593</v>
      </c>
      <c r="ES132" s="177">
        <f t="shared" si="545"/>
        <v>-463296.18829232728</v>
      </c>
      <c r="ET132" s="177">
        <f t="shared" si="545"/>
        <v>-466506.16450710513</v>
      </c>
      <c r="EU132" s="177">
        <f t="shared" si="545"/>
        <v>-469272.74243124382</v>
      </c>
      <c r="EV132" s="177">
        <f t="shared" si="545"/>
        <v>-478310.77860357711</v>
      </c>
      <c r="EW132" s="177">
        <f t="shared" si="545"/>
        <v>-468412.54699424375</v>
      </c>
      <c r="EX132" s="177">
        <f t="shared" si="545"/>
        <v>-458808.86964056559</v>
      </c>
      <c r="EY132" s="177">
        <f t="shared" si="545"/>
        <v>-454138.37633218209</v>
      </c>
      <c r="EZ132" s="204">
        <f t="shared" si="545"/>
        <v>-5586337.0242892783</v>
      </c>
      <c r="FA132" s="205"/>
      <c r="FB132" s="203">
        <f t="shared" ref="FB132:FN132" si="546">+FB124+FB88</f>
        <v>-103332.38563773283</v>
      </c>
      <c r="FC132" s="177">
        <f t="shared" si="546"/>
        <v>-98954.219562359358</v>
      </c>
      <c r="FD132" s="177">
        <f t="shared" si="546"/>
        <v>-99491.944121674183</v>
      </c>
      <c r="FE132" s="177">
        <f t="shared" si="546"/>
        <v>-98492.380199285108</v>
      </c>
      <c r="FF132" s="177">
        <f t="shared" si="546"/>
        <v>-98632.137972965007</v>
      </c>
      <c r="FG132" s="177">
        <f t="shared" si="546"/>
        <v>-98669.571896163689</v>
      </c>
      <c r="FH132" s="177">
        <f t="shared" si="546"/>
        <v>-100052.68905355257</v>
      </c>
      <c r="FI132" s="177">
        <f t="shared" si="546"/>
        <v>-101435.97801562195</v>
      </c>
      <c r="FJ132" s="177">
        <f t="shared" si="546"/>
        <v>-105954.99610178859</v>
      </c>
      <c r="FK132" s="177">
        <f t="shared" si="546"/>
        <v>-101005.88029712194</v>
      </c>
      <c r="FL132" s="177">
        <f t="shared" si="546"/>
        <v>-96204.041620282864</v>
      </c>
      <c r="FM132" s="177">
        <f t="shared" si="546"/>
        <v>-93868.794966091082</v>
      </c>
      <c r="FN132" s="204">
        <f t="shared" si="546"/>
        <v>-1196095.0194446393</v>
      </c>
      <c r="FO132" s="205"/>
      <c r="FP132" s="203">
        <f t="shared" ref="FP132:GB132" si="547">+FP124+FP88</f>
        <v>-1431537.2752641297</v>
      </c>
      <c r="FQ132" s="177">
        <f t="shared" si="547"/>
        <v>-1396972.7622365155</v>
      </c>
      <c r="FR132" s="177">
        <f t="shared" si="547"/>
        <v>-1401372.8891517192</v>
      </c>
      <c r="FS132" s="177">
        <f t="shared" si="547"/>
        <v>-1393739.8866949959</v>
      </c>
      <c r="FT132" s="177">
        <f t="shared" si="547"/>
        <v>-1394718.1911107551</v>
      </c>
      <c r="FU132" s="177">
        <f t="shared" si="547"/>
        <v>-1394980.2285731458</v>
      </c>
      <c r="FV132" s="177">
        <f t="shared" si="547"/>
        <v>-1405938.6484748679</v>
      </c>
      <c r="FW132" s="177">
        <f t="shared" si="547"/>
        <v>-1418240.7212093535</v>
      </c>
      <c r="FX132" s="177">
        <f t="shared" si="547"/>
        <v>-1449499.6978125202</v>
      </c>
      <c r="FY132" s="177">
        <f t="shared" si="547"/>
        <v>-1415379.6971798535</v>
      </c>
      <c r="FZ132" s="177">
        <f t="shared" si="547"/>
        <v>-1379634.1714419799</v>
      </c>
      <c r="GA132" s="177">
        <f t="shared" si="547"/>
        <v>-1363324.8598626375</v>
      </c>
      <c r="GB132" s="204">
        <f t="shared" si="547"/>
        <v>-16845339.029012475</v>
      </c>
      <c r="GC132" s="205"/>
      <c r="GD132" s="203">
        <f t="shared" ref="GD132:GP132" si="548">+GD124+GD88</f>
        <v>-655802.27563773282</v>
      </c>
      <c r="GE132" s="177">
        <f t="shared" si="548"/>
        <v>-655341.46006235934</v>
      </c>
      <c r="GF132" s="177">
        <f t="shared" si="548"/>
        <v>-655243.12962167419</v>
      </c>
      <c r="GG132" s="177">
        <f t="shared" si="548"/>
        <v>-654879.62069928506</v>
      </c>
      <c r="GH132" s="177">
        <f t="shared" si="548"/>
        <v>-655019.37847296498</v>
      </c>
      <c r="GI132" s="177">
        <f t="shared" si="548"/>
        <v>-655056.8123961637</v>
      </c>
      <c r="GJ132" s="177">
        <f t="shared" si="548"/>
        <v>-656200.47355355253</v>
      </c>
      <c r="GK132" s="177">
        <f t="shared" si="548"/>
        <v>-654964.71251562191</v>
      </c>
      <c r="GL132" s="177">
        <f t="shared" si="548"/>
        <v>-659857.88060178864</v>
      </c>
      <c r="GM132" s="177">
        <f t="shared" si="548"/>
        <v>-654384.95479712193</v>
      </c>
      <c r="GN132" s="177">
        <f t="shared" si="548"/>
        <v>-651715.77112028282</v>
      </c>
      <c r="GO132" s="177">
        <f t="shared" si="548"/>
        <v>-649343.10946609103</v>
      </c>
      <c r="GP132" s="204">
        <f t="shared" si="548"/>
        <v>-7857809.5789446393</v>
      </c>
      <c r="GQ132" s="205"/>
      <c r="GR132" s="203">
        <f t="shared" ref="GR132:HC132" si="549">+GR124+GR88</f>
        <v>374257.41973189724</v>
      </c>
      <c r="GS132" s="177">
        <f t="shared" si="549"/>
        <v>446719.58152489725</v>
      </c>
      <c r="GT132" s="177">
        <f t="shared" si="549"/>
        <v>-1365035.5160420984</v>
      </c>
      <c r="GU132" s="177">
        <f t="shared" si="549"/>
        <v>-1360190.2361270986</v>
      </c>
      <c r="GV132" s="177">
        <f t="shared" si="549"/>
        <v>-1355311.1704670985</v>
      </c>
      <c r="GW132" s="177">
        <f t="shared" si="549"/>
        <v>-1350398.0870890985</v>
      </c>
      <c r="GX132" s="177">
        <f t="shared" si="549"/>
        <v>-1345450.7540200986</v>
      </c>
      <c r="GY132" s="177">
        <f t="shared" si="549"/>
        <v>-1340468.9318040987</v>
      </c>
      <c r="GZ132" s="177">
        <f t="shared" si="549"/>
        <v>-1335452.3809850984</v>
      </c>
      <c r="HA132" s="177">
        <f t="shared" si="549"/>
        <v>-1330400.8471410987</v>
      </c>
      <c r="HB132" s="177">
        <f t="shared" si="549"/>
        <v>-1325314.1057820986</v>
      </c>
      <c r="HC132" s="177">
        <f t="shared" si="549"/>
        <v>-1320191.8950030983</v>
      </c>
      <c r="HD132" s="204">
        <f t="shared" si="293"/>
        <v>0</v>
      </c>
      <c r="HE132" s="205"/>
      <c r="HF132" s="203">
        <f t="shared" ref="HF132:HR132" si="550">+HF124+HF88</f>
        <v>-653829.42105093133</v>
      </c>
      <c r="HG132" s="177">
        <f t="shared" si="550"/>
        <v>-636316.75674943754</v>
      </c>
      <c r="HH132" s="177">
        <f t="shared" si="550"/>
        <v>-638467.65498669678</v>
      </c>
      <c r="HI132" s="177">
        <f t="shared" si="550"/>
        <v>-634469.39929714042</v>
      </c>
      <c r="HJ132" s="177">
        <f t="shared" si="550"/>
        <v>-635028.43039186008</v>
      </c>
      <c r="HK132" s="177">
        <f t="shared" si="550"/>
        <v>-635178.16608465486</v>
      </c>
      <c r="HL132" s="177">
        <f t="shared" si="550"/>
        <v>-641072.81191421032</v>
      </c>
      <c r="HM132" s="177">
        <f t="shared" si="550"/>
        <v>-646605.96776248771</v>
      </c>
      <c r="HN132" s="177">
        <f t="shared" si="550"/>
        <v>-664682.0401071544</v>
      </c>
      <c r="HO132" s="177">
        <f t="shared" si="550"/>
        <v>-644885.57688848779</v>
      </c>
      <c r="HP132" s="177">
        <f t="shared" si="550"/>
        <v>-625678.22218113148</v>
      </c>
      <c r="HQ132" s="177">
        <f t="shared" si="550"/>
        <v>-616337.23556436435</v>
      </c>
      <c r="HR132" s="204">
        <f t="shared" si="550"/>
        <v>-7672551.6829785556</v>
      </c>
      <c r="HS132" s="205"/>
      <c r="HT132" s="203">
        <f t="shared" ref="HT132:IF132" si="551">+HT124+HT88</f>
        <v>-168714.34983773285</v>
      </c>
      <c r="HU132" s="177">
        <f t="shared" si="551"/>
        <v>-164336.18376235937</v>
      </c>
      <c r="HV132" s="177">
        <f t="shared" si="551"/>
        <v>-164873.90832167421</v>
      </c>
      <c r="HW132" s="177">
        <f t="shared" si="551"/>
        <v>-163874.3443992851</v>
      </c>
      <c r="HX132" s="177">
        <f t="shared" si="551"/>
        <v>-164014.10217296504</v>
      </c>
      <c r="HY132" s="177">
        <f t="shared" si="551"/>
        <v>-164051.53609616371</v>
      </c>
      <c r="HZ132" s="177">
        <f t="shared" si="551"/>
        <v>-165460.09545355258</v>
      </c>
      <c r="IA132" s="177">
        <f t="shared" si="551"/>
        <v>-166843.38441562193</v>
      </c>
      <c r="IB132" s="177">
        <f t="shared" si="551"/>
        <v>-171362.4025017886</v>
      </c>
      <c r="IC132" s="177">
        <f t="shared" si="551"/>
        <v>-166413.28669712195</v>
      </c>
      <c r="ID132" s="177">
        <f t="shared" si="551"/>
        <v>-161611.44802028287</v>
      </c>
      <c r="IE132" s="177">
        <f t="shared" si="551"/>
        <v>-159276.20136609109</v>
      </c>
      <c r="IF132" s="204">
        <f t="shared" si="551"/>
        <v>-1980831.243044639</v>
      </c>
      <c r="IG132" s="205"/>
      <c r="IH132" s="203">
        <f t="shared" ref="IH132:IT132" si="552">+IH124+IH88</f>
        <v>-485685.99853773281</v>
      </c>
      <c r="II132" s="177">
        <f t="shared" si="552"/>
        <v>-481307.83246235934</v>
      </c>
      <c r="IJ132" s="177">
        <f t="shared" si="552"/>
        <v>-481845.55702167418</v>
      </c>
      <c r="IK132" s="177">
        <f t="shared" si="552"/>
        <v>-480845.99309928512</v>
      </c>
      <c r="IL132" s="177">
        <f t="shared" si="552"/>
        <v>-480985.75087296497</v>
      </c>
      <c r="IM132" s="177">
        <f t="shared" si="552"/>
        <v>-481023.1847961637</v>
      </c>
      <c r="IN132" s="177">
        <f t="shared" si="552"/>
        <v>-482850.04385355255</v>
      </c>
      <c r="IO132" s="177">
        <f t="shared" si="552"/>
        <v>-484233.33281562198</v>
      </c>
      <c r="IP132" s="177">
        <f t="shared" si="552"/>
        <v>-488752.35090178862</v>
      </c>
      <c r="IQ132" s="177">
        <f t="shared" si="552"/>
        <v>-483803.23509712191</v>
      </c>
      <c r="IR132" s="177">
        <f t="shared" si="552"/>
        <v>-479001.39642028284</v>
      </c>
      <c r="IS132" s="177">
        <f t="shared" si="552"/>
        <v>-476666.14976609102</v>
      </c>
      <c r="IT132" s="204">
        <f t="shared" si="552"/>
        <v>-5787000.8256446403</v>
      </c>
      <c r="IU132" s="205"/>
      <c r="IV132" s="203">
        <f t="shared" ref="IV132:JH132" si="553">+IV124+IV88</f>
        <v>-1545426.2903641297</v>
      </c>
      <c r="IW132" s="177">
        <f t="shared" si="553"/>
        <v>-1514779.1278365157</v>
      </c>
      <c r="IX132" s="177">
        <f t="shared" si="553"/>
        <v>-1518543.1997517194</v>
      </c>
      <c r="IY132" s="177">
        <f t="shared" si="553"/>
        <v>-1511546.2522949958</v>
      </c>
      <c r="IZ132" s="177">
        <f t="shared" si="553"/>
        <v>-1512524.556710755</v>
      </c>
      <c r="JA132" s="177">
        <f t="shared" si="553"/>
        <v>-1512786.5941731459</v>
      </c>
      <c r="JB132" s="177">
        <f t="shared" si="553"/>
        <v>-1523381.3402748681</v>
      </c>
      <c r="JC132" s="177">
        <f t="shared" si="553"/>
        <v>-1533064.3630093536</v>
      </c>
      <c r="JD132" s="177">
        <f t="shared" si="553"/>
        <v>-1564697.4896125202</v>
      </c>
      <c r="JE132" s="177">
        <f t="shared" si="553"/>
        <v>-1530053.6789798536</v>
      </c>
      <c r="JF132" s="177">
        <f t="shared" si="553"/>
        <v>-1496440.8082419799</v>
      </c>
      <c r="JG132" s="177">
        <f t="shared" si="553"/>
        <v>-1480094.0816626374</v>
      </c>
      <c r="JH132" s="204">
        <f t="shared" si="553"/>
        <v>-18243337.78291247</v>
      </c>
      <c r="JI132" s="205"/>
      <c r="JJ132" s="203">
        <f t="shared" ref="JJ132:JV132" si="554">+JJ124+JJ88</f>
        <v>-2143671.9874150609</v>
      </c>
      <c r="JK132" s="177">
        <f t="shared" si="554"/>
        <v>-2086622.3565859532</v>
      </c>
      <c r="JL132" s="177">
        <f t="shared" si="554"/>
        <v>-2093809.4367384161</v>
      </c>
      <c r="JM132" s="177">
        <f t="shared" si="554"/>
        <v>-2081542.1235921364</v>
      </c>
      <c r="JN132" s="177">
        <f t="shared" si="554"/>
        <v>-2083079.4591026152</v>
      </c>
      <c r="JO132" s="177">
        <f t="shared" si="554"/>
        <v>-2083491.2322578006</v>
      </c>
      <c r="JP132" s="177">
        <f t="shared" si="554"/>
        <v>-2099139.5349890785</v>
      </c>
      <c r="JQ132" s="177">
        <f t="shared" si="554"/>
        <v>-2120155.0385718411</v>
      </c>
      <c r="JR132" s="177">
        <f t="shared" si="554"/>
        <v>-2168554.7125196746</v>
      </c>
      <c r="JS132" s="177">
        <f t="shared" si="554"/>
        <v>-2113066.8186683413</v>
      </c>
      <c r="JT132" s="177">
        <f t="shared" si="554"/>
        <v>-2058076.5232231116</v>
      </c>
      <c r="JU132" s="177">
        <f t="shared" si="554"/>
        <v>-2032463.640027002</v>
      </c>
      <c r="JV132" s="204">
        <f t="shared" si="554"/>
        <v>-25163672.863691024</v>
      </c>
      <c r="JW132" s="205"/>
      <c r="JX132" s="203">
        <f t="shared" ref="JX132:KJ132" si="555">+JX124+JX88</f>
        <v>-1121210.5049886643</v>
      </c>
      <c r="JY132" s="177">
        <f t="shared" si="555"/>
        <v>-1099196.205111797</v>
      </c>
      <c r="JZ132" s="177">
        <f t="shared" si="555"/>
        <v>-1101884.8279083711</v>
      </c>
      <c r="KA132" s="177">
        <f t="shared" si="555"/>
        <v>-1096887.0082964257</v>
      </c>
      <c r="KB132" s="177">
        <f t="shared" si="555"/>
        <v>-1097585.7971648253</v>
      </c>
      <c r="KC132" s="177">
        <f t="shared" si="555"/>
        <v>-1097772.9667808185</v>
      </c>
      <c r="KD132" s="177">
        <f t="shared" si="555"/>
        <v>-1105068.688967763</v>
      </c>
      <c r="KE132" s="177">
        <f t="shared" si="555"/>
        <v>-1111985.1337781097</v>
      </c>
      <c r="KF132" s="177">
        <f t="shared" si="555"/>
        <v>-1134580.2242089431</v>
      </c>
      <c r="KG132" s="177">
        <f t="shared" si="555"/>
        <v>-1109310.8351856098</v>
      </c>
      <c r="KH132" s="177">
        <f t="shared" si="555"/>
        <v>-1085825.4518014144</v>
      </c>
      <c r="KI132" s="177">
        <f t="shared" si="555"/>
        <v>-1074149.2185304554</v>
      </c>
      <c r="KJ132" s="204">
        <f t="shared" si="555"/>
        <v>-13235456.862723198</v>
      </c>
      <c r="KK132" s="205"/>
      <c r="KL132" s="203">
        <f t="shared" ref="KL132:KX132" si="556">+KL124+KL88</f>
        <v>-214002.60107546567</v>
      </c>
      <c r="KM132" s="177">
        <f t="shared" si="556"/>
        <v>-205246.26892471872</v>
      </c>
      <c r="KN132" s="177">
        <f t="shared" si="556"/>
        <v>-206321.71804334834</v>
      </c>
      <c r="KO132" s="177">
        <f t="shared" si="556"/>
        <v>-204322.59019857022</v>
      </c>
      <c r="KP132" s="177">
        <f t="shared" si="556"/>
        <v>-204602.10574593002</v>
      </c>
      <c r="KQ132" s="177">
        <f t="shared" si="556"/>
        <v>-204676.97359232738</v>
      </c>
      <c r="KR132" s="177">
        <f t="shared" si="556"/>
        <v>-207389.33030710515</v>
      </c>
      <c r="KS132" s="177">
        <f t="shared" si="556"/>
        <v>-210155.9082312439</v>
      </c>
      <c r="KT132" s="177">
        <f t="shared" si="556"/>
        <v>-219193.94440357719</v>
      </c>
      <c r="KU132" s="177">
        <f t="shared" si="556"/>
        <v>-209292.71959424388</v>
      </c>
      <c r="KV132" s="177">
        <f t="shared" si="556"/>
        <v>-199692.03544056573</v>
      </c>
      <c r="KW132" s="177">
        <f t="shared" si="556"/>
        <v>-195021.54213218216</v>
      </c>
      <c r="KX132" s="204">
        <f t="shared" si="556"/>
        <v>-2479917.7376892786</v>
      </c>
      <c r="KY132" s="205"/>
      <c r="KZ132" s="203">
        <f t="shared" ref="KZ132:LL132" si="557">+KZ124+KZ88</f>
        <v>-177452.24893773283</v>
      </c>
      <c r="LA132" s="177">
        <f t="shared" si="557"/>
        <v>-173074.08286235938</v>
      </c>
      <c r="LB132" s="177">
        <f t="shared" si="557"/>
        <v>-173611.8074216742</v>
      </c>
      <c r="LC132" s="177">
        <f t="shared" si="557"/>
        <v>-172612.2434992851</v>
      </c>
      <c r="LD132" s="177">
        <f t="shared" si="557"/>
        <v>-172752.00127296502</v>
      </c>
      <c r="LE132" s="177">
        <f t="shared" si="557"/>
        <v>-172789.43519616371</v>
      </c>
      <c r="LF132" s="177">
        <f t="shared" si="557"/>
        <v>-174144.86525355259</v>
      </c>
      <c r="LG132" s="177">
        <f t="shared" si="557"/>
        <v>-175528.15421562194</v>
      </c>
      <c r="LH132" s="177">
        <f t="shared" si="557"/>
        <v>-180047.17230178861</v>
      </c>
      <c r="LI132" s="177">
        <f t="shared" si="557"/>
        <v>-175101.04969712195</v>
      </c>
      <c r="LJ132" s="177">
        <f t="shared" si="557"/>
        <v>-170296.21782028288</v>
      </c>
      <c r="LK132" s="177">
        <f t="shared" si="557"/>
        <v>-167960.9711660911</v>
      </c>
      <c r="LL132" s="204">
        <f t="shared" si="557"/>
        <v>-2085370.249644639</v>
      </c>
      <c r="LM132" s="205"/>
      <c r="LN132" s="203">
        <f t="shared" ref="LN132:LZ132" si="558">+LN124+LN88</f>
        <v>0</v>
      </c>
      <c r="LO132" s="177">
        <f t="shared" si="558"/>
        <v>0</v>
      </c>
      <c r="LP132" s="177">
        <f t="shared" si="558"/>
        <v>0</v>
      </c>
      <c r="LQ132" s="177">
        <f t="shared" si="558"/>
        <v>0</v>
      </c>
      <c r="LR132" s="177">
        <f t="shared" si="558"/>
        <v>0</v>
      </c>
      <c r="LS132" s="177">
        <f t="shared" si="558"/>
        <v>0</v>
      </c>
      <c r="LT132" s="177">
        <f t="shared" si="558"/>
        <v>0</v>
      </c>
      <c r="LU132" s="177">
        <f t="shared" si="558"/>
        <v>0</v>
      </c>
      <c r="LV132" s="177">
        <f t="shared" si="558"/>
        <v>0</v>
      </c>
      <c r="LW132" s="177">
        <f t="shared" si="558"/>
        <v>0</v>
      </c>
      <c r="LX132" s="177">
        <f t="shared" si="558"/>
        <v>0</v>
      </c>
      <c r="LY132" s="177">
        <f t="shared" si="558"/>
        <v>0</v>
      </c>
      <c r="LZ132" s="204">
        <f t="shared" si="558"/>
        <v>0</v>
      </c>
      <c r="MA132" s="205"/>
      <c r="MB132" s="204">
        <f t="shared" ref="MB132:MN132" si="559">+MB124+MB88</f>
        <v>-27142794.568035487</v>
      </c>
      <c r="MC132" s="204">
        <f t="shared" si="559"/>
        <v>-26218340.662782043</v>
      </c>
      <c r="MD132" s="204">
        <f t="shared" si="559"/>
        <v>-28105001.879404664</v>
      </c>
      <c r="ME132" s="204">
        <f t="shared" si="559"/>
        <v>-28040188.178073857</v>
      </c>
      <c r="MF132" s="204">
        <f t="shared" si="559"/>
        <v>-27857340.709433354</v>
      </c>
      <c r="MG132" s="204">
        <f t="shared" si="559"/>
        <v>-27858566.789459944</v>
      </c>
      <c r="MH132" s="204">
        <f t="shared" si="559"/>
        <v>-28310682.693381917</v>
      </c>
      <c r="MI132" s="204">
        <f t="shared" si="559"/>
        <v>-28323739.345666099</v>
      </c>
      <c r="MJ132" s="204">
        <f t="shared" si="559"/>
        <v>-29054416.585978426</v>
      </c>
      <c r="MK132" s="204">
        <f t="shared" si="559"/>
        <v>-28234567.200169094</v>
      </c>
      <c r="ML132" s="204">
        <f t="shared" si="559"/>
        <v>-27438686.395808481</v>
      </c>
      <c r="MM132" s="204">
        <f t="shared" si="559"/>
        <v>-27050733.393742032</v>
      </c>
      <c r="MN132" s="204">
        <f t="shared" si="559"/>
        <v>-333635058.40193552</v>
      </c>
    </row>
    <row r="133" spans="1:352" hidden="1" x14ac:dyDescent="0.3">
      <c r="A133" s="98"/>
      <c r="B133" s="63" t="s">
        <v>232</v>
      </c>
      <c r="C133" s="98"/>
      <c r="D133" s="153">
        <f t="shared" ref="D133:P133" si="560">+D120+SUM(D87:D88)+SUM(D106:D107)-D103</f>
        <v>-4078892.0463547148</v>
      </c>
      <c r="E133" s="154">
        <f t="shared" si="560"/>
        <v>-3900930.3853626517</v>
      </c>
      <c r="F133" s="154">
        <f t="shared" si="560"/>
        <v>-3942110.6477700588</v>
      </c>
      <c r="G133" s="154">
        <f t="shared" si="560"/>
        <v>-3904698.5289100059</v>
      </c>
      <c r="H133" s="154">
        <f t="shared" si="560"/>
        <v>-3907747.4509374057</v>
      </c>
      <c r="I133" s="154">
        <f t="shared" si="560"/>
        <v>-3914319.7868363853</v>
      </c>
      <c r="J133" s="154">
        <f t="shared" si="560"/>
        <v>-3975273.3423125753</v>
      </c>
      <c r="K133" s="154">
        <f t="shared" si="560"/>
        <v>-4029869.8676043581</v>
      </c>
      <c r="L133" s="154">
        <f t="shared" si="560"/>
        <v>-4204792.8377630888</v>
      </c>
      <c r="M133" s="154">
        <f t="shared" si="560"/>
        <v>-4032600.5481599141</v>
      </c>
      <c r="N133" s="154">
        <f t="shared" si="560"/>
        <v>-3867417.0960964221</v>
      </c>
      <c r="O133" s="154">
        <f t="shared" si="560"/>
        <v>-3777888.4218343459</v>
      </c>
      <c r="P133" s="157">
        <f t="shared" si="560"/>
        <v>-43567913.165692747</v>
      </c>
      <c r="Q133" s="161"/>
      <c r="R133" s="153">
        <f t="shared" ref="R133:AD133" si="561">+R120+SUM(R87:R88)+SUM(R106:R107)-R103</f>
        <v>-350505.52203669463</v>
      </c>
      <c r="S133" s="154">
        <f t="shared" si="561"/>
        <v>-332654.31572717085</v>
      </c>
      <c r="T133" s="154">
        <f t="shared" si="561"/>
        <v>-336826.41183828196</v>
      </c>
      <c r="U133" s="154">
        <f t="shared" si="561"/>
        <v>-333044.12368034542</v>
      </c>
      <c r="V133" s="154">
        <f t="shared" si="561"/>
        <v>-333359.52940731781</v>
      </c>
      <c r="W133" s="154">
        <f t="shared" si="561"/>
        <v>-334039.42622445355</v>
      </c>
      <c r="X133" s="154">
        <f t="shared" si="561"/>
        <v>-340148.55265302496</v>
      </c>
      <c r="Y133" s="154">
        <f t="shared" si="561"/>
        <v>-345434.40009700257</v>
      </c>
      <c r="Z133" s="154">
        <f t="shared" si="561"/>
        <v>-363581.6039065264</v>
      </c>
      <c r="AA133" s="154">
        <f t="shared" si="561"/>
        <v>-345768.60843033588</v>
      </c>
      <c r="AB133" s="154">
        <f t="shared" si="561"/>
        <v>-328903.07890652638</v>
      </c>
      <c r="AC133" s="154">
        <f t="shared" si="561"/>
        <v>-319636.3195001047</v>
      </c>
      <c r="AD133" s="157">
        <f t="shared" si="561"/>
        <v>-4063901.892407787</v>
      </c>
      <c r="AE133" s="161"/>
      <c r="AF133" s="153">
        <f t="shared" ref="AF133:AR133" si="562">+AF120+SUM(AF87:AF88)+SUM(AF106:AF107)-AF103</f>
        <v>-352288.52203669463</v>
      </c>
      <c r="AG133" s="154">
        <f t="shared" si="562"/>
        <v>-334437.31572717085</v>
      </c>
      <c r="AH133" s="154">
        <f t="shared" si="562"/>
        <v>-338609.41183828196</v>
      </c>
      <c r="AI133" s="154">
        <f t="shared" si="562"/>
        <v>-334827.12368034542</v>
      </c>
      <c r="AJ133" s="154">
        <f t="shared" si="562"/>
        <v>-335142.52940731781</v>
      </c>
      <c r="AK133" s="154">
        <f t="shared" si="562"/>
        <v>-335822.42622445355</v>
      </c>
      <c r="AL133" s="154">
        <f t="shared" si="562"/>
        <v>-341931.55265302496</v>
      </c>
      <c r="AM133" s="154">
        <f t="shared" si="562"/>
        <v>-347217.40009700257</v>
      </c>
      <c r="AN133" s="154">
        <f t="shared" si="562"/>
        <v>-365364.6039065264</v>
      </c>
      <c r="AO133" s="154">
        <f t="shared" si="562"/>
        <v>-347551.60843033588</v>
      </c>
      <c r="AP133" s="154">
        <f t="shared" si="562"/>
        <v>-330686.07890652638</v>
      </c>
      <c r="AQ133" s="154">
        <f t="shared" si="562"/>
        <v>-321419.3195001047</v>
      </c>
      <c r="AR133" s="157">
        <f t="shared" si="562"/>
        <v>-4085297.892407787</v>
      </c>
      <c r="AT133" s="153">
        <f t="shared" ref="AT133:BF133" si="563">+AT120+SUM(AT87:AT88)+SUM(AT106:AT107)-AT103</f>
        <v>-905018.34802446305</v>
      </c>
      <c r="AU133" s="154">
        <f t="shared" si="563"/>
        <v>-893117.54381811386</v>
      </c>
      <c r="AV133" s="154">
        <f t="shared" si="563"/>
        <v>-895898.94122552127</v>
      </c>
      <c r="AW133" s="154">
        <f t="shared" si="563"/>
        <v>-893377.41578689695</v>
      </c>
      <c r="AX133" s="154">
        <f t="shared" si="563"/>
        <v>-893587.68627154513</v>
      </c>
      <c r="AY133" s="154">
        <f t="shared" si="563"/>
        <v>-894040.95081630233</v>
      </c>
      <c r="AZ133" s="154">
        <f t="shared" si="563"/>
        <v>-898779.36843535001</v>
      </c>
      <c r="BA133" s="154">
        <f t="shared" si="563"/>
        <v>-902303.26673133508</v>
      </c>
      <c r="BB133" s="154">
        <f t="shared" si="563"/>
        <v>-914401.40260435082</v>
      </c>
      <c r="BC133" s="154">
        <f t="shared" si="563"/>
        <v>-902526.07228689059</v>
      </c>
      <c r="BD133" s="154">
        <f t="shared" si="563"/>
        <v>-891282.38593768422</v>
      </c>
      <c r="BE133" s="154">
        <f t="shared" si="563"/>
        <v>-885104.54633340309</v>
      </c>
      <c r="BF133" s="157">
        <f t="shared" si="563"/>
        <v>-10769437.928271856</v>
      </c>
      <c r="BH133" s="153">
        <f t="shared" ref="BH133:BT133" si="564">+BH120+SUM(BH87:BH88)+SUM(BH106:BH107)-BH103</f>
        <v>-4989845.6101834737</v>
      </c>
      <c r="BI133" s="154">
        <f t="shared" si="564"/>
        <v>-4900259.5786358546</v>
      </c>
      <c r="BJ133" s="154">
        <f t="shared" si="564"/>
        <v>-4921120.0591914104</v>
      </c>
      <c r="BK133" s="154">
        <f t="shared" si="564"/>
        <v>-4902208.6184017276</v>
      </c>
      <c r="BL133" s="154">
        <f t="shared" si="564"/>
        <v>-4903785.6470365888</v>
      </c>
      <c r="BM133" s="154">
        <f t="shared" si="564"/>
        <v>-4907185.1311222678</v>
      </c>
      <c r="BN133" s="154">
        <f t="shared" si="564"/>
        <v>-4939321.7632651245</v>
      </c>
      <c r="BO133" s="154">
        <f t="shared" si="564"/>
        <v>-4965751.0004850132</v>
      </c>
      <c r="BP133" s="154">
        <f t="shared" si="564"/>
        <v>-5056487.0195326321</v>
      </c>
      <c r="BQ133" s="154">
        <f t="shared" si="564"/>
        <v>-4966022.0421516793</v>
      </c>
      <c r="BR133" s="154">
        <f t="shared" si="564"/>
        <v>-4883094.394532633</v>
      </c>
      <c r="BS133" s="154">
        <f t="shared" si="564"/>
        <v>-4836760.5975005236</v>
      </c>
      <c r="BT133" s="157">
        <f t="shared" si="564"/>
        <v>-59171841.462038912</v>
      </c>
      <c r="BV133" s="153">
        <f t="shared" ref="BV133:CH133" si="565">+BV120+SUM(BV87:BV88)+SUM(BV106:BV107)-BV103</f>
        <v>-895417.17401223176</v>
      </c>
      <c r="BW133" s="154">
        <f t="shared" si="565"/>
        <v>-887966.77190905693</v>
      </c>
      <c r="BX133" s="154">
        <f t="shared" si="565"/>
        <v>-889357.47061276075</v>
      </c>
      <c r="BY133" s="154">
        <f t="shared" si="565"/>
        <v>-888096.70789344853</v>
      </c>
      <c r="BZ133" s="154">
        <f t="shared" si="565"/>
        <v>-888201.84313577274</v>
      </c>
      <c r="CA133" s="154">
        <f t="shared" si="565"/>
        <v>-888428.47540815128</v>
      </c>
      <c r="CB133" s="154">
        <f t="shared" si="565"/>
        <v>-891094.18421767512</v>
      </c>
      <c r="CC133" s="154">
        <f t="shared" si="565"/>
        <v>-894356.13336566766</v>
      </c>
      <c r="CD133" s="154">
        <f t="shared" si="565"/>
        <v>-898905.20130217553</v>
      </c>
      <c r="CE133" s="154">
        <f t="shared" si="565"/>
        <v>-892967.53614344529</v>
      </c>
      <c r="CF133" s="154">
        <f t="shared" si="565"/>
        <v>-887345.69296884222</v>
      </c>
      <c r="CG133" s="154">
        <f t="shared" si="565"/>
        <v>-884256.77316670166</v>
      </c>
      <c r="CH133" s="157">
        <f t="shared" si="565"/>
        <v>-10686393.964135928</v>
      </c>
      <c r="CI133" s="161"/>
      <c r="CJ133" s="153">
        <f t="shared" ref="CJ133:CV133" si="566">+CJ120+SUM(CJ87:CJ88)+SUM(CJ106:CJ107)-CJ103</f>
        <v>-2330963.9141345471</v>
      </c>
      <c r="CK133" s="154">
        <f t="shared" si="566"/>
        <v>-2265509.4909996265</v>
      </c>
      <c r="CL133" s="154">
        <f t="shared" si="566"/>
        <v>-2280807.1767403674</v>
      </c>
      <c r="CM133" s="154">
        <f t="shared" si="566"/>
        <v>-2266938.7868279335</v>
      </c>
      <c r="CN133" s="154">
        <f t="shared" si="566"/>
        <v>-2268095.2744934987</v>
      </c>
      <c r="CO133" s="154">
        <f t="shared" si="566"/>
        <v>-2270588.2294896632</v>
      </c>
      <c r="CP133" s="154">
        <f t="shared" si="566"/>
        <v>-2293724.026394425</v>
      </c>
      <c r="CQ133" s="154">
        <f t="shared" si="566"/>
        <v>-2313105.4670223431</v>
      </c>
      <c r="CR133" s="154">
        <f t="shared" si="566"/>
        <v>-2379645.21432393</v>
      </c>
      <c r="CS133" s="154">
        <f t="shared" si="566"/>
        <v>-2314330.8975778986</v>
      </c>
      <c r="CT133" s="154">
        <f t="shared" si="566"/>
        <v>-2252490.6226572637</v>
      </c>
      <c r="CU133" s="154">
        <f t="shared" si="566"/>
        <v>-2218512.5048337174</v>
      </c>
      <c r="CV133" s="157">
        <f t="shared" si="566"/>
        <v>-27454711.605495218</v>
      </c>
      <c r="CW133" s="161"/>
      <c r="CX133" s="153">
        <f t="shared" ref="CX133:DJ133" si="567">+CX120+SUM(CX87:CX88)+SUM(CX106:CX107)-CX103</f>
        <v>-5217346.8723424831</v>
      </c>
      <c r="CY133" s="154">
        <f t="shared" si="567"/>
        <v>-5043085.613453595</v>
      </c>
      <c r="CZ133" s="154">
        <f t="shared" si="567"/>
        <v>-5082875.1771572987</v>
      </c>
      <c r="DA133" s="154">
        <f t="shared" si="567"/>
        <v>-5046723.8210165584</v>
      </c>
      <c r="DB133" s="154">
        <f t="shared" si="567"/>
        <v>-5049667.607801633</v>
      </c>
      <c r="DC133" s="154">
        <f t="shared" si="567"/>
        <v>-5056013.311428234</v>
      </c>
      <c r="DD133" s="154">
        <f t="shared" si="567"/>
        <v>-5116090.1580949007</v>
      </c>
      <c r="DE133" s="154">
        <f t="shared" si="567"/>
        <v>-5171174.7342386916</v>
      </c>
      <c r="DF133" s="154">
        <f t="shared" si="567"/>
        <v>-5337798.6364609143</v>
      </c>
      <c r="DG133" s="154">
        <f t="shared" si="567"/>
        <v>-5172244.0120164696</v>
      </c>
      <c r="DH133" s="154">
        <f t="shared" si="567"/>
        <v>-5011982.4031275799</v>
      </c>
      <c r="DI133" s="154">
        <f t="shared" si="567"/>
        <v>-4925542.6486676438</v>
      </c>
      <c r="DJ133" s="157">
        <f t="shared" si="567"/>
        <v>-61230544.995806009</v>
      </c>
      <c r="DK133" s="161"/>
      <c r="DL133" s="153">
        <f t="shared" ref="DL133:DX133" si="568">+DL120+SUM(DL87:DL88)+SUM(DL106:DL107)-DL103</f>
        <v>-3602614.2963424833</v>
      </c>
      <c r="DM133" s="154">
        <f t="shared" si="568"/>
        <v>-3283892.2134535946</v>
      </c>
      <c r="DN133" s="154">
        <f t="shared" si="568"/>
        <v>-3301683.937157298</v>
      </c>
      <c r="DO133" s="154">
        <f t="shared" si="568"/>
        <v>-3140250.8210165575</v>
      </c>
      <c r="DP133" s="154">
        <f t="shared" si="568"/>
        <v>-3143194.607801633</v>
      </c>
      <c r="DQ133" s="154">
        <f t="shared" si="568"/>
        <v>-3149540.311428233</v>
      </c>
      <c r="DR133" s="154">
        <f t="shared" si="568"/>
        <v>-3504425.5820949003</v>
      </c>
      <c r="DS133" s="154">
        <f t="shared" si="568"/>
        <v>-3256199.7342386902</v>
      </c>
      <c r="DT133" s="154">
        <f t="shared" si="568"/>
        <v>-3424823.6364609129</v>
      </c>
      <c r="DU133" s="154">
        <f t="shared" si="568"/>
        <v>-3257169.0120164682</v>
      </c>
      <c r="DV133" s="154">
        <f t="shared" si="568"/>
        <v>-3101157.4031275799</v>
      </c>
      <c r="DW133" s="154">
        <f t="shared" si="568"/>
        <v>-3014667.6486676442</v>
      </c>
      <c r="DX133" s="157">
        <f t="shared" si="568"/>
        <v>-39179619.203806005</v>
      </c>
      <c r="DY133" s="161"/>
      <c r="DZ133" s="153">
        <f t="shared" ref="DZ133:EL133" si="569">+DZ120+SUM(DZ87:DZ88)+SUM(DZ106:DZ107)-DZ103</f>
        <v>-415335.17401223152</v>
      </c>
      <c r="EA133" s="154">
        <f t="shared" si="569"/>
        <v>-409384.77190905693</v>
      </c>
      <c r="EB133" s="154">
        <f t="shared" si="569"/>
        <v>-410775.47061276063</v>
      </c>
      <c r="EC133" s="154">
        <f t="shared" si="569"/>
        <v>-677974.78789344861</v>
      </c>
      <c r="ED133" s="154">
        <f t="shared" si="569"/>
        <v>-409619.84313577256</v>
      </c>
      <c r="EE133" s="154">
        <f t="shared" si="569"/>
        <v>-409846.47540815111</v>
      </c>
      <c r="EF133" s="154">
        <f t="shared" si="569"/>
        <v>-412218.18421767501</v>
      </c>
      <c r="EG133" s="154">
        <f t="shared" si="569"/>
        <v>-413980.13336566754</v>
      </c>
      <c r="EH133" s="154">
        <f t="shared" si="569"/>
        <v>-420029.20130217541</v>
      </c>
      <c r="EI133" s="154">
        <f t="shared" si="569"/>
        <v>-414091.53614344524</v>
      </c>
      <c r="EJ133" s="154">
        <f t="shared" si="569"/>
        <v>-408469.69296884205</v>
      </c>
      <c r="EK133" s="154">
        <f t="shared" si="569"/>
        <v>-405380.77316670155</v>
      </c>
      <c r="EL133" s="157">
        <f t="shared" si="569"/>
        <v>-5207106.0441359282</v>
      </c>
      <c r="EM133" s="161"/>
      <c r="EN133" s="153">
        <f t="shared" ref="EN133:EZ133" si="570">+EN120+SUM(EN87:EN88)+SUM(EN106:EN107)-EN103</f>
        <v>-608855.34802446305</v>
      </c>
      <c r="EO133" s="154">
        <f t="shared" si="570"/>
        <v>-596954.54381811386</v>
      </c>
      <c r="EP133" s="154">
        <f t="shared" si="570"/>
        <v>-599735.94122552127</v>
      </c>
      <c r="EQ133" s="154">
        <f t="shared" si="570"/>
        <v>-597214.41578689695</v>
      </c>
      <c r="ER133" s="154">
        <f t="shared" si="570"/>
        <v>-597424.68627154513</v>
      </c>
      <c r="ES133" s="154">
        <f t="shared" si="570"/>
        <v>-597877.95081630221</v>
      </c>
      <c r="ET133" s="154">
        <f t="shared" si="570"/>
        <v>-602616.36843535001</v>
      </c>
      <c r="EU133" s="154">
        <f t="shared" si="570"/>
        <v>-606140.26673133508</v>
      </c>
      <c r="EV133" s="154">
        <f t="shared" si="570"/>
        <v>-618238.40260435082</v>
      </c>
      <c r="EW133" s="154">
        <f t="shared" si="570"/>
        <v>-606363.07228689047</v>
      </c>
      <c r="EX133" s="154">
        <f t="shared" si="570"/>
        <v>-595119.3859376841</v>
      </c>
      <c r="EY133" s="154">
        <f t="shared" si="570"/>
        <v>-588941.54633340309</v>
      </c>
      <c r="EZ133" s="157">
        <f t="shared" si="570"/>
        <v>-7215481.9282718571</v>
      </c>
      <c r="FA133" s="161"/>
      <c r="FB133" s="153">
        <f t="shared" ref="FB133:FN133" si="571">+FB120+SUM(FB87:FB88)+SUM(FB106:FB107)-FB103</f>
        <v>-126720.17401223158</v>
      </c>
      <c r="FC133" s="154">
        <f t="shared" si="571"/>
        <v>-120769.77190905694</v>
      </c>
      <c r="FD133" s="154">
        <f t="shared" si="571"/>
        <v>-122160.47061276065</v>
      </c>
      <c r="FE133" s="154">
        <f t="shared" si="571"/>
        <v>-120899.70789344849</v>
      </c>
      <c r="FF133" s="154">
        <f t="shared" si="571"/>
        <v>-121004.84313577259</v>
      </c>
      <c r="FG133" s="154">
        <f t="shared" si="571"/>
        <v>-121231.47540815119</v>
      </c>
      <c r="FH133" s="154">
        <f t="shared" si="571"/>
        <v>-123304.18421767501</v>
      </c>
      <c r="FI133" s="154">
        <f t="shared" si="571"/>
        <v>-125066.13336566754</v>
      </c>
      <c r="FJ133" s="154">
        <f t="shared" si="571"/>
        <v>-131115.20130217547</v>
      </c>
      <c r="FK133" s="154">
        <f t="shared" si="571"/>
        <v>-125177.53614344532</v>
      </c>
      <c r="FL133" s="154">
        <f t="shared" si="571"/>
        <v>-119555.69296884214</v>
      </c>
      <c r="FM133" s="154">
        <f t="shared" si="571"/>
        <v>-116466.77316670158</v>
      </c>
      <c r="FN133" s="157">
        <f t="shared" si="571"/>
        <v>-1473471.9641359285</v>
      </c>
      <c r="FO133" s="161"/>
      <c r="FP133" s="153">
        <f t="shared" ref="FP133:GB133" si="572">+FP120+SUM(FP87:FP88)+SUM(FP106:FP107)-FP103</f>
        <v>-1833467.2180856208</v>
      </c>
      <c r="FQ133" s="154">
        <f t="shared" si="572"/>
        <v>-1786579.4033633987</v>
      </c>
      <c r="FR133" s="154">
        <f t="shared" si="572"/>
        <v>-1797164.2942893247</v>
      </c>
      <c r="FS133" s="154">
        <f t="shared" si="572"/>
        <v>-1787488.9552541396</v>
      </c>
      <c r="FT133" s="154">
        <f t="shared" si="572"/>
        <v>-1788224.9019504082</v>
      </c>
      <c r="FU133" s="154">
        <f t="shared" si="572"/>
        <v>-1789811.3278570585</v>
      </c>
      <c r="FV133" s="154">
        <f t="shared" si="572"/>
        <v>-1806026.2895237252</v>
      </c>
      <c r="FW133" s="154">
        <f t="shared" si="572"/>
        <v>-1821859.9335596729</v>
      </c>
      <c r="FX133" s="154">
        <f t="shared" si="572"/>
        <v>-1863703.4091152286</v>
      </c>
      <c r="FY133" s="154">
        <f t="shared" si="572"/>
        <v>-1822839.7530041174</v>
      </c>
      <c r="FZ133" s="154">
        <f t="shared" si="572"/>
        <v>-1780636.850781895</v>
      </c>
      <c r="GA133" s="154">
        <f t="shared" si="572"/>
        <v>-1759064.4121669109</v>
      </c>
      <c r="GB133" s="157">
        <f t="shared" si="572"/>
        <v>-21636866.748951498</v>
      </c>
      <c r="GC133" s="161"/>
      <c r="GD133" s="153">
        <f t="shared" ref="GD133:GP133" si="573">+GD120+SUM(GD87:GD88)+SUM(GD106:GD107)-GD103</f>
        <v>-865020.17401223164</v>
      </c>
      <c r="GE133" s="154">
        <f t="shared" si="573"/>
        <v>-864304.77190905693</v>
      </c>
      <c r="GF133" s="154">
        <f t="shared" si="573"/>
        <v>-864845.47061276075</v>
      </c>
      <c r="GG133" s="154">
        <f t="shared" si="573"/>
        <v>-864434.70789344853</v>
      </c>
      <c r="GH133" s="154">
        <f t="shared" si="573"/>
        <v>-864539.84313577274</v>
      </c>
      <c r="GI133" s="154">
        <f t="shared" si="573"/>
        <v>-864766.47540815128</v>
      </c>
      <c r="GJ133" s="154">
        <f t="shared" si="573"/>
        <v>-866519.18421767512</v>
      </c>
      <c r="GK133" s="154">
        <f t="shared" si="573"/>
        <v>-864781.13336566766</v>
      </c>
      <c r="GL133" s="154">
        <f t="shared" si="573"/>
        <v>-871330.20130217564</v>
      </c>
      <c r="GM133" s="154">
        <f t="shared" si="573"/>
        <v>-864692.53614344541</v>
      </c>
      <c r="GN133" s="154">
        <f t="shared" si="573"/>
        <v>-861920.69296884222</v>
      </c>
      <c r="GO133" s="154">
        <f t="shared" si="573"/>
        <v>-858781.77316670166</v>
      </c>
      <c r="GP133" s="157">
        <f t="shared" si="573"/>
        <v>-10375936.964135928</v>
      </c>
      <c r="GQ133" s="161"/>
      <c r="GR133" s="153">
        <f t="shared" ref="GR133:HC133" si="574">+GR120+SUM(GR87:GR88)+SUM(GR106:GR107)-GR103</f>
        <v>500143.55169303389</v>
      </c>
      <c r="GS133" s="154">
        <f t="shared" si="574"/>
        <v>596979.26169303386</v>
      </c>
      <c r="GT133" s="154">
        <f t="shared" si="574"/>
        <v>-544570.00830696593</v>
      </c>
      <c r="GU133" s="154">
        <f t="shared" si="574"/>
        <v>-538094.95830696612</v>
      </c>
      <c r="GV133" s="154">
        <f t="shared" si="574"/>
        <v>-531574.75830696593</v>
      </c>
      <c r="GW133" s="154">
        <f t="shared" si="574"/>
        <v>-525009.09830696625</v>
      </c>
      <c r="GX133" s="154">
        <f t="shared" si="574"/>
        <v>-518397.66830696608</v>
      </c>
      <c r="GY133" s="154">
        <f t="shared" si="574"/>
        <v>-511740.14830696606</v>
      </c>
      <c r="GZ133" s="154">
        <f t="shared" si="574"/>
        <v>-505036.21830696589</v>
      </c>
      <c r="HA133" s="154">
        <f t="shared" si="574"/>
        <v>-498285.53830696619</v>
      </c>
      <c r="HB133" s="154">
        <f t="shared" si="574"/>
        <v>-491487.80830696621</v>
      </c>
      <c r="HC133" s="154">
        <f t="shared" si="574"/>
        <v>-484642.67830696586</v>
      </c>
      <c r="HD133" s="157">
        <f t="shared" si="293"/>
        <v>0</v>
      </c>
      <c r="HE133" s="161"/>
      <c r="HF133" s="153">
        <f t="shared" ref="HF133:HR133" si="575">+HF120+SUM(HF87:HF88)+SUM(HF106:HF107)-HF103</f>
        <v>-828275.69604892633</v>
      </c>
      <c r="HG133" s="154">
        <f t="shared" si="575"/>
        <v>-804474.08763622784</v>
      </c>
      <c r="HH133" s="154">
        <f t="shared" si="575"/>
        <v>-810036.88245104277</v>
      </c>
      <c r="HI133" s="154">
        <f t="shared" si="575"/>
        <v>-804993.8315737939</v>
      </c>
      <c r="HJ133" s="154">
        <f t="shared" si="575"/>
        <v>-805414.37254309049</v>
      </c>
      <c r="HK133" s="154">
        <f t="shared" si="575"/>
        <v>-806320.90163260489</v>
      </c>
      <c r="HL133" s="154">
        <f t="shared" si="575"/>
        <v>-815095.73687070003</v>
      </c>
      <c r="HM133" s="154">
        <f t="shared" si="575"/>
        <v>-822143.53346267017</v>
      </c>
      <c r="HN133" s="154">
        <f t="shared" si="575"/>
        <v>-846339.80520870187</v>
      </c>
      <c r="HO133" s="154">
        <f t="shared" si="575"/>
        <v>-822589.14457378129</v>
      </c>
      <c r="HP133" s="154">
        <f t="shared" si="575"/>
        <v>-800101.77187536866</v>
      </c>
      <c r="HQ133" s="154">
        <f t="shared" si="575"/>
        <v>-787746.0926668063</v>
      </c>
      <c r="HR133" s="157">
        <f t="shared" si="575"/>
        <v>-9753531.8565437142</v>
      </c>
      <c r="HS133" s="161"/>
      <c r="HT133" s="153">
        <f t="shared" ref="HT133:IF133" si="576">+HT120+SUM(HT87:HT88)+SUM(HT106:HT107)-HT103</f>
        <v>-214094.17401223158</v>
      </c>
      <c r="HU133" s="154">
        <f t="shared" si="576"/>
        <v>-208143.77190905696</v>
      </c>
      <c r="HV133" s="154">
        <f t="shared" si="576"/>
        <v>-209534.47061276069</v>
      </c>
      <c r="HW133" s="154">
        <f t="shared" si="576"/>
        <v>-208273.70789344847</v>
      </c>
      <c r="HX133" s="154">
        <f t="shared" si="576"/>
        <v>-208378.84313577262</v>
      </c>
      <c r="HY133" s="154">
        <f t="shared" si="576"/>
        <v>-208605.47540815122</v>
      </c>
      <c r="HZ133" s="154">
        <f t="shared" si="576"/>
        <v>-210712.18421767501</v>
      </c>
      <c r="IA133" s="154">
        <f t="shared" si="576"/>
        <v>-212474.13336566754</v>
      </c>
      <c r="IB133" s="154">
        <f t="shared" si="576"/>
        <v>-218523.20130217547</v>
      </c>
      <c r="IC133" s="154">
        <f t="shared" si="576"/>
        <v>-212585.53614344532</v>
      </c>
      <c r="ID133" s="154">
        <f t="shared" si="576"/>
        <v>-206963.69296884217</v>
      </c>
      <c r="IE133" s="154">
        <f t="shared" si="576"/>
        <v>-203874.77316670158</v>
      </c>
      <c r="IF133" s="157">
        <f t="shared" si="576"/>
        <v>-2522163.9641359285</v>
      </c>
      <c r="IG133" s="161"/>
      <c r="IH133" s="153">
        <f t="shared" ref="IH133:IT133" si="577">+IH120+SUM(IH87:IH88)+SUM(IH106:IH107)-IH103</f>
        <v>-637683.17401223164</v>
      </c>
      <c r="II133" s="154">
        <f t="shared" si="577"/>
        <v>-631732.77190905693</v>
      </c>
      <c r="IJ133" s="154">
        <f t="shared" si="577"/>
        <v>-633123.47061276075</v>
      </c>
      <c r="IK133" s="154">
        <f t="shared" si="577"/>
        <v>-631862.70789344853</v>
      </c>
      <c r="IL133" s="154">
        <f t="shared" si="577"/>
        <v>-631967.84313577274</v>
      </c>
      <c r="IM133" s="154">
        <f t="shared" si="577"/>
        <v>-632194.47540815128</v>
      </c>
      <c r="IN133" s="154">
        <f t="shared" si="577"/>
        <v>-634860.18421767512</v>
      </c>
      <c r="IO133" s="154">
        <f t="shared" si="577"/>
        <v>-636622.13336566766</v>
      </c>
      <c r="IP133" s="154">
        <f t="shared" si="577"/>
        <v>-642671.20130217564</v>
      </c>
      <c r="IQ133" s="154">
        <f t="shared" si="577"/>
        <v>-636733.53614344541</v>
      </c>
      <c r="IR133" s="154">
        <f t="shared" si="577"/>
        <v>-631111.69296884222</v>
      </c>
      <c r="IS133" s="154">
        <f t="shared" si="577"/>
        <v>-628022.77316670166</v>
      </c>
      <c r="IT133" s="157">
        <f t="shared" si="577"/>
        <v>-7608585.964135929</v>
      </c>
      <c r="IU133" s="161"/>
      <c r="IV133" s="153">
        <f t="shared" ref="IV133:JH133" si="578">+IV120+SUM(IV87:IV88)+SUM(IV106:IV107)-IV103</f>
        <v>-1985664.2180856208</v>
      </c>
      <c r="IW133" s="154">
        <f t="shared" si="578"/>
        <v>-1944011.4033633987</v>
      </c>
      <c r="IX133" s="154">
        <f t="shared" si="578"/>
        <v>-1953746.2942893247</v>
      </c>
      <c r="IY133" s="154">
        <f t="shared" si="578"/>
        <v>-1944920.9552541396</v>
      </c>
      <c r="IZ133" s="154">
        <f t="shared" si="578"/>
        <v>-1945656.9019504082</v>
      </c>
      <c r="JA133" s="154">
        <f t="shared" si="578"/>
        <v>-1947243.3278570585</v>
      </c>
      <c r="JB133" s="154">
        <f t="shared" si="578"/>
        <v>-1962972.2895237252</v>
      </c>
      <c r="JC133" s="154">
        <f t="shared" si="578"/>
        <v>-1975305.9335596729</v>
      </c>
      <c r="JD133" s="154">
        <f t="shared" si="578"/>
        <v>-2017649.4091152286</v>
      </c>
      <c r="JE133" s="154">
        <f t="shared" si="578"/>
        <v>-1976085.7530041174</v>
      </c>
      <c r="JF133" s="154">
        <f t="shared" si="578"/>
        <v>-1936732.850781895</v>
      </c>
      <c r="JG133" s="154">
        <f t="shared" si="578"/>
        <v>-1915110.4121669109</v>
      </c>
      <c r="JH133" s="157">
        <f t="shared" si="578"/>
        <v>-23505099.748951495</v>
      </c>
      <c r="JI133" s="161"/>
      <c r="JJ133" s="153">
        <f t="shared" ref="JJ133:JV133" si="579">+JJ120+SUM(JJ87:JJ88)+SUM(JJ106:JJ107)-JJ103</f>
        <v>-2739659.9141345466</v>
      </c>
      <c r="JK133" s="154">
        <f t="shared" si="579"/>
        <v>-2662325.4909996265</v>
      </c>
      <c r="JL133" s="154">
        <f t="shared" si="579"/>
        <v>-2679323.1767403674</v>
      </c>
      <c r="JM133" s="154">
        <f t="shared" si="579"/>
        <v>-2663754.7868279335</v>
      </c>
      <c r="JN133" s="154">
        <f t="shared" si="579"/>
        <v>-2664911.2744934987</v>
      </c>
      <c r="JO133" s="154">
        <f t="shared" si="579"/>
        <v>-2667404.2294896632</v>
      </c>
      <c r="JP133" s="154">
        <f t="shared" si="579"/>
        <v>-2690784.026394425</v>
      </c>
      <c r="JQ133" s="154">
        <f t="shared" si="579"/>
        <v>-2717915.4670223426</v>
      </c>
      <c r="JR133" s="154">
        <f t="shared" si="579"/>
        <v>-2782705.21432393</v>
      </c>
      <c r="JS133" s="154">
        <f t="shared" si="579"/>
        <v>-2715990.8975778986</v>
      </c>
      <c r="JT133" s="154">
        <f t="shared" si="579"/>
        <v>-2651250.6226572637</v>
      </c>
      <c r="JU133" s="154">
        <f t="shared" si="579"/>
        <v>-2617372.5048337174</v>
      </c>
      <c r="JV133" s="157">
        <f t="shared" si="579"/>
        <v>-32253397.605495207</v>
      </c>
      <c r="JW133" s="161"/>
      <c r="JX133" s="153">
        <f t="shared" ref="JX133:KJ133" si="580">+JX120+SUM(JX87:JX88)+SUM(JX106:JX107)-JX103</f>
        <v>-1441496.870061158</v>
      </c>
      <c r="JY133" s="154">
        <f t="shared" si="580"/>
        <v>-1411579.8595452849</v>
      </c>
      <c r="JZ133" s="154">
        <f t="shared" si="580"/>
        <v>-1418533.3530638034</v>
      </c>
      <c r="KA133" s="154">
        <f t="shared" si="580"/>
        <v>-1412229.5394672425</v>
      </c>
      <c r="KB133" s="154">
        <f t="shared" si="580"/>
        <v>-1412755.215678863</v>
      </c>
      <c r="KC133" s="154">
        <f t="shared" si="580"/>
        <v>-1413888.3770407559</v>
      </c>
      <c r="KD133" s="154">
        <f t="shared" si="580"/>
        <v>-1424759.9210883752</v>
      </c>
      <c r="KE133" s="154">
        <f t="shared" si="580"/>
        <v>-1433569.6668283378</v>
      </c>
      <c r="KF133" s="154">
        <f t="shared" si="580"/>
        <v>-1463815.0065108775</v>
      </c>
      <c r="KG133" s="154">
        <f t="shared" si="580"/>
        <v>-1433426.6807172268</v>
      </c>
      <c r="KH133" s="154">
        <f t="shared" si="580"/>
        <v>-1406017.4648442108</v>
      </c>
      <c r="KI133" s="154">
        <f t="shared" si="580"/>
        <v>-1390572.8658335079</v>
      </c>
      <c r="KJ133" s="157">
        <f t="shared" si="580"/>
        <v>-17062644.820679646</v>
      </c>
      <c r="KK133" s="161"/>
      <c r="KL133" s="153">
        <f t="shared" ref="KL133:KX133" si="581">+KL120+SUM(KL87:KL88)+SUM(KL106:KL107)-KL103</f>
        <v>-263246.34802446316</v>
      </c>
      <c r="KM133" s="154">
        <f t="shared" si="581"/>
        <v>-251345.54381811389</v>
      </c>
      <c r="KN133" s="154">
        <f t="shared" si="581"/>
        <v>-254126.9412255213</v>
      </c>
      <c r="KO133" s="154">
        <f t="shared" si="581"/>
        <v>-251605.41578689698</v>
      </c>
      <c r="KP133" s="154">
        <f t="shared" si="581"/>
        <v>-251815.68627154519</v>
      </c>
      <c r="KQ133" s="154">
        <f t="shared" si="581"/>
        <v>-252268.95081630239</v>
      </c>
      <c r="KR133" s="154">
        <f t="shared" si="581"/>
        <v>-256342.36843535001</v>
      </c>
      <c r="KS133" s="154">
        <f t="shared" si="581"/>
        <v>-259866.26673133508</v>
      </c>
      <c r="KT133" s="154">
        <f t="shared" si="581"/>
        <v>-271964.40260435088</v>
      </c>
      <c r="KU133" s="154">
        <f t="shared" si="581"/>
        <v>-260085.07228689065</v>
      </c>
      <c r="KV133" s="154">
        <f t="shared" si="581"/>
        <v>-248845.38593768427</v>
      </c>
      <c r="KW133" s="154">
        <f t="shared" si="581"/>
        <v>-242667.54633340315</v>
      </c>
      <c r="KX133" s="157">
        <f t="shared" si="581"/>
        <v>-3064179.9282718571</v>
      </c>
      <c r="KY133" s="161"/>
      <c r="KZ133" s="153">
        <f t="shared" ref="KZ133:LL133" si="582">+KZ120+SUM(KZ87:KZ88)+SUM(KZ106:KZ107)-KZ103</f>
        <v>-225771.17401223158</v>
      </c>
      <c r="LA133" s="154">
        <f t="shared" si="582"/>
        <v>-219820.77190905696</v>
      </c>
      <c r="LB133" s="154">
        <f t="shared" si="582"/>
        <v>-221211.47061276066</v>
      </c>
      <c r="LC133" s="154">
        <f t="shared" si="582"/>
        <v>-219950.70789344847</v>
      </c>
      <c r="LD133" s="154">
        <f t="shared" si="582"/>
        <v>-220055.84313577262</v>
      </c>
      <c r="LE133" s="154">
        <f t="shared" si="582"/>
        <v>-220282.47540815122</v>
      </c>
      <c r="LF133" s="154">
        <f t="shared" si="582"/>
        <v>-222318.18421767501</v>
      </c>
      <c r="LG133" s="154">
        <f t="shared" si="582"/>
        <v>-224080.13336566754</v>
      </c>
      <c r="LH133" s="154">
        <f t="shared" si="582"/>
        <v>-230129.20130217547</v>
      </c>
      <c r="LI133" s="154">
        <f t="shared" si="582"/>
        <v>-224195.53614344532</v>
      </c>
      <c r="LJ133" s="154">
        <f t="shared" si="582"/>
        <v>-218569.69296884217</v>
      </c>
      <c r="LK133" s="154">
        <f t="shared" si="582"/>
        <v>-215480.77316670158</v>
      </c>
      <c r="LL133" s="157">
        <f t="shared" si="582"/>
        <v>-2661865.9641359285</v>
      </c>
      <c r="LM133" s="161"/>
      <c r="LN133" s="153">
        <f t="shared" ref="LN133:LZ133" si="583">+LN120+SUM(LN87:LN88)+SUM(LN106:LN107)-LN103</f>
        <v>0</v>
      </c>
      <c r="LO133" s="154">
        <f t="shared" si="583"/>
        <v>0</v>
      </c>
      <c r="LP133" s="154">
        <f t="shared" si="583"/>
        <v>0</v>
      </c>
      <c r="LQ133" s="154">
        <f t="shared" si="583"/>
        <v>0</v>
      </c>
      <c r="LR133" s="154">
        <f t="shared" si="583"/>
        <v>0</v>
      </c>
      <c r="LS133" s="154">
        <f t="shared" si="583"/>
        <v>0</v>
      </c>
      <c r="LT133" s="154">
        <f t="shared" si="583"/>
        <v>0</v>
      </c>
      <c r="LU133" s="154">
        <f t="shared" si="583"/>
        <v>0</v>
      </c>
      <c r="LV133" s="154">
        <f t="shared" si="583"/>
        <v>0</v>
      </c>
      <c r="LW133" s="154">
        <f t="shared" si="583"/>
        <v>0</v>
      </c>
      <c r="LX133" s="154">
        <f t="shared" si="583"/>
        <v>0</v>
      </c>
      <c r="LY133" s="154">
        <f t="shared" si="583"/>
        <v>0</v>
      </c>
      <c r="LZ133" s="157">
        <f t="shared" si="583"/>
        <v>0</v>
      </c>
      <c r="MA133" s="161"/>
      <c r="MB133" s="157">
        <f t="shared" ref="MB133:MN133" si="584">+MB120+SUM(MB87:MB88)+SUM(MB106:MB107)-MB103</f>
        <v>-34408038.410312943</v>
      </c>
      <c r="MC133" s="157">
        <f t="shared" si="584"/>
        <v>-33156300.931392308</v>
      </c>
      <c r="MD133" s="157">
        <f t="shared" si="584"/>
        <v>-34508176.948799714</v>
      </c>
      <c r="ME133" s="157">
        <f t="shared" si="584"/>
        <v>-34433865.13283252</v>
      </c>
      <c r="MF133" s="157">
        <f t="shared" si="584"/>
        <v>-34176127.032573663</v>
      </c>
      <c r="MG133" s="157">
        <f t="shared" si="584"/>
        <v>-34206729.065243758</v>
      </c>
      <c r="MH133" s="157">
        <f t="shared" si="584"/>
        <v>-34847715.30400566</v>
      </c>
      <c r="MI133" s="157">
        <f t="shared" si="584"/>
        <v>-34850957.020276442</v>
      </c>
      <c r="MJ133" s="157">
        <f t="shared" si="584"/>
        <v>-35829050.231863737</v>
      </c>
      <c r="MK133" s="157">
        <f t="shared" si="584"/>
        <v>-34844322.465831995</v>
      </c>
      <c r="ML133" s="157">
        <f t="shared" si="584"/>
        <v>-33911142.455197066</v>
      </c>
      <c r="MM133" s="157">
        <f t="shared" si="584"/>
        <v>-33397914.477646019</v>
      </c>
      <c r="MN133" s="157">
        <f t="shared" si="584"/>
        <v>-412570339.47597599</v>
      </c>
    </row>
    <row r="134" spans="1:352" hidden="1" x14ac:dyDescent="0.3">
      <c r="A134" s="98"/>
      <c r="B134" s="63" t="s">
        <v>233</v>
      </c>
      <c r="C134" s="98"/>
      <c r="D134" s="153">
        <f>+D122/D120</f>
        <v>-0.25170000000000003</v>
      </c>
      <c r="E134" s="154">
        <f t="shared" ref="E134:P134" si="585">+E122/E120</f>
        <v>-0.25170000000000003</v>
      </c>
      <c r="F134" s="154">
        <f t="shared" si="585"/>
        <v>-0.25170000000000003</v>
      </c>
      <c r="G134" s="154">
        <f t="shared" si="585"/>
        <v>-0.25170000000000003</v>
      </c>
      <c r="H134" s="154">
        <f t="shared" si="585"/>
        <v>-0.25170000000000003</v>
      </c>
      <c r="I134" s="154">
        <f t="shared" si="585"/>
        <v>-0.25170000000000003</v>
      </c>
      <c r="J134" s="154">
        <f t="shared" si="585"/>
        <v>-0.25170000000000003</v>
      </c>
      <c r="K134" s="154">
        <f t="shared" si="585"/>
        <v>-0.25170000000000003</v>
      </c>
      <c r="L134" s="154">
        <f t="shared" si="585"/>
        <v>-0.25170000000000003</v>
      </c>
      <c r="M134" s="154">
        <f t="shared" si="585"/>
        <v>-0.25170000000000003</v>
      </c>
      <c r="N134" s="154">
        <f t="shared" si="585"/>
        <v>-0.25170000000000003</v>
      </c>
      <c r="O134" s="154">
        <f t="shared" si="585"/>
        <v>-0.25170000000000003</v>
      </c>
      <c r="P134" s="157">
        <f t="shared" si="585"/>
        <v>-0.27286711247994894</v>
      </c>
      <c r="Q134" s="161"/>
      <c r="R134" s="153">
        <f>+R122/R120</f>
        <v>-0.25170000000000003</v>
      </c>
      <c r="S134" s="154">
        <f t="shared" ref="S134:AD134" si="586">+S122/S120</f>
        <v>-0.25170000000000003</v>
      </c>
      <c r="T134" s="154">
        <f t="shared" si="586"/>
        <v>-0.25170000000000003</v>
      </c>
      <c r="U134" s="154">
        <f t="shared" si="586"/>
        <v>-0.25170000000000003</v>
      </c>
      <c r="V134" s="154">
        <f t="shared" si="586"/>
        <v>-0.25170000000000003</v>
      </c>
      <c r="W134" s="154">
        <f t="shared" si="586"/>
        <v>-0.25170000000000003</v>
      </c>
      <c r="X134" s="154">
        <f t="shared" si="586"/>
        <v>-0.25170000000000003</v>
      </c>
      <c r="Y134" s="154">
        <f t="shared" si="586"/>
        <v>-0.25170000000000003</v>
      </c>
      <c r="Z134" s="154">
        <f t="shared" si="586"/>
        <v>-0.25170000000000003</v>
      </c>
      <c r="AA134" s="154">
        <f t="shared" si="586"/>
        <v>-0.25170000000000003</v>
      </c>
      <c r="AB134" s="154">
        <f t="shared" si="586"/>
        <v>-0.25170000000000003</v>
      </c>
      <c r="AC134" s="154">
        <f t="shared" si="586"/>
        <v>-0.25170000000000003</v>
      </c>
      <c r="AD134" s="157">
        <f t="shared" si="586"/>
        <v>-0.25169999999999992</v>
      </c>
      <c r="AE134" s="161"/>
      <c r="AF134" s="153">
        <f>+AF122/AF120</f>
        <v>-0.25170000000000003</v>
      </c>
      <c r="AG134" s="154">
        <f t="shared" ref="AG134:AR134" si="587">+AG122/AG120</f>
        <v>-0.25170000000000003</v>
      </c>
      <c r="AH134" s="154">
        <f t="shared" si="587"/>
        <v>-0.25170000000000003</v>
      </c>
      <c r="AI134" s="154">
        <f t="shared" si="587"/>
        <v>-0.25170000000000003</v>
      </c>
      <c r="AJ134" s="154">
        <f t="shared" si="587"/>
        <v>-0.25170000000000003</v>
      </c>
      <c r="AK134" s="154">
        <f t="shared" si="587"/>
        <v>-0.25170000000000003</v>
      </c>
      <c r="AL134" s="154">
        <f t="shared" si="587"/>
        <v>-0.25170000000000003</v>
      </c>
      <c r="AM134" s="154">
        <f t="shared" si="587"/>
        <v>-0.25170000000000003</v>
      </c>
      <c r="AN134" s="154">
        <f t="shared" si="587"/>
        <v>-0.25170000000000003</v>
      </c>
      <c r="AO134" s="154">
        <f t="shared" si="587"/>
        <v>-0.25170000000000003</v>
      </c>
      <c r="AP134" s="154">
        <f t="shared" si="587"/>
        <v>-0.25170000000000003</v>
      </c>
      <c r="AQ134" s="154">
        <f t="shared" si="587"/>
        <v>-0.25170000000000003</v>
      </c>
      <c r="AR134" s="157">
        <f t="shared" si="587"/>
        <v>-0.25169999999999992</v>
      </c>
      <c r="AT134" s="153">
        <f>+AT122/AT120</f>
        <v>-0.25170000000000003</v>
      </c>
      <c r="AU134" s="154">
        <f t="shared" ref="AU134:BF134" si="588">+AU122/AU120</f>
        <v>-0.25170000000000003</v>
      </c>
      <c r="AV134" s="154">
        <f t="shared" si="588"/>
        <v>-0.25170000000000003</v>
      </c>
      <c r="AW134" s="154">
        <f t="shared" si="588"/>
        <v>-0.25170000000000003</v>
      </c>
      <c r="AX134" s="154">
        <f t="shared" si="588"/>
        <v>-0.25170000000000003</v>
      </c>
      <c r="AY134" s="154">
        <f t="shared" si="588"/>
        <v>-0.25170000000000003</v>
      </c>
      <c r="AZ134" s="154">
        <f t="shared" si="588"/>
        <v>-0.25170000000000003</v>
      </c>
      <c r="BA134" s="154">
        <f t="shared" si="588"/>
        <v>-0.25170000000000003</v>
      </c>
      <c r="BB134" s="154">
        <f t="shared" si="588"/>
        <v>-0.25170000000000003</v>
      </c>
      <c r="BC134" s="154">
        <f t="shared" si="588"/>
        <v>-0.25170000000000003</v>
      </c>
      <c r="BD134" s="154">
        <f t="shared" si="588"/>
        <v>-0.25170000000000003</v>
      </c>
      <c r="BE134" s="154">
        <f t="shared" si="588"/>
        <v>-0.25170000000000003</v>
      </c>
      <c r="BF134" s="157">
        <f t="shared" si="588"/>
        <v>-0.25170000000000003</v>
      </c>
      <c r="BH134" s="153">
        <f>+BH122/BH120</f>
        <v>-0.25170000000000003</v>
      </c>
      <c r="BI134" s="154">
        <f t="shared" ref="BI134:BT134" si="589">+BI122/BI120</f>
        <v>-0.25170000000000003</v>
      </c>
      <c r="BJ134" s="154">
        <f t="shared" si="589"/>
        <v>-0.25170000000000003</v>
      </c>
      <c r="BK134" s="154">
        <f t="shared" si="589"/>
        <v>-0.25170000000000003</v>
      </c>
      <c r="BL134" s="154">
        <f t="shared" si="589"/>
        <v>-0.25170000000000003</v>
      </c>
      <c r="BM134" s="154">
        <f t="shared" si="589"/>
        <v>-0.25170000000000003</v>
      </c>
      <c r="BN134" s="154">
        <f t="shared" si="589"/>
        <v>-0.25170000000000003</v>
      </c>
      <c r="BO134" s="154">
        <f t="shared" si="589"/>
        <v>-0.25170000000000003</v>
      </c>
      <c r="BP134" s="154">
        <f t="shared" si="589"/>
        <v>-0.25170000000000003</v>
      </c>
      <c r="BQ134" s="154">
        <f t="shared" si="589"/>
        <v>-0.25170000000000003</v>
      </c>
      <c r="BR134" s="154">
        <f t="shared" si="589"/>
        <v>-0.25170000000000003</v>
      </c>
      <c r="BS134" s="154">
        <f t="shared" si="589"/>
        <v>-0.25170000000000003</v>
      </c>
      <c r="BT134" s="157">
        <f t="shared" si="589"/>
        <v>-0.25170000000000003</v>
      </c>
      <c r="BV134" s="153">
        <f>+BV122/BV120</f>
        <v>-0.25170000000000003</v>
      </c>
      <c r="BW134" s="154">
        <f t="shared" ref="BW134:CH134" si="590">+BW122/BW120</f>
        <v>-0.25170000000000003</v>
      </c>
      <c r="BX134" s="154">
        <f t="shared" si="590"/>
        <v>-0.25170000000000003</v>
      </c>
      <c r="BY134" s="154">
        <f t="shared" si="590"/>
        <v>-0.25170000000000003</v>
      </c>
      <c r="BZ134" s="154">
        <f t="shared" si="590"/>
        <v>-0.25170000000000003</v>
      </c>
      <c r="CA134" s="154">
        <f t="shared" si="590"/>
        <v>-0.25170000000000003</v>
      </c>
      <c r="CB134" s="154">
        <f t="shared" si="590"/>
        <v>-0.25170000000000003</v>
      </c>
      <c r="CC134" s="154">
        <f t="shared" si="590"/>
        <v>-0.25170000000000003</v>
      </c>
      <c r="CD134" s="154">
        <f t="shared" si="590"/>
        <v>-0.25170000000000003</v>
      </c>
      <c r="CE134" s="154">
        <f t="shared" si="590"/>
        <v>-0.25170000000000003</v>
      </c>
      <c r="CF134" s="154">
        <f t="shared" si="590"/>
        <v>-0.25170000000000003</v>
      </c>
      <c r="CG134" s="154">
        <f t="shared" si="590"/>
        <v>-0.25170000000000003</v>
      </c>
      <c r="CH134" s="157">
        <f t="shared" si="590"/>
        <v>-0.25170000000000003</v>
      </c>
      <c r="CI134" s="161"/>
      <c r="CJ134" s="153">
        <f>+CJ122/CJ120</f>
        <v>-0.25170000000000003</v>
      </c>
      <c r="CK134" s="154">
        <f t="shared" ref="CK134:CV134" si="591">+CK122/CK120</f>
        <v>-0.25170000000000003</v>
      </c>
      <c r="CL134" s="154">
        <f t="shared" si="591"/>
        <v>-0.25170000000000003</v>
      </c>
      <c r="CM134" s="154">
        <f t="shared" si="591"/>
        <v>-0.25170000000000003</v>
      </c>
      <c r="CN134" s="154">
        <f t="shared" si="591"/>
        <v>-0.25170000000000003</v>
      </c>
      <c r="CO134" s="154">
        <f t="shared" si="591"/>
        <v>-0.25170000000000003</v>
      </c>
      <c r="CP134" s="154">
        <f t="shared" si="591"/>
        <v>-0.25170000000000003</v>
      </c>
      <c r="CQ134" s="154">
        <f t="shared" si="591"/>
        <v>-0.25170000000000003</v>
      </c>
      <c r="CR134" s="154">
        <f t="shared" si="591"/>
        <v>-0.25170000000000003</v>
      </c>
      <c r="CS134" s="154">
        <f t="shared" si="591"/>
        <v>-0.25170000000000003</v>
      </c>
      <c r="CT134" s="154">
        <f t="shared" si="591"/>
        <v>-0.25170000000000003</v>
      </c>
      <c r="CU134" s="154">
        <f t="shared" si="591"/>
        <v>-0.25170000000000003</v>
      </c>
      <c r="CV134" s="157">
        <f t="shared" si="591"/>
        <v>-0.25169999999999998</v>
      </c>
      <c r="CW134" s="161"/>
      <c r="CX134" s="153">
        <f>+CX122/CX120</f>
        <v>-0.25170000000000003</v>
      </c>
      <c r="CY134" s="154">
        <f t="shared" ref="CY134:DJ134" si="592">+CY122/CY120</f>
        <v>-0.25170000000000003</v>
      </c>
      <c r="CZ134" s="154">
        <f t="shared" si="592"/>
        <v>-0.25170000000000003</v>
      </c>
      <c r="DA134" s="154">
        <f t="shared" si="592"/>
        <v>-0.25170000000000003</v>
      </c>
      <c r="DB134" s="154">
        <f t="shared" si="592"/>
        <v>-0.25170000000000003</v>
      </c>
      <c r="DC134" s="154">
        <f t="shared" si="592"/>
        <v>-0.25170000000000003</v>
      </c>
      <c r="DD134" s="154">
        <f t="shared" si="592"/>
        <v>-0.25170000000000003</v>
      </c>
      <c r="DE134" s="154">
        <f t="shared" si="592"/>
        <v>-0.25170000000000003</v>
      </c>
      <c r="DF134" s="154">
        <f t="shared" si="592"/>
        <v>-0.25170000000000003</v>
      </c>
      <c r="DG134" s="154">
        <f t="shared" si="592"/>
        <v>-0.25170000000000003</v>
      </c>
      <c r="DH134" s="154">
        <f t="shared" si="592"/>
        <v>-0.25170000000000003</v>
      </c>
      <c r="DI134" s="154">
        <f t="shared" si="592"/>
        <v>-0.25170000000000003</v>
      </c>
      <c r="DJ134" s="157">
        <f t="shared" si="592"/>
        <v>-0.25170000000000003</v>
      </c>
      <c r="DK134" s="161"/>
      <c r="DL134" s="153">
        <f>+DL122/DL120</f>
        <v>-0.25170000000000003</v>
      </c>
      <c r="DM134" s="154">
        <f t="shared" ref="DM134:DX134" si="593">+DM122/DM120</f>
        <v>-0.25170000000000003</v>
      </c>
      <c r="DN134" s="154">
        <f t="shared" si="593"/>
        <v>-0.25170000000000003</v>
      </c>
      <c r="DO134" s="154">
        <f t="shared" si="593"/>
        <v>-0.25170000000000003</v>
      </c>
      <c r="DP134" s="154">
        <f t="shared" si="593"/>
        <v>-0.25170000000000003</v>
      </c>
      <c r="DQ134" s="154">
        <f t="shared" si="593"/>
        <v>-0.25170000000000003</v>
      </c>
      <c r="DR134" s="154">
        <f t="shared" si="593"/>
        <v>-0.25170000000000003</v>
      </c>
      <c r="DS134" s="154">
        <f t="shared" si="593"/>
        <v>-0.25170000000000003</v>
      </c>
      <c r="DT134" s="154">
        <f t="shared" si="593"/>
        <v>-0.25170000000000003</v>
      </c>
      <c r="DU134" s="154">
        <f t="shared" si="593"/>
        <v>-0.25170000000000003</v>
      </c>
      <c r="DV134" s="154">
        <f t="shared" si="593"/>
        <v>-0.25170000000000003</v>
      </c>
      <c r="DW134" s="154">
        <f t="shared" si="593"/>
        <v>-0.25170000000000003</v>
      </c>
      <c r="DX134" s="157">
        <f t="shared" si="593"/>
        <v>-0.25169999999999998</v>
      </c>
      <c r="DY134" s="161"/>
      <c r="DZ134" s="153">
        <f>+DZ122/DZ120</f>
        <v>-0.25170000000000003</v>
      </c>
      <c r="EA134" s="154">
        <f t="shared" ref="EA134:EL134" si="594">+EA122/EA120</f>
        <v>-0.25170000000000003</v>
      </c>
      <c r="EB134" s="154">
        <f t="shared" si="594"/>
        <v>-0.25170000000000003</v>
      </c>
      <c r="EC134" s="154">
        <f t="shared" si="594"/>
        <v>-0.25170000000000003</v>
      </c>
      <c r="ED134" s="154">
        <f t="shared" si="594"/>
        <v>-0.25170000000000003</v>
      </c>
      <c r="EE134" s="154">
        <f t="shared" si="594"/>
        <v>-0.25170000000000003</v>
      </c>
      <c r="EF134" s="154">
        <f t="shared" si="594"/>
        <v>-0.25170000000000003</v>
      </c>
      <c r="EG134" s="154">
        <f t="shared" si="594"/>
        <v>-0.25170000000000003</v>
      </c>
      <c r="EH134" s="154">
        <f t="shared" si="594"/>
        <v>-0.25170000000000003</v>
      </c>
      <c r="EI134" s="154">
        <f t="shared" si="594"/>
        <v>-0.25170000000000003</v>
      </c>
      <c r="EJ134" s="154">
        <f t="shared" si="594"/>
        <v>-0.25170000000000003</v>
      </c>
      <c r="EK134" s="154">
        <f t="shared" si="594"/>
        <v>-0.25170000000000003</v>
      </c>
      <c r="EL134" s="157">
        <f t="shared" si="594"/>
        <v>-0.25170000000000003</v>
      </c>
      <c r="EM134" s="161"/>
      <c r="EN134" s="153">
        <f>+EN122/EN120</f>
        <v>-0.25170000000000003</v>
      </c>
      <c r="EO134" s="154">
        <f t="shared" ref="EO134:EZ134" si="595">+EO122/EO120</f>
        <v>-0.25170000000000003</v>
      </c>
      <c r="EP134" s="154">
        <f t="shared" si="595"/>
        <v>-0.25170000000000003</v>
      </c>
      <c r="EQ134" s="154">
        <f t="shared" si="595"/>
        <v>-0.25170000000000003</v>
      </c>
      <c r="ER134" s="154">
        <f t="shared" si="595"/>
        <v>-0.25170000000000003</v>
      </c>
      <c r="ES134" s="154">
        <f t="shared" si="595"/>
        <v>-0.25170000000000003</v>
      </c>
      <c r="ET134" s="154">
        <f t="shared" si="595"/>
        <v>-0.25170000000000003</v>
      </c>
      <c r="EU134" s="154">
        <f t="shared" si="595"/>
        <v>-0.25170000000000003</v>
      </c>
      <c r="EV134" s="154">
        <f t="shared" si="595"/>
        <v>-0.25170000000000003</v>
      </c>
      <c r="EW134" s="154">
        <f t="shared" si="595"/>
        <v>-0.25170000000000003</v>
      </c>
      <c r="EX134" s="154">
        <f t="shared" si="595"/>
        <v>-0.25170000000000003</v>
      </c>
      <c r="EY134" s="154">
        <f t="shared" si="595"/>
        <v>-0.25170000000000003</v>
      </c>
      <c r="EZ134" s="157">
        <f t="shared" si="595"/>
        <v>-0.25170000000000003</v>
      </c>
      <c r="FA134" s="161"/>
      <c r="FB134" s="153">
        <f>+FB122/FB120</f>
        <v>-0.25170000000000003</v>
      </c>
      <c r="FC134" s="154">
        <f t="shared" ref="FC134:FN134" si="596">+FC122/FC120</f>
        <v>-0.25170000000000003</v>
      </c>
      <c r="FD134" s="154">
        <f t="shared" si="596"/>
        <v>-0.25170000000000003</v>
      </c>
      <c r="FE134" s="154">
        <f t="shared" si="596"/>
        <v>-0.25170000000000003</v>
      </c>
      <c r="FF134" s="154">
        <f t="shared" si="596"/>
        <v>-0.25170000000000003</v>
      </c>
      <c r="FG134" s="154">
        <f t="shared" si="596"/>
        <v>-0.25170000000000003</v>
      </c>
      <c r="FH134" s="154">
        <f t="shared" si="596"/>
        <v>-0.25170000000000003</v>
      </c>
      <c r="FI134" s="154">
        <f t="shared" si="596"/>
        <v>-0.25170000000000003</v>
      </c>
      <c r="FJ134" s="154">
        <f t="shared" si="596"/>
        <v>-0.25170000000000003</v>
      </c>
      <c r="FK134" s="154">
        <f t="shared" si="596"/>
        <v>-0.25170000000000003</v>
      </c>
      <c r="FL134" s="154">
        <f t="shared" si="596"/>
        <v>-0.25170000000000003</v>
      </c>
      <c r="FM134" s="154">
        <f t="shared" si="596"/>
        <v>-0.25170000000000003</v>
      </c>
      <c r="FN134" s="157">
        <f t="shared" si="596"/>
        <v>-0.25170000000000003</v>
      </c>
      <c r="FO134" s="161"/>
      <c r="FP134" s="153">
        <f>+FP122/FP120</f>
        <v>-0.25170000000000003</v>
      </c>
      <c r="FQ134" s="154">
        <f t="shared" ref="FQ134:GB134" si="597">+FQ122/FQ120</f>
        <v>-0.25170000000000003</v>
      </c>
      <c r="FR134" s="154">
        <f t="shared" si="597"/>
        <v>-0.25170000000000003</v>
      </c>
      <c r="FS134" s="154">
        <f t="shared" si="597"/>
        <v>-0.25170000000000003</v>
      </c>
      <c r="FT134" s="154">
        <f t="shared" si="597"/>
        <v>-0.25170000000000003</v>
      </c>
      <c r="FU134" s="154">
        <f t="shared" si="597"/>
        <v>-0.25170000000000003</v>
      </c>
      <c r="FV134" s="154">
        <f t="shared" si="597"/>
        <v>-0.25170000000000003</v>
      </c>
      <c r="FW134" s="154">
        <f t="shared" si="597"/>
        <v>-0.25170000000000003</v>
      </c>
      <c r="FX134" s="154">
        <f t="shared" si="597"/>
        <v>-0.25170000000000003</v>
      </c>
      <c r="FY134" s="154">
        <f t="shared" si="597"/>
        <v>-0.25170000000000003</v>
      </c>
      <c r="FZ134" s="154">
        <f t="shared" si="597"/>
        <v>-0.25170000000000003</v>
      </c>
      <c r="GA134" s="154">
        <f t="shared" si="597"/>
        <v>-0.25170000000000003</v>
      </c>
      <c r="GB134" s="157">
        <f t="shared" si="597"/>
        <v>-0.25169999999999998</v>
      </c>
      <c r="GC134" s="161"/>
      <c r="GD134" s="153">
        <f>+GD122/GD120</f>
        <v>-0.25170000000000003</v>
      </c>
      <c r="GE134" s="154">
        <f t="shared" ref="GE134:GP134" si="598">+GE122/GE120</f>
        <v>-0.25170000000000003</v>
      </c>
      <c r="GF134" s="154">
        <f t="shared" si="598"/>
        <v>-0.25170000000000003</v>
      </c>
      <c r="GG134" s="154">
        <f t="shared" si="598"/>
        <v>-0.25170000000000003</v>
      </c>
      <c r="GH134" s="154">
        <f t="shared" si="598"/>
        <v>-0.25170000000000003</v>
      </c>
      <c r="GI134" s="154">
        <f t="shared" si="598"/>
        <v>-0.25170000000000003</v>
      </c>
      <c r="GJ134" s="154">
        <f t="shared" si="598"/>
        <v>-0.25170000000000003</v>
      </c>
      <c r="GK134" s="154">
        <f t="shared" si="598"/>
        <v>-0.25170000000000003</v>
      </c>
      <c r="GL134" s="154">
        <f t="shared" si="598"/>
        <v>-0.25170000000000003</v>
      </c>
      <c r="GM134" s="154">
        <f t="shared" si="598"/>
        <v>-0.25170000000000003</v>
      </c>
      <c r="GN134" s="154">
        <f t="shared" si="598"/>
        <v>-0.25170000000000003</v>
      </c>
      <c r="GO134" s="154">
        <f t="shared" si="598"/>
        <v>-0.25170000000000003</v>
      </c>
      <c r="GP134" s="157">
        <f t="shared" si="598"/>
        <v>-0.25170000000000003</v>
      </c>
      <c r="GQ134" s="161"/>
      <c r="GR134" s="153">
        <f>+GR122/GR120</f>
        <v>-0.25170000000000003</v>
      </c>
      <c r="GS134" s="154">
        <f t="shared" ref="GS134:HC134" si="599">+GS122/GS120</f>
        <v>-0.25170000000000003</v>
      </c>
      <c r="GT134" s="154">
        <f t="shared" si="599"/>
        <v>-0.25170000000000003</v>
      </c>
      <c r="GU134" s="154">
        <f t="shared" si="599"/>
        <v>-0.25170000000000003</v>
      </c>
      <c r="GV134" s="154">
        <f t="shared" si="599"/>
        <v>-0.25170000000000003</v>
      </c>
      <c r="GW134" s="154">
        <f t="shared" si="599"/>
        <v>-0.25170000000000003</v>
      </c>
      <c r="GX134" s="154">
        <f t="shared" si="599"/>
        <v>-0.25170000000000003</v>
      </c>
      <c r="GY134" s="154">
        <f t="shared" si="599"/>
        <v>-0.25170000000000003</v>
      </c>
      <c r="GZ134" s="154">
        <f t="shared" si="599"/>
        <v>-0.25170000000000003</v>
      </c>
      <c r="HA134" s="154">
        <f t="shared" si="599"/>
        <v>-0.25170000000000003</v>
      </c>
      <c r="HB134" s="154">
        <f t="shared" si="599"/>
        <v>-0.25170000000000003</v>
      </c>
      <c r="HC134" s="154">
        <f t="shared" si="599"/>
        <v>-0.25170000000000003</v>
      </c>
      <c r="HD134" s="157">
        <f t="shared" si="293"/>
        <v>0</v>
      </c>
      <c r="HE134" s="161"/>
      <c r="HF134" s="153">
        <f>+HF122/HF120</f>
        <v>-0.25170000000000003</v>
      </c>
      <c r="HG134" s="154">
        <f t="shared" ref="HG134:HR134" si="600">+HG122/HG120</f>
        <v>-0.25170000000000003</v>
      </c>
      <c r="HH134" s="154">
        <f t="shared" si="600"/>
        <v>-0.25170000000000003</v>
      </c>
      <c r="HI134" s="154">
        <f t="shared" si="600"/>
        <v>-0.25170000000000003</v>
      </c>
      <c r="HJ134" s="154">
        <f t="shared" si="600"/>
        <v>-0.25170000000000003</v>
      </c>
      <c r="HK134" s="154">
        <f t="shared" si="600"/>
        <v>-0.25170000000000003</v>
      </c>
      <c r="HL134" s="154">
        <f t="shared" si="600"/>
        <v>-0.25170000000000003</v>
      </c>
      <c r="HM134" s="154">
        <f t="shared" si="600"/>
        <v>-0.25170000000000003</v>
      </c>
      <c r="HN134" s="154">
        <f t="shared" si="600"/>
        <v>-0.25170000000000003</v>
      </c>
      <c r="HO134" s="154">
        <f t="shared" si="600"/>
        <v>-0.25170000000000003</v>
      </c>
      <c r="HP134" s="154">
        <f t="shared" si="600"/>
        <v>-0.25170000000000003</v>
      </c>
      <c r="HQ134" s="154">
        <f t="shared" si="600"/>
        <v>-0.25170000000000003</v>
      </c>
      <c r="HR134" s="157">
        <f t="shared" si="600"/>
        <v>-0.25170000000000003</v>
      </c>
      <c r="HS134" s="161"/>
      <c r="HT134" s="153">
        <f>+HT122/HT120</f>
        <v>-0.25170000000000003</v>
      </c>
      <c r="HU134" s="154">
        <f t="shared" ref="HU134:IF134" si="601">+HU122/HU120</f>
        <v>-0.25170000000000003</v>
      </c>
      <c r="HV134" s="154">
        <f t="shared" si="601"/>
        <v>-0.25170000000000003</v>
      </c>
      <c r="HW134" s="154">
        <f t="shared" si="601"/>
        <v>-0.25170000000000003</v>
      </c>
      <c r="HX134" s="154">
        <f t="shared" si="601"/>
        <v>-0.25170000000000003</v>
      </c>
      <c r="HY134" s="154">
        <f t="shared" si="601"/>
        <v>-0.25170000000000003</v>
      </c>
      <c r="HZ134" s="154">
        <f t="shared" si="601"/>
        <v>-0.25170000000000003</v>
      </c>
      <c r="IA134" s="154">
        <f t="shared" si="601"/>
        <v>-0.25170000000000003</v>
      </c>
      <c r="IB134" s="154">
        <f t="shared" si="601"/>
        <v>-0.25170000000000003</v>
      </c>
      <c r="IC134" s="154">
        <f t="shared" si="601"/>
        <v>-0.25170000000000003</v>
      </c>
      <c r="ID134" s="154">
        <f t="shared" si="601"/>
        <v>-0.25170000000000003</v>
      </c>
      <c r="IE134" s="154">
        <f t="shared" si="601"/>
        <v>-0.25170000000000003</v>
      </c>
      <c r="IF134" s="157">
        <f t="shared" si="601"/>
        <v>-0.25170000000000003</v>
      </c>
      <c r="IG134" s="161"/>
      <c r="IH134" s="153">
        <f>+IH122/IH120</f>
        <v>-0.25170000000000003</v>
      </c>
      <c r="II134" s="154">
        <f t="shared" ref="II134:IT134" si="602">+II122/II120</f>
        <v>-0.25170000000000003</v>
      </c>
      <c r="IJ134" s="154">
        <f t="shared" si="602"/>
        <v>-0.25170000000000003</v>
      </c>
      <c r="IK134" s="154">
        <f t="shared" si="602"/>
        <v>-0.25170000000000003</v>
      </c>
      <c r="IL134" s="154">
        <f t="shared" si="602"/>
        <v>-0.25170000000000003</v>
      </c>
      <c r="IM134" s="154">
        <f t="shared" si="602"/>
        <v>-0.25170000000000003</v>
      </c>
      <c r="IN134" s="154">
        <f t="shared" si="602"/>
        <v>-0.25170000000000003</v>
      </c>
      <c r="IO134" s="154">
        <f t="shared" si="602"/>
        <v>-0.25170000000000003</v>
      </c>
      <c r="IP134" s="154">
        <f t="shared" si="602"/>
        <v>-0.25170000000000003</v>
      </c>
      <c r="IQ134" s="154">
        <f t="shared" si="602"/>
        <v>-0.25170000000000003</v>
      </c>
      <c r="IR134" s="154">
        <f t="shared" si="602"/>
        <v>-0.25170000000000003</v>
      </c>
      <c r="IS134" s="154">
        <f t="shared" si="602"/>
        <v>-0.25170000000000003</v>
      </c>
      <c r="IT134" s="157">
        <f t="shared" si="602"/>
        <v>-0.25169999999999998</v>
      </c>
      <c r="IU134" s="161"/>
      <c r="IV134" s="153">
        <f>+IV122/IV120</f>
        <v>-0.25170000000000003</v>
      </c>
      <c r="IW134" s="154">
        <f t="shared" ref="IW134:JH134" si="603">+IW122/IW120</f>
        <v>-0.25170000000000003</v>
      </c>
      <c r="IX134" s="154">
        <f t="shared" si="603"/>
        <v>-0.25170000000000003</v>
      </c>
      <c r="IY134" s="154">
        <f t="shared" si="603"/>
        <v>-0.25170000000000003</v>
      </c>
      <c r="IZ134" s="154">
        <f t="shared" si="603"/>
        <v>-0.25170000000000003</v>
      </c>
      <c r="JA134" s="154">
        <f t="shared" si="603"/>
        <v>-0.25170000000000003</v>
      </c>
      <c r="JB134" s="154">
        <f t="shared" si="603"/>
        <v>-0.25170000000000003</v>
      </c>
      <c r="JC134" s="154">
        <f t="shared" si="603"/>
        <v>-0.25170000000000003</v>
      </c>
      <c r="JD134" s="154">
        <f t="shared" si="603"/>
        <v>-0.25170000000000003</v>
      </c>
      <c r="JE134" s="154">
        <f t="shared" si="603"/>
        <v>-0.25170000000000003</v>
      </c>
      <c r="JF134" s="154">
        <f t="shared" si="603"/>
        <v>-0.25170000000000003</v>
      </c>
      <c r="JG134" s="154">
        <f t="shared" si="603"/>
        <v>-0.25170000000000003</v>
      </c>
      <c r="JH134" s="157">
        <f t="shared" si="603"/>
        <v>-0.25170000000000003</v>
      </c>
      <c r="JI134" s="161"/>
      <c r="JJ134" s="153">
        <f>+JJ122/JJ120</f>
        <v>-0.25170000000000003</v>
      </c>
      <c r="JK134" s="154">
        <f t="shared" ref="JK134:JV134" si="604">+JK122/JK120</f>
        <v>-0.25170000000000003</v>
      </c>
      <c r="JL134" s="154">
        <f t="shared" si="604"/>
        <v>-0.25170000000000003</v>
      </c>
      <c r="JM134" s="154">
        <f t="shared" si="604"/>
        <v>-0.25170000000000003</v>
      </c>
      <c r="JN134" s="154">
        <f t="shared" si="604"/>
        <v>-0.25170000000000003</v>
      </c>
      <c r="JO134" s="154">
        <f t="shared" si="604"/>
        <v>-0.25170000000000003</v>
      </c>
      <c r="JP134" s="154">
        <f t="shared" si="604"/>
        <v>-0.25170000000000003</v>
      </c>
      <c r="JQ134" s="154">
        <f t="shared" si="604"/>
        <v>-0.25170000000000003</v>
      </c>
      <c r="JR134" s="154">
        <f t="shared" si="604"/>
        <v>-0.25170000000000003</v>
      </c>
      <c r="JS134" s="154">
        <f t="shared" si="604"/>
        <v>-0.25170000000000003</v>
      </c>
      <c r="JT134" s="154">
        <f t="shared" si="604"/>
        <v>-0.25170000000000003</v>
      </c>
      <c r="JU134" s="154">
        <f t="shared" si="604"/>
        <v>-0.25170000000000003</v>
      </c>
      <c r="JV134" s="157">
        <f t="shared" si="604"/>
        <v>-0.25170000000000009</v>
      </c>
      <c r="JW134" s="161"/>
      <c r="JX134" s="153">
        <f>+JX122/JX120</f>
        <v>-0.25170000000000003</v>
      </c>
      <c r="JY134" s="154">
        <f t="shared" ref="JY134:KJ134" si="605">+JY122/JY120</f>
        <v>-0.25170000000000003</v>
      </c>
      <c r="JZ134" s="154">
        <f t="shared" si="605"/>
        <v>-0.25170000000000003</v>
      </c>
      <c r="KA134" s="154">
        <f t="shared" si="605"/>
        <v>-0.25170000000000003</v>
      </c>
      <c r="KB134" s="154">
        <f t="shared" si="605"/>
        <v>-0.25170000000000003</v>
      </c>
      <c r="KC134" s="154">
        <f t="shared" si="605"/>
        <v>-0.25170000000000003</v>
      </c>
      <c r="KD134" s="154">
        <f t="shared" si="605"/>
        <v>-0.25170000000000003</v>
      </c>
      <c r="KE134" s="154">
        <f t="shared" si="605"/>
        <v>-0.25170000000000003</v>
      </c>
      <c r="KF134" s="154">
        <f t="shared" si="605"/>
        <v>-0.25170000000000003</v>
      </c>
      <c r="KG134" s="154">
        <f t="shared" si="605"/>
        <v>-0.25170000000000003</v>
      </c>
      <c r="KH134" s="154">
        <f t="shared" si="605"/>
        <v>-0.25170000000000003</v>
      </c>
      <c r="KI134" s="154">
        <f t="shared" si="605"/>
        <v>-0.25170000000000003</v>
      </c>
      <c r="KJ134" s="157">
        <f t="shared" si="605"/>
        <v>-0.25170000000000003</v>
      </c>
      <c r="KK134" s="161"/>
      <c r="KL134" s="153">
        <f>+KL122/KL120</f>
        <v>-0.25170000000000003</v>
      </c>
      <c r="KM134" s="154">
        <f t="shared" ref="KM134:KX134" si="606">+KM122/KM120</f>
        <v>-0.25170000000000003</v>
      </c>
      <c r="KN134" s="154">
        <f t="shared" si="606"/>
        <v>-0.25170000000000003</v>
      </c>
      <c r="KO134" s="154">
        <f t="shared" si="606"/>
        <v>-0.25170000000000003</v>
      </c>
      <c r="KP134" s="154">
        <f t="shared" si="606"/>
        <v>-0.25170000000000003</v>
      </c>
      <c r="KQ134" s="154">
        <f t="shared" si="606"/>
        <v>-0.25170000000000003</v>
      </c>
      <c r="KR134" s="154">
        <f t="shared" si="606"/>
        <v>-0.25170000000000003</v>
      </c>
      <c r="KS134" s="154">
        <f t="shared" si="606"/>
        <v>-0.25170000000000003</v>
      </c>
      <c r="KT134" s="154">
        <f t="shared" si="606"/>
        <v>-0.25170000000000003</v>
      </c>
      <c r="KU134" s="154">
        <f t="shared" si="606"/>
        <v>-0.25170000000000003</v>
      </c>
      <c r="KV134" s="154">
        <f t="shared" si="606"/>
        <v>-0.25170000000000003</v>
      </c>
      <c r="KW134" s="154">
        <f t="shared" si="606"/>
        <v>-0.25170000000000003</v>
      </c>
      <c r="KX134" s="157">
        <f t="shared" si="606"/>
        <v>-0.25170000000000003</v>
      </c>
      <c r="KY134" s="161"/>
      <c r="KZ134" s="153">
        <f>+KZ122/KZ120</f>
        <v>-0.25170000000000003</v>
      </c>
      <c r="LA134" s="154">
        <f t="shared" ref="LA134:LL134" si="607">+LA122/LA120</f>
        <v>-0.25170000000000003</v>
      </c>
      <c r="LB134" s="154">
        <f t="shared" si="607"/>
        <v>-0.25170000000000003</v>
      </c>
      <c r="LC134" s="154">
        <f t="shared" si="607"/>
        <v>-0.25170000000000003</v>
      </c>
      <c r="LD134" s="154">
        <f t="shared" si="607"/>
        <v>-0.25170000000000003</v>
      </c>
      <c r="LE134" s="154">
        <f t="shared" si="607"/>
        <v>-0.25170000000000003</v>
      </c>
      <c r="LF134" s="154">
        <f t="shared" si="607"/>
        <v>-0.25170000000000003</v>
      </c>
      <c r="LG134" s="154">
        <f t="shared" si="607"/>
        <v>-0.25170000000000003</v>
      </c>
      <c r="LH134" s="154">
        <f t="shared" si="607"/>
        <v>-0.25170000000000003</v>
      </c>
      <c r="LI134" s="154">
        <f t="shared" si="607"/>
        <v>-0.25170000000000003</v>
      </c>
      <c r="LJ134" s="154">
        <f t="shared" si="607"/>
        <v>-0.25170000000000003</v>
      </c>
      <c r="LK134" s="154">
        <f t="shared" si="607"/>
        <v>-0.25170000000000003</v>
      </c>
      <c r="LL134" s="157">
        <f t="shared" si="607"/>
        <v>-0.25170000000000009</v>
      </c>
      <c r="LM134" s="161"/>
      <c r="LN134" s="153" t="e">
        <f>+LN122/LN120</f>
        <v>#DIV/0!</v>
      </c>
      <c r="LO134" s="154" t="e">
        <f t="shared" ref="LO134:LZ134" si="608">+LO122/LO120</f>
        <v>#DIV/0!</v>
      </c>
      <c r="LP134" s="154" t="e">
        <f t="shared" si="608"/>
        <v>#DIV/0!</v>
      </c>
      <c r="LQ134" s="154" t="e">
        <f t="shared" si="608"/>
        <v>#DIV/0!</v>
      </c>
      <c r="LR134" s="154" t="e">
        <f t="shared" si="608"/>
        <v>#DIV/0!</v>
      </c>
      <c r="LS134" s="154" t="e">
        <f t="shared" si="608"/>
        <v>#DIV/0!</v>
      </c>
      <c r="LT134" s="154" t="e">
        <f t="shared" si="608"/>
        <v>#DIV/0!</v>
      </c>
      <c r="LU134" s="154" t="e">
        <f t="shared" si="608"/>
        <v>#DIV/0!</v>
      </c>
      <c r="LV134" s="154" t="e">
        <f t="shared" si="608"/>
        <v>#DIV/0!</v>
      </c>
      <c r="LW134" s="154" t="e">
        <f t="shared" si="608"/>
        <v>#DIV/0!</v>
      </c>
      <c r="LX134" s="154" t="e">
        <f t="shared" si="608"/>
        <v>#DIV/0!</v>
      </c>
      <c r="LY134" s="154" t="e">
        <f t="shared" si="608"/>
        <v>#DIV/0!</v>
      </c>
      <c r="LZ134" s="157" t="e">
        <f t="shared" si="608"/>
        <v>#DIV/0!</v>
      </c>
      <c r="MA134" s="161"/>
      <c r="MB134" s="157">
        <f t="shared" ref="MB134:MN134" si="609">+MB122/MB120</f>
        <v>-0.25170000000000003</v>
      </c>
      <c r="MC134" s="157">
        <f t="shared" si="609"/>
        <v>-0.25170000000000003</v>
      </c>
      <c r="MD134" s="157">
        <f t="shared" si="609"/>
        <v>-0.25170000000000009</v>
      </c>
      <c r="ME134" s="157">
        <f t="shared" si="609"/>
        <v>-0.25170000000000003</v>
      </c>
      <c r="MF134" s="157">
        <f t="shared" si="609"/>
        <v>-0.25170000000000015</v>
      </c>
      <c r="MG134" s="157">
        <f t="shared" si="609"/>
        <v>-0.25170000000000003</v>
      </c>
      <c r="MH134" s="157">
        <f t="shared" si="609"/>
        <v>-0.25170000000000003</v>
      </c>
      <c r="MI134" s="157">
        <f t="shared" si="609"/>
        <v>-0.25169999999999998</v>
      </c>
      <c r="MJ134" s="157">
        <f t="shared" si="609"/>
        <v>-0.25170000000000003</v>
      </c>
      <c r="MK134" s="157">
        <f t="shared" si="609"/>
        <v>-0.25170000000000003</v>
      </c>
      <c r="ML134" s="157">
        <f t="shared" si="609"/>
        <v>-0.25170000000000009</v>
      </c>
      <c r="MM134" s="157">
        <f t="shared" si="609"/>
        <v>-0.25170000000000003</v>
      </c>
      <c r="MN134" s="157">
        <f t="shared" si="609"/>
        <v>-0.25169999999999998</v>
      </c>
    </row>
    <row r="135" spans="1:352" ht="14.5" hidden="1" thickBot="1" x14ac:dyDescent="0.35">
      <c r="A135" s="98"/>
      <c r="C135" s="98"/>
      <c r="D135" s="257"/>
      <c r="E135" s="258"/>
      <c r="F135" s="258"/>
      <c r="G135" s="258"/>
      <c r="H135" s="258"/>
      <c r="I135" s="258"/>
      <c r="J135" s="258"/>
      <c r="K135" s="258"/>
      <c r="L135" s="258"/>
      <c r="M135" s="258"/>
      <c r="N135" s="258"/>
      <c r="O135" s="258"/>
      <c r="P135" s="259"/>
      <c r="Q135" s="161"/>
      <c r="R135" s="257"/>
      <c r="S135" s="258"/>
      <c r="T135" s="258"/>
      <c r="U135" s="258"/>
      <c r="V135" s="258"/>
      <c r="W135" s="258"/>
      <c r="X135" s="258"/>
      <c r="Y135" s="258"/>
      <c r="Z135" s="258"/>
      <c r="AA135" s="258"/>
      <c r="AB135" s="258"/>
      <c r="AC135" s="258"/>
      <c r="AD135" s="259"/>
      <c r="AE135" s="161"/>
      <c r="AF135" s="257"/>
      <c r="AG135" s="258"/>
      <c r="AH135" s="258"/>
      <c r="AI135" s="258"/>
      <c r="AJ135" s="258"/>
      <c r="AK135" s="258"/>
      <c r="AL135" s="258"/>
      <c r="AM135" s="258"/>
      <c r="AN135" s="258"/>
      <c r="AO135" s="258"/>
      <c r="AP135" s="258"/>
      <c r="AQ135" s="258"/>
      <c r="AR135" s="259"/>
      <c r="AT135" s="257"/>
      <c r="AU135" s="258"/>
      <c r="AV135" s="258"/>
      <c r="AW135" s="258"/>
      <c r="AX135" s="258"/>
      <c r="AY135" s="258"/>
      <c r="AZ135" s="258"/>
      <c r="BA135" s="258"/>
      <c r="BB135" s="258"/>
      <c r="BC135" s="258"/>
      <c r="BD135" s="258"/>
      <c r="BE135" s="258"/>
      <c r="BF135" s="259"/>
      <c r="BH135" s="257"/>
      <c r="BI135" s="258"/>
      <c r="BJ135" s="258"/>
      <c r="BK135" s="258"/>
      <c r="BL135" s="258"/>
      <c r="BM135" s="258"/>
      <c r="BN135" s="258"/>
      <c r="BO135" s="258"/>
      <c r="BP135" s="258"/>
      <c r="BQ135" s="258"/>
      <c r="BR135" s="258"/>
      <c r="BS135" s="258"/>
      <c r="BT135" s="259"/>
      <c r="BV135" s="257"/>
      <c r="BW135" s="258"/>
      <c r="BX135" s="258"/>
      <c r="BY135" s="258"/>
      <c r="BZ135" s="258"/>
      <c r="CA135" s="258"/>
      <c r="CB135" s="258"/>
      <c r="CC135" s="258"/>
      <c r="CD135" s="258"/>
      <c r="CE135" s="258"/>
      <c r="CF135" s="258"/>
      <c r="CG135" s="258"/>
      <c r="CH135" s="259"/>
      <c r="CI135" s="161"/>
      <c r="CJ135" s="257"/>
      <c r="CK135" s="258"/>
      <c r="CL135" s="258"/>
      <c r="CM135" s="258"/>
      <c r="CN135" s="258"/>
      <c r="CO135" s="258"/>
      <c r="CP135" s="258"/>
      <c r="CQ135" s="258"/>
      <c r="CR135" s="258"/>
      <c r="CS135" s="258"/>
      <c r="CT135" s="258"/>
      <c r="CU135" s="258"/>
      <c r="CV135" s="259"/>
      <c r="CW135" s="161"/>
      <c r="CX135" s="257"/>
      <c r="CY135" s="258"/>
      <c r="CZ135" s="258"/>
      <c r="DA135" s="258"/>
      <c r="DB135" s="258"/>
      <c r="DC135" s="258"/>
      <c r="DD135" s="258"/>
      <c r="DE135" s="258"/>
      <c r="DF135" s="258"/>
      <c r="DG135" s="258"/>
      <c r="DH135" s="258"/>
      <c r="DI135" s="258"/>
      <c r="DJ135" s="259"/>
      <c r="DK135" s="161"/>
      <c r="DL135" s="257"/>
      <c r="DM135" s="258"/>
      <c r="DN135" s="258"/>
      <c r="DO135" s="258"/>
      <c r="DP135" s="258"/>
      <c r="DQ135" s="258"/>
      <c r="DR135" s="258"/>
      <c r="DS135" s="258"/>
      <c r="DT135" s="258"/>
      <c r="DU135" s="258"/>
      <c r="DV135" s="258"/>
      <c r="DW135" s="258"/>
      <c r="DX135" s="259"/>
      <c r="DY135" s="161"/>
      <c r="DZ135" s="257"/>
      <c r="EA135" s="258"/>
      <c r="EB135" s="258"/>
      <c r="EC135" s="258"/>
      <c r="ED135" s="258"/>
      <c r="EE135" s="258"/>
      <c r="EF135" s="258"/>
      <c r="EG135" s="258"/>
      <c r="EH135" s="258"/>
      <c r="EI135" s="258"/>
      <c r="EJ135" s="258"/>
      <c r="EK135" s="258"/>
      <c r="EL135" s="259"/>
      <c r="EM135" s="161"/>
      <c r="EN135" s="257"/>
      <c r="EO135" s="258"/>
      <c r="EP135" s="258"/>
      <c r="EQ135" s="258"/>
      <c r="ER135" s="258"/>
      <c r="ES135" s="258"/>
      <c r="ET135" s="258"/>
      <c r="EU135" s="258"/>
      <c r="EV135" s="258"/>
      <c r="EW135" s="258"/>
      <c r="EX135" s="258"/>
      <c r="EY135" s="258"/>
      <c r="EZ135" s="259"/>
      <c r="FA135" s="161"/>
      <c r="FB135" s="257"/>
      <c r="FC135" s="258"/>
      <c r="FD135" s="258"/>
      <c r="FE135" s="258"/>
      <c r="FF135" s="258"/>
      <c r="FG135" s="258"/>
      <c r="FH135" s="258"/>
      <c r="FI135" s="258"/>
      <c r="FJ135" s="258"/>
      <c r="FK135" s="258"/>
      <c r="FL135" s="258"/>
      <c r="FM135" s="258"/>
      <c r="FN135" s="259"/>
      <c r="FO135" s="161"/>
      <c r="FP135" s="257"/>
      <c r="FQ135" s="258"/>
      <c r="FR135" s="258"/>
      <c r="FS135" s="258"/>
      <c r="FT135" s="258"/>
      <c r="FU135" s="258"/>
      <c r="FV135" s="258"/>
      <c r="FW135" s="258"/>
      <c r="FX135" s="258"/>
      <c r="FY135" s="258"/>
      <c r="FZ135" s="258"/>
      <c r="GA135" s="258"/>
      <c r="GB135" s="259"/>
      <c r="GC135" s="161"/>
      <c r="GD135" s="257"/>
      <c r="GE135" s="258"/>
      <c r="GF135" s="258"/>
      <c r="GG135" s="258"/>
      <c r="GH135" s="258"/>
      <c r="GI135" s="258"/>
      <c r="GJ135" s="258"/>
      <c r="GK135" s="258"/>
      <c r="GL135" s="258"/>
      <c r="GM135" s="258"/>
      <c r="GN135" s="258"/>
      <c r="GO135" s="258"/>
      <c r="GP135" s="259"/>
      <c r="GQ135" s="161"/>
      <c r="GR135" s="257"/>
      <c r="GS135" s="258"/>
      <c r="GT135" s="258"/>
      <c r="GU135" s="258"/>
      <c r="GV135" s="258"/>
      <c r="GW135" s="258"/>
      <c r="GX135" s="258"/>
      <c r="GY135" s="258"/>
      <c r="GZ135" s="258"/>
      <c r="HA135" s="258"/>
      <c r="HB135" s="258"/>
      <c r="HC135" s="258"/>
      <c r="HD135" s="259"/>
      <c r="HE135" s="161"/>
      <c r="HF135" s="257"/>
      <c r="HG135" s="258"/>
      <c r="HH135" s="258"/>
      <c r="HI135" s="258"/>
      <c r="HJ135" s="258"/>
      <c r="HK135" s="258"/>
      <c r="HL135" s="258"/>
      <c r="HM135" s="258"/>
      <c r="HN135" s="258"/>
      <c r="HO135" s="258"/>
      <c r="HP135" s="258"/>
      <c r="HQ135" s="258"/>
      <c r="HR135" s="259"/>
      <c r="HS135" s="161"/>
      <c r="HT135" s="257"/>
      <c r="HU135" s="258"/>
      <c r="HV135" s="258"/>
      <c r="HW135" s="258"/>
      <c r="HX135" s="258"/>
      <c r="HY135" s="258"/>
      <c r="HZ135" s="258"/>
      <c r="IA135" s="258"/>
      <c r="IB135" s="258"/>
      <c r="IC135" s="258"/>
      <c r="ID135" s="258"/>
      <c r="IE135" s="258"/>
      <c r="IF135" s="259"/>
      <c r="IG135" s="161"/>
      <c r="IH135" s="257"/>
      <c r="II135" s="258"/>
      <c r="IJ135" s="258"/>
      <c r="IK135" s="258"/>
      <c r="IL135" s="258"/>
      <c r="IM135" s="258"/>
      <c r="IN135" s="258"/>
      <c r="IO135" s="258"/>
      <c r="IP135" s="258"/>
      <c r="IQ135" s="258"/>
      <c r="IR135" s="258"/>
      <c r="IS135" s="258"/>
      <c r="IT135" s="259"/>
      <c r="IU135" s="161"/>
      <c r="IV135" s="257"/>
      <c r="IW135" s="258"/>
      <c r="IX135" s="258"/>
      <c r="IY135" s="258"/>
      <c r="IZ135" s="258"/>
      <c r="JA135" s="258"/>
      <c r="JB135" s="258"/>
      <c r="JC135" s="258"/>
      <c r="JD135" s="258"/>
      <c r="JE135" s="258"/>
      <c r="JF135" s="258"/>
      <c r="JG135" s="258"/>
      <c r="JH135" s="259"/>
      <c r="JI135" s="161"/>
      <c r="JJ135" s="257"/>
      <c r="JK135" s="258"/>
      <c r="JL135" s="258"/>
      <c r="JM135" s="258"/>
      <c r="JN135" s="258"/>
      <c r="JO135" s="258"/>
      <c r="JP135" s="258"/>
      <c r="JQ135" s="258"/>
      <c r="JR135" s="258"/>
      <c r="JS135" s="258"/>
      <c r="JT135" s="258"/>
      <c r="JU135" s="258"/>
      <c r="JV135" s="259"/>
      <c r="JW135" s="161"/>
      <c r="JX135" s="257"/>
      <c r="JY135" s="258"/>
      <c r="JZ135" s="258"/>
      <c r="KA135" s="258"/>
      <c r="KB135" s="258"/>
      <c r="KC135" s="258"/>
      <c r="KD135" s="258"/>
      <c r="KE135" s="258"/>
      <c r="KF135" s="258"/>
      <c r="KG135" s="258"/>
      <c r="KH135" s="258"/>
      <c r="KI135" s="258"/>
      <c r="KJ135" s="259"/>
      <c r="KK135" s="161"/>
      <c r="KL135" s="257"/>
      <c r="KM135" s="258"/>
      <c r="KN135" s="258"/>
      <c r="KO135" s="258"/>
      <c r="KP135" s="258"/>
      <c r="KQ135" s="258"/>
      <c r="KR135" s="258"/>
      <c r="KS135" s="258"/>
      <c r="KT135" s="258"/>
      <c r="KU135" s="258"/>
      <c r="KV135" s="258"/>
      <c r="KW135" s="258"/>
      <c r="KX135" s="259"/>
      <c r="KY135" s="161"/>
      <c r="KZ135" s="257"/>
      <c r="LA135" s="258"/>
      <c r="LB135" s="258"/>
      <c r="LC135" s="258"/>
      <c r="LD135" s="258"/>
      <c r="LE135" s="258"/>
      <c r="LF135" s="258"/>
      <c r="LG135" s="258"/>
      <c r="LH135" s="258"/>
      <c r="LI135" s="258"/>
      <c r="LJ135" s="258"/>
      <c r="LK135" s="258"/>
      <c r="LL135" s="259"/>
      <c r="LM135" s="161"/>
      <c r="LN135" s="257"/>
      <c r="LO135" s="258"/>
      <c r="LP135" s="258"/>
      <c r="LQ135" s="258"/>
      <c r="LR135" s="258"/>
      <c r="LS135" s="258"/>
      <c r="LT135" s="258"/>
      <c r="LU135" s="258"/>
      <c r="LV135" s="258"/>
      <c r="LW135" s="258"/>
      <c r="LX135" s="258"/>
      <c r="LY135" s="258"/>
      <c r="LZ135" s="259"/>
      <c r="MA135" s="161"/>
      <c r="MB135" s="259"/>
      <c r="MC135" s="259"/>
      <c r="MD135" s="259"/>
      <c r="ME135" s="259"/>
      <c r="MF135" s="259"/>
      <c r="MG135" s="259"/>
      <c r="MH135" s="259"/>
      <c r="MI135" s="259"/>
      <c r="MJ135" s="259"/>
      <c r="MK135" s="259"/>
      <c r="ML135" s="259"/>
      <c r="MM135" s="259"/>
      <c r="MN135" s="259"/>
    </row>
    <row r="136" spans="1:352" hidden="1" x14ac:dyDescent="0.3">
      <c r="A136" s="98"/>
      <c r="C136" s="98"/>
      <c r="P136" s="260"/>
      <c r="Q136" s="160"/>
      <c r="AD136" s="260"/>
      <c r="AE136" s="160"/>
      <c r="AR136" s="260"/>
      <c r="BF136" s="260"/>
      <c r="BT136" s="260"/>
      <c r="CH136" s="260"/>
      <c r="CI136" s="160"/>
      <c r="CV136" s="260"/>
      <c r="CW136" s="160"/>
      <c r="DJ136" s="260"/>
      <c r="DK136" s="160"/>
      <c r="DX136" s="260"/>
      <c r="DY136" s="160"/>
      <c r="EL136" s="260"/>
      <c r="EM136" s="160"/>
      <c r="EZ136" s="260"/>
      <c r="FA136" s="160"/>
      <c r="FN136" s="260"/>
      <c r="FO136" s="160"/>
      <c r="GB136" s="260"/>
      <c r="GC136" s="160"/>
      <c r="GP136" s="260"/>
      <c r="GQ136" s="160"/>
      <c r="HD136" s="260"/>
      <c r="HE136" s="160"/>
      <c r="HR136" s="260"/>
      <c r="HS136" s="160"/>
      <c r="IF136" s="260"/>
      <c r="IG136" s="160"/>
      <c r="IT136" s="260"/>
      <c r="IU136" s="160"/>
      <c r="JH136" s="260"/>
      <c r="JI136" s="160"/>
      <c r="JV136" s="260"/>
      <c r="JW136" s="160"/>
      <c r="KJ136" s="260"/>
      <c r="KK136" s="160"/>
      <c r="KX136" s="260"/>
      <c r="KY136" s="160"/>
      <c r="LL136" s="260"/>
      <c r="LM136" s="160"/>
      <c r="LZ136" s="260"/>
      <c r="MA136" s="160"/>
      <c r="MB136" s="260"/>
      <c r="MC136" s="260"/>
      <c r="MD136" s="260"/>
      <c r="ME136" s="260"/>
      <c r="MF136" s="260"/>
      <c r="MG136" s="260"/>
      <c r="MH136" s="260"/>
      <c r="MI136" s="260"/>
      <c r="MJ136" s="260"/>
      <c r="MK136" s="260"/>
      <c r="ML136" s="260"/>
      <c r="MM136" s="260"/>
      <c r="MN136" s="260"/>
    </row>
    <row r="137" spans="1:352" hidden="1" x14ac:dyDescent="0.3">
      <c r="A137" s="98"/>
      <c r="C137" s="98"/>
      <c r="P137" s="260"/>
      <c r="Q137" s="160"/>
      <c r="AD137" s="260"/>
      <c r="AE137" s="160"/>
      <c r="AR137" s="260"/>
      <c r="BF137" s="260"/>
      <c r="BT137" s="260"/>
      <c r="CH137" s="260"/>
      <c r="CI137" s="160"/>
      <c r="CV137" s="260"/>
      <c r="CW137" s="160"/>
      <c r="DJ137" s="260"/>
      <c r="DK137" s="160"/>
      <c r="DX137" s="260"/>
      <c r="DY137" s="160"/>
      <c r="EL137" s="260"/>
      <c r="EM137" s="160"/>
      <c r="EZ137" s="260"/>
      <c r="FA137" s="160"/>
      <c r="FN137" s="260"/>
      <c r="FO137" s="160"/>
      <c r="GB137" s="260"/>
      <c r="GC137" s="160"/>
      <c r="GP137" s="260"/>
      <c r="GQ137" s="160"/>
      <c r="HD137" s="260"/>
      <c r="HE137" s="160"/>
      <c r="HR137" s="260"/>
      <c r="HS137" s="160"/>
      <c r="IF137" s="260"/>
      <c r="IG137" s="160"/>
      <c r="IT137" s="260"/>
      <c r="IU137" s="160"/>
      <c r="JH137" s="260"/>
      <c r="JI137" s="160"/>
      <c r="JV137" s="260"/>
      <c r="JW137" s="160"/>
      <c r="KJ137" s="260"/>
      <c r="KK137" s="160"/>
      <c r="KX137" s="260"/>
      <c r="KY137" s="160"/>
      <c r="LL137" s="260"/>
      <c r="LM137" s="160"/>
      <c r="LZ137" s="260"/>
      <c r="MA137" s="160"/>
      <c r="MB137" s="260"/>
      <c r="MC137" s="260"/>
      <c r="MD137" s="260"/>
      <c r="ME137" s="260"/>
      <c r="MF137" s="260"/>
      <c r="MG137" s="260"/>
      <c r="MH137" s="260"/>
      <c r="MI137" s="260"/>
      <c r="MJ137" s="260"/>
      <c r="MK137" s="260"/>
      <c r="ML137" s="260"/>
      <c r="MM137" s="260"/>
      <c r="MN137" s="260"/>
    </row>
    <row r="138" spans="1:352" hidden="1" x14ac:dyDescent="0.3">
      <c r="A138" s="98"/>
      <c r="C138" s="98"/>
      <c r="P138" s="260"/>
      <c r="Q138" s="160"/>
      <c r="AD138" s="260"/>
      <c r="AE138" s="160"/>
      <c r="AR138" s="260"/>
      <c r="BF138" s="260"/>
      <c r="BT138" s="260"/>
      <c r="CH138" s="260"/>
      <c r="CI138" s="160"/>
      <c r="CV138" s="260"/>
      <c r="CW138" s="160"/>
      <c r="DJ138" s="260"/>
      <c r="DK138" s="160"/>
      <c r="DX138" s="260"/>
      <c r="DY138" s="160"/>
      <c r="EL138" s="260"/>
      <c r="EM138" s="160"/>
      <c r="EZ138" s="260"/>
      <c r="FA138" s="160"/>
      <c r="FN138" s="260"/>
      <c r="FO138" s="160"/>
      <c r="GB138" s="260"/>
      <c r="GC138" s="160"/>
      <c r="GP138" s="260"/>
      <c r="GQ138" s="160"/>
      <c r="HD138" s="260"/>
      <c r="HE138" s="160"/>
      <c r="HR138" s="260"/>
      <c r="HS138" s="160"/>
      <c r="IF138" s="260"/>
      <c r="IG138" s="160"/>
      <c r="IT138" s="260"/>
      <c r="IU138" s="160"/>
      <c r="JH138" s="260"/>
      <c r="JI138" s="160"/>
      <c r="JV138" s="260"/>
      <c r="JW138" s="160"/>
      <c r="KJ138" s="260"/>
      <c r="KK138" s="160"/>
      <c r="KX138" s="260"/>
      <c r="KY138" s="160"/>
      <c r="LL138" s="260"/>
      <c r="LM138" s="160"/>
      <c r="LZ138" s="260"/>
      <c r="MA138" s="160"/>
      <c r="MB138" s="260"/>
      <c r="MC138" s="260"/>
      <c r="MD138" s="260"/>
      <c r="ME138" s="260"/>
      <c r="MF138" s="260"/>
      <c r="MG138" s="260"/>
      <c r="MH138" s="260"/>
      <c r="MI138" s="260"/>
      <c r="MJ138" s="260"/>
      <c r="MK138" s="260"/>
      <c r="ML138" s="260"/>
      <c r="MM138" s="260"/>
      <c r="MN138" s="260"/>
    </row>
    <row r="139" spans="1:352" x14ac:dyDescent="0.3">
      <c r="A139" s="98"/>
      <c r="C139" s="98"/>
      <c r="P139" s="260"/>
      <c r="Q139" s="160"/>
      <c r="AD139" s="260"/>
      <c r="AE139" s="160"/>
      <c r="AR139" s="260"/>
      <c r="BF139" s="260"/>
      <c r="BT139" s="260"/>
      <c r="CH139" s="260"/>
      <c r="CI139" s="160"/>
      <c r="CV139" s="260"/>
      <c r="CW139" s="160"/>
      <c r="DJ139" s="260"/>
      <c r="DK139" s="160"/>
      <c r="DX139" s="260"/>
      <c r="DY139" s="160"/>
      <c r="EL139" s="260"/>
      <c r="EM139" s="160"/>
      <c r="EZ139" s="260"/>
      <c r="FA139" s="160"/>
      <c r="FN139" s="260"/>
      <c r="FO139" s="160"/>
      <c r="GB139" s="260"/>
      <c r="GC139" s="160"/>
      <c r="GP139" s="260"/>
      <c r="GQ139" s="160"/>
      <c r="HD139" s="260"/>
      <c r="HE139" s="160"/>
      <c r="HR139" s="260"/>
      <c r="HS139" s="160"/>
      <c r="IF139" s="260"/>
      <c r="IG139" s="160"/>
      <c r="IT139" s="260"/>
      <c r="IU139" s="160"/>
      <c r="JH139" s="260"/>
      <c r="JI139" s="160"/>
      <c r="JV139" s="260"/>
      <c r="JW139" s="160"/>
      <c r="KJ139" s="260"/>
      <c r="KK139" s="160"/>
      <c r="KX139" s="260"/>
      <c r="KY139" s="160"/>
      <c r="LL139" s="260"/>
      <c r="LM139" s="160"/>
      <c r="LZ139" s="260"/>
      <c r="MA139" s="160"/>
      <c r="MB139" s="260"/>
      <c r="MC139" s="260"/>
      <c r="MD139" s="260"/>
      <c r="ME139" s="260"/>
      <c r="MF139" s="260"/>
      <c r="MG139" s="260"/>
      <c r="MH139" s="260"/>
      <c r="MI139" s="260"/>
      <c r="MJ139" s="260"/>
      <c r="MK139" s="260"/>
      <c r="ML139" s="260"/>
      <c r="MM139" s="260"/>
      <c r="MN139" s="260"/>
    </row>
    <row r="140" spans="1:352" x14ac:dyDescent="0.3">
      <c r="A140" s="98"/>
      <c r="C140" s="98"/>
      <c r="P140" s="260"/>
      <c r="Q140" s="160"/>
      <c r="AD140" s="260"/>
      <c r="AE140" s="160"/>
      <c r="AR140" s="260"/>
      <c r="BF140" s="260"/>
      <c r="BT140" s="260"/>
      <c r="CH140" s="260"/>
      <c r="CI140" s="160"/>
      <c r="CV140" s="260"/>
      <c r="CW140" s="160"/>
      <c r="DJ140" s="260"/>
      <c r="DK140" s="160"/>
      <c r="DX140" s="260"/>
      <c r="DY140" s="160"/>
      <c r="EL140" s="260"/>
      <c r="EM140" s="160"/>
      <c r="EZ140" s="260"/>
      <c r="FA140" s="160"/>
      <c r="FN140" s="260"/>
      <c r="FO140" s="160"/>
      <c r="GB140" s="260"/>
      <c r="GC140" s="160"/>
      <c r="GP140" s="260"/>
      <c r="GQ140" s="160"/>
      <c r="HD140" s="260"/>
      <c r="HE140" s="160"/>
      <c r="HR140" s="260"/>
      <c r="HS140" s="160"/>
      <c r="IF140" s="260"/>
      <c r="IG140" s="160"/>
      <c r="IT140" s="260"/>
      <c r="IU140" s="160"/>
      <c r="JH140" s="260"/>
      <c r="JI140" s="160"/>
      <c r="JV140" s="260"/>
      <c r="JW140" s="160"/>
      <c r="KJ140" s="260"/>
      <c r="KK140" s="160"/>
      <c r="KX140" s="260"/>
      <c r="KY140" s="160"/>
      <c r="LL140" s="260"/>
      <c r="LM140" s="160"/>
      <c r="LZ140" s="260"/>
      <c r="MA140" s="160"/>
      <c r="MB140" s="260"/>
      <c r="MC140" s="260"/>
      <c r="MD140" s="260"/>
      <c r="ME140" s="260"/>
      <c r="MF140" s="260"/>
      <c r="MG140" s="260"/>
      <c r="MH140" s="260"/>
      <c r="MI140" s="260"/>
      <c r="MJ140" s="260"/>
      <c r="MK140" s="260"/>
      <c r="ML140" s="260"/>
      <c r="MM140" s="260"/>
      <c r="MN140" s="260"/>
    </row>
    <row r="141" spans="1:352" x14ac:dyDescent="0.3">
      <c r="A141" s="98"/>
      <c r="C141" s="98"/>
      <c r="P141" s="260"/>
      <c r="Q141" s="160"/>
      <c r="AD141" s="260"/>
      <c r="AE141" s="160"/>
      <c r="AR141" s="260"/>
      <c r="BF141" s="260"/>
      <c r="BT141" s="260"/>
      <c r="CH141" s="260"/>
      <c r="CI141" s="160"/>
      <c r="CV141" s="260"/>
      <c r="CW141" s="160"/>
      <c r="DJ141" s="260"/>
      <c r="DK141" s="160"/>
      <c r="DX141" s="260"/>
      <c r="DY141" s="160"/>
      <c r="EL141" s="260"/>
      <c r="EM141" s="160"/>
      <c r="EZ141" s="260"/>
      <c r="FA141" s="160"/>
      <c r="FN141" s="260"/>
      <c r="FO141" s="160"/>
      <c r="GB141" s="260"/>
      <c r="GC141" s="160"/>
      <c r="GP141" s="260"/>
      <c r="GQ141" s="160"/>
      <c r="HD141" s="260"/>
      <c r="HE141" s="160"/>
      <c r="HR141" s="260"/>
      <c r="HS141" s="160"/>
      <c r="IF141" s="260"/>
      <c r="IG141" s="160"/>
      <c r="IT141" s="260"/>
      <c r="IU141" s="160"/>
      <c r="JH141" s="260"/>
      <c r="JI141" s="160"/>
      <c r="JV141" s="260"/>
      <c r="JW141" s="160"/>
      <c r="KJ141" s="260"/>
      <c r="KK141" s="160"/>
      <c r="KX141" s="260"/>
      <c r="KY141" s="160"/>
      <c r="LL141" s="260"/>
      <c r="LM141" s="160"/>
      <c r="LZ141" s="260"/>
      <c r="MA141" s="160"/>
      <c r="MB141" s="260"/>
      <c r="MC141" s="260"/>
      <c r="MD141" s="260"/>
      <c r="ME141" s="260"/>
      <c r="MF141" s="260"/>
      <c r="MG141" s="260"/>
      <c r="MH141" s="260"/>
      <c r="MI141" s="260"/>
      <c r="MJ141" s="260"/>
      <c r="MK141" s="260"/>
      <c r="ML141" s="260"/>
      <c r="MM141" s="260"/>
      <c r="MN141" s="260"/>
    </row>
    <row r="142" spans="1:352" ht="13" x14ac:dyDescent="0.3">
      <c r="A142" s="98"/>
      <c r="B142" s="90" t="s">
        <v>159</v>
      </c>
      <c r="C142" s="261"/>
      <c r="D142" s="89"/>
      <c r="E142" s="90"/>
      <c r="F142" s="90"/>
      <c r="G142" s="100"/>
      <c r="H142" s="90"/>
      <c r="I142" s="90"/>
      <c r="J142" s="90"/>
      <c r="K142" s="90"/>
      <c r="L142" s="90"/>
      <c r="M142" s="90"/>
      <c r="N142" s="90"/>
      <c r="O142" s="90"/>
      <c r="P142" s="97"/>
      <c r="Q142" s="92"/>
      <c r="R142" s="89"/>
      <c r="S142" s="90"/>
      <c r="T142" s="90"/>
      <c r="U142" s="100"/>
      <c r="V142" s="90"/>
      <c r="W142" s="90"/>
      <c r="X142" s="90"/>
      <c r="Y142" s="90"/>
      <c r="Z142" s="90"/>
      <c r="AA142" s="90"/>
      <c r="AB142" s="90"/>
      <c r="AC142" s="90"/>
      <c r="AD142" s="97"/>
      <c r="AE142" s="92"/>
      <c r="AF142" s="89"/>
      <c r="AG142" s="90"/>
      <c r="AH142" s="90"/>
      <c r="AI142" s="100"/>
      <c r="AJ142" s="90"/>
      <c r="AK142" s="90"/>
      <c r="AL142" s="90"/>
      <c r="AM142" s="90"/>
      <c r="AN142" s="90"/>
      <c r="AO142" s="90"/>
      <c r="AP142" s="90"/>
      <c r="AQ142" s="90"/>
      <c r="AR142" s="97"/>
      <c r="AS142" s="92"/>
      <c r="AT142" s="89"/>
      <c r="AU142" s="90"/>
      <c r="AV142" s="90"/>
      <c r="AW142" s="100"/>
      <c r="AX142" s="90"/>
      <c r="AY142" s="90"/>
      <c r="AZ142" s="90"/>
      <c r="BA142" s="90"/>
      <c r="BB142" s="90"/>
      <c r="BC142" s="90"/>
      <c r="BD142" s="90"/>
      <c r="BE142" s="90"/>
      <c r="BF142" s="97"/>
      <c r="BG142" s="92"/>
      <c r="BH142" s="89"/>
      <c r="BI142" s="90"/>
      <c r="BJ142" s="90"/>
      <c r="BK142" s="100"/>
      <c r="BL142" s="90"/>
      <c r="BM142" s="90"/>
      <c r="BN142" s="90"/>
      <c r="BO142" s="90"/>
      <c r="BP142" s="90"/>
      <c r="BQ142" s="90"/>
      <c r="BR142" s="90"/>
      <c r="BS142" s="90"/>
      <c r="BT142" s="97"/>
      <c r="BU142" s="92"/>
      <c r="BV142" s="89"/>
      <c r="BW142" s="90"/>
      <c r="BX142" s="90"/>
      <c r="BY142" s="100"/>
      <c r="BZ142" s="90"/>
      <c r="CA142" s="90"/>
      <c r="CB142" s="90"/>
      <c r="CC142" s="90"/>
      <c r="CD142" s="90"/>
      <c r="CE142" s="90"/>
      <c r="CF142" s="90"/>
      <c r="CG142" s="90"/>
      <c r="CH142" s="97"/>
      <c r="CI142" s="92"/>
      <c r="CJ142" s="89"/>
      <c r="CK142" s="90"/>
      <c r="CL142" s="90"/>
      <c r="CM142" s="100"/>
      <c r="CN142" s="90"/>
      <c r="CO142" s="90"/>
      <c r="CP142" s="90"/>
      <c r="CQ142" s="90"/>
      <c r="CR142" s="90"/>
      <c r="CS142" s="90"/>
      <c r="CT142" s="90"/>
      <c r="CU142" s="90"/>
      <c r="CV142" s="97"/>
      <c r="CW142" s="92"/>
      <c r="CX142" s="89"/>
      <c r="CY142" s="90"/>
      <c r="CZ142" s="90"/>
      <c r="DA142" s="100"/>
      <c r="DB142" s="90"/>
      <c r="DC142" s="90"/>
      <c r="DD142" s="90"/>
      <c r="DE142" s="90"/>
      <c r="DF142" s="90"/>
      <c r="DG142" s="90"/>
      <c r="DH142" s="90"/>
      <c r="DI142" s="90"/>
      <c r="DJ142" s="97"/>
      <c r="DK142" s="92"/>
      <c r="DL142" s="89"/>
      <c r="DM142" s="90"/>
      <c r="DN142" s="90"/>
      <c r="DO142" s="100"/>
      <c r="DP142" s="90"/>
      <c r="DQ142" s="90"/>
      <c r="DR142" s="90"/>
      <c r="DS142" s="90"/>
      <c r="DT142" s="90"/>
      <c r="DU142" s="90"/>
      <c r="DV142" s="90"/>
      <c r="DW142" s="90"/>
      <c r="DX142" s="97"/>
      <c r="DY142" s="92"/>
      <c r="DZ142" s="89"/>
      <c r="EA142" s="90"/>
      <c r="EB142" s="90"/>
      <c r="EC142" s="100"/>
      <c r="ED142" s="90"/>
      <c r="EE142" s="90"/>
      <c r="EF142" s="90"/>
      <c r="EG142" s="90"/>
      <c r="EH142" s="90"/>
      <c r="EI142" s="90"/>
      <c r="EJ142" s="90"/>
      <c r="EK142" s="90"/>
      <c r="EL142" s="97"/>
      <c r="EM142" s="92"/>
      <c r="EN142" s="89"/>
      <c r="EO142" s="90"/>
      <c r="EP142" s="90"/>
      <c r="EQ142" s="100"/>
      <c r="ER142" s="90"/>
      <c r="ES142" s="90"/>
      <c r="ET142" s="90"/>
      <c r="EU142" s="90"/>
      <c r="EV142" s="90"/>
      <c r="EW142" s="90"/>
      <c r="EX142" s="90"/>
      <c r="EY142" s="90"/>
      <c r="EZ142" s="97"/>
      <c r="FA142" s="92"/>
      <c r="FB142" s="89"/>
      <c r="FC142" s="90"/>
      <c r="FD142" s="90"/>
      <c r="FE142" s="100"/>
      <c r="FF142" s="90"/>
      <c r="FG142" s="90"/>
      <c r="FH142" s="90"/>
      <c r="FI142" s="90"/>
      <c r="FJ142" s="90"/>
      <c r="FK142" s="90"/>
      <c r="FL142" s="90"/>
      <c r="FM142" s="90"/>
      <c r="FN142" s="97"/>
      <c r="FO142" s="92"/>
      <c r="FP142" s="89"/>
      <c r="FQ142" s="90"/>
      <c r="FR142" s="90"/>
      <c r="FS142" s="100"/>
      <c r="FT142" s="90"/>
      <c r="FU142" s="90"/>
      <c r="FV142" s="90"/>
      <c r="FW142" s="90"/>
      <c r="FX142" s="90"/>
      <c r="FY142" s="90"/>
      <c r="FZ142" s="90"/>
      <c r="GA142" s="90"/>
      <c r="GB142" s="97"/>
      <c r="GC142" s="92"/>
      <c r="GD142" s="89"/>
      <c r="GE142" s="90"/>
      <c r="GF142" s="90"/>
      <c r="GG142" s="100"/>
      <c r="GH142" s="90"/>
      <c r="GI142" s="90"/>
      <c r="GJ142" s="90"/>
      <c r="GK142" s="90"/>
      <c r="GL142" s="90"/>
      <c r="GM142" s="90"/>
      <c r="GN142" s="90"/>
      <c r="GO142" s="90"/>
      <c r="GP142" s="97"/>
      <c r="GQ142" s="92"/>
      <c r="GR142" s="89"/>
      <c r="GS142" s="90"/>
      <c r="GT142" s="90"/>
      <c r="GU142" s="100"/>
      <c r="GV142" s="90"/>
      <c r="GW142" s="90"/>
      <c r="GX142" s="90"/>
      <c r="GY142" s="90"/>
      <c r="GZ142" s="90"/>
      <c r="HA142" s="90"/>
      <c r="HB142" s="90"/>
      <c r="HC142" s="90"/>
      <c r="HD142" s="97"/>
      <c r="HE142" s="92"/>
      <c r="HF142" s="89"/>
      <c r="HG142" s="90"/>
      <c r="HH142" s="90"/>
      <c r="HI142" s="100"/>
      <c r="HJ142" s="90"/>
      <c r="HK142" s="90"/>
      <c r="HL142" s="90"/>
      <c r="HM142" s="90"/>
      <c r="HN142" s="90"/>
      <c r="HO142" s="90"/>
      <c r="HP142" s="90"/>
      <c r="HQ142" s="90"/>
      <c r="HR142" s="97"/>
      <c r="HS142" s="92"/>
      <c r="HT142" s="89"/>
      <c r="HU142" s="90"/>
      <c r="HV142" s="90"/>
      <c r="HW142" s="100"/>
      <c r="HX142" s="90"/>
      <c r="HY142" s="90"/>
      <c r="HZ142" s="90"/>
      <c r="IA142" s="90"/>
      <c r="IB142" s="90"/>
      <c r="IC142" s="90"/>
      <c r="ID142" s="90"/>
      <c r="IE142" s="90"/>
      <c r="IF142" s="97"/>
      <c r="IG142" s="92"/>
      <c r="IH142" s="89"/>
      <c r="II142" s="90"/>
      <c r="IJ142" s="90"/>
      <c r="IK142" s="100"/>
      <c r="IL142" s="90"/>
      <c r="IM142" s="90"/>
      <c r="IN142" s="90"/>
      <c r="IO142" s="90"/>
      <c r="IP142" s="90"/>
      <c r="IQ142" s="90"/>
      <c r="IR142" s="90"/>
      <c r="IS142" s="90"/>
      <c r="IT142" s="97"/>
      <c r="IU142" s="92"/>
      <c r="IV142" s="89"/>
      <c r="IW142" s="90"/>
      <c r="IX142" s="90"/>
      <c r="IY142" s="100"/>
      <c r="IZ142" s="90"/>
      <c r="JA142" s="90"/>
      <c r="JB142" s="90"/>
      <c r="JC142" s="90"/>
      <c r="JD142" s="90"/>
      <c r="JE142" s="90"/>
      <c r="JF142" s="90"/>
      <c r="JG142" s="90"/>
      <c r="JH142" s="97"/>
      <c r="JI142" s="92"/>
      <c r="JJ142" s="89"/>
      <c r="JK142" s="90"/>
      <c r="JL142" s="90"/>
      <c r="JM142" s="100"/>
      <c r="JN142" s="90"/>
      <c r="JO142" s="90"/>
      <c r="JP142" s="90"/>
      <c r="JQ142" s="90"/>
      <c r="JR142" s="90"/>
      <c r="JS142" s="90"/>
      <c r="JT142" s="90"/>
      <c r="JU142" s="90"/>
      <c r="JV142" s="97"/>
      <c r="JW142" s="92"/>
      <c r="JX142" s="89"/>
      <c r="JY142" s="90"/>
      <c r="JZ142" s="90"/>
      <c r="KA142" s="100"/>
      <c r="KB142" s="90"/>
      <c r="KC142" s="90"/>
      <c r="KD142" s="90"/>
      <c r="KE142" s="90"/>
      <c r="KF142" s="90"/>
      <c r="KG142" s="90"/>
      <c r="KH142" s="90"/>
      <c r="KI142" s="90"/>
      <c r="KJ142" s="97"/>
      <c r="KK142" s="92"/>
      <c r="KL142" s="89"/>
      <c r="KM142" s="90"/>
      <c r="KN142" s="90"/>
      <c r="KO142" s="100"/>
      <c r="KP142" s="90"/>
      <c r="KQ142" s="90"/>
      <c r="KR142" s="90"/>
      <c r="KS142" s="90"/>
      <c r="KT142" s="90"/>
      <c r="KU142" s="90"/>
      <c r="KV142" s="90"/>
      <c r="KW142" s="90"/>
      <c r="KX142" s="97"/>
      <c r="KY142" s="92"/>
      <c r="KZ142" s="89"/>
      <c r="LA142" s="90"/>
      <c r="LB142" s="90"/>
      <c r="LC142" s="100"/>
      <c r="LD142" s="90"/>
      <c r="LE142" s="90"/>
      <c r="LF142" s="90"/>
      <c r="LG142" s="90"/>
      <c r="LH142" s="90"/>
      <c r="LI142" s="90"/>
      <c r="LJ142" s="90"/>
      <c r="LK142" s="90"/>
      <c r="LL142" s="97"/>
      <c r="LM142" s="92"/>
      <c r="LN142" s="89"/>
      <c r="LO142" s="90"/>
      <c r="LP142" s="90"/>
      <c r="LQ142" s="100"/>
      <c r="LR142" s="90"/>
      <c r="LS142" s="90"/>
      <c r="LT142" s="90"/>
      <c r="LU142" s="90"/>
      <c r="LV142" s="90"/>
      <c r="LW142" s="90"/>
      <c r="LX142" s="90"/>
      <c r="LY142" s="90"/>
      <c r="LZ142" s="97"/>
      <c r="MA142" s="92"/>
      <c r="MB142" s="97"/>
      <c r="MC142" s="97"/>
      <c r="MD142" s="97"/>
      <c r="ME142" s="97"/>
      <c r="MF142" s="97"/>
      <c r="MG142" s="97"/>
      <c r="MH142" s="97"/>
      <c r="MI142" s="97"/>
      <c r="MJ142" s="97"/>
      <c r="MK142" s="97"/>
      <c r="ML142" s="97"/>
      <c r="MM142" s="97"/>
      <c r="MN142" s="97"/>
    </row>
    <row r="143" spans="1:352" ht="13" x14ac:dyDescent="0.3">
      <c r="B143" s="95" t="s">
        <v>160</v>
      </c>
      <c r="C143" s="99"/>
      <c r="D143" s="89"/>
      <c r="E143" s="101"/>
      <c r="F143" s="101"/>
      <c r="G143" s="102"/>
      <c r="H143" s="102"/>
      <c r="I143" s="102"/>
      <c r="J143" s="102"/>
      <c r="K143" s="102"/>
      <c r="L143" s="102"/>
      <c r="M143" s="102"/>
      <c r="N143" s="102"/>
      <c r="O143" s="102"/>
      <c r="P143" s="103"/>
      <c r="Q143" s="104"/>
      <c r="R143" s="89"/>
      <c r="S143" s="101"/>
      <c r="T143" s="101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3"/>
      <c r="AE143" s="104"/>
      <c r="AF143" s="89"/>
      <c r="AG143" s="101"/>
      <c r="AH143" s="101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3"/>
      <c r="AS143" s="104"/>
      <c r="AT143" s="89"/>
      <c r="AU143" s="101"/>
      <c r="AV143" s="101"/>
      <c r="AW143" s="102"/>
      <c r="AX143" s="102"/>
      <c r="AY143" s="102"/>
      <c r="AZ143" s="102"/>
      <c r="BA143" s="102"/>
      <c r="BB143" s="102"/>
      <c r="BC143" s="102"/>
      <c r="BD143" s="102"/>
      <c r="BE143" s="102"/>
      <c r="BF143" s="103"/>
      <c r="BG143" s="104"/>
      <c r="BH143" s="89"/>
      <c r="BI143" s="101"/>
      <c r="BJ143" s="101"/>
      <c r="BK143" s="102"/>
      <c r="BL143" s="102"/>
      <c r="BM143" s="102"/>
      <c r="BN143" s="102"/>
      <c r="BO143" s="102"/>
      <c r="BP143" s="102"/>
      <c r="BQ143" s="102"/>
      <c r="BR143" s="102"/>
      <c r="BS143" s="102"/>
      <c r="BT143" s="103"/>
      <c r="BU143" s="104"/>
      <c r="BV143" s="89"/>
      <c r="BW143" s="101"/>
      <c r="BX143" s="101"/>
      <c r="BY143" s="102"/>
      <c r="BZ143" s="102"/>
      <c r="CA143" s="102"/>
      <c r="CB143" s="102"/>
      <c r="CC143" s="102"/>
      <c r="CD143" s="102"/>
      <c r="CE143" s="102"/>
      <c r="CF143" s="102"/>
      <c r="CG143" s="102"/>
      <c r="CH143" s="103"/>
      <c r="CI143" s="104"/>
      <c r="CJ143" s="89"/>
      <c r="CK143" s="101"/>
      <c r="CL143" s="101"/>
      <c r="CM143" s="102"/>
      <c r="CN143" s="102"/>
      <c r="CO143" s="102"/>
      <c r="CP143" s="102"/>
      <c r="CQ143" s="102"/>
      <c r="CR143" s="102"/>
      <c r="CS143" s="102"/>
      <c r="CT143" s="102"/>
      <c r="CU143" s="102"/>
      <c r="CV143" s="103"/>
      <c r="CW143" s="104"/>
      <c r="CX143" s="89"/>
      <c r="CY143" s="101"/>
      <c r="CZ143" s="101"/>
      <c r="DA143" s="102"/>
      <c r="DB143" s="102"/>
      <c r="DC143" s="102"/>
      <c r="DD143" s="102"/>
      <c r="DE143" s="102"/>
      <c r="DF143" s="102"/>
      <c r="DG143" s="102"/>
      <c r="DH143" s="102"/>
      <c r="DI143" s="102"/>
      <c r="DJ143" s="103"/>
      <c r="DK143" s="104"/>
      <c r="DL143" s="89"/>
      <c r="DM143" s="101"/>
      <c r="DN143" s="101"/>
      <c r="DO143" s="102"/>
      <c r="DP143" s="102"/>
      <c r="DQ143" s="102"/>
      <c r="DR143" s="102"/>
      <c r="DS143" s="102"/>
      <c r="DT143" s="102"/>
      <c r="DU143" s="102"/>
      <c r="DV143" s="102"/>
      <c r="DW143" s="102"/>
      <c r="DX143" s="103"/>
      <c r="DY143" s="104"/>
      <c r="DZ143" s="89"/>
      <c r="EA143" s="101"/>
      <c r="EB143" s="101"/>
      <c r="EC143" s="102"/>
      <c r="ED143" s="102"/>
      <c r="EE143" s="102"/>
      <c r="EF143" s="102"/>
      <c r="EG143" s="102"/>
      <c r="EH143" s="102"/>
      <c r="EI143" s="102"/>
      <c r="EJ143" s="102"/>
      <c r="EK143" s="102"/>
      <c r="EL143" s="103"/>
      <c r="EM143" s="104"/>
      <c r="EN143" s="89"/>
      <c r="EO143" s="101"/>
      <c r="EP143" s="101"/>
      <c r="EQ143" s="102"/>
      <c r="ER143" s="102"/>
      <c r="ES143" s="102"/>
      <c r="ET143" s="102"/>
      <c r="EU143" s="102"/>
      <c r="EV143" s="102"/>
      <c r="EW143" s="102"/>
      <c r="EX143" s="102"/>
      <c r="EY143" s="102"/>
      <c r="EZ143" s="103"/>
      <c r="FA143" s="104"/>
      <c r="FB143" s="89"/>
      <c r="FC143" s="101"/>
      <c r="FD143" s="101"/>
      <c r="FE143" s="102"/>
      <c r="FF143" s="102"/>
      <c r="FG143" s="102"/>
      <c r="FH143" s="102"/>
      <c r="FI143" s="102"/>
      <c r="FJ143" s="102"/>
      <c r="FK143" s="102"/>
      <c r="FL143" s="102"/>
      <c r="FM143" s="102"/>
      <c r="FN143" s="103"/>
      <c r="FO143" s="104"/>
      <c r="FP143" s="89"/>
      <c r="FQ143" s="101"/>
      <c r="FR143" s="101"/>
      <c r="FS143" s="102"/>
      <c r="FT143" s="102"/>
      <c r="FU143" s="102"/>
      <c r="FV143" s="102"/>
      <c r="FW143" s="102"/>
      <c r="FX143" s="102"/>
      <c r="FY143" s="102"/>
      <c r="FZ143" s="102"/>
      <c r="GA143" s="102"/>
      <c r="GB143" s="103"/>
      <c r="GC143" s="104"/>
      <c r="GD143" s="89"/>
      <c r="GE143" s="101"/>
      <c r="GF143" s="101"/>
      <c r="GG143" s="102"/>
      <c r="GH143" s="102"/>
      <c r="GI143" s="102"/>
      <c r="GJ143" s="102"/>
      <c r="GK143" s="102"/>
      <c r="GL143" s="102"/>
      <c r="GM143" s="102"/>
      <c r="GN143" s="102"/>
      <c r="GO143" s="102"/>
      <c r="GP143" s="103"/>
      <c r="GQ143" s="104"/>
      <c r="GR143" s="89"/>
      <c r="GS143" s="101"/>
      <c r="GT143" s="101"/>
      <c r="GU143" s="102"/>
      <c r="GV143" s="102"/>
      <c r="GW143" s="102"/>
      <c r="GX143" s="102"/>
      <c r="GY143" s="102"/>
      <c r="GZ143" s="102"/>
      <c r="HA143" s="102"/>
      <c r="HB143" s="102"/>
      <c r="HC143" s="102"/>
      <c r="HD143" s="103"/>
      <c r="HE143" s="104"/>
      <c r="HF143" s="89"/>
      <c r="HG143" s="101"/>
      <c r="HH143" s="101"/>
      <c r="HI143" s="102"/>
      <c r="HJ143" s="102"/>
      <c r="HK143" s="102"/>
      <c r="HL143" s="102"/>
      <c r="HM143" s="102"/>
      <c r="HN143" s="102"/>
      <c r="HO143" s="102"/>
      <c r="HP143" s="102"/>
      <c r="HQ143" s="102"/>
      <c r="HR143" s="103"/>
      <c r="HS143" s="104"/>
      <c r="HT143" s="89"/>
      <c r="HU143" s="101"/>
      <c r="HV143" s="101"/>
      <c r="HW143" s="102"/>
      <c r="HX143" s="102"/>
      <c r="HY143" s="102"/>
      <c r="HZ143" s="102"/>
      <c r="IA143" s="102"/>
      <c r="IB143" s="102"/>
      <c r="IC143" s="102"/>
      <c r="ID143" s="102"/>
      <c r="IE143" s="102"/>
      <c r="IF143" s="103"/>
      <c r="IG143" s="104"/>
      <c r="IH143" s="89"/>
      <c r="II143" s="101"/>
      <c r="IJ143" s="101"/>
      <c r="IK143" s="102"/>
      <c r="IL143" s="102"/>
      <c r="IM143" s="102"/>
      <c r="IN143" s="102"/>
      <c r="IO143" s="102"/>
      <c r="IP143" s="102"/>
      <c r="IQ143" s="102"/>
      <c r="IR143" s="102"/>
      <c r="IS143" s="102"/>
      <c r="IT143" s="103"/>
      <c r="IU143" s="104"/>
      <c r="IV143" s="89"/>
      <c r="IW143" s="101"/>
      <c r="IX143" s="101"/>
      <c r="IY143" s="102"/>
      <c r="IZ143" s="102"/>
      <c r="JA143" s="102"/>
      <c r="JB143" s="102"/>
      <c r="JC143" s="102"/>
      <c r="JD143" s="102"/>
      <c r="JE143" s="102"/>
      <c r="JF143" s="102"/>
      <c r="JG143" s="102"/>
      <c r="JH143" s="103"/>
      <c r="JI143" s="104"/>
      <c r="JJ143" s="89"/>
      <c r="JK143" s="101"/>
      <c r="JL143" s="101"/>
      <c r="JM143" s="102"/>
      <c r="JN143" s="102"/>
      <c r="JO143" s="102"/>
      <c r="JP143" s="102"/>
      <c r="JQ143" s="102"/>
      <c r="JR143" s="102"/>
      <c r="JS143" s="102"/>
      <c r="JT143" s="102"/>
      <c r="JU143" s="102"/>
      <c r="JV143" s="103"/>
      <c r="JW143" s="104"/>
      <c r="JX143" s="89"/>
      <c r="JY143" s="101"/>
      <c r="JZ143" s="101"/>
      <c r="KA143" s="102"/>
      <c r="KB143" s="102"/>
      <c r="KC143" s="102"/>
      <c r="KD143" s="102"/>
      <c r="KE143" s="102"/>
      <c r="KF143" s="102"/>
      <c r="KG143" s="102"/>
      <c r="KH143" s="102"/>
      <c r="KI143" s="102"/>
      <c r="KJ143" s="103"/>
      <c r="KK143" s="104"/>
      <c r="KL143" s="89"/>
      <c r="KM143" s="101"/>
      <c r="KN143" s="101"/>
      <c r="KO143" s="102"/>
      <c r="KP143" s="102"/>
      <c r="KQ143" s="102"/>
      <c r="KR143" s="102"/>
      <c r="KS143" s="102"/>
      <c r="KT143" s="102"/>
      <c r="KU143" s="102"/>
      <c r="KV143" s="102"/>
      <c r="KW143" s="102"/>
      <c r="KX143" s="103"/>
      <c r="KY143" s="104"/>
      <c r="KZ143" s="89"/>
      <c r="LA143" s="101"/>
      <c r="LB143" s="101"/>
      <c r="LC143" s="102"/>
      <c r="LD143" s="102"/>
      <c r="LE143" s="102"/>
      <c r="LF143" s="102"/>
      <c r="LG143" s="102"/>
      <c r="LH143" s="102"/>
      <c r="LI143" s="102"/>
      <c r="LJ143" s="102"/>
      <c r="LK143" s="102"/>
      <c r="LL143" s="103"/>
      <c r="LM143" s="104"/>
      <c r="LN143" s="89"/>
      <c r="LO143" s="101"/>
      <c r="LP143" s="101"/>
      <c r="LQ143" s="102"/>
      <c r="LR143" s="102"/>
      <c r="LS143" s="102"/>
      <c r="LT143" s="102"/>
      <c r="LU143" s="102"/>
      <c r="LV143" s="102"/>
      <c r="LW143" s="102"/>
      <c r="LX143" s="102"/>
      <c r="LY143" s="102"/>
      <c r="LZ143" s="103"/>
      <c r="MA143" s="104"/>
      <c r="MB143" s="103"/>
      <c r="MC143" s="103"/>
      <c r="MD143" s="103"/>
      <c r="ME143" s="103"/>
      <c r="MF143" s="103"/>
      <c r="MG143" s="103"/>
      <c r="MH143" s="103"/>
      <c r="MI143" s="103"/>
      <c r="MJ143" s="103"/>
      <c r="MK143" s="103"/>
      <c r="ML143" s="103"/>
      <c r="MM143" s="103"/>
      <c r="MN143" s="103"/>
    </row>
    <row r="144" spans="1:352" x14ac:dyDescent="0.3">
      <c r="D144" s="165">
        <v>83.92</v>
      </c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105"/>
      <c r="Q144" s="106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105"/>
      <c r="AE144" s="106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103"/>
      <c r="AS144" s="107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108"/>
      <c r="BG144" s="109"/>
      <c r="BH144" s="89"/>
      <c r="BI144" s="89"/>
      <c r="BJ144" s="89"/>
      <c r="BK144" s="89"/>
      <c r="BL144" s="89"/>
      <c r="BM144" s="89"/>
      <c r="BN144" s="89"/>
      <c r="BO144" s="89"/>
      <c r="BP144" s="89"/>
      <c r="BQ144" s="89"/>
      <c r="BR144" s="89"/>
      <c r="BS144" s="89"/>
      <c r="BT144" s="108"/>
      <c r="BU144" s="107"/>
      <c r="BV144" s="89"/>
      <c r="BW144" s="89"/>
      <c r="BX144" s="89"/>
      <c r="BY144" s="89"/>
      <c r="BZ144" s="89"/>
      <c r="CA144" s="89"/>
      <c r="CB144" s="89"/>
      <c r="CC144" s="89"/>
      <c r="CD144" s="89"/>
      <c r="CE144" s="89"/>
      <c r="CF144" s="89"/>
      <c r="CG144" s="89"/>
      <c r="CH144" s="108"/>
      <c r="CI144" s="106"/>
      <c r="CJ144" s="89"/>
      <c r="CK144" s="89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105"/>
      <c r="CW144" s="106"/>
      <c r="CX144" s="89"/>
      <c r="CY144" s="89"/>
      <c r="CZ144" s="89"/>
      <c r="DA144" s="89"/>
      <c r="DB144" s="89"/>
      <c r="DC144" s="89"/>
      <c r="DD144" s="89"/>
      <c r="DE144" s="89"/>
      <c r="DF144" s="89"/>
      <c r="DG144" s="89"/>
      <c r="DH144" s="89"/>
      <c r="DI144" s="89"/>
      <c r="DJ144" s="108"/>
      <c r="DK144" s="106"/>
      <c r="DL144" s="89"/>
      <c r="DM144" s="89"/>
      <c r="DN144" s="89"/>
      <c r="DO144" s="89"/>
      <c r="DP144" s="89"/>
      <c r="DQ144" s="89"/>
      <c r="DR144" s="89"/>
      <c r="DS144" s="89"/>
      <c r="DT144" s="89"/>
      <c r="DU144" s="89"/>
      <c r="DV144" s="89"/>
      <c r="DW144" s="89"/>
      <c r="DX144" s="108"/>
      <c r="DY144" s="106"/>
      <c r="DZ144" s="89"/>
      <c r="EA144" s="89"/>
      <c r="EB144" s="89"/>
      <c r="EC144" s="89"/>
      <c r="ED144" s="89"/>
      <c r="EE144" s="89"/>
      <c r="EF144" s="89"/>
      <c r="EG144" s="89"/>
      <c r="EH144" s="89"/>
      <c r="EI144" s="89"/>
      <c r="EJ144" s="89"/>
      <c r="EK144" s="89"/>
      <c r="EL144" s="108"/>
      <c r="EM144" s="106"/>
      <c r="EN144" s="89"/>
      <c r="EO144" s="89"/>
      <c r="EP144" s="89"/>
      <c r="EQ144" s="89"/>
      <c r="ER144" s="89"/>
      <c r="ES144" s="89"/>
      <c r="ET144" s="89"/>
      <c r="EU144" s="89"/>
      <c r="EV144" s="89"/>
      <c r="EW144" s="89"/>
      <c r="EX144" s="89"/>
      <c r="EY144" s="89"/>
      <c r="EZ144" s="108"/>
      <c r="FA144" s="106"/>
      <c r="FB144" s="89"/>
      <c r="FC144" s="89"/>
      <c r="FD144" s="89"/>
      <c r="FE144" s="89"/>
      <c r="FF144" s="89"/>
      <c r="FG144" s="89"/>
      <c r="FH144" s="89"/>
      <c r="FI144" s="89"/>
      <c r="FJ144" s="89"/>
      <c r="FK144" s="89"/>
      <c r="FL144" s="89"/>
      <c r="FM144" s="89"/>
      <c r="FN144" s="105"/>
      <c r="FO144" s="106"/>
      <c r="FP144" s="89"/>
      <c r="FQ144" s="89"/>
      <c r="FR144" s="89"/>
      <c r="FS144" s="89"/>
      <c r="FT144" s="89"/>
      <c r="FU144" s="89"/>
      <c r="FV144" s="89"/>
      <c r="FW144" s="89"/>
      <c r="FX144" s="89"/>
      <c r="FY144" s="89"/>
      <c r="FZ144" s="89"/>
      <c r="GA144" s="89"/>
      <c r="GB144" s="108"/>
      <c r="GC144" s="106"/>
      <c r="GD144" s="89"/>
      <c r="GE144" s="89"/>
      <c r="GF144" s="89"/>
      <c r="GG144" s="89"/>
      <c r="GH144" s="89"/>
      <c r="GI144" s="89"/>
      <c r="GJ144" s="89"/>
      <c r="GK144" s="89"/>
      <c r="GL144" s="89"/>
      <c r="GM144" s="89"/>
      <c r="GN144" s="89"/>
      <c r="GO144" s="89"/>
      <c r="GP144" s="105"/>
      <c r="GQ144" s="106"/>
      <c r="GR144" s="89"/>
      <c r="GS144" s="89"/>
      <c r="GT144" s="89"/>
      <c r="GU144" s="89"/>
      <c r="GV144" s="89"/>
      <c r="GW144" s="89"/>
      <c r="GX144" s="89"/>
      <c r="GY144" s="89"/>
      <c r="GZ144" s="89"/>
      <c r="HA144" s="89"/>
      <c r="HB144" s="89"/>
      <c r="HC144" s="89"/>
      <c r="HD144" s="97"/>
      <c r="HE144" s="106"/>
      <c r="HF144" s="89"/>
      <c r="HG144" s="89"/>
      <c r="HH144" s="89"/>
      <c r="HI144" s="89"/>
      <c r="HJ144" s="89"/>
      <c r="HK144" s="89"/>
      <c r="HL144" s="89"/>
      <c r="HM144" s="89"/>
      <c r="HN144" s="89"/>
      <c r="HO144" s="89"/>
      <c r="HP144" s="89"/>
      <c r="HQ144" s="89"/>
      <c r="HR144" s="105"/>
      <c r="HS144" s="106"/>
      <c r="HT144" s="89"/>
      <c r="HU144" s="89"/>
      <c r="HV144" s="89"/>
      <c r="HW144" s="89"/>
      <c r="HX144" s="89"/>
      <c r="HY144" s="89"/>
      <c r="HZ144" s="89"/>
      <c r="IA144" s="89"/>
      <c r="IB144" s="89"/>
      <c r="IC144" s="89"/>
      <c r="ID144" s="89"/>
      <c r="IE144" s="89"/>
      <c r="IF144" s="108"/>
      <c r="IG144" s="106"/>
      <c r="IH144" s="89"/>
      <c r="II144" s="89"/>
      <c r="IJ144" s="89"/>
      <c r="IK144" s="89"/>
      <c r="IL144" s="89"/>
      <c r="IM144" s="89"/>
      <c r="IN144" s="89"/>
      <c r="IO144" s="89"/>
      <c r="IP144" s="89"/>
      <c r="IQ144" s="89"/>
      <c r="IR144" s="89"/>
      <c r="IS144" s="89"/>
      <c r="IT144" s="108"/>
      <c r="IU144" s="106"/>
      <c r="IV144" s="89"/>
      <c r="IW144" s="89"/>
      <c r="IX144" s="89"/>
      <c r="IY144" s="89"/>
      <c r="IZ144" s="89"/>
      <c r="JA144" s="89"/>
      <c r="JB144" s="89"/>
      <c r="JC144" s="89"/>
      <c r="JD144" s="89"/>
      <c r="JE144" s="89"/>
      <c r="JF144" s="89"/>
      <c r="JG144" s="89"/>
      <c r="JH144" s="108"/>
      <c r="JI144" s="106"/>
      <c r="JJ144" s="89"/>
      <c r="JK144" s="89"/>
      <c r="JL144" s="89"/>
      <c r="JM144" s="89"/>
      <c r="JN144" s="89"/>
      <c r="JO144" s="89"/>
      <c r="JP144" s="89"/>
      <c r="JQ144" s="89"/>
      <c r="JR144" s="89"/>
      <c r="JS144" s="89"/>
      <c r="JT144" s="89"/>
      <c r="JU144" s="89"/>
      <c r="JV144" s="108"/>
      <c r="JW144" s="106"/>
      <c r="JX144" s="89"/>
      <c r="JY144" s="89"/>
      <c r="JZ144" s="89"/>
      <c r="KA144" s="89"/>
      <c r="KB144" s="89"/>
      <c r="KC144" s="89"/>
      <c r="KD144" s="89"/>
      <c r="KE144" s="89"/>
      <c r="KF144" s="89"/>
      <c r="KG144" s="89"/>
      <c r="KH144" s="89"/>
      <c r="KI144" s="89"/>
      <c r="KJ144" s="105"/>
      <c r="KK144" s="106"/>
      <c r="KL144" s="89"/>
      <c r="KM144" s="89"/>
      <c r="KN144" s="89"/>
      <c r="KO144" s="89"/>
      <c r="KP144" s="89"/>
      <c r="KQ144" s="89"/>
      <c r="KR144" s="89"/>
      <c r="KS144" s="89"/>
      <c r="KT144" s="89"/>
      <c r="KU144" s="89"/>
      <c r="KV144" s="89"/>
      <c r="KW144" s="89"/>
      <c r="KX144" s="108"/>
      <c r="KY144" s="106"/>
      <c r="KZ144" s="89"/>
      <c r="LA144" s="89"/>
      <c r="LB144" s="89"/>
      <c r="LC144" s="89"/>
      <c r="LD144" s="89"/>
      <c r="LE144" s="89"/>
      <c r="LF144" s="89"/>
      <c r="LG144" s="89"/>
      <c r="LH144" s="89"/>
      <c r="LI144" s="89"/>
      <c r="LJ144" s="89"/>
      <c r="LK144" s="89"/>
      <c r="LL144" s="105"/>
      <c r="LM144" s="106"/>
      <c r="LN144" s="89"/>
      <c r="LO144" s="89"/>
      <c r="LP144" s="89"/>
      <c r="LQ144" s="89"/>
      <c r="LR144" s="89"/>
      <c r="LS144" s="89"/>
      <c r="LT144" s="89"/>
      <c r="LU144" s="89"/>
      <c r="LV144" s="89"/>
      <c r="LW144" s="89"/>
      <c r="LX144" s="89"/>
      <c r="LY144" s="89"/>
      <c r="LZ144" s="105"/>
      <c r="MA144" s="106"/>
      <c r="MB144" s="105"/>
      <c r="MC144" s="105"/>
      <c r="MD144" s="105"/>
      <c r="ME144" s="105"/>
      <c r="MF144" s="105"/>
      <c r="MG144" s="105"/>
      <c r="MH144" s="105"/>
      <c r="MI144" s="105"/>
      <c r="MJ144" s="105"/>
      <c r="MK144" s="105"/>
      <c r="ML144" s="105"/>
      <c r="MM144" s="105"/>
      <c r="MN144" s="105"/>
    </row>
    <row r="145" spans="1:352" ht="14.5" thickBot="1" x14ac:dyDescent="0.35">
      <c r="B145" s="95"/>
      <c r="C145" s="99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05"/>
      <c r="Q145" s="106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2"/>
      <c r="AE145" s="106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03"/>
      <c r="AS145" s="106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08"/>
      <c r="BG145" s="106"/>
      <c r="BH145" s="111"/>
      <c r="BI145" s="111"/>
      <c r="BJ145" s="111"/>
      <c r="BK145" s="111"/>
      <c r="BL145" s="111"/>
      <c r="BM145" s="111"/>
      <c r="BN145" s="111"/>
      <c r="BO145" s="111"/>
      <c r="BP145" s="111"/>
      <c r="BQ145" s="111"/>
      <c r="BR145" s="111"/>
      <c r="BS145" s="111"/>
      <c r="BT145" s="108"/>
      <c r="BU145" s="106"/>
      <c r="BV145" s="111"/>
      <c r="BW145" s="111"/>
      <c r="BX145" s="111"/>
      <c r="BY145" s="111"/>
      <c r="BZ145" s="111"/>
      <c r="CA145" s="111"/>
      <c r="CB145" s="111"/>
      <c r="CC145" s="111"/>
      <c r="CD145" s="111"/>
      <c r="CE145" s="111"/>
      <c r="CF145" s="111"/>
      <c r="CG145" s="111"/>
      <c r="CH145" s="108"/>
      <c r="CI145" s="106"/>
      <c r="CJ145" s="111"/>
      <c r="CK145" s="111"/>
      <c r="CL145" s="111"/>
      <c r="CM145" s="111"/>
      <c r="CN145" s="111"/>
      <c r="CO145" s="111"/>
      <c r="CP145" s="111"/>
      <c r="CQ145" s="111"/>
      <c r="CR145" s="111"/>
      <c r="CS145" s="111"/>
      <c r="CT145" s="111"/>
      <c r="CU145" s="111"/>
      <c r="CV145" s="105"/>
      <c r="CW145" s="106"/>
      <c r="CX145" s="111"/>
      <c r="CY145" s="111"/>
      <c r="CZ145" s="111"/>
      <c r="DA145" s="111"/>
      <c r="DB145" s="111"/>
      <c r="DC145" s="111"/>
      <c r="DD145" s="111"/>
      <c r="DE145" s="111"/>
      <c r="DF145" s="111"/>
      <c r="DG145" s="111"/>
      <c r="DH145" s="111"/>
      <c r="DI145" s="111"/>
      <c r="DJ145" s="108"/>
      <c r="DK145" s="106"/>
      <c r="DL145" s="111"/>
      <c r="DM145" s="111"/>
      <c r="DN145" s="111"/>
      <c r="DO145" s="111"/>
      <c r="DP145" s="111"/>
      <c r="DQ145" s="111"/>
      <c r="DR145" s="111"/>
      <c r="DS145" s="111"/>
      <c r="DT145" s="111"/>
      <c r="DU145" s="111"/>
      <c r="DV145" s="111"/>
      <c r="DW145" s="111"/>
      <c r="DX145" s="108"/>
      <c r="DY145" s="106"/>
      <c r="DZ145" s="111"/>
      <c r="EA145" s="111"/>
      <c r="EB145" s="111"/>
      <c r="EC145" s="111"/>
      <c r="ED145" s="111"/>
      <c r="EE145" s="111"/>
      <c r="EF145" s="111"/>
      <c r="EG145" s="111"/>
      <c r="EH145" s="111"/>
      <c r="EI145" s="111"/>
      <c r="EJ145" s="111"/>
      <c r="EK145" s="111"/>
      <c r="EL145" s="108"/>
      <c r="EM145" s="106"/>
      <c r="EN145" s="111"/>
      <c r="EO145" s="111"/>
      <c r="EP145" s="111"/>
      <c r="EQ145" s="111"/>
      <c r="ER145" s="111"/>
      <c r="ES145" s="111"/>
      <c r="ET145" s="111"/>
      <c r="EU145" s="111"/>
      <c r="EV145" s="111"/>
      <c r="EW145" s="111"/>
      <c r="EX145" s="111"/>
      <c r="EY145" s="111"/>
      <c r="EZ145" s="108"/>
      <c r="FA145" s="106"/>
      <c r="FB145" s="111"/>
      <c r="FC145" s="111"/>
      <c r="FD145" s="111"/>
      <c r="FE145" s="111"/>
      <c r="FF145" s="111"/>
      <c r="FG145" s="111"/>
      <c r="FH145" s="111"/>
      <c r="FI145" s="111"/>
      <c r="FJ145" s="111"/>
      <c r="FK145" s="111"/>
      <c r="FL145" s="111"/>
      <c r="FM145" s="111"/>
      <c r="FN145" s="105"/>
      <c r="FO145" s="106"/>
      <c r="FP145" s="111"/>
      <c r="FQ145" s="111"/>
      <c r="FR145" s="111"/>
      <c r="FS145" s="111"/>
      <c r="FT145" s="111"/>
      <c r="FU145" s="111"/>
      <c r="FV145" s="111"/>
      <c r="FW145" s="111"/>
      <c r="FX145" s="111"/>
      <c r="FY145" s="111"/>
      <c r="FZ145" s="111"/>
      <c r="GA145" s="111"/>
      <c r="GB145" s="108"/>
      <c r="GC145" s="106"/>
      <c r="GD145" s="111"/>
      <c r="GE145" s="111"/>
      <c r="GF145" s="111"/>
      <c r="GG145" s="111"/>
      <c r="GH145" s="111"/>
      <c r="GI145" s="111"/>
      <c r="GJ145" s="111"/>
      <c r="GK145" s="111"/>
      <c r="GL145" s="111"/>
      <c r="GM145" s="111"/>
      <c r="GN145" s="111"/>
      <c r="GO145" s="111"/>
      <c r="GP145" s="105"/>
      <c r="GQ145" s="106"/>
      <c r="GR145" s="111"/>
      <c r="GS145" s="111"/>
      <c r="GT145" s="111"/>
      <c r="GU145" s="111"/>
      <c r="GV145" s="111"/>
      <c r="GW145" s="111"/>
      <c r="GX145" s="111"/>
      <c r="GY145" s="111"/>
      <c r="GZ145" s="111"/>
      <c r="HA145" s="111"/>
      <c r="HB145" s="111"/>
      <c r="HC145" s="111"/>
      <c r="HD145" s="97"/>
      <c r="HE145" s="106"/>
      <c r="HF145" s="111"/>
      <c r="HG145" s="111"/>
      <c r="HH145" s="111"/>
      <c r="HI145" s="111"/>
      <c r="HJ145" s="111"/>
      <c r="HK145" s="111"/>
      <c r="HL145" s="111"/>
      <c r="HM145" s="111"/>
      <c r="HN145" s="111"/>
      <c r="HO145" s="111"/>
      <c r="HP145" s="111"/>
      <c r="HQ145" s="111"/>
      <c r="HR145" s="105"/>
      <c r="HS145" s="106"/>
      <c r="HT145" s="111"/>
      <c r="HU145" s="111"/>
      <c r="HV145" s="111"/>
      <c r="HW145" s="111"/>
      <c r="HX145" s="111"/>
      <c r="HY145" s="111"/>
      <c r="HZ145" s="111"/>
      <c r="IA145" s="111"/>
      <c r="IB145" s="111"/>
      <c r="IC145" s="111"/>
      <c r="ID145" s="111"/>
      <c r="IE145" s="111"/>
      <c r="IF145" s="108"/>
      <c r="IG145" s="106"/>
      <c r="IH145" s="111"/>
      <c r="II145" s="111"/>
      <c r="IJ145" s="111"/>
      <c r="IK145" s="111"/>
      <c r="IL145" s="111"/>
      <c r="IM145" s="111"/>
      <c r="IN145" s="111"/>
      <c r="IO145" s="111"/>
      <c r="IP145" s="111"/>
      <c r="IQ145" s="111"/>
      <c r="IR145" s="111"/>
      <c r="IS145" s="111"/>
      <c r="IT145" s="108"/>
      <c r="IU145" s="106"/>
      <c r="IV145" s="111"/>
      <c r="IW145" s="111"/>
      <c r="IX145" s="111"/>
      <c r="IY145" s="111"/>
      <c r="IZ145" s="111"/>
      <c r="JA145" s="111"/>
      <c r="JB145" s="111"/>
      <c r="JC145" s="111"/>
      <c r="JD145" s="111"/>
      <c r="JE145" s="111"/>
      <c r="JF145" s="111"/>
      <c r="JG145" s="111"/>
      <c r="JH145" s="108"/>
      <c r="JI145" s="106"/>
      <c r="JJ145" s="111"/>
      <c r="JK145" s="111"/>
      <c r="JL145" s="111"/>
      <c r="JM145" s="111"/>
      <c r="JN145" s="111"/>
      <c r="JO145" s="111"/>
      <c r="JP145" s="111"/>
      <c r="JQ145" s="111"/>
      <c r="JR145" s="111"/>
      <c r="JS145" s="111"/>
      <c r="JT145" s="111"/>
      <c r="JU145" s="111"/>
      <c r="JV145" s="108"/>
      <c r="JW145" s="106"/>
      <c r="JX145" s="111"/>
      <c r="JY145" s="111"/>
      <c r="JZ145" s="111"/>
      <c r="KA145" s="111"/>
      <c r="KB145" s="111"/>
      <c r="KC145" s="111"/>
      <c r="KD145" s="111"/>
      <c r="KE145" s="111"/>
      <c r="KF145" s="111"/>
      <c r="KG145" s="111"/>
      <c r="KH145" s="111"/>
      <c r="KI145" s="111"/>
      <c r="KJ145" s="105"/>
      <c r="KK145" s="106"/>
      <c r="KL145" s="111"/>
      <c r="KM145" s="111"/>
      <c r="KN145" s="111"/>
      <c r="KO145" s="111"/>
      <c r="KP145" s="111"/>
      <c r="KQ145" s="111"/>
      <c r="KR145" s="111"/>
      <c r="KS145" s="111"/>
      <c r="KT145" s="111"/>
      <c r="KU145" s="111"/>
      <c r="KV145" s="111"/>
      <c r="KW145" s="111"/>
      <c r="KX145" s="108"/>
      <c r="KY145" s="106"/>
      <c r="KZ145" s="111"/>
      <c r="LA145" s="111"/>
      <c r="LB145" s="111"/>
      <c r="LC145" s="111"/>
      <c r="LD145" s="111"/>
      <c r="LE145" s="111"/>
      <c r="LF145" s="111"/>
      <c r="LG145" s="111"/>
      <c r="LH145" s="111"/>
      <c r="LI145" s="111"/>
      <c r="LJ145" s="111"/>
      <c r="LK145" s="111"/>
      <c r="LL145" s="105"/>
      <c r="LM145" s="106"/>
      <c r="LN145" s="111"/>
      <c r="LO145" s="111"/>
      <c r="LP145" s="111"/>
      <c r="LQ145" s="111"/>
      <c r="LR145" s="111"/>
      <c r="LS145" s="111"/>
      <c r="LT145" s="111"/>
      <c r="LU145" s="111"/>
      <c r="LV145" s="111"/>
      <c r="LW145" s="111"/>
      <c r="LX145" s="111"/>
      <c r="LY145" s="111"/>
      <c r="LZ145" s="105"/>
      <c r="MA145" s="106"/>
      <c r="MB145" s="105"/>
      <c r="MC145" s="105"/>
      <c r="MD145" s="105"/>
      <c r="ME145" s="105"/>
      <c r="MF145" s="105"/>
      <c r="MG145" s="105"/>
      <c r="MH145" s="105"/>
      <c r="MI145" s="105"/>
      <c r="MJ145" s="105"/>
      <c r="MK145" s="105"/>
      <c r="ML145" s="105"/>
      <c r="MM145" s="105"/>
      <c r="MN145" s="105"/>
    </row>
    <row r="146" spans="1:352" ht="13.5" thickBot="1" x14ac:dyDescent="0.35">
      <c r="A146" s="262"/>
      <c r="B146" s="113" t="s">
        <v>161</v>
      </c>
      <c r="C146" s="99"/>
      <c r="D146" s="344" t="s">
        <v>10</v>
      </c>
      <c r="E146" s="345"/>
      <c r="F146" s="345"/>
      <c r="G146" s="345"/>
      <c r="H146" s="345"/>
      <c r="I146" s="345"/>
      <c r="J146" s="345"/>
      <c r="K146" s="345"/>
      <c r="L146" s="345"/>
      <c r="M146" s="345"/>
      <c r="N146" s="345"/>
      <c r="O146" s="346"/>
      <c r="P146" s="114" t="str">
        <f>+D146</f>
        <v>Accounts</v>
      </c>
      <c r="Q146" s="115"/>
      <c r="R146" s="344" t="s">
        <v>11</v>
      </c>
      <c r="S146" s="345"/>
      <c r="T146" s="345"/>
      <c r="U146" s="345"/>
      <c r="V146" s="345"/>
      <c r="W146" s="345"/>
      <c r="X146" s="345"/>
      <c r="Y146" s="345"/>
      <c r="Z146" s="345"/>
      <c r="AA146" s="345"/>
      <c r="AB146" s="345"/>
      <c r="AC146" s="346"/>
      <c r="AD146" s="114" t="str">
        <f>+R146</f>
        <v>Admin</v>
      </c>
      <c r="AE146" s="115"/>
      <c r="AF146" s="344" t="s">
        <v>12</v>
      </c>
      <c r="AG146" s="345"/>
      <c r="AH146" s="345"/>
      <c r="AI146" s="345"/>
      <c r="AJ146" s="345"/>
      <c r="AK146" s="345"/>
      <c r="AL146" s="345"/>
      <c r="AM146" s="345"/>
      <c r="AN146" s="345"/>
      <c r="AO146" s="345"/>
      <c r="AP146" s="345"/>
      <c r="AQ146" s="346"/>
      <c r="AR146" s="114" t="str">
        <f>AF146</f>
        <v>Agency Services</v>
      </c>
      <c r="AS146" s="115"/>
      <c r="AT146" s="344" t="s">
        <v>13</v>
      </c>
      <c r="AU146" s="345"/>
      <c r="AV146" s="345"/>
      <c r="AW146" s="345"/>
      <c r="AX146" s="345"/>
      <c r="AY146" s="345"/>
      <c r="AZ146" s="345"/>
      <c r="BA146" s="345"/>
      <c r="BB146" s="345"/>
      <c r="BC146" s="345"/>
      <c r="BD146" s="345"/>
      <c r="BE146" s="346"/>
      <c r="BF146" s="114" t="str">
        <f>AT146</f>
        <v>Commercial</v>
      </c>
      <c r="BG146" s="115"/>
      <c r="BH146" s="344" t="s">
        <v>14</v>
      </c>
      <c r="BI146" s="345"/>
      <c r="BJ146" s="345"/>
      <c r="BK146" s="345"/>
      <c r="BL146" s="345"/>
      <c r="BM146" s="345"/>
      <c r="BN146" s="345"/>
      <c r="BO146" s="345"/>
      <c r="BP146" s="345"/>
      <c r="BQ146" s="345"/>
      <c r="BR146" s="345"/>
      <c r="BS146" s="346"/>
      <c r="BT146" s="116" t="str">
        <f>+BH146</f>
        <v>Consultancy Services</v>
      </c>
      <c r="BU146" s="115"/>
      <c r="BV146" s="344" t="s">
        <v>8</v>
      </c>
      <c r="BW146" s="345"/>
      <c r="BX146" s="345"/>
      <c r="BY146" s="345"/>
      <c r="BZ146" s="345"/>
      <c r="CA146" s="345"/>
      <c r="CB146" s="345"/>
      <c r="CC146" s="345"/>
      <c r="CD146" s="345"/>
      <c r="CE146" s="345"/>
      <c r="CF146" s="345"/>
      <c r="CG146" s="346"/>
      <c r="CH146" s="114" t="str">
        <f>+BV146</f>
        <v>Crew Management</v>
      </c>
      <c r="CI146" s="115"/>
      <c r="CJ146" s="344" t="s">
        <v>9</v>
      </c>
      <c r="CK146" s="345"/>
      <c r="CL146" s="345"/>
      <c r="CM146" s="345"/>
      <c r="CN146" s="345"/>
      <c r="CO146" s="345"/>
      <c r="CP146" s="345"/>
      <c r="CQ146" s="345"/>
      <c r="CR146" s="345"/>
      <c r="CS146" s="345"/>
      <c r="CT146" s="345"/>
      <c r="CU146" s="346"/>
      <c r="CV146" s="114" t="str">
        <f>+CJ146</f>
        <v>Cruise Management</v>
      </c>
      <c r="CW146" s="115"/>
      <c r="CX146" s="344" t="s">
        <v>16</v>
      </c>
      <c r="CY146" s="345"/>
      <c r="CZ146" s="345"/>
      <c r="DA146" s="345"/>
      <c r="DB146" s="345"/>
      <c r="DC146" s="345"/>
      <c r="DD146" s="345"/>
      <c r="DE146" s="345"/>
      <c r="DF146" s="345"/>
      <c r="DG146" s="345"/>
      <c r="DH146" s="345"/>
      <c r="DI146" s="346"/>
      <c r="DJ146" s="114" t="str">
        <f>+CX146</f>
        <v>IT</v>
      </c>
      <c r="DK146" s="115"/>
      <c r="DL146" s="344" t="s">
        <v>17</v>
      </c>
      <c r="DM146" s="345"/>
      <c r="DN146" s="345"/>
      <c r="DO146" s="345"/>
      <c r="DP146" s="345"/>
      <c r="DQ146" s="345"/>
      <c r="DR146" s="345"/>
      <c r="DS146" s="345"/>
      <c r="DT146" s="345"/>
      <c r="DU146" s="345"/>
      <c r="DV146" s="345"/>
      <c r="DW146" s="346"/>
      <c r="DX146" s="114" t="str">
        <f>+DL146</f>
        <v>Procurement</v>
      </c>
      <c r="DY146" s="115"/>
      <c r="DZ146" s="344" t="s">
        <v>17</v>
      </c>
      <c r="EA146" s="345"/>
      <c r="EB146" s="345"/>
      <c r="EC146" s="345"/>
      <c r="ED146" s="345"/>
      <c r="EE146" s="345"/>
      <c r="EF146" s="345"/>
      <c r="EG146" s="345"/>
      <c r="EH146" s="345"/>
      <c r="EI146" s="345"/>
      <c r="EJ146" s="345"/>
      <c r="EK146" s="346"/>
      <c r="EL146" s="114" t="str">
        <f>+DZ146</f>
        <v>Procurement</v>
      </c>
      <c r="EM146" s="115"/>
      <c r="EN146" s="344" t="s">
        <v>18</v>
      </c>
      <c r="EO146" s="345"/>
      <c r="EP146" s="345"/>
      <c r="EQ146" s="345"/>
      <c r="ER146" s="345"/>
      <c r="ES146" s="345"/>
      <c r="ET146" s="345"/>
      <c r="EU146" s="345"/>
      <c r="EV146" s="345"/>
      <c r="EW146" s="345"/>
      <c r="EX146" s="345"/>
      <c r="EY146" s="346"/>
      <c r="EZ146" s="114" t="str">
        <f>+EN146</f>
        <v>Ship Management</v>
      </c>
      <c r="FA146" s="115"/>
      <c r="FB146" s="344" t="s">
        <v>18</v>
      </c>
      <c r="FC146" s="345"/>
      <c r="FD146" s="345"/>
      <c r="FE146" s="345"/>
      <c r="FF146" s="345"/>
      <c r="FG146" s="345"/>
      <c r="FH146" s="345"/>
      <c r="FI146" s="345"/>
      <c r="FJ146" s="345"/>
      <c r="FK146" s="345"/>
      <c r="FL146" s="345"/>
      <c r="FM146" s="346"/>
      <c r="FN146" s="114" t="str">
        <f>+FB146</f>
        <v>Ship Management</v>
      </c>
      <c r="FO146" s="115"/>
      <c r="FP146" s="344" t="s">
        <v>18</v>
      </c>
      <c r="FQ146" s="345"/>
      <c r="FR146" s="345"/>
      <c r="FS146" s="345"/>
      <c r="FT146" s="345"/>
      <c r="FU146" s="345"/>
      <c r="FV146" s="345"/>
      <c r="FW146" s="345"/>
      <c r="FX146" s="345"/>
      <c r="FY146" s="345"/>
      <c r="FZ146" s="345"/>
      <c r="GA146" s="346"/>
      <c r="GB146" s="114" t="str">
        <f>+FP146</f>
        <v>Ship Management</v>
      </c>
      <c r="GC146" s="115"/>
      <c r="GD146" s="344" t="s">
        <v>18</v>
      </c>
      <c r="GE146" s="345"/>
      <c r="GF146" s="345"/>
      <c r="GG146" s="345"/>
      <c r="GH146" s="345"/>
      <c r="GI146" s="345"/>
      <c r="GJ146" s="345"/>
      <c r="GK146" s="345"/>
      <c r="GL146" s="345"/>
      <c r="GM146" s="345"/>
      <c r="GN146" s="345"/>
      <c r="GO146" s="346"/>
      <c r="GP146" s="116" t="str">
        <f>+GD146</f>
        <v>Ship Management</v>
      </c>
      <c r="GQ146" s="115"/>
      <c r="GR146" s="344" t="s">
        <v>162</v>
      </c>
      <c r="GS146" s="345"/>
      <c r="GT146" s="345"/>
      <c r="GU146" s="345"/>
      <c r="GV146" s="345"/>
      <c r="GW146" s="345"/>
      <c r="GX146" s="345"/>
      <c r="GY146" s="345"/>
      <c r="GZ146" s="345"/>
      <c r="HA146" s="345"/>
      <c r="HB146" s="345"/>
      <c r="HC146" s="346"/>
      <c r="HD146" s="114" t="str">
        <f>+GR146</f>
        <v>Vacant Seats</v>
      </c>
      <c r="HE146" s="115"/>
      <c r="HF146" s="344" t="s">
        <v>18</v>
      </c>
      <c r="HG146" s="345"/>
      <c r="HH146" s="345"/>
      <c r="HI146" s="345"/>
      <c r="HJ146" s="345"/>
      <c r="HK146" s="345"/>
      <c r="HL146" s="345"/>
      <c r="HM146" s="345"/>
      <c r="HN146" s="345"/>
      <c r="HO146" s="345"/>
      <c r="HP146" s="345"/>
      <c r="HQ146" s="346"/>
      <c r="HR146" s="114" t="str">
        <f>+HF146</f>
        <v>Ship Management</v>
      </c>
      <c r="HS146" s="115"/>
      <c r="HT146" s="344" t="s">
        <v>18</v>
      </c>
      <c r="HU146" s="345"/>
      <c r="HV146" s="345"/>
      <c r="HW146" s="345"/>
      <c r="HX146" s="345"/>
      <c r="HY146" s="345"/>
      <c r="HZ146" s="345"/>
      <c r="IA146" s="345"/>
      <c r="IB146" s="345"/>
      <c r="IC146" s="345"/>
      <c r="ID146" s="345"/>
      <c r="IE146" s="346"/>
      <c r="IF146" s="114" t="str">
        <f>+HT146</f>
        <v>Ship Management</v>
      </c>
      <c r="IG146" s="115"/>
      <c r="IH146" s="344" t="s">
        <v>18</v>
      </c>
      <c r="II146" s="345"/>
      <c r="IJ146" s="345"/>
      <c r="IK146" s="345"/>
      <c r="IL146" s="345"/>
      <c r="IM146" s="345"/>
      <c r="IN146" s="345"/>
      <c r="IO146" s="345"/>
      <c r="IP146" s="345"/>
      <c r="IQ146" s="345"/>
      <c r="IR146" s="345"/>
      <c r="IS146" s="346"/>
      <c r="IT146" s="114" t="str">
        <f>+IH146</f>
        <v>Ship Management</v>
      </c>
      <c r="IU146" s="115"/>
      <c r="IV146" s="344" t="s">
        <v>18</v>
      </c>
      <c r="IW146" s="345"/>
      <c r="IX146" s="345"/>
      <c r="IY146" s="345"/>
      <c r="IZ146" s="345"/>
      <c r="JA146" s="345"/>
      <c r="JB146" s="345"/>
      <c r="JC146" s="345"/>
      <c r="JD146" s="345"/>
      <c r="JE146" s="345"/>
      <c r="JF146" s="345"/>
      <c r="JG146" s="346"/>
      <c r="JH146" s="114" t="str">
        <f>+IV146</f>
        <v>Ship Management</v>
      </c>
      <c r="JI146" s="115"/>
      <c r="JJ146" s="344" t="s">
        <v>18</v>
      </c>
      <c r="JK146" s="345"/>
      <c r="JL146" s="345"/>
      <c r="JM146" s="345"/>
      <c r="JN146" s="345"/>
      <c r="JO146" s="345"/>
      <c r="JP146" s="345"/>
      <c r="JQ146" s="345"/>
      <c r="JR146" s="345"/>
      <c r="JS146" s="345"/>
      <c r="JT146" s="345"/>
      <c r="JU146" s="346"/>
      <c r="JV146" s="114" t="str">
        <f>+JJ146</f>
        <v>Ship Management</v>
      </c>
      <c r="JW146" s="115"/>
      <c r="JX146" s="344" t="s">
        <v>18</v>
      </c>
      <c r="JY146" s="345"/>
      <c r="JZ146" s="345"/>
      <c r="KA146" s="345"/>
      <c r="KB146" s="345"/>
      <c r="KC146" s="345"/>
      <c r="KD146" s="345"/>
      <c r="KE146" s="345"/>
      <c r="KF146" s="345"/>
      <c r="KG146" s="345"/>
      <c r="KH146" s="345"/>
      <c r="KI146" s="346"/>
      <c r="KJ146" s="114" t="str">
        <f>+JX146</f>
        <v>Ship Management</v>
      </c>
      <c r="KK146" s="115"/>
      <c r="KL146" s="344" t="s">
        <v>10</v>
      </c>
      <c r="KM146" s="345"/>
      <c r="KN146" s="345"/>
      <c r="KO146" s="345"/>
      <c r="KP146" s="345"/>
      <c r="KQ146" s="345"/>
      <c r="KR146" s="345"/>
      <c r="KS146" s="345"/>
      <c r="KT146" s="345"/>
      <c r="KU146" s="345"/>
      <c r="KV146" s="345"/>
      <c r="KW146" s="346"/>
      <c r="KX146" s="114" t="str">
        <f>+KL146</f>
        <v>Accounts</v>
      </c>
      <c r="KY146" s="115"/>
      <c r="KZ146" s="344" t="s">
        <v>10</v>
      </c>
      <c r="LA146" s="345"/>
      <c r="LB146" s="345"/>
      <c r="LC146" s="345"/>
      <c r="LD146" s="345"/>
      <c r="LE146" s="345"/>
      <c r="LF146" s="345"/>
      <c r="LG146" s="345"/>
      <c r="LH146" s="345"/>
      <c r="LI146" s="345"/>
      <c r="LJ146" s="345"/>
      <c r="LK146" s="346"/>
      <c r="LL146" s="116" t="str">
        <f>+KZ146</f>
        <v>Accounts</v>
      </c>
      <c r="LM146" s="115"/>
      <c r="LN146" s="344"/>
      <c r="LO146" s="345"/>
      <c r="LP146" s="345"/>
      <c r="LQ146" s="345"/>
      <c r="LR146" s="345"/>
      <c r="LS146" s="345"/>
      <c r="LT146" s="345"/>
      <c r="LU146" s="345"/>
      <c r="LV146" s="345"/>
      <c r="LW146" s="345"/>
      <c r="LX146" s="345"/>
      <c r="LY146" s="346"/>
      <c r="LZ146" s="114">
        <f>+LN146</f>
        <v>0</v>
      </c>
      <c r="MA146" s="115"/>
      <c r="MB146" s="117">
        <f>LN149</f>
        <v>45688</v>
      </c>
      <c r="MC146" s="117">
        <f>LO149</f>
        <v>45716</v>
      </c>
      <c r="MD146" s="117">
        <f t="shared" ref="MD146:MM146" si="610">LP149</f>
        <v>45747</v>
      </c>
      <c r="ME146" s="117">
        <f t="shared" si="610"/>
        <v>45777</v>
      </c>
      <c r="MF146" s="117">
        <f t="shared" si="610"/>
        <v>45808</v>
      </c>
      <c r="MG146" s="117">
        <f t="shared" si="610"/>
        <v>45838</v>
      </c>
      <c r="MH146" s="117">
        <f t="shared" si="610"/>
        <v>45869</v>
      </c>
      <c r="MI146" s="117">
        <f t="shared" si="610"/>
        <v>45900</v>
      </c>
      <c r="MJ146" s="117">
        <f t="shared" si="610"/>
        <v>45930</v>
      </c>
      <c r="MK146" s="117">
        <f t="shared" si="610"/>
        <v>45961</v>
      </c>
      <c r="ML146" s="117">
        <f t="shared" si="610"/>
        <v>45991</v>
      </c>
      <c r="MM146" s="117">
        <f t="shared" si="610"/>
        <v>46022</v>
      </c>
      <c r="MN146" s="118" t="str">
        <f>LZ149</f>
        <v>Total</v>
      </c>
    </row>
    <row r="147" spans="1:352" ht="13.5" thickBot="1" x14ac:dyDescent="0.35">
      <c r="A147" s="262"/>
      <c r="B147" s="119" t="s">
        <v>163</v>
      </c>
      <c r="C147" s="99"/>
      <c r="D147" s="347" t="s">
        <v>25</v>
      </c>
      <c r="E147" s="348"/>
      <c r="F147" s="348"/>
      <c r="G147" s="348"/>
      <c r="H147" s="348"/>
      <c r="I147" s="348"/>
      <c r="J147" s="348"/>
      <c r="K147" s="348"/>
      <c r="L147" s="348"/>
      <c r="M147" s="348"/>
      <c r="N147" s="348"/>
      <c r="O147" s="349"/>
      <c r="P147" s="120" t="str">
        <f>+D147</f>
        <v>Fleet Accounts</v>
      </c>
      <c r="Q147" s="115"/>
      <c r="R147" s="347" t="s">
        <v>26</v>
      </c>
      <c r="S147" s="348"/>
      <c r="T147" s="348"/>
      <c r="U147" s="348"/>
      <c r="V147" s="348"/>
      <c r="W147" s="348"/>
      <c r="X147" s="348"/>
      <c r="Y147" s="348"/>
      <c r="Z147" s="348"/>
      <c r="AA147" s="348"/>
      <c r="AB147" s="348"/>
      <c r="AC147" s="349"/>
      <c r="AD147" s="120" t="str">
        <f>+R147</f>
        <v>Administration</v>
      </c>
      <c r="AE147" s="115"/>
      <c r="AF147" s="347" t="s">
        <v>27</v>
      </c>
      <c r="AG147" s="348"/>
      <c r="AH147" s="348"/>
      <c r="AI147" s="348"/>
      <c r="AJ147" s="348"/>
      <c r="AK147" s="348"/>
      <c r="AL147" s="348"/>
      <c r="AM147" s="348"/>
      <c r="AN147" s="348"/>
      <c r="AO147" s="348"/>
      <c r="AP147" s="348"/>
      <c r="AQ147" s="349"/>
      <c r="AR147" s="120" t="str">
        <f>AF147</f>
        <v>Agency Hub</v>
      </c>
      <c r="AS147" s="115"/>
      <c r="AT147" s="347" t="s">
        <v>13</v>
      </c>
      <c r="AU147" s="348"/>
      <c r="AV147" s="348"/>
      <c r="AW147" s="348"/>
      <c r="AX147" s="348"/>
      <c r="AY147" s="348"/>
      <c r="AZ147" s="348"/>
      <c r="BA147" s="348"/>
      <c r="BB147" s="348"/>
      <c r="BC147" s="348"/>
      <c r="BD147" s="348"/>
      <c r="BE147" s="349"/>
      <c r="BF147" s="120" t="str">
        <f>AT147</f>
        <v>Commercial</v>
      </c>
      <c r="BG147" s="115"/>
      <c r="BH147" s="347" t="s">
        <v>28</v>
      </c>
      <c r="BI147" s="348"/>
      <c r="BJ147" s="348"/>
      <c r="BK147" s="348"/>
      <c r="BL147" s="348"/>
      <c r="BM147" s="348"/>
      <c r="BN147" s="348"/>
      <c r="BO147" s="348"/>
      <c r="BP147" s="348"/>
      <c r="BQ147" s="348"/>
      <c r="BR147" s="348"/>
      <c r="BS147" s="349"/>
      <c r="BT147" s="120" t="str">
        <f>+BH147</f>
        <v>Fleet Performance</v>
      </c>
      <c r="BU147" s="115"/>
      <c r="BV147" s="347" t="s">
        <v>22</v>
      </c>
      <c r="BW147" s="348"/>
      <c r="BX147" s="348"/>
      <c r="BY147" s="348"/>
      <c r="BZ147" s="348"/>
      <c r="CA147" s="348"/>
      <c r="CB147" s="348"/>
      <c r="CC147" s="348"/>
      <c r="CD147" s="348"/>
      <c r="CE147" s="348"/>
      <c r="CF147" s="348"/>
      <c r="CG147" s="349"/>
      <c r="CH147" s="120" t="str">
        <f>+BV147</f>
        <v>Group Marine HR</v>
      </c>
      <c r="CI147" s="115"/>
      <c r="CJ147" s="347" t="s">
        <v>23</v>
      </c>
      <c r="CK147" s="348"/>
      <c r="CL147" s="348"/>
      <c r="CM147" s="348"/>
      <c r="CN147" s="348"/>
      <c r="CO147" s="348"/>
      <c r="CP147" s="348"/>
      <c r="CQ147" s="348"/>
      <c r="CR147" s="348"/>
      <c r="CS147" s="348"/>
      <c r="CT147" s="348"/>
      <c r="CU147" s="349"/>
      <c r="CV147" s="121" t="str">
        <f>+CJ147</f>
        <v>Miami Ship Management</v>
      </c>
      <c r="CW147" s="115"/>
      <c r="CX147" s="347" t="s">
        <v>31</v>
      </c>
      <c r="CY147" s="348"/>
      <c r="CZ147" s="348"/>
      <c r="DA147" s="348"/>
      <c r="DB147" s="348"/>
      <c r="DC147" s="348"/>
      <c r="DD147" s="348"/>
      <c r="DE147" s="348"/>
      <c r="DF147" s="348"/>
      <c r="DG147" s="348"/>
      <c r="DH147" s="348"/>
      <c r="DI147" s="349"/>
      <c r="DJ147" s="120" t="str">
        <f>+CX147</f>
        <v>Group IT</v>
      </c>
      <c r="DK147" s="115"/>
      <c r="DL147" s="347" t="s">
        <v>32</v>
      </c>
      <c r="DM147" s="348"/>
      <c r="DN147" s="348"/>
      <c r="DO147" s="348"/>
      <c r="DP147" s="348"/>
      <c r="DQ147" s="348"/>
      <c r="DR147" s="348"/>
      <c r="DS147" s="348"/>
      <c r="DT147" s="348"/>
      <c r="DU147" s="348"/>
      <c r="DV147" s="348"/>
      <c r="DW147" s="349"/>
      <c r="DX147" s="120" t="str">
        <f>+DL147</f>
        <v>Galleymasters</v>
      </c>
      <c r="DY147" s="115"/>
      <c r="DZ147" s="347" t="s">
        <v>33</v>
      </c>
      <c r="EA147" s="348"/>
      <c r="EB147" s="348"/>
      <c r="EC147" s="348"/>
      <c r="ED147" s="348"/>
      <c r="EE147" s="348"/>
      <c r="EF147" s="348"/>
      <c r="EG147" s="348"/>
      <c r="EH147" s="348"/>
      <c r="EI147" s="348"/>
      <c r="EJ147" s="348"/>
      <c r="EK147" s="349"/>
      <c r="EL147" s="120" t="str">
        <f>+DZ147</f>
        <v>Sourcing</v>
      </c>
      <c r="EM147" s="115"/>
      <c r="EN147" s="347" t="s">
        <v>34</v>
      </c>
      <c r="EO147" s="348"/>
      <c r="EP147" s="348"/>
      <c r="EQ147" s="348"/>
      <c r="ER147" s="348"/>
      <c r="ES147" s="348"/>
      <c r="ET147" s="348"/>
      <c r="EU147" s="348"/>
      <c r="EV147" s="348"/>
      <c r="EW147" s="348"/>
      <c r="EX147" s="348"/>
      <c r="EY147" s="349"/>
      <c r="EZ147" s="120" t="str">
        <f>+EN147</f>
        <v>Antwerp Dry</v>
      </c>
      <c r="FA147" s="115"/>
      <c r="FB147" s="347" t="s">
        <v>35</v>
      </c>
      <c r="FC147" s="348"/>
      <c r="FD147" s="348"/>
      <c r="FE147" s="348"/>
      <c r="FF147" s="348"/>
      <c r="FG147" s="348"/>
      <c r="FH147" s="348"/>
      <c r="FI147" s="348"/>
      <c r="FJ147" s="348"/>
      <c r="FK147" s="348"/>
      <c r="FL147" s="348"/>
      <c r="FM147" s="349"/>
      <c r="FN147" s="120" t="str">
        <f>+FB147</f>
        <v>Goes Dry</v>
      </c>
      <c r="FO147" s="115"/>
      <c r="FP147" s="347" t="s">
        <v>36</v>
      </c>
      <c r="FQ147" s="348"/>
      <c r="FR147" s="348"/>
      <c r="FS147" s="348"/>
      <c r="FT147" s="348"/>
      <c r="FU147" s="348"/>
      <c r="FV147" s="348"/>
      <c r="FW147" s="348"/>
      <c r="FX147" s="348"/>
      <c r="FY147" s="348"/>
      <c r="FZ147" s="348"/>
      <c r="GA147" s="349"/>
      <c r="GB147" s="120" t="str">
        <f>+FP147</f>
        <v>Group Operations</v>
      </c>
      <c r="GC147" s="115"/>
      <c r="GD147" s="347" t="s">
        <v>37</v>
      </c>
      <c r="GE147" s="348"/>
      <c r="GF147" s="348"/>
      <c r="GG147" s="348"/>
      <c r="GH147" s="348"/>
      <c r="GI147" s="348"/>
      <c r="GJ147" s="348"/>
      <c r="GK147" s="348"/>
      <c r="GL147" s="348"/>
      <c r="GM147" s="348"/>
      <c r="GN147" s="348"/>
      <c r="GO147" s="349"/>
      <c r="GP147" s="121" t="str">
        <f>+GD147</f>
        <v>Group Shared Service Center</v>
      </c>
      <c r="GQ147" s="115"/>
      <c r="GR147" s="347" t="s">
        <v>162</v>
      </c>
      <c r="GS147" s="348"/>
      <c r="GT147" s="348"/>
      <c r="GU147" s="348"/>
      <c r="GV147" s="348"/>
      <c r="GW147" s="348"/>
      <c r="GX147" s="348"/>
      <c r="GY147" s="348"/>
      <c r="GZ147" s="348"/>
      <c r="HA147" s="348"/>
      <c r="HB147" s="348"/>
      <c r="HC147" s="349"/>
      <c r="HD147" s="120" t="str">
        <f>+GR147</f>
        <v>Vacant Seats</v>
      </c>
      <c r="HE147" s="115"/>
      <c r="HF147" s="347" t="s">
        <v>38</v>
      </c>
      <c r="HG147" s="348"/>
      <c r="HH147" s="348"/>
      <c r="HI147" s="348"/>
      <c r="HJ147" s="348"/>
      <c r="HK147" s="348"/>
      <c r="HL147" s="348"/>
      <c r="HM147" s="348"/>
      <c r="HN147" s="348"/>
      <c r="HO147" s="348"/>
      <c r="HP147" s="348"/>
      <c r="HQ147" s="349"/>
      <c r="HR147" s="120" t="str">
        <f>+HF147</f>
        <v>Hamburg Dry</v>
      </c>
      <c r="HS147" s="115"/>
      <c r="HT147" s="347" t="s">
        <v>39</v>
      </c>
      <c r="HU147" s="348"/>
      <c r="HV147" s="348"/>
      <c r="HW147" s="348"/>
      <c r="HX147" s="348"/>
      <c r="HY147" s="348"/>
      <c r="HZ147" s="348"/>
      <c r="IA147" s="348"/>
      <c r="IB147" s="348"/>
      <c r="IC147" s="348"/>
      <c r="ID147" s="348"/>
      <c r="IE147" s="349"/>
      <c r="IF147" s="120" t="str">
        <f>+HT147</f>
        <v>Hong Kong Dry 1</v>
      </c>
      <c r="IG147" s="115"/>
      <c r="IH147" s="347" t="s">
        <v>40</v>
      </c>
      <c r="II147" s="348"/>
      <c r="IJ147" s="348"/>
      <c r="IK147" s="348"/>
      <c r="IL147" s="348"/>
      <c r="IM147" s="348"/>
      <c r="IN147" s="348"/>
      <c r="IO147" s="348"/>
      <c r="IP147" s="348"/>
      <c r="IQ147" s="348"/>
      <c r="IR147" s="348"/>
      <c r="IS147" s="349"/>
      <c r="IT147" s="120" t="str">
        <f>+IH147</f>
        <v>JV Ardmore</v>
      </c>
      <c r="IU147" s="115"/>
      <c r="IV147" s="347" t="s">
        <v>41</v>
      </c>
      <c r="IW147" s="348"/>
      <c r="IX147" s="348"/>
      <c r="IY147" s="348"/>
      <c r="IZ147" s="348"/>
      <c r="JA147" s="348"/>
      <c r="JB147" s="348"/>
      <c r="JC147" s="348"/>
      <c r="JD147" s="348"/>
      <c r="JE147" s="348"/>
      <c r="JF147" s="348"/>
      <c r="JG147" s="349"/>
      <c r="JH147" s="120" t="str">
        <f>+IV147</f>
        <v>Singapore Dry</v>
      </c>
      <c r="JI147" s="115"/>
      <c r="JJ147" s="347" t="s">
        <v>42</v>
      </c>
      <c r="JK147" s="348"/>
      <c r="JL147" s="348"/>
      <c r="JM147" s="348"/>
      <c r="JN147" s="348"/>
      <c r="JO147" s="348"/>
      <c r="JP147" s="348"/>
      <c r="JQ147" s="348"/>
      <c r="JR147" s="348"/>
      <c r="JS147" s="348"/>
      <c r="JT147" s="348"/>
      <c r="JU147" s="349"/>
      <c r="JV147" s="120" t="str">
        <f>+JJ147</f>
        <v>Singapore Tanker 1</v>
      </c>
      <c r="JW147" s="115"/>
      <c r="JX147" s="347" t="s">
        <v>43</v>
      </c>
      <c r="JY147" s="348"/>
      <c r="JZ147" s="348"/>
      <c r="KA147" s="348"/>
      <c r="KB147" s="348"/>
      <c r="KC147" s="348"/>
      <c r="KD147" s="348"/>
      <c r="KE147" s="348"/>
      <c r="KF147" s="348"/>
      <c r="KG147" s="348"/>
      <c r="KH147" s="348"/>
      <c r="KI147" s="349"/>
      <c r="KJ147" s="120" t="str">
        <f>+JX147</f>
        <v>Singapore Tanker 2</v>
      </c>
      <c r="KK147" s="115"/>
      <c r="KL147" s="347" t="s">
        <v>164</v>
      </c>
      <c r="KM147" s="348"/>
      <c r="KN147" s="348"/>
      <c r="KO147" s="348"/>
      <c r="KP147" s="348"/>
      <c r="KQ147" s="348"/>
      <c r="KR147" s="348"/>
      <c r="KS147" s="348"/>
      <c r="KT147" s="348"/>
      <c r="KU147" s="348"/>
      <c r="KV147" s="348"/>
      <c r="KW147" s="349"/>
      <c r="KX147" s="120" t="str">
        <f>+KL147</f>
        <v>Accounts Payables</v>
      </c>
      <c r="KY147" s="115"/>
      <c r="KZ147" s="347" t="s">
        <v>24</v>
      </c>
      <c r="LA147" s="348"/>
      <c r="LB147" s="348"/>
      <c r="LC147" s="348"/>
      <c r="LD147" s="348"/>
      <c r="LE147" s="348"/>
      <c r="LF147" s="348"/>
      <c r="LG147" s="348"/>
      <c r="LH147" s="348"/>
      <c r="LI147" s="348"/>
      <c r="LJ147" s="348"/>
      <c r="LK147" s="349"/>
      <c r="LL147" s="121" t="str">
        <f>+KZ147</f>
        <v>CMI Accounts Payables</v>
      </c>
      <c r="LM147" s="115"/>
      <c r="LN147" s="347"/>
      <c r="LO147" s="348"/>
      <c r="LP147" s="348"/>
      <c r="LQ147" s="348"/>
      <c r="LR147" s="348"/>
      <c r="LS147" s="348"/>
      <c r="LT147" s="348"/>
      <c r="LU147" s="348"/>
      <c r="LV147" s="348"/>
      <c r="LW147" s="348"/>
      <c r="LX147" s="348"/>
      <c r="LY147" s="349"/>
      <c r="LZ147" s="120">
        <f>+LN147</f>
        <v>0</v>
      </c>
      <c r="MA147" s="115"/>
      <c r="MB147" s="122" t="s">
        <v>165</v>
      </c>
      <c r="MC147" s="122" t="str">
        <f>MB147</f>
        <v>All Divisions</v>
      </c>
      <c r="MD147" s="122" t="str">
        <f t="shared" ref="MD147:MN150" si="611">MC147</f>
        <v>All Divisions</v>
      </c>
      <c r="ME147" s="122" t="str">
        <f t="shared" si="611"/>
        <v>All Divisions</v>
      </c>
      <c r="MF147" s="122" t="str">
        <f t="shared" si="611"/>
        <v>All Divisions</v>
      </c>
      <c r="MG147" s="122" t="str">
        <f t="shared" si="611"/>
        <v>All Divisions</v>
      </c>
      <c r="MH147" s="122" t="str">
        <f t="shared" si="611"/>
        <v>All Divisions</v>
      </c>
      <c r="MI147" s="122" t="str">
        <f t="shared" si="611"/>
        <v>All Divisions</v>
      </c>
      <c r="MJ147" s="122" t="str">
        <f t="shared" si="611"/>
        <v>All Divisions</v>
      </c>
      <c r="MK147" s="122" t="str">
        <f t="shared" si="611"/>
        <v>All Divisions</v>
      </c>
      <c r="ML147" s="122" t="str">
        <f t="shared" si="611"/>
        <v>All Divisions</v>
      </c>
      <c r="MM147" s="122" t="str">
        <f t="shared" si="611"/>
        <v>All Divisions</v>
      </c>
      <c r="MN147" s="123" t="str">
        <f t="shared" si="611"/>
        <v>All Divisions</v>
      </c>
    </row>
    <row r="148" spans="1:352" ht="12.5" x14ac:dyDescent="0.25">
      <c r="A148" s="262"/>
      <c r="B148" s="124" t="s">
        <v>234</v>
      </c>
      <c r="C148" s="110"/>
      <c r="D148" s="125" t="s">
        <v>235</v>
      </c>
      <c r="E148" s="126" t="s">
        <v>235</v>
      </c>
      <c r="F148" s="126" t="s">
        <v>235</v>
      </c>
      <c r="G148" s="126" t="s">
        <v>235</v>
      </c>
      <c r="H148" s="126" t="s">
        <v>235</v>
      </c>
      <c r="I148" s="126" t="s">
        <v>235</v>
      </c>
      <c r="J148" s="126" t="s">
        <v>235</v>
      </c>
      <c r="K148" s="126" t="s">
        <v>235</v>
      </c>
      <c r="L148" s="126" t="s">
        <v>235</v>
      </c>
      <c r="M148" s="126" t="s">
        <v>235</v>
      </c>
      <c r="N148" s="126" t="s">
        <v>235</v>
      </c>
      <c r="O148" s="126" t="s">
        <v>235</v>
      </c>
      <c r="P148" s="127" t="s">
        <v>235</v>
      </c>
      <c r="Q148" s="128"/>
      <c r="R148" s="125" t="s">
        <v>235</v>
      </c>
      <c r="S148" s="126" t="s">
        <v>235</v>
      </c>
      <c r="T148" s="126" t="s">
        <v>235</v>
      </c>
      <c r="U148" s="126" t="s">
        <v>235</v>
      </c>
      <c r="V148" s="126" t="s">
        <v>235</v>
      </c>
      <c r="W148" s="126" t="s">
        <v>235</v>
      </c>
      <c r="X148" s="126" t="s">
        <v>235</v>
      </c>
      <c r="Y148" s="126" t="s">
        <v>235</v>
      </c>
      <c r="Z148" s="126" t="s">
        <v>235</v>
      </c>
      <c r="AA148" s="126" t="s">
        <v>235</v>
      </c>
      <c r="AB148" s="126" t="s">
        <v>235</v>
      </c>
      <c r="AC148" s="126" t="s">
        <v>235</v>
      </c>
      <c r="AD148" s="127" t="s">
        <v>235</v>
      </c>
      <c r="AE148" s="128"/>
      <c r="AF148" s="125" t="s">
        <v>235</v>
      </c>
      <c r="AG148" s="126" t="s">
        <v>235</v>
      </c>
      <c r="AH148" s="126" t="s">
        <v>235</v>
      </c>
      <c r="AI148" s="126" t="s">
        <v>235</v>
      </c>
      <c r="AJ148" s="126" t="s">
        <v>235</v>
      </c>
      <c r="AK148" s="126" t="s">
        <v>235</v>
      </c>
      <c r="AL148" s="126" t="s">
        <v>235</v>
      </c>
      <c r="AM148" s="126" t="s">
        <v>235</v>
      </c>
      <c r="AN148" s="126" t="s">
        <v>235</v>
      </c>
      <c r="AO148" s="126" t="s">
        <v>235</v>
      </c>
      <c r="AP148" s="126" t="s">
        <v>235</v>
      </c>
      <c r="AQ148" s="126" t="s">
        <v>235</v>
      </c>
      <c r="AR148" s="127" t="s">
        <v>235</v>
      </c>
      <c r="AS148" s="128"/>
      <c r="AT148" s="125" t="s">
        <v>235</v>
      </c>
      <c r="AU148" s="126" t="s">
        <v>235</v>
      </c>
      <c r="AV148" s="126" t="s">
        <v>235</v>
      </c>
      <c r="AW148" s="126" t="s">
        <v>235</v>
      </c>
      <c r="AX148" s="126" t="s">
        <v>235</v>
      </c>
      <c r="AY148" s="126" t="s">
        <v>235</v>
      </c>
      <c r="AZ148" s="126" t="s">
        <v>235</v>
      </c>
      <c r="BA148" s="126" t="s">
        <v>235</v>
      </c>
      <c r="BB148" s="126" t="s">
        <v>235</v>
      </c>
      <c r="BC148" s="126" t="s">
        <v>235</v>
      </c>
      <c r="BD148" s="126" t="s">
        <v>235</v>
      </c>
      <c r="BE148" s="126" t="s">
        <v>235</v>
      </c>
      <c r="BF148" s="127" t="s">
        <v>235</v>
      </c>
      <c r="BG148" s="128"/>
      <c r="BH148" s="125" t="s">
        <v>235</v>
      </c>
      <c r="BI148" s="126" t="s">
        <v>235</v>
      </c>
      <c r="BJ148" s="126" t="s">
        <v>235</v>
      </c>
      <c r="BK148" s="126" t="s">
        <v>235</v>
      </c>
      <c r="BL148" s="126" t="s">
        <v>235</v>
      </c>
      <c r="BM148" s="126" t="s">
        <v>235</v>
      </c>
      <c r="BN148" s="126" t="s">
        <v>235</v>
      </c>
      <c r="BO148" s="126" t="s">
        <v>235</v>
      </c>
      <c r="BP148" s="126" t="s">
        <v>235</v>
      </c>
      <c r="BQ148" s="126" t="s">
        <v>235</v>
      </c>
      <c r="BR148" s="126" t="s">
        <v>235</v>
      </c>
      <c r="BS148" s="126" t="s">
        <v>235</v>
      </c>
      <c r="BT148" s="127" t="s">
        <v>235</v>
      </c>
      <c r="BU148" s="128"/>
      <c r="BV148" s="125" t="s">
        <v>235</v>
      </c>
      <c r="BW148" s="126" t="s">
        <v>235</v>
      </c>
      <c r="BX148" s="126" t="s">
        <v>235</v>
      </c>
      <c r="BY148" s="126" t="s">
        <v>235</v>
      </c>
      <c r="BZ148" s="126" t="s">
        <v>235</v>
      </c>
      <c r="CA148" s="126" t="s">
        <v>235</v>
      </c>
      <c r="CB148" s="126" t="s">
        <v>235</v>
      </c>
      <c r="CC148" s="126" t="s">
        <v>235</v>
      </c>
      <c r="CD148" s="126" t="s">
        <v>235</v>
      </c>
      <c r="CE148" s="126" t="s">
        <v>235</v>
      </c>
      <c r="CF148" s="126" t="s">
        <v>235</v>
      </c>
      <c r="CG148" s="126" t="s">
        <v>235</v>
      </c>
      <c r="CH148" s="127" t="s">
        <v>235</v>
      </c>
      <c r="CI148" s="128"/>
      <c r="CJ148" s="125" t="s">
        <v>235</v>
      </c>
      <c r="CK148" s="126" t="s">
        <v>235</v>
      </c>
      <c r="CL148" s="126" t="s">
        <v>235</v>
      </c>
      <c r="CM148" s="126" t="s">
        <v>235</v>
      </c>
      <c r="CN148" s="126" t="s">
        <v>235</v>
      </c>
      <c r="CO148" s="126" t="s">
        <v>235</v>
      </c>
      <c r="CP148" s="126" t="s">
        <v>235</v>
      </c>
      <c r="CQ148" s="126" t="s">
        <v>235</v>
      </c>
      <c r="CR148" s="126" t="s">
        <v>235</v>
      </c>
      <c r="CS148" s="126" t="s">
        <v>235</v>
      </c>
      <c r="CT148" s="126" t="s">
        <v>235</v>
      </c>
      <c r="CU148" s="126" t="s">
        <v>235</v>
      </c>
      <c r="CV148" s="127" t="s">
        <v>235</v>
      </c>
      <c r="CW148" s="128"/>
      <c r="CX148" s="125" t="s">
        <v>235</v>
      </c>
      <c r="CY148" s="126" t="s">
        <v>235</v>
      </c>
      <c r="CZ148" s="126" t="s">
        <v>235</v>
      </c>
      <c r="DA148" s="126" t="s">
        <v>235</v>
      </c>
      <c r="DB148" s="126" t="s">
        <v>235</v>
      </c>
      <c r="DC148" s="126" t="s">
        <v>235</v>
      </c>
      <c r="DD148" s="126" t="s">
        <v>235</v>
      </c>
      <c r="DE148" s="126" t="s">
        <v>235</v>
      </c>
      <c r="DF148" s="126" t="s">
        <v>235</v>
      </c>
      <c r="DG148" s="126" t="s">
        <v>235</v>
      </c>
      <c r="DH148" s="126" t="s">
        <v>235</v>
      </c>
      <c r="DI148" s="126" t="s">
        <v>235</v>
      </c>
      <c r="DJ148" s="127" t="s">
        <v>235</v>
      </c>
      <c r="DK148" s="128"/>
      <c r="DL148" s="125" t="s">
        <v>235</v>
      </c>
      <c r="DM148" s="126" t="s">
        <v>235</v>
      </c>
      <c r="DN148" s="126" t="s">
        <v>235</v>
      </c>
      <c r="DO148" s="126" t="s">
        <v>235</v>
      </c>
      <c r="DP148" s="126" t="s">
        <v>235</v>
      </c>
      <c r="DQ148" s="126" t="s">
        <v>235</v>
      </c>
      <c r="DR148" s="126" t="s">
        <v>235</v>
      </c>
      <c r="DS148" s="126" t="s">
        <v>235</v>
      </c>
      <c r="DT148" s="126" t="s">
        <v>235</v>
      </c>
      <c r="DU148" s="126" t="s">
        <v>235</v>
      </c>
      <c r="DV148" s="126" t="s">
        <v>235</v>
      </c>
      <c r="DW148" s="126" t="s">
        <v>235</v>
      </c>
      <c r="DX148" s="127" t="s">
        <v>235</v>
      </c>
      <c r="DY148" s="128"/>
      <c r="DZ148" s="125" t="s">
        <v>235</v>
      </c>
      <c r="EA148" s="126" t="s">
        <v>235</v>
      </c>
      <c r="EB148" s="126" t="s">
        <v>235</v>
      </c>
      <c r="EC148" s="126" t="s">
        <v>235</v>
      </c>
      <c r="ED148" s="126" t="s">
        <v>235</v>
      </c>
      <c r="EE148" s="126" t="s">
        <v>235</v>
      </c>
      <c r="EF148" s="126" t="s">
        <v>235</v>
      </c>
      <c r="EG148" s="126" t="s">
        <v>235</v>
      </c>
      <c r="EH148" s="126" t="s">
        <v>235</v>
      </c>
      <c r="EI148" s="126" t="s">
        <v>235</v>
      </c>
      <c r="EJ148" s="126" t="s">
        <v>235</v>
      </c>
      <c r="EK148" s="126" t="s">
        <v>235</v>
      </c>
      <c r="EL148" s="127" t="s">
        <v>235</v>
      </c>
      <c r="EM148" s="128"/>
      <c r="EN148" s="125" t="s">
        <v>235</v>
      </c>
      <c r="EO148" s="126" t="s">
        <v>235</v>
      </c>
      <c r="EP148" s="126" t="s">
        <v>235</v>
      </c>
      <c r="EQ148" s="126" t="s">
        <v>235</v>
      </c>
      <c r="ER148" s="126" t="s">
        <v>235</v>
      </c>
      <c r="ES148" s="126" t="s">
        <v>235</v>
      </c>
      <c r="ET148" s="126" t="s">
        <v>235</v>
      </c>
      <c r="EU148" s="126" t="s">
        <v>235</v>
      </c>
      <c r="EV148" s="126" t="s">
        <v>235</v>
      </c>
      <c r="EW148" s="126" t="s">
        <v>235</v>
      </c>
      <c r="EX148" s="126" t="s">
        <v>235</v>
      </c>
      <c r="EY148" s="126" t="s">
        <v>235</v>
      </c>
      <c r="EZ148" s="127" t="s">
        <v>235</v>
      </c>
      <c r="FA148" s="128"/>
      <c r="FB148" s="125" t="s">
        <v>235</v>
      </c>
      <c r="FC148" s="126" t="s">
        <v>235</v>
      </c>
      <c r="FD148" s="126" t="s">
        <v>235</v>
      </c>
      <c r="FE148" s="126" t="s">
        <v>235</v>
      </c>
      <c r="FF148" s="126" t="s">
        <v>235</v>
      </c>
      <c r="FG148" s="126" t="s">
        <v>235</v>
      </c>
      <c r="FH148" s="126" t="s">
        <v>235</v>
      </c>
      <c r="FI148" s="126" t="s">
        <v>235</v>
      </c>
      <c r="FJ148" s="126" t="s">
        <v>235</v>
      </c>
      <c r="FK148" s="126" t="s">
        <v>235</v>
      </c>
      <c r="FL148" s="126" t="s">
        <v>235</v>
      </c>
      <c r="FM148" s="126" t="s">
        <v>235</v>
      </c>
      <c r="FN148" s="127" t="s">
        <v>235</v>
      </c>
      <c r="FO148" s="128"/>
      <c r="FP148" s="125" t="s">
        <v>235</v>
      </c>
      <c r="FQ148" s="126" t="s">
        <v>235</v>
      </c>
      <c r="FR148" s="126" t="s">
        <v>235</v>
      </c>
      <c r="FS148" s="126" t="s">
        <v>235</v>
      </c>
      <c r="FT148" s="126" t="s">
        <v>235</v>
      </c>
      <c r="FU148" s="126" t="s">
        <v>235</v>
      </c>
      <c r="FV148" s="126" t="s">
        <v>235</v>
      </c>
      <c r="FW148" s="126" t="s">
        <v>235</v>
      </c>
      <c r="FX148" s="126" t="s">
        <v>235</v>
      </c>
      <c r="FY148" s="126" t="s">
        <v>235</v>
      </c>
      <c r="FZ148" s="126" t="s">
        <v>235</v>
      </c>
      <c r="GA148" s="126" t="s">
        <v>235</v>
      </c>
      <c r="GB148" s="127" t="s">
        <v>235</v>
      </c>
      <c r="GC148" s="128"/>
      <c r="GD148" s="125" t="s">
        <v>235</v>
      </c>
      <c r="GE148" s="126" t="s">
        <v>235</v>
      </c>
      <c r="GF148" s="126" t="s">
        <v>235</v>
      </c>
      <c r="GG148" s="126" t="s">
        <v>235</v>
      </c>
      <c r="GH148" s="126" t="s">
        <v>235</v>
      </c>
      <c r="GI148" s="126" t="s">
        <v>235</v>
      </c>
      <c r="GJ148" s="126" t="s">
        <v>235</v>
      </c>
      <c r="GK148" s="126" t="s">
        <v>235</v>
      </c>
      <c r="GL148" s="126" t="s">
        <v>235</v>
      </c>
      <c r="GM148" s="126" t="s">
        <v>235</v>
      </c>
      <c r="GN148" s="126" t="s">
        <v>235</v>
      </c>
      <c r="GO148" s="126" t="s">
        <v>235</v>
      </c>
      <c r="GP148" s="127" t="s">
        <v>235</v>
      </c>
      <c r="GQ148" s="128"/>
      <c r="GR148" s="125" t="s">
        <v>235</v>
      </c>
      <c r="GS148" s="126" t="s">
        <v>235</v>
      </c>
      <c r="GT148" s="126" t="s">
        <v>235</v>
      </c>
      <c r="GU148" s="126" t="s">
        <v>235</v>
      </c>
      <c r="GV148" s="126" t="s">
        <v>235</v>
      </c>
      <c r="GW148" s="126" t="s">
        <v>235</v>
      </c>
      <c r="GX148" s="126" t="s">
        <v>235</v>
      </c>
      <c r="GY148" s="126" t="s">
        <v>235</v>
      </c>
      <c r="GZ148" s="126" t="s">
        <v>235</v>
      </c>
      <c r="HA148" s="126" t="s">
        <v>235</v>
      </c>
      <c r="HB148" s="126" t="s">
        <v>235</v>
      </c>
      <c r="HC148" s="126" t="s">
        <v>235</v>
      </c>
      <c r="HD148" s="127" t="s">
        <v>235</v>
      </c>
      <c r="HE148" s="128"/>
      <c r="HF148" s="125" t="s">
        <v>235</v>
      </c>
      <c r="HG148" s="126" t="s">
        <v>235</v>
      </c>
      <c r="HH148" s="126" t="s">
        <v>235</v>
      </c>
      <c r="HI148" s="126" t="s">
        <v>235</v>
      </c>
      <c r="HJ148" s="126" t="s">
        <v>235</v>
      </c>
      <c r="HK148" s="126" t="s">
        <v>235</v>
      </c>
      <c r="HL148" s="126" t="s">
        <v>235</v>
      </c>
      <c r="HM148" s="126" t="s">
        <v>235</v>
      </c>
      <c r="HN148" s="126" t="s">
        <v>235</v>
      </c>
      <c r="HO148" s="126" t="s">
        <v>235</v>
      </c>
      <c r="HP148" s="126" t="s">
        <v>235</v>
      </c>
      <c r="HQ148" s="126" t="s">
        <v>235</v>
      </c>
      <c r="HR148" s="127" t="s">
        <v>235</v>
      </c>
      <c r="HS148" s="128"/>
      <c r="HT148" s="125" t="s">
        <v>235</v>
      </c>
      <c r="HU148" s="126" t="s">
        <v>235</v>
      </c>
      <c r="HV148" s="126" t="s">
        <v>235</v>
      </c>
      <c r="HW148" s="126" t="s">
        <v>235</v>
      </c>
      <c r="HX148" s="126" t="s">
        <v>235</v>
      </c>
      <c r="HY148" s="126" t="s">
        <v>235</v>
      </c>
      <c r="HZ148" s="126" t="s">
        <v>235</v>
      </c>
      <c r="IA148" s="126" t="s">
        <v>235</v>
      </c>
      <c r="IB148" s="126" t="s">
        <v>235</v>
      </c>
      <c r="IC148" s="126" t="s">
        <v>235</v>
      </c>
      <c r="ID148" s="126" t="s">
        <v>235</v>
      </c>
      <c r="IE148" s="126" t="s">
        <v>235</v>
      </c>
      <c r="IF148" s="127" t="s">
        <v>235</v>
      </c>
      <c r="IG148" s="128"/>
      <c r="IH148" s="125" t="s">
        <v>235</v>
      </c>
      <c r="II148" s="126" t="s">
        <v>235</v>
      </c>
      <c r="IJ148" s="126" t="s">
        <v>235</v>
      </c>
      <c r="IK148" s="126" t="s">
        <v>235</v>
      </c>
      <c r="IL148" s="126" t="s">
        <v>235</v>
      </c>
      <c r="IM148" s="126" t="s">
        <v>235</v>
      </c>
      <c r="IN148" s="126" t="s">
        <v>235</v>
      </c>
      <c r="IO148" s="126" t="s">
        <v>235</v>
      </c>
      <c r="IP148" s="126" t="s">
        <v>235</v>
      </c>
      <c r="IQ148" s="126" t="s">
        <v>235</v>
      </c>
      <c r="IR148" s="126" t="s">
        <v>235</v>
      </c>
      <c r="IS148" s="126" t="s">
        <v>235</v>
      </c>
      <c r="IT148" s="127" t="s">
        <v>235</v>
      </c>
      <c r="IU148" s="128"/>
      <c r="IV148" s="125" t="s">
        <v>235</v>
      </c>
      <c r="IW148" s="126" t="s">
        <v>235</v>
      </c>
      <c r="IX148" s="126" t="s">
        <v>235</v>
      </c>
      <c r="IY148" s="126" t="s">
        <v>235</v>
      </c>
      <c r="IZ148" s="126" t="s">
        <v>235</v>
      </c>
      <c r="JA148" s="126" t="s">
        <v>235</v>
      </c>
      <c r="JB148" s="126" t="s">
        <v>235</v>
      </c>
      <c r="JC148" s="126" t="s">
        <v>235</v>
      </c>
      <c r="JD148" s="126" t="s">
        <v>235</v>
      </c>
      <c r="JE148" s="126" t="s">
        <v>235</v>
      </c>
      <c r="JF148" s="126" t="s">
        <v>235</v>
      </c>
      <c r="JG148" s="126" t="s">
        <v>235</v>
      </c>
      <c r="JH148" s="127" t="s">
        <v>235</v>
      </c>
      <c r="JI148" s="128"/>
      <c r="JJ148" s="125" t="s">
        <v>235</v>
      </c>
      <c r="JK148" s="126" t="s">
        <v>235</v>
      </c>
      <c r="JL148" s="126" t="s">
        <v>235</v>
      </c>
      <c r="JM148" s="126" t="s">
        <v>235</v>
      </c>
      <c r="JN148" s="126" t="s">
        <v>235</v>
      </c>
      <c r="JO148" s="126" t="s">
        <v>235</v>
      </c>
      <c r="JP148" s="126" t="s">
        <v>235</v>
      </c>
      <c r="JQ148" s="126" t="s">
        <v>235</v>
      </c>
      <c r="JR148" s="126" t="s">
        <v>235</v>
      </c>
      <c r="JS148" s="126" t="s">
        <v>235</v>
      </c>
      <c r="JT148" s="126" t="s">
        <v>235</v>
      </c>
      <c r="JU148" s="126" t="s">
        <v>235</v>
      </c>
      <c r="JV148" s="127" t="s">
        <v>235</v>
      </c>
      <c r="JW148" s="128"/>
      <c r="JX148" s="125" t="s">
        <v>235</v>
      </c>
      <c r="JY148" s="126" t="s">
        <v>235</v>
      </c>
      <c r="JZ148" s="126" t="s">
        <v>235</v>
      </c>
      <c r="KA148" s="126" t="s">
        <v>235</v>
      </c>
      <c r="KB148" s="126" t="s">
        <v>235</v>
      </c>
      <c r="KC148" s="126" t="s">
        <v>235</v>
      </c>
      <c r="KD148" s="126" t="s">
        <v>235</v>
      </c>
      <c r="KE148" s="126" t="s">
        <v>235</v>
      </c>
      <c r="KF148" s="126" t="s">
        <v>235</v>
      </c>
      <c r="KG148" s="126" t="s">
        <v>235</v>
      </c>
      <c r="KH148" s="126" t="s">
        <v>235</v>
      </c>
      <c r="KI148" s="126" t="s">
        <v>235</v>
      </c>
      <c r="KJ148" s="127" t="s">
        <v>235</v>
      </c>
      <c r="KK148" s="128"/>
      <c r="KL148" s="125" t="s">
        <v>235</v>
      </c>
      <c r="KM148" s="126" t="s">
        <v>235</v>
      </c>
      <c r="KN148" s="126" t="s">
        <v>235</v>
      </c>
      <c r="KO148" s="126" t="s">
        <v>235</v>
      </c>
      <c r="KP148" s="126" t="s">
        <v>235</v>
      </c>
      <c r="KQ148" s="126" t="s">
        <v>235</v>
      </c>
      <c r="KR148" s="126" t="s">
        <v>235</v>
      </c>
      <c r="KS148" s="126" t="s">
        <v>235</v>
      </c>
      <c r="KT148" s="126" t="s">
        <v>235</v>
      </c>
      <c r="KU148" s="126" t="s">
        <v>235</v>
      </c>
      <c r="KV148" s="126" t="s">
        <v>235</v>
      </c>
      <c r="KW148" s="126" t="s">
        <v>235</v>
      </c>
      <c r="KX148" s="127" t="s">
        <v>235</v>
      </c>
      <c r="KY148" s="128"/>
      <c r="KZ148" s="125" t="s">
        <v>235</v>
      </c>
      <c r="LA148" s="126" t="s">
        <v>235</v>
      </c>
      <c r="LB148" s="126" t="s">
        <v>235</v>
      </c>
      <c r="LC148" s="126" t="s">
        <v>235</v>
      </c>
      <c r="LD148" s="126" t="s">
        <v>235</v>
      </c>
      <c r="LE148" s="126" t="s">
        <v>235</v>
      </c>
      <c r="LF148" s="126" t="s">
        <v>235</v>
      </c>
      <c r="LG148" s="126" t="s">
        <v>235</v>
      </c>
      <c r="LH148" s="126" t="s">
        <v>235</v>
      </c>
      <c r="LI148" s="126" t="s">
        <v>235</v>
      </c>
      <c r="LJ148" s="126" t="s">
        <v>235</v>
      </c>
      <c r="LK148" s="126" t="s">
        <v>235</v>
      </c>
      <c r="LL148" s="127" t="s">
        <v>235</v>
      </c>
      <c r="LM148" s="128"/>
      <c r="LN148" s="125" t="s">
        <v>235</v>
      </c>
      <c r="LO148" s="126" t="s">
        <v>235</v>
      </c>
      <c r="LP148" s="126" t="s">
        <v>235</v>
      </c>
      <c r="LQ148" s="126" t="s">
        <v>235</v>
      </c>
      <c r="LR148" s="126" t="s">
        <v>235</v>
      </c>
      <c r="LS148" s="126" t="s">
        <v>235</v>
      </c>
      <c r="LT148" s="126" t="s">
        <v>235</v>
      </c>
      <c r="LU148" s="126" t="s">
        <v>235</v>
      </c>
      <c r="LV148" s="126" t="s">
        <v>235</v>
      </c>
      <c r="LW148" s="126" t="s">
        <v>235</v>
      </c>
      <c r="LX148" s="126" t="s">
        <v>235</v>
      </c>
      <c r="LY148" s="126" t="s">
        <v>235</v>
      </c>
      <c r="LZ148" s="127" t="s">
        <v>235</v>
      </c>
      <c r="MA148" s="128" t="s">
        <v>235</v>
      </c>
      <c r="MB148" s="129" t="s">
        <v>235</v>
      </c>
      <c r="MC148" s="129" t="s">
        <v>235</v>
      </c>
      <c r="MD148" s="129" t="s">
        <v>235</v>
      </c>
      <c r="ME148" s="129" t="s">
        <v>235</v>
      </c>
      <c r="MF148" s="129" t="s">
        <v>235</v>
      </c>
      <c r="MG148" s="129" t="s">
        <v>235</v>
      </c>
      <c r="MH148" s="129" t="s">
        <v>235</v>
      </c>
      <c r="MI148" s="129" t="s">
        <v>235</v>
      </c>
      <c r="MJ148" s="129" t="s">
        <v>235</v>
      </c>
      <c r="MK148" s="129" t="s">
        <v>235</v>
      </c>
      <c r="ML148" s="129" t="s">
        <v>235</v>
      </c>
      <c r="MM148" s="129" t="s">
        <v>235</v>
      </c>
      <c r="MN148" s="130" t="s">
        <v>235</v>
      </c>
    </row>
    <row r="149" spans="1:352" ht="13.5" thickBot="1" x14ac:dyDescent="0.35">
      <c r="A149" s="262"/>
      <c r="B149" s="132" t="s">
        <v>168</v>
      </c>
      <c r="C149" s="131"/>
      <c r="D149" s="133">
        <v>45688</v>
      </c>
      <c r="E149" s="134">
        <v>45716</v>
      </c>
      <c r="F149" s="134">
        <v>45747</v>
      </c>
      <c r="G149" s="134">
        <v>45777</v>
      </c>
      <c r="H149" s="134">
        <v>45808</v>
      </c>
      <c r="I149" s="134">
        <v>45838</v>
      </c>
      <c r="J149" s="134">
        <v>45869</v>
      </c>
      <c r="K149" s="134">
        <v>45900</v>
      </c>
      <c r="L149" s="134">
        <v>45930</v>
      </c>
      <c r="M149" s="134">
        <v>45961</v>
      </c>
      <c r="N149" s="134">
        <v>45991</v>
      </c>
      <c r="O149" s="134">
        <v>46022</v>
      </c>
      <c r="P149" s="135" t="s">
        <v>169</v>
      </c>
      <c r="Q149" s="136"/>
      <c r="R149" s="134">
        <v>45688</v>
      </c>
      <c r="S149" s="134">
        <v>45716</v>
      </c>
      <c r="T149" s="134">
        <v>45747</v>
      </c>
      <c r="U149" s="134">
        <v>45777</v>
      </c>
      <c r="V149" s="134">
        <v>45808</v>
      </c>
      <c r="W149" s="134">
        <v>45838</v>
      </c>
      <c r="X149" s="134">
        <v>45869</v>
      </c>
      <c r="Y149" s="134">
        <v>45900</v>
      </c>
      <c r="Z149" s="134">
        <v>45930</v>
      </c>
      <c r="AA149" s="134">
        <v>45961</v>
      </c>
      <c r="AB149" s="134">
        <v>45991</v>
      </c>
      <c r="AC149" s="134">
        <v>46022</v>
      </c>
      <c r="AD149" s="137" t="str">
        <f>+P149</f>
        <v>Budget-2025</v>
      </c>
      <c r="AE149" s="128"/>
      <c r="AF149" s="133">
        <v>45688</v>
      </c>
      <c r="AG149" s="134">
        <v>45716</v>
      </c>
      <c r="AH149" s="134">
        <v>45747</v>
      </c>
      <c r="AI149" s="134">
        <v>45777</v>
      </c>
      <c r="AJ149" s="134">
        <v>45808</v>
      </c>
      <c r="AK149" s="134">
        <v>45838</v>
      </c>
      <c r="AL149" s="134">
        <v>45869</v>
      </c>
      <c r="AM149" s="134">
        <v>45900</v>
      </c>
      <c r="AN149" s="134">
        <v>45930</v>
      </c>
      <c r="AO149" s="134">
        <v>45961</v>
      </c>
      <c r="AP149" s="134">
        <v>45991</v>
      </c>
      <c r="AQ149" s="134">
        <v>46022</v>
      </c>
      <c r="AR149" s="137" t="str">
        <f>AD149</f>
        <v>Budget-2025</v>
      </c>
      <c r="AS149" s="138"/>
      <c r="AT149" s="133">
        <v>45688</v>
      </c>
      <c r="AU149" s="134">
        <v>45716</v>
      </c>
      <c r="AV149" s="134">
        <v>45747</v>
      </c>
      <c r="AW149" s="134">
        <v>45777</v>
      </c>
      <c r="AX149" s="134">
        <v>45808</v>
      </c>
      <c r="AY149" s="134">
        <v>45838</v>
      </c>
      <c r="AZ149" s="134">
        <v>45869</v>
      </c>
      <c r="BA149" s="134">
        <v>45900</v>
      </c>
      <c r="BB149" s="134">
        <v>45930</v>
      </c>
      <c r="BC149" s="134">
        <v>45961</v>
      </c>
      <c r="BD149" s="134">
        <v>45991</v>
      </c>
      <c r="BE149" s="134">
        <v>46022</v>
      </c>
      <c r="BF149" s="137" t="str">
        <f>AR149</f>
        <v>Budget-2025</v>
      </c>
      <c r="BG149" s="138"/>
      <c r="BH149" s="133">
        <v>45688</v>
      </c>
      <c r="BI149" s="134">
        <v>45716</v>
      </c>
      <c r="BJ149" s="134">
        <v>45747</v>
      </c>
      <c r="BK149" s="134">
        <v>45777</v>
      </c>
      <c r="BL149" s="134">
        <v>45808</v>
      </c>
      <c r="BM149" s="134">
        <v>45838</v>
      </c>
      <c r="BN149" s="134">
        <v>45869</v>
      </c>
      <c r="BO149" s="134">
        <v>45900</v>
      </c>
      <c r="BP149" s="134">
        <v>45930</v>
      </c>
      <c r="BQ149" s="134">
        <v>45961</v>
      </c>
      <c r="BR149" s="134">
        <v>45991</v>
      </c>
      <c r="BS149" s="134">
        <v>46022</v>
      </c>
      <c r="BT149" s="137" t="str">
        <f>+BF149</f>
        <v>Budget-2025</v>
      </c>
      <c r="BU149" s="138"/>
      <c r="BV149" s="133">
        <v>45688</v>
      </c>
      <c r="BW149" s="134">
        <v>45716</v>
      </c>
      <c r="BX149" s="134">
        <v>45747</v>
      </c>
      <c r="BY149" s="134">
        <v>45777</v>
      </c>
      <c r="BZ149" s="134">
        <v>45808</v>
      </c>
      <c r="CA149" s="134">
        <v>45838</v>
      </c>
      <c r="CB149" s="134">
        <v>45869</v>
      </c>
      <c r="CC149" s="134">
        <v>45900</v>
      </c>
      <c r="CD149" s="134">
        <v>45930</v>
      </c>
      <c r="CE149" s="134">
        <v>45961</v>
      </c>
      <c r="CF149" s="134">
        <v>45991</v>
      </c>
      <c r="CG149" s="134">
        <v>46022</v>
      </c>
      <c r="CH149" s="137" t="str">
        <f>+BT149</f>
        <v>Budget-2025</v>
      </c>
      <c r="CI149" s="138"/>
      <c r="CJ149" s="133">
        <v>45688</v>
      </c>
      <c r="CK149" s="134">
        <v>45716</v>
      </c>
      <c r="CL149" s="134">
        <v>45747</v>
      </c>
      <c r="CM149" s="134">
        <v>45777</v>
      </c>
      <c r="CN149" s="134">
        <v>45808</v>
      </c>
      <c r="CO149" s="134">
        <v>45838</v>
      </c>
      <c r="CP149" s="134">
        <v>45869</v>
      </c>
      <c r="CQ149" s="134">
        <v>45900</v>
      </c>
      <c r="CR149" s="134">
        <v>45930</v>
      </c>
      <c r="CS149" s="134">
        <v>45961</v>
      </c>
      <c r="CT149" s="134">
        <v>45991</v>
      </c>
      <c r="CU149" s="134">
        <v>46022</v>
      </c>
      <c r="CV149" s="137" t="str">
        <f>+CH149</f>
        <v>Budget-2025</v>
      </c>
      <c r="CW149" s="138"/>
      <c r="CX149" s="133">
        <v>45688</v>
      </c>
      <c r="CY149" s="134">
        <v>45716</v>
      </c>
      <c r="CZ149" s="134">
        <v>45747</v>
      </c>
      <c r="DA149" s="134">
        <v>45777</v>
      </c>
      <c r="DB149" s="134">
        <v>45808</v>
      </c>
      <c r="DC149" s="134">
        <v>45838</v>
      </c>
      <c r="DD149" s="134">
        <v>45869</v>
      </c>
      <c r="DE149" s="134">
        <v>45900</v>
      </c>
      <c r="DF149" s="134">
        <v>45930</v>
      </c>
      <c r="DG149" s="134">
        <v>45961</v>
      </c>
      <c r="DH149" s="134">
        <v>45991</v>
      </c>
      <c r="DI149" s="134">
        <v>46022</v>
      </c>
      <c r="DJ149" s="137" t="str">
        <f>+CV149</f>
        <v>Budget-2025</v>
      </c>
      <c r="DK149" s="138"/>
      <c r="DL149" s="133">
        <v>45688</v>
      </c>
      <c r="DM149" s="134">
        <v>45716</v>
      </c>
      <c r="DN149" s="134">
        <v>45747</v>
      </c>
      <c r="DO149" s="134">
        <v>45777</v>
      </c>
      <c r="DP149" s="134">
        <v>45808</v>
      </c>
      <c r="DQ149" s="134">
        <v>45838</v>
      </c>
      <c r="DR149" s="134">
        <v>45869</v>
      </c>
      <c r="DS149" s="134">
        <v>45900</v>
      </c>
      <c r="DT149" s="134">
        <v>45930</v>
      </c>
      <c r="DU149" s="134">
        <v>45961</v>
      </c>
      <c r="DV149" s="134">
        <v>45991</v>
      </c>
      <c r="DW149" s="134">
        <v>46022</v>
      </c>
      <c r="DX149" s="137" t="str">
        <f>+DJ149</f>
        <v>Budget-2025</v>
      </c>
      <c r="DY149" s="138"/>
      <c r="DZ149" s="133">
        <v>45688</v>
      </c>
      <c r="EA149" s="134">
        <v>45716</v>
      </c>
      <c r="EB149" s="134">
        <v>45747</v>
      </c>
      <c r="EC149" s="134">
        <v>45777</v>
      </c>
      <c r="ED149" s="134">
        <v>45808</v>
      </c>
      <c r="EE149" s="134">
        <v>45838</v>
      </c>
      <c r="EF149" s="134">
        <v>45869</v>
      </c>
      <c r="EG149" s="134">
        <v>45900</v>
      </c>
      <c r="EH149" s="134">
        <v>45930</v>
      </c>
      <c r="EI149" s="134">
        <v>45961</v>
      </c>
      <c r="EJ149" s="134">
        <v>45991</v>
      </c>
      <c r="EK149" s="134">
        <v>46022</v>
      </c>
      <c r="EL149" s="137" t="str">
        <f>+DX149</f>
        <v>Budget-2025</v>
      </c>
      <c r="EM149" s="138"/>
      <c r="EN149" s="133">
        <v>45688</v>
      </c>
      <c r="EO149" s="134">
        <v>45716</v>
      </c>
      <c r="EP149" s="134">
        <v>45747</v>
      </c>
      <c r="EQ149" s="134">
        <v>45777</v>
      </c>
      <c r="ER149" s="134">
        <v>45808</v>
      </c>
      <c r="ES149" s="134">
        <v>45838</v>
      </c>
      <c r="ET149" s="134">
        <v>45869</v>
      </c>
      <c r="EU149" s="134">
        <v>45900</v>
      </c>
      <c r="EV149" s="134">
        <v>45930</v>
      </c>
      <c r="EW149" s="134">
        <v>45961</v>
      </c>
      <c r="EX149" s="134">
        <v>45991</v>
      </c>
      <c r="EY149" s="134">
        <v>46022</v>
      </c>
      <c r="EZ149" s="137" t="str">
        <f>+EL149</f>
        <v>Budget-2025</v>
      </c>
      <c r="FA149" s="138"/>
      <c r="FB149" s="133">
        <v>45688</v>
      </c>
      <c r="FC149" s="134">
        <v>45716</v>
      </c>
      <c r="FD149" s="134">
        <v>45747</v>
      </c>
      <c r="FE149" s="134">
        <v>45777</v>
      </c>
      <c r="FF149" s="134">
        <v>45808</v>
      </c>
      <c r="FG149" s="134">
        <v>45838</v>
      </c>
      <c r="FH149" s="134">
        <v>45869</v>
      </c>
      <c r="FI149" s="134">
        <v>45900</v>
      </c>
      <c r="FJ149" s="134">
        <v>45930</v>
      </c>
      <c r="FK149" s="134">
        <v>45961</v>
      </c>
      <c r="FL149" s="134">
        <v>45991</v>
      </c>
      <c r="FM149" s="134">
        <v>46022</v>
      </c>
      <c r="FN149" s="137" t="str">
        <f>+EZ149</f>
        <v>Budget-2025</v>
      </c>
      <c r="FO149" s="138"/>
      <c r="FP149" s="133">
        <v>45688</v>
      </c>
      <c r="FQ149" s="134">
        <v>45716</v>
      </c>
      <c r="FR149" s="134">
        <v>45747</v>
      </c>
      <c r="FS149" s="134">
        <v>45777</v>
      </c>
      <c r="FT149" s="134">
        <v>45808</v>
      </c>
      <c r="FU149" s="134">
        <v>45838</v>
      </c>
      <c r="FV149" s="134">
        <v>45869</v>
      </c>
      <c r="FW149" s="134">
        <v>45900</v>
      </c>
      <c r="FX149" s="134">
        <v>45930</v>
      </c>
      <c r="FY149" s="134">
        <v>45961</v>
      </c>
      <c r="FZ149" s="134">
        <v>45991</v>
      </c>
      <c r="GA149" s="134">
        <v>46022</v>
      </c>
      <c r="GB149" s="137" t="str">
        <f>+FN149</f>
        <v>Budget-2025</v>
      </c>
      <c r="GC149" s="138"/>
      <c r="GD149" s="133">
        <v>45688</v>
      </c>
      <c r="GE149" s="134">
        <v>45716</v>
      </c>
      <c r="GF149" s="134">
        <v>45747</v>
      </c>
      <c r="GG149" s="134">
        <v>45777</v>
      </c>
      <c r="GH149" s="134">
        <v>45808</v>
      </c>
      <c r="GI149" s="134">
        <v>45838</v>
      </c>
      <c r="GJ149" s="134">
        <v>45869</v>
      </c>
      <c r="GK149" s="134">
        <v>45900</v>
      </c>
      <c r="GL149" s="134">
        <v>45930</v>
      </c>
      <c r="GM149" s="134">
        <v>45961</v>
      </c>
      <c r="GN149" s="134">
        <v>45991</v>
      </c>
      <c r="GO149" s="134">
        <v>46022</v>
      </c>
      <c r="GP149" s="137" t="str">
        <f>+GB149</f>
        <v>Budget-2025</v>
      </c>
      <c r="GQ149" s="138"/>
      <c r="GR149" s="133">
        <v>45688</v>
      </c>
      <c r="GS149" s="134">
        <v>45716</v>
      </c>
      <c r="GT149" s="134">
        <v>45747</v>
      </c>
      <c r="GU149" s="134">
        <v>45777</v>
      </c>
      <c r="GV149" s="134">
        <v>45808</v>
      </c>
      <c r="GW149" s="134">
        <v>45838</v>
      </c>
      <c r="GX149" s="134">
        <v>45869</v>
      </c>
      <c r="GY149" s="134">
        <v>45900</v>
      </c>
      <c r="GZ149" s="134">
        <v>45930</v>
      </c>
      <c r="HA149" s="134">
        <v>45961</v>
      </c>
      <c r="HB149" s="134">
        <v>45991</v>
      </c>
      <c r="HC149" s="134">
        <v>46022</v>
      </c>
      <c r="HD149" s="137" t="str">
        <f>+LL149</f>
        <v>Total</v>
      </c>
      <c r="HE149" s="138"/>
      <c r="HF149" s="133">
        <v>45688</v>
      </c>
      <c r="HG149" s="134">
        <v>45716</v>
      </c>
      <c r="HH149" s="134">
        <v>45747</v>
      </c>
      <c r="HI149" s="134">
        <v>45777</v>
      </c>
      <c r="HJ149" s="134">
        <v>45808</v>
      </c>
      <c r="HK149" s="134">
        <v>45838</v>
      </c>
      <c r="HL149" s="134">
        <v>45869</v>
      </c>
      <c r="HM149" s="134">
        <v>45900</v>
      </c>
      <c r="HN149" s="134">
        <v>45930</v>
      </c>
      <c r="HO149" s="134">
        <v>45961</v>
      </c>
      <c r="HP149" s="134">
        <v>45991</v>
      </c>
      <c r="HQ149" s="134">
        <v>46022</v>
      </c>
      <c r="HR149" s="137" t="str">
        <f>+GP149</f>
        <v>Budget-2025</v>
      </c>
      <c r="HS149" s="138"/>
      <c r="HT149" s="133">
        <v>45688</v>
      </c>
      <c r="HU149" s="134">
        <v>45716</v>
      </c>
      <c r="HV149" s="134">
        <v>45747</v>
      </c>
      <c r="HW149" s="134">
        <v>45777</v>
      </c>
      <c r="HX149" s="134">
        <v>45808</v>
      </c>
      <c r="HY149" s="134">
        <v>45838</v>
      </c>
      <c r="HZ149" s="134">
        <v>45869</v>
      </c>
      <c r="IA149" s="134">
        <v>45900</v>
      </c>
      <c r="IB149" s="134">
        <v>45930</v>
      </c>
      <c r="IC149" s="134">
        <v>45961</v>
      </c>
      <c r="ID149" s="134">
        <v>45991</v>
      </c>
      <c r="IE149" s="134">
        <v>46022</v>
      </c>
      <c r="IF149" s="137" t="str">
        <f>+HR149</f>
        <v>Budget-2025</v>
      </c>
      <c r="IG149" s="138"/>
      <c r="IH149" s="133">
        <v>45688</v>
      </c>
      <c r="II149" s="134">
        <v>45716</v>
      </c>
      <c r="IJ149" s="134">
        <v>45747</v>
      </c>
      <c r="IK149" s="134">
        <v>45777</v>
      </c>
      <c r="IL149" s="134">
        <v>45808</v>
      </c>
      <c r="IM149" s="134">
        <v>45838</v>
      </c>
      <c r="IN149" s="134">
        <v>45869</v>
      </c>
      <c r="IO149" s="134">
        <v>45900</v>
      </c>
      <c r="IP149" s="134">
        <v>45930</v>
      </c>
      <c r="IQ149" s="134">
        <v>45961</v>
      </c>
      <c r="IR149" s="134">
        <v>45991</v>
      </c>
      <c r="IS149" s="134">
        <v>46022</v>
      </c>
      <c r="IT149" s="137" t="str">
        <f>+IF149</f>
        <v>Budget-2025</v>
      </c>
      <c r="IU149" s="138"/>
      <c r="IV149" s="133">
        <v>45688</v>
      </c>
      <c r="IW149" s="134">
        <v>45716</v>
      </c>
      <c r="IX149" s="134">
        <v>45747</v>
      </c>
      <c r="IY149" s="134">
        <v>45777</v>
      </c>
      <c r="IZ149" s="134">
        <v>45808</v>
      </c>
      <c r="JA149" s="134">
        <v>45838</v>
      </c>
      <c r="JB149" s="134">
        <v>45869</v>
      </c>
      <c r="JC149" s="134">
        <v>45900</v>
      </c>
      <c r="JD149" s="134">
        <v>45930</v>
      </c>
      <c r="JE149" s="134">
        <v>45961</v>
      </c>
      <c r="JF149" s="134">
        <v>45991</v>
      </c>
      <c r="JG149" s="134">
        <v>46022</v>
      </c>
      <c r="JH149" s="137" t="str">
        <f>+IT149</f>
        <v>Budget-2025</v>
      </c>
      <c r="JI149" s="138"/>
      <c r="JJ149" s="133">
        <v>45688</v>
      </c>
      <c r="JK149" s="134">
        <v>45716</v>
      </c>
      <c r="JL149" s="134">
        <v>45747</v>
      </c>
      <c r="JM149" s="134">
        <v>45777</v>
      </c>
      <c r="JN149" s="134">
        <v>45808</v>
      </c>
      <c r="JO149" s="134">
        <v>45838</v>
      </c>
      <c r="JP149" s="134">
        <v>45869</v>
      </c>
      <c r="JQ149" s="134">
        <v>45900</v>
      </c>
      <c r="JR149" s="134">
        <v>45930</v>
      </c>
      <c r="JS149" s="134">
        <v>45961</v>
      </c>
      <c r="JT149" s="134">
        <v>45991</v>
      </c>
      <c r="JU149" s="134">
        <v>46022</v>
      </c>
      <c r="JV149" s="137" t="str">
        <f>+JH149</f>
        <v>Budget-2025</v>
      </c>
      <c r="JW149" s="138"/>
      <c r="JX149" s="133">
        <v>45688</v>
      </c>
      <c r="JY149" s="134">
        <v>45716</v>
      </c>
      <c r="JZ149" s="134">
        <v>45747</v>
      </c>
      <c r="KA149" s="134">
        <v>45777</v>
      </c>
      <c r="KB149" s="134">
        <v>45808</v>
      </c>
      <c r="KC149" s="134">
        <v>45838</v>
      </c>
      <c r="KD149" s="134">
        <v>45869</v>
      </c>
      <c r="KE149" s="134">
        <v>45900</v>
      </c>
      <c r="KF149" s="134">
        <v>45930</v>
      </c>
      <c r="KG149" s="134">
        <v>45961</v>
      </c>
      <c r="KH149" s="134">
        <v>45991</v>
      </c>
      <c r="KI149" s="134">
        <v>46022</v>
      </c>
      <c r="KJ149" s="137" t="str">
        <f>+JV149</f>
        <v>Budget-2025</v>
      </c>
      <c r="KK149" s="138"/>
      <c r="KL149" s="133">
        <v>45688</v>
      </c>
      <c r="KM149" s="134">
        <v>45716</v>
      </c>
      <c r="KN149" s="134">
        <v>45747</v>
      </c>
      <c r="KO149" s="134">
        <v>45777</v>
      </c>
      <c r="KP149" s="134">
        <v>45808</v>
      </c>
      <c r="KQ149" s="134">
        <v>45838</v>
      </c>
      <c r="KR149" s="134">
        <v>45869</v>
      </c>
      <c r="KS149" s="134">
        <v>45900</v>
      </c>
      <c r="KT149" s="134">
        <v>45930</v>
      </c>
      <c r="KU149" s="134">
        <v>45961</v>
      </c>
      <c r="KV149" s="134">
        <v>45991</v>
      </c>
      <c r="KW149" s="134">
        <v>46022</v>
      </c>
      <c r="KX149" s="137" t="s">
        <v>47</v>
      </c>
      <c r="KY149" s="138"/>
      <c r="KZ149" s="133">
        <v>45688</v>
      </c>
      <c r="LA149" s="134">
        <v>45716</v>
      </c>
      <c r="LB149" s="134">
        <v>45747</v>
      </c>
      <c r="LC149" s="134">
        <v>45777</v>
      </c>
      <c r="LD149" s="134">
        <v>45808</v>
      </c>
      <c r="LE149" s="134">
        <v>45838</v>
      </c>
      <c r="LF149" s="134">
        <v>45869</v>
      </c>
      <c r="LG149" s="134">
        <v>45900</v>
      </c>
      <c r="LH149" s="134">
        <v>45930</v>
      </c>
      <c r="LI149" s="134">
        <v>45961</v>
      </c>
      <c r="LJ149" s="134">
        <v>45991</v>
      </c>
      <c r="LK149" s="134">
        <v>46022</v>
      </c>
      <c r="LL149" s="137" t="str">
        <f>+KX149</f>
        <v>Total</v>
      </c>
      <c r="LM149" s="138"/>
      <c r="LN149" s="133">
        <v>45688</v>
      </c>
      <c r="LO149" s="134">
        <v>45716</v>
      </c>
      <c r="LP149" s="134">
        <v>45747</v>
      </c>
      <c r="LQ149" s="134">
        <v>45777</v>
      </c>
      <c r="LR149" s="134">
        <v>45808</v>
      </c>
      <c r="LS149" s="134">
        <v>45838</v>
      </c>
      <c r="LT149" s="134">
        <v>45869</v>
      </c>
      <c r="LU149" s="134">
        <v>45900</v>
      </c>
      <c r="LV149" s="134">
        <v>45930</v>
      </c>
      <c r="LW149" s="134">
        <v>45961</v>
      </c>
      <c r="LX149" s="134">
        <v>45991</v>
      </c>
      <c r="LY149" s="134">
        <v>46022</v>
      </c>
      <c r="LZ149" s="137" t="str">
        <f>+HD149</f>
        <v>Total</v>
      </c>
      <c r="MA149" s="138"/>
      <c r="MB149" s="139" t="s">
        <v>47</v>
      </c>
      <c r="MC149" s="139" t="str">
        <f>MB149</f>
        <v>Total</v>
      </c>
      <c r="MD149" s="139" t="str">
        <f t="shared" si="611"/>
        <v>Total</v>
      </c>
      <c r="ME149" s="139" t="str">
        <f t="shared" si="611"/>
        <v>Total</v>
      </c>
      <c r="MF149" s="139" t="str">
        <f t="shared" si="611"/>
        <v>Total</v>
      </c>
      <c r="MG149" s="139" t="str">
        <f t="shared" si="611"/>
        <v>Total</v>
      </c>
      <c r="MH149" s="139" t="str">
        <f t="shared" si="611"/>
        <v>Total</v>
      </c>
      <c r="MI149" s="139" t="str">
        <f t="shared" si="611"/>
        <v>Total</v>
      </c>
      <c r="MJ149" s="139" t="str">
        <f t="shared" si="611"/>
        <v>Total</v>
      </c>
      <c r="MK149" s="139" t="str">
        <f t="shared" si="611"/>
        <v>Total</v>
      </c>
      <c r="ML149" s="139" t="str">
        <f t="shared" si="611"/>
        <v>Total</v>
      </c>
      <c r="MM149" s="139" t="str">
        <f t="shared" si="611"/>
        <v>Total</v>
      </c>
      <c r="MN149" s="140" t="str">
        <f>MM149</f>
        <v>Total</v>
      </c>
    </row>
    <row r="150" spans="1:352" ht="13" x14ac:dyDescent="0.3">
      <c r="A150" s="262"/>
      <c r="B150" s="142" t="s">
        <v>170</v>
      </c>
      <c r="C150" s="141"/>
      <c r="D150" s="143" t="s">
        <v>171</v>
      </c>
      <c r="E150" s="144" t="s">
        <v>171</v>
      </c>
      <c r="F150" s="144" t="s">
        <v>171</v>
      </c>
      <c r="G150" s="144" t="s">
        <v>171</v>
      </c>
      <c r="H150" s="144" t="s">
        <v>171</v>
      </c>
      <c r="I150" s="144" t="s">
        <v>171</v>
      </c>
      <c r="J150" s="144" t="s">
        <v>171</v>
      </c>
      <c r="K150" s="144" t="s">
        <v>171</v>
      </c>
      <c r="L150" s="144" t="s">
        <v>171</v>
      </c>
      <c r="M150" s="144" t="s">
        <v>171</v>
      </c>
      <c r="N150" s="144" t="s">
        <v>171</v>
      </c>
      <c r="O150" s="144" t="s">
        <v>171</v>
      </c>
      <c r="P150" s="145" t="s">
        <v>171</v>
      </c>
      <c r="Q150" s="136"/>
      <c r="R150" s="146" t="s">
        <v>172</v>
      </c>
      <c r="S150" s="147" t="s">
        <v>172</v>
      </c>
      <c r="T150" s="147" t="s">
        <v>172</v>
      </c>
      <c r="U150" s="147" t="s">
        <v>172</v>
      </c>
      <c r="V150" s="147" t="s">
        <v>172</v>
      </c>
      <c r="W150" s="147" t="s">
        <v>172</v>
      </c>
      <c r="X150" s="147" t="s">
        <v>172</v>
      </c>
      <c r="Y150" s="147" t="s">
        <v>172</v>
      </c>
      <c r="Z150" s="147" t="s">
        <v>172</v>
      </c>
      <c r="AA150" s="147" t="s">
        <v>172</v>
      </c>
      <c r="AB150" s="147" t="s">
        <v>172</v>
      </c>
      <c r="AC150" s="147" t="s">
        <v>172</v>
      </c>
      <c r="AD150" s="145" t="s">
        <v>172</v>
      </c>
      <c r="AE150" s="128"/>
      <c r="AF150" s="143" t="s">
        <v>173</v>
      </c>
      <c r="AG150" s="144" t="s">
        <v>173</v>
      </c>
      <c r="AH150" s="144" t="s">
        <v>173</v>
      </c>
      <c r="AI150" s="144" t="s">
        <v>173</v>
      </c>
      <c r="AJ150" s="144" t="s">
        <v>173</v>
      </c>
      <c r="AK150" s="144" t="s">
        <v>173</v>
      </c>
      <c r="AL150" s="144" t="s">
        <v>173</v>
      </c>
      <c r="AM150" s="144" t="s">
        <v>173</v>
      </c>
      <c r="AN150" s="144" t="s">
        <v>173</v>
      </c>
      <c r="AO150" s="144" t="s">
        <v>173</v>
      </c>
      <c r="AP150" s="144" t="s">
        <v>173</v>
      </c>
      <c r="AQ150" s="148" t="s">
        <v>173</v>
      </c>
      <c r="AR150" s="145" t="s">
        <v>173</v>
      </c>
      <c r="AS150" s="138"/>
      <c r="AT150" s="143" t="s">
        <v>174</v>
      </c>
      <c r="AU150" s="144" t="s">
        <v>174</v>
      </c>
      <c r="AV150" s="144" t="s">
        <v>174</v>
      </c>
      <c r="AW150" s="144" t="s">
        <v>174</v>
      </c>
      <c r="AX150" s="144" t="s">
        <v>174</v>
      </c>
      <c r="AY150" s="144" t="s">
        <v>174</v>
      </c>
      <c r="AZ150" s="144" t="s">
        <v>174</v>
      </c>
      <c r="BA150" s="144" t="s">
        <v>174</v>
      </c>
      <c r="BB150" s="144" t="s">
        <v>174</v>
      </c>
      <c r="BC150" s="144" t="s">
        <v>174</v>
      </c>
      <c r="BD150" s="144" t="s">
        <v>174</v>
      </c>
      <c r="BE150" s="144" t="s">
        <v>174</v>
      </c>
      <c r="BF150" s="145" t="s">
        <v>174</v>
      </c>
      <c r="BG150" s="149"/>
      <c r="BH150" s="143" t="s">
        <v>175</v>
      </c>
      <c r="BI150" s="144" t="s">
        <v>175</v>
      </c>
      <c r="BJ150" s="144" t="s">
        <v>175</v>
      </c>
      <c r="BK150" s="144" t="s">
        <v>175</v>
      </c>
      <c r="BL150" s="144" t="s">
        <v>175</v>
      </c>
      <c r="BM150" s="144" t="s">
        <v>175</v>
      </c>
      <c r="BN150" s="144" t="s">
        <v>175</v>
      </c>
      <c r="BO150" s="144" t="s">
        <v>175</v>
      </c>
      <c r="BP150" s="144" t="s">
        <v>175</v>
      </c>
      <c r="BQ150" s="144" t="s">
        <v>175</v>
      </c>
      <c r="BR150" s="144" t="s">
        <v>175</v>
      </c>
      <c r="BS150" s="148" t="s">
        <v>175</v>
      </c>
      <c r="BT150" s="145" t="s">
        <v>175</v>
      </c>
      <c r="BU150" s="150"/>
      <c r="BV150" s="143" t="s">
        <v>176</v>
      </c>
      <c r="BW150" s="144" t="s">
        <v>176</v>
      </c>
      <c r="BX150" s="144" t="s">
        <v>176</v>
      </c>
      <c r="BY150" s="144" t="s">
        <v>176</v>
      </c>
      <c r="BZ150" s="144" t="s">
        <v>176</v>
      </c>
      <c r="CA150" s="144" t="s">
        <v>176</v>
      </c>
      <c r="CB150" s="144" t="s">
        <v>176</v>
      </c>
      <c r="CC150" s="144" t="s">
        <v>176</v>
      </c>
      <c r="CD150" s="144" t="s">
        <v>176</v>
      </c>
      <c r="CE150" s="144" t="s">
        <v>176</v>
      </c>
      <c r="CF150" s="144" t="s">
        <v>176</v>
      </c>
      <c r="CG150" s="144" t="s">
        <v>176</v>
      </c>
      <c r="CH150" s="145" t="s">
        <v>176</v>
      </c>
      <c r="CI150" s="150"/>
      <c r="CJ150" s="143" t="s">
        <v>177</v>
      </c>
      <c r="CK150" s="144" t="s">
        <v>177</v>
      </c>
      <c r="CL150" s="144" t="s">
        <v>177</v>
      </c>
      <c r="CM150" s="144" t="s">
        <v>177</v>
      </c>
      <c r="CN150" s="144" t="s">
        <v>177</v>
      </c>
      <c r="CO150" s="144" t="s">
        <v>177</v>
      </c>
      <c r="CP150" s="144" t="s">
        <v>177</v>
      </c>
      <c r="CQ150" s="144" t="s">
        <v>177</v>
      </c>
      <c r="CR150" s="144" t="s">
        <v>177</v>
      </c>
      <c r="CS150" s="144" t="s">
        <v>177</v>
      </c>
      <c r="CT150" s="144" t="s">
        <v>177</v>
      </c>
      <c r="CU150" s="144" t="s">
        <v>177</v>
      </c>
      <c r="CV150" s="145" t="s">
        <v>177</v>
      </c>
      <c r="CW150" s="150"/>
      <c r="CX150" s="143" t="s">
        <v>178</v>
      </c>
      <c r="CY150" s="144" t="s">
        <v>178</v>
      </c>
      <c r="CZ150" s="144" t="s">
        <v>178</v>
      </c>
      <c r="DA150" s="144" t="s">
        <v>178</v>
      </c>
      <c r="DB150" s="144" t="s">
        <v>178</v>
      </c>
      <c r="DC150" s="144" t="s">
        <v>178</v>
      </c>
      <c r="DD150" s="144" t="s">
        <v>178</v>
      </c>
      <c r="DE150" s="144" t="s">
        <v>178</v>
      </c>
      <c r="DF150" s="144" t="s">
        <v>178</v>
      </c>
      <c r="DG150" s="144" t="s">
        <v>178</v>
      </c>
      <c r="DH150" s="144" t="s">
        <v>178</v>
      </c>
      <c r="DI150" s="144" t="s">
        <v>178</v>
      </c>
      <c r="DJ150" s="145" t="s">
        <v>178</v>
      </c>
      <c r="DK150" s="150"/>
      <c r="DL150" s="143" t="s">
        <v>179</v>
      </c>
      <c r="DM150" s="144" t="s">
        <v>179</v>
      </c>
      <c r="DN150" s="144" t="s">
        <v>179</v>
      </c>
      <c r="DO150" s="144" t="s">
        <v>179</v>
      </c>
      <c r="DP150" s="144" t="s">
        <v>179</v>
      </c>
      <c r="DQ150" s="144" t="s">
        <v>179</v>
      </c>
      <c r="DR150" s="144" t="s">
        <v>179</v>
      </c>
      <c r="DS150" s="144" t="s">
        <v>179</v>
      </c>
      <c r="DT150" s="144" t="s">
        <v>179</v>
      </c>
      <c r="DU150" s="144" t="s">
        <v>179</v>
      </c>
      <c r="DV150" s="144" t="s">
        <v>179</v>
      </c>
      <c r="DW150" s="144" t="s">
        <v>179</v>
      </c>
      <c r="DX150" s="145" t="s">
        <v>179</v>
      </c>
      <c r="DY150" s="150"/>
      <c r="DZ150" s="143" t="s">
        <v>180</v>
      </c>
      <c r="EA150" s="144" t="s">
        <v>180</v>
      </c>
      <c r="EB150" s="144" t="s">
        <v>180</v>
      </c>
      <c r="EC150" s="144" t="s">
        <v>180</v>
      </c>
      <c r="ED150" s="144" t="s">
        <v>180</v>
      </c>
      <c r="EE150" s="144" t="s">
        <v>180</v>
      </c>
      <c r="EF150" s="144" t="s">
        <v>180</v>
      </c>
      <c r="EG150" s="144" t="s">
        <v>180</v>
      </c>
      <c r="EH150" s="144" t="s">
        <v>180</v>
      </c>
      <c r="EI150" s="144" t="s">
        <v>180</v>
      </c>
      <c r="EJ150" s="144" t="s">
        <v>180</v>
      </c>
      <c r="EK150" s="144" t="s">
        <v>180</v>
      </c>
      <c r="EL150" s="145" t="s">
        <v>180</v>
      </c>
      <c r="EM150" s="150"/>
      <c r="EN150" s="143" t="s">
        <v>181</v>
      </c>
      <c r="EO150" s="144" t="s">
        <v>181</v>
      </c>
      <c r="EP150" s="144" t="s">
        <v>181</v>
      </c>
      <c r="EQ150" s="144" t="s">
        <v>181</v>
      </c>
      <c r="ER150" s="144" t="s">
        <v>181</v>
      </c>
      <c r="ES150" s="144" t="s">
        <v>181</v>
      </c>
      <c r="ET150" s="144" t="s">
        <v>181</v>
      </c>
      <c r="EU150" s="144" t="s">
        <v>181</v>
      </c>
      <c r="EV150" s="144" t="s">
        <v>181</v>
      </c>
      <c r="EW150" s="144" t="s">
        <v>181</v>
      </c>
      <c r="EX150" s="144" t="s">
        <v>181</v>
      </c>
      <c r="EY150" s="144" t="s">
        <v>181</v>
      </c>
      <c r="EZ150" s="145" t="s">
        <v>181</v>
      </c>
      <c r="FA150" s="150"/>
      <c r="FB150" s="143" t="s">
        <v>182</v>
      </c>
      <c r="FC150" s="144" t="s">
        <v>182</v>
      </c>
      <c r="FD150" s="144" t="s">
        <v>182</v>
      </c>
      <c r="FE150" s="144" t="s">
        <v>182</v>
      </c>
      <c r="FF150" s="144" t="s">
        <v>182</v>
      </c>
      <c r="FG150" s="144" t="s">
        <v>182</v>
      </c>
      <c r="FH150" s="144" t="s">
        <v>182</v>
      </c>
      <c r="FI150" s="144" t="s">
        <v>182</v>
      </c>
      <c r="FJ150" s="144" t="s">
        <v>182</v>
      </c>
      <c r="FK150" s="144" t="s">
        <v>182</v>
      </c>
      <c r="FL150" s="144" t="s">
        <v>182</v>
      </c>
      <c r="FM150" s="144" t="s">
        <v>182</v>
      </c>
      <c r="FN150" s="145" t="s">
        <v>182</v>
      </c>
      <c r="FO150" s="150"/>
      <c r="FP150" s="143" t="s">
        <v>183</v>
      </c>
      <c r="FQ150" s="144" t="s">
        <v>183</v>
      </c>
      <c r="FR150" s="144" t="s">
        <v>183</v>
      </c>
      <c r="FS150" s="144" t="s">
        <v>183</v>
      </c>
      <c r="FT150" s="144" t="s">
        <v>183</v>
      </c>
      <c r="FU150" s="144" t="s">
        <v>183</v>
      </c>
      <c r="FV150" s="144" t="s">
        <v>183</v>
      </c>
      <c r="FW150" s="144" t="s">
        <v>183</v>
      </c>
      <c r="FX150" s="144" t="s">
        <v>183</v>
      </c>
      <c r="FY150" s="144" t="s">
        <v>183</v>
      </c>
      <c r="FZ150" s="144" t="s">
        <v>183</v>
      </c>
      <c r="GA150" s="144" t="s">
        <v>183</v>
      </c>
      <c r="GB150" s="145" t="s">
        <v>183</v>
      </c>
      <c r="GC150" s="150"/>
      <c r="GD150" s="143" t="s">
        <v>184</v>
      </c>
      <c r="GE150" s="144" t="s">
        <v>184</v>
      </c>
      <c r="GF150" s="144" t="s">
        <v>184</v>
      </c>
      <c r="GG150" s="144" t="s">
        <v>184</v>
      </c>
      <c r="GH150" s="144" t="s">
        <v>184</v>
      </c>
      <c r="GI150" s="144" t="s">
        <v>184</v>
      </c>
      <c r="GJ150" s="144" t="s">
        <v>184</v>
      </c>
      <c r="GK150" s="144" t="s">
        <v>184</v>
      </c>
      <c r="GL150" s="144" t="s">
        <v>184</v>
      </c>
      <c r="GM150" s="144" t="s">
        <v>184</v>
      </c>
      <c r="GN150" s="144" t="s">
        <v>184</v>
      </c>
      <c r="GO150" s="144" t="s">
        <v>184</v>
      </c>
      <c r="GP150" s="145" t="s">
        <v>184</v>
      </c>
      <c r="GQ150" s="150"/>
      <c r="GR150" s="143" t="s">
        <v>162</v>
      </c>
      <c r="GS150" s="144" t="s">
        <v>162</v>
      </c>
      <c r="GT150" s="144" t="s">
        <v>162</v>
      </c>
      <c r="GU150" s="144" t="s">
        <v>162</v>
      </c>
      <c r="GV150" s="144" t="s">
        <v>162</v>
      </c>
      <c r="GW150" s="144" t="s">
        <v>162</v>
      </c>
      <c r="GX150" s="144" t="s">
        <v>162</v>
      </c>
      <c r="GY150" s="144" t="s">
        <v>162</v>
      </c>
      <c r="GZ150" s="144" t="s">
        <v>162</v>
      </c>
      <c r="HA150" s="144" t="s">
        <v>162</v>
      </c>
      <c r="HB150" s="144" t="s">
        <v>162</v>
      </c>
      <c r="HC150" s="144" t="s">
        <v>162</v>
      </c>
      <c r="HD150" s="145" t="s">
        <v>162</v>
      </c>
      <c r="HE150" s="150"/>
      <c r="HF150" s="143" t="s">
        <v>185</v>
      </c>
      <c r="HG150" s="144" t="s">
        <v>185</v>
      </c>
      <c r="HH150" s="144" t="s">
        <v>185</v>
      </c>
      <c r="HI150" s="144" t="s">
        <v>185</v>
      </c>
      <c r="HJ150" s="144" t="s">
        <v>185</v>
      </c>
      <c r="HK150" s="144" t="s">
        <v>185</v>
      </c>
      <c r="HL150" s="144" t="s">
        <v>185</v>
      </c>
      <c r="HM150" s="144" t="s">
        <v>185</v>
      </c>
      <c r="HN150" s="144" t="s">
        <v>185</v>
      </c>
      <c r="HO150" s="144" t="s">
        <v>185</v>
      </c>
      <c r="HP150" s="144" t="s">
        <v>185</v>
      </c>
      <c r="HQ150" s="144" t="s">
        <v>185</v>
      </c>
      <c r="HR150" s="145" t="s">
        <v>185</v>
      </c>
      <c r="HS150" s="150"/>
      <c r="HT150" s="143" t="s">
        <v>186</v>
      </c>
      <c r="HU150" s="144" t="s">
        <v>186</v>
      </c>
      <c r="HV150" s="144" t="s">
        <v>186</v>
      </c>
      <c r="HW150" s="144" t="s">
        <v>186</v>
      </c>
      <c r="HX150" s="144" t="s">
        <v>186</v>
      </c>
      <c r="HY150" s="144" t="s">
        <v>186</v>
      </c>
      <c r="HZ150" s="144" t="s">
        <v>186</v>
      </c>
      <c r="IA150" s="144" t="s">
        <v>186</v>
      </c>
      <c r="IB150" s="144" t="s">
        <v>186</v>
      </c>
      <c r="IC150" s="144" t="s">
        <v>186</v>
      </c>
      <c r="ID150" s="144" t="s">
        <v>186</v>
      </c>
      <c r="IE150" s="144" t="s">
        <v>186</v>
      </c>
      <c r="IF150" s="145" t="s">
        <v>186</v>
      </c>
      <c r="IG150" s="150"/>
      <c r="IH150" s="143" t="s">
        <v>187</v>
      </c>
      <c r="II150" s="144" t="s">
        <v>187</v>
      </c>
      <c r="IJ150" s="144" t="s">
        <v>187</v>
      </c>
      <c r="IK150" s="144" t="s">
        <v>187</v>
      </c>
      <c r="IL150" s="144" t="s">
        <v>187</v>
      </c>
      <c r="IM150" s="144" t="s">
        <v>187</v>
      </c>
      <c r="IN150" s="144" t="s">
        <v>187</v>
      </c>
      <c r="IO150" s="144" t="s">
        <v>187</v>
      </c>
      <c r="IP150" s="144" t="s">
        <v>187</v>
      </c>
      <c r="IQ150" s="144" t="s">
        <v>187</v>
      </c>
      <c r="IR150" s="144" t="s">
        <v>187</v>
      </c>
      <c r="IS150" s="144" t="s">
        <v>187</v>
      </c>
      <c r="IT150" s="145" t="s">
        <v>187</v>
      </c>
      <c r="IU150" s="150"/>
      <c r="IV150" s="143" t="s">
        <v>188</v>
      </c>
      <c r="IW150" s="144" t="s">
        <v>188</v>
      </c>
      <c r="IX150" s="144" t="s">
        <v>188</v>
      </c>
      <c r="IY150" s="144" t="s">
        <v>188</v>
      </c>
      <c r="IZ150" s="144" t="s">
        <v>188</v>
      </c>
      <c r="JA150" s="144" t="s">
        <v>188</v>
      </c>
      <c r="JB150" s="144" t="s">
        <v>188</v>
      </c>
      <c r="JC150" s="144" t="s">
        <v>188</v>
      </c>
      <c r="JD150" s="144" t="s">
        <v>188</v>
      </c>
      <c r="JE150" s="144" t="s">
        <v>188</v>
      </c>
      <c r="JF150" s="144" t="s">
        <v>188</v>
      </c>
      <c r="JG150" s="144" t="s">
        <v>188</v>
      </c>
      <c r="JH150" s="145" t="s">
        <v>188</v>
      </c>
      <c r="JI150" s="150"/>
      <c r="JJ150" s="143" t="s">
        <v>189</v>
      </c>
      <c r="JK150" s="144" t="s">
        <v>189</v>
      </c>
      <c r="JL150" s="144" t="s">
        <v>189</v>
      </c>
      <c r="JM150" s="144" t="s">
        <v>189</v>
      </c>
      <c r="JN150" s="144" t="s">
        <v>189</v>
      </c>
      <c r="JO150" s="144" t="s">
        <v>189</v>
      </c>
      <c r="JP150" s="144" t="s">
        <v>189</v>
      </c>
      <c r="JQ150" s="144" t="s">
        <v>189</v>
      </c>
      <c r="JR150" s="144" t="s">
        <v>189</v>
      </c>
      <c r="JS150" s="144" t="s">
        <v>189</v>
      </c>
      <c r="JT150" s="144" t="s">
        <v>189</v>
      </c>
      <c r="JU150" s="144" t="s">
        <v>189</v>
      </c>
      <c r="JV150" s="145" t="s">
        <v>189</v>
      </c>
      <c r="JW150" s="150"/>
      <c r="JX150" s="143" t="s">
        <v>190</v>
      </c>
      <c r="JY150" s="144" t="s">
        <v>190</v>
      </c>
      <c r="JZ150" s="144" t="s">
        <v>190</v>
      </c>
      <c r="KA150" s="144" t="s">
        <v>190</v>
      </c>
      <c r="KB150" s="144" t="s">
        <v>190</v>
      </c>
      <c r="KC150" s="144" t="s">
        <v>190</v>
      </c>
      <c r="KD150" s="144" t="s">
        <v>190</v>
      </c>
      <c r="KE150" s="144" t="s">
        <v>190</v>
      </c>
      <c r="KF150" s="144" t="s">
        <v>190</v>
      </c>
      <c r="KG150" s="144" t="s">
        <v>190</v>
      </c>
      <c r="KH150" s="144" t="s">
        <v>190</v>
      </c>
      <c r="KI150" s="144" t="s">
        <v>190</v>
      </c>
      <c r="KJ150" s="145" t="s">
        <v>190</v>
      </c>
      <c r="KK150" s="150"/>
      <c r="KL150" s="143" t="s">
        <v>191</v>
      </c>
      <c r="KM150" s="144" t="s">
        <v>191</v>
      </c>
      <c r="KN150" s="144" t="s">
        <v>191</v>
      </c>
      <c r="KO150" s="144" t="s">
        <v>191</v>
      </c>
      <c r="KP150" s="144" t="s">
        <v>191</v>
      </c>
      <c r="KQ150" s="144" t="s">
        <v>191</v>
      </c>
      <c r="KR150" s="144" t="s">
        <v>191</v>
      </c>
      <c r="KS150" s="144" t="s">
        <v>191</v>
      </c>
      <c r="KT150" s="144" t="s">
        <v>191</v>
      </c>
      <c r="KU150" s="144" t="s">
        <v>191</v>
      </c>
      <c r="KV150" s="144" t="s">
        <v>191</v>
      </c>
      <c r="KW150" s="144" t="s">
        <v>191</v>
      </c>
      <c r="KX150" s="145" t="s">
        <v>191</v>
      </c>
      <c r="KY150" s="150"/>
      <c r="KZ150" s="143" t="s">
        <v>192</v>
      </c>
      <c r="LA150" s="144" t="s">
        <v>192</v>
      </c>
      <c r="LB150" s="144" t="s">
        <v>192</v>
      </c>
      <c r="LC150" s="144" t="s">
        <v>192</v>
      </c>
      <c r="LD150" s="144" t="s">
        <v>192</v>
      </c>
      <c r="LE150" s="144" t="s">
        <v>192</v>
      </c>
      <c r="LF150" s="144" t="s">
        <v>192</v>
      </c>
      <c r="LG150" s="144" t="s">
        <v>192</v>
      </c>
      <c r="LH150" s="144" t="s">
        <v>192</v>
      </c>
      <c r="LI150" s="144" t="s">
        <v>192</v>
      </c>
      <c r="LJ150" s="144" t="s">
        <v>192</v>
      </c>
      <c r="LK150" s="144" t="s">
        <v>192</v>
      </c>
      <c r="LL150" s="145" t="s">
        <v>192</v>
      </c>
      <c r="LM150" s="150"/>
      <c r="LN150" s="143"/>
      <c r="LO150" s="144"/>
      <c r="LP150" s="144"/>
      <c r="LQ150" s="144"/>
      <c r="LR150" s="144"/>
      <c r="LS150" s="144"/>
      <c r="LT150" s="144"/>
      <c r="LU150" s="144"/>
      <c r="LV150" s="144"/>
      <c r="LW150" s="144"/>
      <c r="LX150" s="144"/>
      <c r="LY150" s="144"/>
      <c r="LZ150" s="145"/>
      <c r="MA150" s="150"/>
      <c r="MB150" s="151" t="s">
        <v>193</v>
      </c>
      <c r="MC150" s="151" t="str">
        <f>MB150</f>
        <v>30 Divisions</v>
      </c>
      <c r="MD150" s="151" t="str">
        <f t="shared" si="611"/>
        <v>30 Divisions</v>
      </c>
      <c r="ME150" s="151" t="str">
        <f t="shared" si="611"/>
        <v>30 Divisions</v>
      </c>
      <c r="MF150" s="151" t="str">
        <f t="shared" si="611"/>
        <v>30 Divisions</v>
      </c>
      <c r="MG150" s="151" t="str">
        <f t="shared" si="611"/>
        <v>30 Divisions</v>
      </c>
      <c r="MH150" s="151" t="str">
        <f t="shared" si="611"/>
        <v>30 Divisions</v>
      </c>
      <c r="MI150" s="151" t="str">
        <f t="shared" si="611"/>
        <v>30 Divisions</v>
      </c>
      <c r="MJ150" s="151" t="str">
        <f t="shared" si="611"/>
        <v>30 Divisions</v>
      </c>
      <c r="MK150" s="151" t="str">
        <f t="shared" si="611"/>
        <v>30 Divisions</v>
      </c>
      <c r="ML150" s="151" t="str">
        <f t="shared" si="611"/>
        <v>30 Divisions</v>
      </c>
      <c r="MM150" s="151" t="str">
        <f t="shared" si="611"/>
        <v>30 Divisions</v>
      </c>
      <c r="MN150" s="151" t="str">
        <f t="shared" si="611"/>
        <v>30 Divisions</v>
      </c>
    </row>
    <row r="151" spans="1:352" hidden="1" x14ac:dyDescent="0.3">
      <c r="A151" s="262"/>
      <c r="B151" s="152" t="s">
        <v>194</v>
      </c>
      <c r="D151" s="153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5"/>
      <c r="Q151" s="156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7"/>
      <c r="AE151" s="158"/>
      <c r="AF151" s="153"/>
      <c r="AG151" s="154"/>
      <c r="AH151" s="154"/>
      <c r="AI151" s="154"/>
      <c r="AJ151" s="154"/>
      <c r="AK151" s="154"/>
      <c r="AL151" s="154"/>
      <c r="AM151" s="154"/>
      <c r="AN151" s="154"/>
      <c r="AO151" s="154"/>
      <c r="AP151" s="154"/>
      <c r="AQ151" s="154"/>
      <c r="AR151" s="157"/>
      <c r="AS151" s="159"/>
      <c r="AT151" s="153"/>
      <c r="AU151" s="154"/>
      <c r="AV151" s="154"/>
      <c r="AW151" s="154"/>
      <c r="AX151" s="154"/>
      <c r="AY151" s="154"/>
      <c r="AZ151" s="154"/>
      <c r="BA151" s="154"/>
      <c r="BB151" s="154"/>
      <c r="BC151" s="154"/>
      <c r="BD151" s="154"/>
      <c r="BE151" s="154"/>
      <c r="BF151" s="157"/>
      <c r="BG151" s="160"/>
      <c r="BH151" s="153"/>
      <c r="BI151" s="154"/>
      <c r="BJ151" s="154"/>
      <c r="BK151" s="154"/>
      <c r="BL151" s="154"/>
      <c r="BM151" s="154"/>
      <c r="BN151" s="154"/>
      <c r="BO151" s="154"/>
      <c r="BP151" s="154"/>
      <c r="BQ151" s="154"/>
      <c r="BR151" s="154"/>
      <c r="BS151" s="154"/>
      <c r="BT151" s="157"/>
      <c r="BV151" s="153"/>
      <c r="BW151" s="154"/>
      <c r="BX151" s="154"/>
      <c r="BY151" s="154"/>
      <c r="BZ151" s="154"/>
      <c r="CA151" s="154"/>
      <c r="CB151" s="154"/>
      <c r="CC151" s="154"/>
      <c r="CD151" s="154"/>
      <c r="CE151" s="154"/>
      <c r="CF151" s="154"/>
      <c r="CG151" s="154"/>
      <c r="CH151" s="157"/>
      <c r="CI151" s="161"/>
      <c r="CJ151" s="153"/>
      <c r="CK151" s="154"/>
      <c r="CL151" s="154"/>
      <c r="CM151" s="154"/>
      <c r="CN151" s="154"/>
      <c r="CO151" s="154"/>
      <c r="CP151" s="154"/>
      <c r="CQ151" s="154"/>
      <c r="CR151" s="154"/>
      <c r="CS151" s="154"/>
      <c r="CT151" s="154"/>
      <c r="CU151" s="154"/>
      <c r="CV151" s="157"/>
      <c r="CW151" s="161"/>
      <c r="CX151" s="153"/>
      <c r="CY151" s="154"/>
      <c r="CZ151" s="154"/>
      <c r="DA151" s="154"/>
      <c r="DB151" s="154"/>
      <c r="DC151" s="154"/>
      <c r="DD151" s="154"/>
      <c r="DE151" s="154"/>
      <c r="DF151" s="154"/>
      <c r="DG151" s="154"/>
      <c r="DH151" s="154"/>
      <c r="DI151" s="154"/>
      <c r="DJ151" s="157"/>
      <c r="DK151" s="161"/>
      <c r="DL151" s="153"/>
      <c r="DM151" s="154"/>
      <c r="DN151" s="154"/>
      <c r="DO151" s="154"/>
      <c r="DP151" s="154"/>
      <c r="DQ151" s="154"/>
      <c r="DR151" s="154"/>
      <c r="DS151" s="154"/>
      <c r="DT151" s="154"/>
      <c r="DU151" s="154"/>
      <c r="DV151" s="154"/>
      <c r="DW151" s="154"/>
      <c r="DX151" s="157"/>
      <c r="DY151" s="161"/>
      <c r="DZ151" s="153"/>
      <c r="EA151" s="154"/>
      <c r="EB151" s="154"/>
      <c r="EC151" s="154"/>
      <c r="ED151" s="154"/>
      <c r="EE151" s="154"/>
      <c r="EF151" s="154"/>
      <c r="EG151" s="154"/>
      <c r="EH151" s="154"/>
      <c r="EI151" s="154"/>
      <c r="EJ151" s="154"/>
      <c r="EK151" s="154"/>
      <c r="EL151" s="157"/>
      <c r="EM151" s="161"/>
      <c r="EN151" s="153"/>
      <c r="EO151" s="154"/>
      <c r="EP151" s="154"/>
      <c r="EQ151" s="154"/>
      <c r="ER151" s="154"/>
      <c r="ES151" s="154"/>
      <c r="ET151" s="154"/>
      <c r="EU151" s="154"/>
      <c r="EV151" s="154"/>
      <c r="EW151" s="154"/>
      <c r="EX151" s="154"/>
      <c r="EY151" s="154"/>
      <c r="EZ151" s="157"/>
      <c r="FA151" s="161"/>
      <c r="FB151" s="153"/>
      <c r="FC151" s="154"/>
      <c r="FD151" s="154"/>
      <c r="FE151" s="154"/>
      <c r="FF151" s="154"/>
      <c r="FG151" s="154"/>
      <c r="FH151" s="154"/>
      <c r="FI151" s="154"/>
      <c r="FJ151" s="154"/>
      <c r="FK151" s="154"/>
      <c r="FL151" s="154"/>
      <c r="FM151" s="154"/>
      <c r="FN151" s="157"/>
      <c r="FO151" s="161"/>
      <c r="FP151" s="153"/>
      <c r="FQ151" s="154"/>
      <c r="FR151" s="154"/>
      <c r="FS151" s="154"/>
      <c r="FT151" s="154"/>
      <c r="FU151" s="154"/>
      <c r="FV151" s="154"/>
      <c r="FW151" s="154"/>
      <c r="FX151" s="154"/>
      <c r="FY151" s="154"/>
      <c r="FZ151" s="154"/>
      <c r="GA151" s="154"/>
      <c r="GB151" s="157"/>
      <c r="GC151" s="161"/>
      <c r="GD151" s="153"/>
      <c r="GE151" s="154"/>
      <c r="GF151" s="154"/>
      <c r="GG151" s="154"/>
      <c r="GH151" s="154"/>
      <c r="GI151" s="154"/>
      <c r="GJ151" s="154"/>
      <c r="GK151" s="154"/>
      <c r="GL151" s="154"/>
      <c r="GM151" s="154"/>
      <c r="GN151" s="154"/>
      <c r="GO151" s="154"/>
      <c r="GP151" s="157"/>
      <c r="GQ151" s="161"/>
      <c r="GR151" s="153"/>
      <c r="GS151" s="154"/>
      <c r="GT151" s="154"/>
      <c r="GU151" s="154"/>
      <c r="GV151" s="154"/>
      <c r="GW151" s="154"/>
      <c r="GX151" s="154"/>
      <c r="GY151" s="154"/>
      <c r="GZ151" s="154"/>
      <c r="HA151" s="154"/>
      <c r="HB151" s="154"/>
      <c r="HC151" s="154"/>
      <c r="HD151" s="157"/>
      <c r="HE151" s="161"/>
      <c r="HF151" s="153"/>
      <c r="HG151" s="154"/>
      <c r="HH151" s="154"/>
      <c r="HI151" s="154"/>
      <c r="HJ151" s="154"/>
      <c r="HK151" s="154"/>
      <c r="HL151" s="154"/>
      <c r="HM151" s="154"/>
      <c r="HN151" s="154"/>
      <c r="HO151" s="154"/>
      <c r="HP151" s="154"/>
      <c r="HQ151" s="154"/>
      <c r="HR151" s="157"/>
      <c r="HS151" s="161"/>
      <c r="HT151" s="153"/>
      <c r="HU151" s="154"/>
      <c r="HV151" s="154"/>
      <c r="HW151" s="154"/>
      <c r="HX151" s="154"/>
      <c r="HY151" s="154"/>
      <c r="HZ151" s="154"/>
      <c r="IA151" s="154"/>
      <c r="IB151" s="154"/>
      <c r="IC151" s="154"/>
      <c r="ID151" s="154"/>
      <c r="IE151" s="154"/>
      <c r="IF151" s="157"/>
      <c r="IG151" s="161"/>
      <c r="IH151" s="153"/>
      <c r="II151" s="154"/>
      <c r="IJ151" s="154"/>
      <c r="IK151" s="154"/>
      <c r="IL151" s="154"/>
      <c r="IM151" s="154"/>
      <c r="IN151" s="154"/>
      <c r="IO151" s="154"/>
      <c r="IP151" s="154"/>
      <c r="IQ151" s="154"/>
      <c r="IR151" s="154"/>
      <c r="IS151" s="154"/>
      <c r="IT151" s="157"/>
      <c r="IU151" s="161"/>
      <c r="IV151" s="153"/>
      <c r="IW151" s="154"/>
      <c r="IX151" s="154"/>
      <c r="IY151" s="154"/>
      <c r="IZ151" s="154"/>
      <c r="JA151" s="154"/>
      <c r="JB151" s="154"/>
      <c r="JC151" s="154"/>
      <c r="JD151" s="154"/>
      <c r="JE151" s="154"/>
      <c r="JF151" s="154"/>
      <c r="JG151" s="154"/>
      <c r="JH151" s="157"/>
      <c r="JI151" s="161"/>
      <c r="JJ151" s="153"/>
      <c r="JK151" s="154"/>
      <c r="JL151" s="154"/>
      <c r="JM151" s="154"/>
      <c r="JN151" s="154"/>
      <c r="JO151" s="154"/>
      <c r="JP151" s="154"/>
      <c r="JQ151" s="154"/>
      <c r="JR151" s="154"/>
      <c r="JS151" s="154"/>
      <c r="JT151" s="154"/>
      <c r="JU151" s="154"/>
      <c r="JV151" s="157"/>
      <c r="JW151" s="161"/>
      <c r="JX151" s="153"/>
      <c r="JY151" s="154"/>
      <c r="JZ151" s="154"/>
      <c r="KA151" s="154"/>
      <c r="KB151" s="154"/>
      <c r="KC151" s="154"/>
      <c r="KD151" s="154"/>
      <c r="KE151" s="154"/>
      <c r="KF151" s="154"/>
      <c r="KG151" s="154"/>
      <c r="KH151" s="154"/>
      <c r="KI151" s="154"/>
      <c r="KJ151" s="157"/>
      <c r="KK151" s="161"/>
      <c r="KL151" s="153"/>
      <c r="KM151" s="154"/>
      <c r="KN151" s="154"/>
      <c r="KO151" s="154"/>
      <c r="KP151" s="154"/>
      <c r="KQ151" s="154"/>
      <c r="KR151" s="154"/>
      <c r="KS151" s="154"/>
      <c r="KT151" s="154"/>
      <c r="KU151" s="154"/>
      <c r="KV151" s="154"/>
      <c r="KW151" s="154"/>
      <c r="KX151" s="157"/>
      <c r="KY151" s="161"/>
      <c r="KZ151" s="153"/>
      <c r="LA151" s="154"/>
      <c r="LB151" s="154"/>
      <c r="LC151" s="154"/>
      <c r="LD151" s="154"/>
      <c r="LE151" s="154"/>
      <c r="LF151" s="154"/>
      <c r="LG151" s="154"/>
      <c r="LH151" s="154"/>
      <c r="LI151" s="154"/>
      <c r="LJ151" s="154"/>
      <c r="LK151" s="154"/>
      <c r="LL151" s="157"/>
      <c r="LM151" s="161"/>
      <c r="LN151" s="153"/>
      <c r="LO151" s="154"/>
      <c r="LP151" s="154"/>
      <c r="LQ151" s="154"/>
      <c r="LR151" s="154"/>
      <c r="LS151" s="154"/>
      <c r="LT151" s="154"/>
      <c r="LU151" s="154"/>
      <c r="LV151" s="154"/>
      <c r="LW151" s="154"/>
      <c r="LX151" s="154"/>
      <c r="LY151" s="154"/>
      <c r="LZ151" s="157"/>
      <c r="MA151" s="161"/>
      <c r="MB151" s="157"/>
      <c r="MC151" s="157"/>
      <c r="MD151" s="157"/>
      <c r="ME151" s="157"/>
      <c r="MF151" s="157"/>
      <c r="MG151" s="157"/>
      <c r="MH151" s="157"/>
      <c r="MI151" s="157"/>
      <c r="MJ151" s="157"/>
      <c r="MK151" s="157"/>
      <c r="ML151" s="157"/>
      <c r="MM151" s="157"/>
      <c r="MN151" s="157"/>
    </row>
    <row r="152" spans="1:352" hidden="1" x14ac:dyDescent="0.3">
      <c r="A152" s="262"/>
      <c r="B152" s="98" t="s">
        <v>195</v>
      </c>
      <c r="D152" s="263">
        <v>0</v>
      </c>
      <c r="E152" s="264">
        <v>0</v>
      </c>
      <c r="F152" s="264">
        <v>0</v>
      </c>
      <c r="G152" s="265">
        <v>0</v>
      </c>
      <c r="H152" s="265">
        <v>0</v>
      </c>
      <c r="I152" s="265">
        <v>0</v>
      </c>
      <c r="J152" s="265">
        <v>0</v>
      </c>
      <c r="K152" s="265">
        <v>0</v>
      </c>
      <c r="L152" s="265">
        <v>0</v>
      </c>
      <c r="M152" s="265">
        <v>0</v>
      </c>
      <c r="N152" s="265">
        <v>0</v>
      </c>
      <c r="O152" s="265">
        <v>0</v>
      </c>
      <c r="P152" s="230">
        <f>+SUBTOTAL(9,D152:O152)</f>
        <v>0</v>
      </c>
      <c r="Q152" s="266"/>
      <c r="R152" s="263">
        <v>0</v>
      </c>
      <c r="S152" s="264">
        <v>0</v>
      </c>
      <c r="T152" s="265">
        <v>0</v>
      </c>
      <c r="U152" s="265">
        <v>0</v>
      </c>
      <c r="V152" s="265">
        <v>0</v>
      </c>
      <c r="W152" s="265">
        <v>0</v>
      </c>
      <c r="X152" s="265">
        <v>0</v>
      </c>
      <c r="Y152" s="265">
        <v>0</v>
      </c>
      <c r="Z152" s="265">
        <v>0</v>
      </c>
      <c r="AA152" s="265">
        <v>0</v>
      </c>
      <c r="AB152" s="265">
        <v>0</v>
      </c>
      <c r="AC152" s="265">
        <v>0</v>
      </c>
      <c r="AD152" s="230">
        <f>+SUBTOTAL(9,R152:AC152)</f>
        <v>0</v>
      </c>
      <c r="AE152" s="266"/>
      <c r="AF152" s="263">
        <v>0</v>
      </c>
      <c r="AG152" s="264">
        <v>0</v>
      </c>
      <c r="AH152" s="265">
        <v>0</v>
      </c>
      <c r="AI152" s="265">
        <v>0</v>
      </c>
      <c r="AJ152" s="265">
        <v>0</v>
      </c>
      <c r="AK152" s="265">
        <v>0</v>
      </c>
      <c r="AL152" s="265">
        <v>0</v>
      </c>
      <c r="AM152" s="265">
        <v>0</v>
      </c>
      <c r="AN152" s="265">
        <v>0</v>
      </c>
      <c r="AO152" s="265">
        <v>0</v>
      </c>
      <c r="AP152" s="265">
        <v>0</v>
      </c>
      <c r="AQ152" s="265">
        <v>0</v>
      </c>
      <c r="AR152" s="230">
        <f>+SUBTOTAL(9,AF152:AQ152)</f>
        <v>0</v>
      </c>
      <c r="AS152" s="266"/>
      <c r="AT152" s="263">
        <v>0</v>
      </c>
      <c r="AU152" s="264">
        <v>0</v>
      </c>
      <c r="AV152" s="265">
        <v>0</v>
      </c>
      <c r="AW152" s="265">
        <v>0</v>
      </c>
      <c r="AX152" s="265">
        <v>0</v>
      </c>
      <c r="AY152" s="265">
        <v>0</v>
      </c>
      <c r="AZ152" s="265">
        <v>0</v>
      </c>
      <c r="BA152" s="265">
        <v>0</v>
      </c>
      <c r="BB152" s="265">
        <v>0</v>
      </c>
      <c r="BC152" s="265">
        <v>0</v>
      </c>
      <c r="BD152" s="265">
        <v>0</v>
      </c>
      <c r="BE152" s="265">
        <v>0</v>
      </c>
      <c r="BF152" s="230">
        <f>+SUBTOTAL(9,AT152:BE152)</f>
        <v>0</v>
      </c>
      <c r="BG152" s="267"/>
      <c r="BH152" s="263">
        <v>0</v>
      </c>
      <c r="BI152" s="264">
        <v>0</v>
      </c>
      <c r="BJ152" s="265">
        <v>0</v>
      </c>
      <c r="BK152" s="265">
        <v>0</v>
      </c>
      <c r="BL152" s="265">
        <v>0</v>
      </c>
      <c r="BM152" s="265">
        <v>0</v>
      </c>
      <c r="BN152" s="265">
        <v>0</v>
      </c>
      <c r="BO152" s="265">
        <v>0</v>
      </c>
      <c r="BP152" s="265">
        <v>0</v>
      </c>
      <c r="BQ152" s="265">
        <v>0</v>
      </c>
      <c r="BR152" s="265">
        <v>0</v>
      </c>
      <c r="BS152" s="265">
        <v>0</v>
      </c>
      <c r="BT152" s="230">
        <f>+SUBTOTAL(9,BH152:BS152)</f>
        <v>0</v>
      </c>
      <c r="BU152" s="266"/>
      <c r="BV152" s="263">
        <v>0</v>
      </c>
      <c r="BW152" s="264">
        <v>0</v>
      </c>
      <c r="BX152" s="265">
        <v>0</v>
      </c>
      <c r="BY152" s="265">
        <v>0</v>
      </c>
      <c r="BZ152" s="265">
        <v>0</v>
      </c>
      <c r="CA152" s="265">
        <v>0</v>
      </c>
      <c r="CB152" s="265">
        <v>0</v>
      </c>
      <c r="CC152" s="265">
        <v>0</v>
      </c>
      <c r="CD152" s="265">
        <v>0</v>
      </c>
      <c r="CE152" s="265">
        <v>0</v>
      </c>
      <c r="CF152" s="265">
        <v>0</v>
      </c>
      <c r="CG152" s="265">
        <v>0</v>
      </c>
      <c r="CH152" s="230">
        <f>+SUBTOTAL(9,BV152:CG152)</f>
        <v>0</v>
      </c>
      <c r="CI152" s="266"/>
      <c r="CJ152" s="263">
        <v>0</v>
      </c>
      <c r="CK152" s="264">
        <v>0</v>
      </c>
      <c r="CL152" s="265">
        <v>0</v>
      </c>
      <c r="CM152" s="265">
        <v>0</v>
      </c>
      <c r="CN152" s="265">
        <v>0</v>
      </c>
      <c r="CO152" s="265">
        <v>0</v>
      </c>
      <c r="CP152" s="265">
        <v>0</v>
      </c>
      <c r="CQ152" s="265">
        <v>0</v>
      </c>
      <c r="CR152" s="265">
        <v>0</v>
      </c>
      <c r="CS152" s="265">
        <v>0</v>
      </c>
      <c r="CT152" s="265">
        <v>0</v>
      </c>
      <c r="CU152" s="265">
        <v>0</v>
      </c>
      <c r="CV152" s="230">
        <f>+SUBTOTAL(9,CJ152:CU152)</f>
        <v>0</v>
      </c>
      <c r="CW152" s="266"/>
      <c r="CX152" s="263">
        <v>0</v>
      </c>
      <c r="CY152" s="264">
        <v>0</v>
      </c>
      <c r="CZ152" s="265">
        <v>0</v>
      </c>
      <c r="DA152" s="265">
        <v>0</v>
      </c>
      <c r="DB152" s="265">
        <v>0</v>
      </c>
      <c r="DC152" s="265">
        <v>0</v>
      </c>
      <c r="DD152" s="265">
        <v>0</v>
      </c>
      <c r="DE152" s="265">
        <v>0</v>
      </c>
      <c r="DF152" s="265">
        <v>0</v>
      </c>
      <c r="DG152" s="265">
        <v>0</v>
      </c>
      <c r="DH152" s="265">
        <v>0</v>
      </c>
      <c r="DI152" s="265">
        <v>0</v>
      </c>
      <c r="DJ152" s="230">
        <f>+SUBTOTAL(9,CX152:DI152)</f>
        <v>0</v>
      </c>
      <c r="DK152" s="266"/>
      <c r="DL152" s="263">
        <v>0</v>
      </c>
      <c r="DM152" s="264">
        <v>0</v>
      </c>
      <c r="DN152" s="265">
        <v>0</v>
      </c>
      <c r="DO152" s="265">
        <v>0</v>
      </c>
      <c r="DP152" s="265">
        <v>0</v>
      </c>
      <c r="DQ152" s="265">
        <v>0</v>
      </c>
      <c r="DR152" s="265">
        <v>0</v>
      </c>
      <c r="DS152" s="265">
        <v>0</v>
      </c>
      <c r="DT152" s="265">
        <v>0</v>
      </c>
      <c r="DU152" s="265">
        <v>0</v>
      </c>
      <c r="DV152" s="265">
        <v>0</v>
      </c>
      <c r="DW152" s="265">
        <v>0</v>
      </c>
      <c r="DX152" s="230">
        <f>+SUBTOTAL(9,DL152:DW152)</f>
        <v>0</v>
      </c>
      <c r="DY152" s="266"/>
      <c r="DZ152" s="263">
        <v>0</v>
      </c>
      <c r="EA152" s="264">
        <v>0</v>
      </c>
      <c r="EB152" s="265">
        <v>0</v>
      </c>
      <c r="EC152" s="265">
        <v>0</v>
      </c>
      <c r="ED152" s="265">
        <v>0</v>
      </c>
      <c r="EE152" s="265">
        <v>0</v>
      </c>
      <c r="EF152" s="265">
        <v>0</v>
      </c>
      <c r="EG152" s="265">
        <v>0</v>
      </c>
      <c r="EH152" s="265">
        <v>0</v>
      </c>
      <c r="EI152" s="265">
        <v>0</v>
      </c>
      <c r="EJ152" s="265">
        <v>0</v>
      </c>
      <c r="EK152" s="265">
        <v>0</v>
      </c>
      <c r="EL152" s="230">
        <f>+SUBTOTAL(9,DZ152:EK152)</f>
        <v>0</v>
      </c>
      <c r="EM152" s="266"/>
      <c r="EN152" s="263">
        <v>0</v>
      </c>
      <c r="EO152" s="264">
        <v>0</v>
      </c>
      <c r="EP152" s="265">
        <v>0</v>
      </c>
      <c r="EQ152" s="265">
        <v>0</v>
      </c>
      <c r="ER152" s="265">
        <v>0</v>
      </c>
      <c r="ES152" s="265">
        <v>0</v>
      </c>
      <c r="ET152" s="265">
        <v>0</v>
      </c>
      <c r="EU152" s="265">
        <v>0</v>
      </c>
      <c r="EV152" s="265">
        <v>0</v>
      </c>
      <c r="EW152" s="265">
        <v>0</v>
      </c>
      <c r="EX152" s="265">
        <v>0</v>
      </c>
      <c r="EY152" s="265">
        <v>0</v>
      </c>
      <c r="EZ152" s="230">
        <f>+SUBTOTAL(9,EN152:EY152)</f>
        <v>0</v>
      </c>
      <c r="FA152" s="266"/>
      <c r="FB152" s="263">
        <v>0</v>
      </c>
      <c r="FC152" s="264">
        <v>0</v>
      </c>
      <c r="FD152" s="265">
        <v>0</v>
      </c>
      <c r="FE152" s="265">
        <v>0</v>
      </c>
      <c r="FF152" s="265">
        <v>0</v>
      </c>
      <c r="FG152" s="265">
        <v>0</v>
      </c>
      <c r="FH152" s="265">
        <v>0</v>
      </c>
      <c r="FI152" s="265">
        <v>0</v>
      </c>
      <c r="FJ152" s="265">
        <v>0</v>
      </c>
      <c r="FK152" s="265">
        <v>0</v>
      </c>
      <c r="FL152" s="265">
        <v>0</v>
      </c>
      <c r="FM152" s="265">
        <v>0</v>
      </c>
      <c r="FN152" s="230">
        <f>+SUBTOTAL(9,FB152:FM152)</f>
        <v>0</v>
      </c>
      <c r="FO152" s="266"/>
      <c r="FP152" s="263">
        <v>0</v>
      </c>
      <c r="FQ152" s="264">
        <v>0</v>
      </c>
      <c r="FR152" s="265">
        <v>0</v>
      </c>
      <c r="FS152" s="265">
        <v>0</v>
      </c>
      <c r="FT152" s="265">
        <v>0</v>
      </c>
      <c r="FU152" s="265">
        <v>0</v>
      </c>
      <c r="FV152" s="265">
        <v>0</v>
      </c>
      <c r="FW152" s="265">
        <v>0</v>
      </c>
      <c r="FX152" s="265">
        <v>0</v>
      </c>
      <c r="FY152" s="265">
        <v>0</v>
      </c>
      <c r="FZ152" s="265">
        <v>0</v>
      </c>
      <c r="GA152" s="265">
        <v>0</v>
      </c>
      <c r="GB152" s="230">
        <f>+SUBTOTAL(9,FP152:GA152)</f>
        <v>0</v>
      </c>
      <c r="GC152" s="266"/>
      <c r="GD152" s="263">
        <v>0</v>
      </c>
      <c r="GE152" s="264">
        <v>0</v>
      </c>
      <c r="GF152" s="265">
        <v>0</v>
      </c>
      <c r="GG152" s="265">
        <v>0</v>
      </c>
      <c r="GH152" s="265">
        <v>0</v>
      </c>
      <c r="GI152" s="265">
        <v>0</v>
      </c>
      <c r="GJ152" s="265">
        <v>0</v>
      </c>
      <c r="GK152" s="265">
        <v>0</v>
      </c>
      <c r="GL152" s="265">
        <v>0</v>
      </c>
      <c r="GM152" s="265">
        <v>0</v>
      </c>
      <c r="GN152" s="265">
        <v>0</v>
      </c>
      <c r="GO152" s="265">
        <v>0</v>
      </c>
      <c r="GP152" s="230">
        <f>+SUBTOTAL(9,GD152:GO152)</f>
        <v>0</v>
      </c>
      <c r="GQ152" s="266"/>
      <c r="GR152" s="263">
        <v>0</v>
      </c>
      <c r="GS152" s="264">
        <v>0</v>
      </c>
      <c r="GT152" s="265">
        <v>0</v>
      </c>
      <c r="GU152" s="265">
        <v>0</v>
      </c>
      <c r="GV152" s="265">
        <v>0</v>
      </c>
      <c r="GW152" s="265">
        <v>0</v>
      </c>
      <c r="GX152" s="265">
        <v>0</v>
      </c>
      <c r="GY152" s="265">
        <v>0</v>
      </c>
      <c r="GZ152" s="265">
        <v>0</v>
      </c>
      <c r="HA152" s="265">
        <v>0</v>
      </c>
      <c r="HB152" s="265">
        <v>0</v>
      </c>
      <c r="HC152" s="265">
        <v>0</v>
      </c>
      <c r="HD152" s="230">
        <f>+SUBTOTAL(9,GR152:HC152)</f>
        <v>0</v>
      </c>
      <c r="HE152" s="266"/>
      <c r="HF152" s="263">
        <v>0</v>
      </c>
      <c r="HG152" s="264">
        <v>0</v>
      </c>
      <c r="HH152" s="265">
        <v>0</v>
      </c>
      <c r="HI152" s="265">
        <v>0</v>
      </c>
      <c r="HJ152" s="265">
        <v>0</v>
      </c>
      <c r="HK152" s="265">
        <v>0</v>
      </c>
      <c r="HL152" s="265">
        <v>0</v>
      </c>
      <c r="HM152" s="265">
        <v>0</v>
      </c>
      <c r="HN152" s="265">
        <v>0</v>
      </c>
      <c r="HO152" s="265">
        <v>0</v>
      </c>
      <c r="HP152" s="265">
        <v>0</v>
      </c>
      <c r="HQ152" s="265">
        <v>0</v>
      </c>
      <c r="HR152" s="230">
        <f>+SUBTOTAL(9,HF152:HQ152)</f>
        <v>0</v>
      </c>
      <c r="HS152" s="266"/>
      <c r="HT152" s="263">
        <v>0</v>
      </c>
      <c r="HU152" s="264">
        <v>0</v>
      </c>
      <c r="HV152" s="265">
        <v>0</v>
      </c>
      <c r="HW152" s="265">
        <v>0</v>
      </c>
      <c r="HX152" s="265">
        <v>0</v>
      </c>
      <c r="HY152" s="265">
        <v>0</v>
      </c>
      <c r="HZ152" s="265">
        <v>0</v>
      </c>
      <c r="IA152" s="265">
        <v>0</v>
      </c>
      <c r="IB152" s="265">
        <v>0</v>
      </c>
      <c r="IC152" s="265">
        <v>0</v>
      </c>
      <c r="ID152" s="265">
        <v>0</v>
      </c>
      <c r="IE152" s="265">
        <v>0</v>
      </c>
      <c r="IF152" s="230">
        <f>+SUBTOTAL(9,HT152:IE152)</f>
        <v>0</v>
      </c>
      <c r="IG152" s="266"/>
      <c r="IH152" s="263">
        <v>0</v>
      </c>
      <c r="II152" s="264">
        <v>0</v>
      </c>
      <c r="IJ152" s="265">
        <v>0</v>
      </c>
      <c r="IK152" s="265">
        <v>0</v>
      </c>
      <c r="IL152" s="265">
        <v>0</v>
      </c>
      <c r="IM152" s="265">
        <v>0</v>
      </c>
      <c r="IN152" s="265">
        <v>0</v>
      </c>
      <c r="IO152" s="265">
        <v>0</v>
      </c>
      <c r="IP152" s="265">
        <v>0</v>
      </c>
      <c r="IQ152" s="265">
        <v>0</v>
      </c>
      <c r="IR152" s="265">
        <v>0</v>
      </c>
      <c r="IS152" s="265">
        <v>0</v>
      </c>
      <c r="IT152" s="230">
        <f>+SUBTOTAL(9,IH152:IS152)</f>
        <v>0</v>
      </c>
      <c r="IU152" s="266"/>
      <c r="IV152" s="263">
        <v>0</v>
      </c>
      <c r="IW152" s="264">
        <v>0</v>
      </c>
      <c r="IX152" s="265">
        <v>0</v>
      </c>
      <c r="IY152" s="265">
        <v>0</v>
      </c>
      <c r="IZ152" s="265">
        <v>0</v>
      </c>
      <c r="JA152" s="265">
        <v>0</v>
      </c>
      <c r="JB152" s="265">
        <v>0</v>
      </c>
      <c r="JC152" s="265">
        <v>0</v>
      </c>
      <c r="JD152" s="265">
        <v>0</v>
      </c>
      <c r="JE152" s="265">
        <v>0</v>
      </c>
      <c r="JF152" s="265">
        <v>0</v>
      </c>
      <c r="JG152" s="265">
        <v>0</v>
      </c>
      <c r="JH152" s="230">
        <f>+SUBTOTAL(9,IV152:JG152)</f>
        <v>0</v>
      </c>
      <c r="JI152" s="266"/>
      <c r="JJ152" s="263">
        <v>0</v>
      </c>
      <c r="JK152" s="264">
        <v>0</v>
      </c>
      <c r="JL152" s="265">
        <v>0</v>
      </c>
      <c r="JM152" s="265">
        <v>0</v>
      </c>
      <c r="JN152" s="265">
        <v>0</v>
      </c>
      <c r="JO152" s="265">
        <v>0</v>
      </c>
      <c r="JP152" s="265">
        <v>0</v>
      </c>
      <c r="JQ152" s="265">
        <v>0</v>
      </c>
      <c r="JR152" s="265">
        <v>0</v>
      </c>
      <c r="JS152" s="265">
        <v>0</v>
      </c>
      <c r="JT152" s="265">
        <v>0</v>
      </c>
      <c r="JU152" s="265">
        <v>0</v>
      </c>
      <c r="JV152" s="230">
        <f>+SUBTOTAL(9,JJ152:JU152)</f>
        <v>0</v>
      </c>
      <c r="JW152" s="266"/>
      <c r="JX152" s="263">
        <v>0</v>
      </c>
      <c r="JY152" s="264">
        <v>0</v>
      </c>
      <c r="JZ152" s="265">
        <v>0</v>
      </c>
      <c r="KA152" s="265">
        <v>0</v>
      </c>
      <c r="KB152" s="265">
        <v>0</v>
      </c>
      <c r="KC152" s="265">
        <v>0</v>
      </c>
      <c r="KD152" s="265">
        <v>0</v>
      </c>
      <c r="KE152" s="265">
        <v>0</v>
      </c>
      <c r="KF152" s="265">
        <v>0</v>
      </c>
      <c r="KG152" s="265">
        <v>0</v>
      </c>
      <c r="KH152" s="265">
        <v>0</v>
      </c>
      <c r="KI152" s="265">
        <v>0</v>
      </c>
      <c r="KJ152" s="230">
        <f>+SUBTOTAL(9,JX152:KI152)</f>
        <v>0</v>
      </c>
      <c r="KK152" s="266"/>
      <c r="KL152" s="263">
        <v>0</v>
      </c>
      <c r="KM152" s="264">
        <v>0</v>
      </c>
      <c r="KN152" s="265">
        <v>0</v>
      </c>
      <c r="KO152" s="265">
        <v>0</v>
      </c>
      <c r="KP152" s="265">
        <v>0</v>
      </c>
      <c r="KQ152" s="265">
        <v>0</v>
      </c>
      <c r="KR152" s="265">
        <v>0</v>
      </c>
      <c r="KS152" s="265">
        <v>0</v>
      </c>
      <c r="KT152" s="265">
        <v>0</v>
      </c>
      <c r="KU152" s="265">
        <v>0</v>
      </c>
      <c r="KV152" s="265">
        <v>0</v>
      </c>
      <c r="KW152" s="265">
        <v>0</v>
      </c>
      <c r="KX152" s="230">
        <f>+SUBTOTAL(9,KL152:KW152)</f>
        <v>0</v>
      </c>
      <c r="KY152" s="266"/>
      <c r="KZ152" s="263">
        <v>0</v>
      </c>
      <c r="LA152" s="264">
        <v>0</v>
      </c>
      <c r="LB152" s="265">
        <v>0</v>
      </c>
      <c r="LC152" s="265">
        <v>0</v>
      </c>
      <c r="LD152" s="265">
        <v>0</v>
      </c>
      <c r="LE152" s="265">
        <v>0</v>
      </c>
      <c r="LF152" s="265">
        <v>0</v>
      </c>
      <c r="LG152" s="265">
        <v>0</v>
      </c>
      <c r="LH152" s="265">
        <v>0</v>
      </c>
      <c r="LI152" s="265">
        <v>0</v>
      </c>
      <c r="LJ152" s="265">
        <v>0</v>
      </c>
      <c r="LK152" s="265">
        <v>0</v>
      </c>
      <c r="LL152" s="230">
        <f>+SUBTOTAL(9,KZ152:LK152)</f>
        <v>0</v>
      </c>
      <c r="LM152" s="266"/>
      <c r="LN152" s="263">
        <v>0</v>
      </c>
      <c r="LO152" s="264">
        <v>0</v>
      </c>
      <c r="LP152" s="265">
        <v>0</v>
      </c>
      <c r="LQ152" s="265">
        <v>0</v>
      </c>
      <c r="LR152" s="265">
        <v>0</v>
      </c>
      <c r="LS152" s="265">
        <v>0</v>
      </c>
      <c r="LT152" s="265">
        <v>0</v>
      </c>
      <c r="LU152" s="265">
        <v>0</v>
      </c>
      <c r="LV152" s="265">
        <v>0</v>
      </c>
      <c r="LW152" s="265">
        <v>0</v>
      </c>
      <c r="LX152" s="265">
        <v>0</v>
      </c>
      <c r="LY152" s="265">
        <v>0</v>
      </c>
      <c r="LZ152" s="230">
        <f>+SUBTOTAL(9,LN152:LY152)</f>
        <v>0</v>
      </c>
      <c r="MA152" s="266"/>
      <c r="MB152" s="230">
        <f t="shared" ref="MB152:MM153" si="612">SUMIF($D$6:$LY$6,MB$3,$D152:$LY152)</f>
        <v>0</v>
      </c>
      <c r="MC152" s="230">
        <f t="shared" si="612"/>
        <v>0</v>
      </c>
      <c r="MD152" s="230">
        <f t="shared" si="612"/>
        <v>0</v>
      </c>
      <c r="ME152" s="230">
        <f t="shared" si="612"/>
        <v>0</v>
      </c>
      <c r="MF152" s="230">
        <f t="shared" si="612"/>
        <v>0</v>
      </c>
      <c r="MG152" s="230">
        <f t="shared" si="612"/>
        <v>0</v>
      </c>
      <c r="MH152" s="230">
        <f t="shared" si="612"/>
        <v>0</v>
      </c>
      <c r="MI152" s="230">
        <f t="shared" si="612"/>
        <v>0</v>
      </c>
      <c r="MJ152" s="230">
        <f t="shared" si="612"/>
        <v>0</v>
      </c>
      <c r="MK152" s="230">
        <f t="shared" si="612"/>
        <v>0</v>
      </c>
      <c r="ML152" s="230">
        <f t="shared" si="612"/>
        <v>0</v>
      </c>
      <c r="MM152" s="230">
        <f t="shared" si="612"/>
        <v>0</v>
      </c>
      <c r="MN152" s="230">
        <f>SUM(MB152:MM152)</f>
        <v>0</v>
      </c>
    </row>
    <row r="153" spans="1:352" hidden="1" x14ac:dyDescent="0.3">
      <c r="A153" s="262"/>
      <c r="B153" s="98" t="s">
        <v>196</v>
      </c>
      <c r="D153" s="263">
        <v>0</v>
      </c>
      <c r="E153" s="264">
        <v>0</v>
      </c>
      <c r="F153" s="265">
        <v>0</v>
      </c>
      <c r="G153" s="265">
        <v>0</v>
      </c>
      <c r="H153" s="265">
        <v>0</v>
      </c>
      <c r="I153" s="265">
        <v>0</v>
      </c>
      <c r="J153" s="265">
        <v>0</v>
      </c>
      <c r="K153" s="265">
        <v>0</v>
      </c>
      <c r="L153" s="265">
        <v>0</v>
      </c>
      <c r="M153" s="265">
        <v>0</v>
      </c>
      <c r="N153" s="265">
        <v>0</v>
      </c>
      <c r="O153" s="265">
        <v>0</v>
      </c>
      <c r="P153" s="230">
        <f>+SUBTOTAL(9,D153:O153)</f>
        <v>0</v>
      </c>
      <c r="Q153" s="266"/>
      <c r="R153" s="263">
        <v>0</v>
      </c>
      <c r="S153" s="264">
        <v>0</v>
      </c>
      <c r="T153" s="265">
        <v>0</v>
      </c>
      <c r="U153" s="265">
        <v>0</v>
      </c>
      <c r="V153" s="265">
        <v>0</v>
      </c>
      <c r="W153" s="265">
        <v>0</v>
      </c>
      <c r="X153" s="265">
        <v>0</v>
      </c>
      <c r="Y153" s="265">
        <v>0</v>
      </c>
      <c r="Z153" s="265">
        <v>0</v>
      </c>
      <c r="AA153" s="265">
        <v>0</v>
      </c>
      <c r="AB153" s="265">
        <v>0</v>
      </c>
      <c r="AC153" s="265">
        <v>0</v>
      </c>
      <c r="AD153" s="230">
        <f>+SUBTOTAL(9,R153:AC153)</f>
        <v>0</v>
      </c>
      <c r="AE153" s="266"/>
      <c r="AF153" s="263">
        <v>0</v>
      </c>
      <c r="AG153" s="264">
        <v>0</v>
      </c>
      <c r="AH153" s="265">
        <v>0</v>
      </c>
      <c r="AI153" s="265">
        <v>0</v>
      </c>
      <c r="AJ153" s="265">
        <v>0</v>
      </c>
      <c r="AK153" s="265">
        <v>0</v>
      </c>
      <c r="AL153" s="265">
        <v>0</v>
      </c>
      <c r="AM153" s="265">
        <v>0</v>
      </c>
      <c r="AN153" s="265">
        <v>0</v>
      </c>
      <c r="AO153" s="265">
        <v>0</v>
      </c>
      <c r="AP153" s="265">
        <v>0</v>
      </c>
      <c r="AQ153" s="265">
        <v>0</v>
      </c>
      <c r="AR153" s="230">
        <f>+SUBTOTAL(9,AF153:AQ153)</f>
        <v>0</v>
      </c>
      <c r="AS153" s="266"/>
      <c r="AT153" s="263">
        <v>0</v>
      </c>
      <c r="AU153" s="264">
        <v>0</v>
      </c>
      <c r="AV153" s="265">
        <v>0</v>
      </c>
      <c r="AW153" s="265">
        <v>0</v>
      </c>
      <c r="AX153" s="265">
        <v>0</v>
      </c>
      <c r="AY153" s="265">
        <v>0</v>
      </c>
      <c r="AZ153" s="265">
        <v>0</v>
      </c>
      <c r="BA153" s="265">
        <v>0</v>
      </c>
      <c r="BB153" s="265">
        <v>0</v>
      </c>
      <c r="BC153" s="265">
        <v>0</v>
      </c>
      <c r="BD153" s="265">
        <v>0</v>
      </c>
      <c r="BE153" s="265">
        <v>0</v>
      </c>
      <c r="BF153" s="230">
        <f>+SUBTOTAL(9,AT153:BE153)</f>
        <v>0</v>
      </c>
      <c r="BG153" s="266"/>
      <c r="BH153" s="263">
        <v>0</v>
      </c>
      <c r="BI153" s="264">
        <v>0</v>
      </c>
      <c r="BJ153" s="265">
        <v>0</v>
      </c>
      <c r="BK153" s="265">
        <v>0</v>
      </c>
      <c r="BL153" s="265">
        <v>0</v>
      </c>
      <c r="BM153" s="265">
        <v>0</v>
      </c>
      <c r="BN153" s="265">
        <v>0</v>
      </c>
      <c r="BO153" s="265">
        <v>0</v>
      </c>
      <c r="BP153" s="265">
        <v>0</v>
      </c>
      <c r="BQ153" s="265">
        <v>0</v>
      </c>
      <c r="BR153" s="265">
        <v>0</v>
      </c>
      <c r="BS153" s="265">
        <v>0</v>
      </c>
      <c r="BT153" s="230">
        <f>+SUBTOTAL(9,BH153:BS153)</f>
        <v>0</v>
      </c>
      <c r="BU153" s="266"/>
      <c r="BV153" s="263">
        <v>0</v>
      </c>
      <c r="BW153" s="264">
        <v>0</v>
      </c>
      <c r="BX153" s="265">
        <v>0</v>
      </c>
      <c r="BY153" s="265">
        <v>0</v>
      </c>
      <c r="BZ153" s="265">
        <v>0</v>
      </c>
      <c r="CA153" s="265">
        <v>0</v>
      </c>
      <c r="CB153" s="265">
        <v>0</v>
      </c>
      <c r="CC153" s="265">
        <v>0</v>
      </c>
      <c r="CD153" s="265">
        <v>0</v>
      </c>
      <c r="CE153" s="265">
        <v>0</v>
      </c>
      <c r="CF153" s="265">
        <v>0</v>
      </c>
      <c r="CG153" s="265">
        <v>0</v>
      </c>
      <c r="CH153" s="230">
        <f>+SUBTOTAL(9,BV153:CG153)</f>
        <v>0</v>
      </c>
      <c r="CI153" s="266"/>
      <c r="CJ153" s="263">
        <v>0</v>
      </c>
      <c r="CK153" s="264">
        <v>0</v>
      </c>
      <c r="CL153" s="265">
        <v>0</v>
      </c>
      <c r="CM153" s="265">
        <v>0</v>
      </c>
      <c r="CN153" s="265">
        <v>0</v>
      </c>
      <c r="CO153" s="265">
        <v>0</v>
      </c>
      <c r="CP153" s="265">
        <v>0</v>
      </c>
      <c r="CQ153" s="265">
        <v>0</v>
      </c>
      <c r="CR153" s="265">
        <v>0</v>
      </c>
      <c r="CS153" s="265">
        <v>0</v>
      </c>
      <c r="CT153" s="265">
        <v>0</v>
      </c>
      <c r="CU153" s="265">
        <v>0</v>
      </c>
      <c r="CV153" s="230">
        <f>+SUBTOTAL(9,CJ153:CU153)</f>
        <v>0</v>
      </c>
      <c r="CW153" s="266"/>
      <c r="CX153" s="263">
        <v>0</v>
      </c>
      <c r="CY153" s="264">
        <v>0</v>
      </c>
      <c r="CZ153" s="265">
        <v>0</v>
      </c>
      <c r="DA153" s="265">
        <v>0</v>
      </c>
      <c r="DB153" s="265">
        <v>0</v>
      </c>
      <c r="DC153" s="265">
        <v>0</v>
      </c>
      <c r="DD153" s="265">
        <v>0</v>
      </c>
      <c r="DE153" s="265">
        <v>0</v>
      </c>
      <c r="DF153" s="265">
        <v>0</v>
      </c>
      <c r="DG153" s="265">
        <v>0</v>
      </c>
      <c r="DH153" s="265">
        <v>0</v>
      </c>
      <c r="DI153" s="265">
        <v>0</v>
      </c>
      <c r="DJ153" s="230">
        <f>+SUBTOTAL(9,CX153:DI153)</f>
        <v>0</v>
      </c>
      <c r="DK153" s="266"/>
      <c r="DL153" s="263">
        <v>0</v>
      </c>
      <c r="DM153" s="264">
        <v>0</v>
      </c>
      <c r="DN153" s="265">
        <v>0</v>
      </c>
      <c r="DO153" s="265">
        <v>0</v>
      </c>
      <c r="DP153" s="265">
        <v>0</v>
      </c>
      <c r="DQ153" s="265">
        <v>0</v>
      </c>
      <c r="DR153" s="265">
        <v>0</v>
      </c>
      <c r="DS153" s="265">
        <v>0</v>
      </c>
      <c r="DT153" s="265">
        <v>0</v>
      </c>
      <c r="DU153" s="265">
        <v>0</v>
      </c>
      <c r="DV153" s="265">
        <v>0</v>
      </c>
      <c r="DW153" s="265">
        <v>0</v>
      </c>
      <c r="DX153" s="230">
        <f>+SUBTOTAL(9,DL153:DW153)</f>
        <v>0</v>
      </c>
      <c r="DY153" s="266"/>
      <c r="DZ153" s="263">
        <v>0</v>
      </c>
      <c r="EA153" s="264">
        <v>0</v>
      </c>
      <c r="EB153" s="265">
        <v>0</v>
      </c>
      <c r="EC153" s="265">
        <v>0</v>
      </c>
      <c r="ED153" s="265">
        <v>0</v>
      </c>
      <c r="EE153" s="265">
        <v>0</v>
      </c>
      <c r="EF153" s="265">
        <v>0</v>
      </c>
      <c r="EG153" s="265">
        <v>0</v>
      </c>
      <c r="EH153" s="265">
        <v>0</v>
      </c>
      <c r="EI153" s="265">
        <v>0</v>
      </c>
      <c r="EJ153" s="265">
        <v>0</v>
      </c>
      <c r="EK153" s="265">
        <v>0</v>
      </c>
      <c r="EL153" s="230">
        <f>+SUBTOTAL(9,DZ153:EK153)</f>
        <v>0</v>
      </c>
      <c r="EM153" s="266"/>
      <c r="EN153" s="263">
        <v>0</v>
      </c>
      <c r="EO153" s="264">
        <v>0</v>
      </c>
      <c r="EP153" s="265">
        <v>0</v>
      </c>
      <c r="EQ153" s="265">
        <v>0</v>
      </c>
      <c r="ER153" s="265">
        <v>0</v>
      </c>
      <c r="ES153" s="265">
        <v>0</v>
      </c>
      <c r="ET153" s="265">
        <v>0</v>
      </c>
      <c r="EU153" s="265">
        <v>0</v>
      </c>
      <c r="EV153" s="265">
        <v>0</v>
      </c>
      <c r="EW153" s="265">
        <v>0</v>
      </c>
      <c r="EX153" s="265">
        <v>0</v>
      </c>
      <c r="EY153" s="265">
        <v>0</v>
      </c>
      <c r="EZ153" s="230">
        <f>+SUBTOTAL(9,EN153:EY153)</f>
        <v>0</v>
      </c>
      <c r="FA153" s="266"/>
      <c r="FB153" s="263">
        <v>0</v>
      </c>
      <c r="FC153" s="264">
        <v>0</v>
      </c>
      <c r="FD153" s="265">
        <v>0</v>
      </c>
      <c r="FE153" s="265">
        <v>0</v>
      </c>
      <c r="FF153" s="265">
        <v>0</v>
      </c>
      <c r="FG153" s="265">
        <v>0</v>
      </c>
      <c r="FH153" s="265">
        <v>0</v>
      </c>
      <c r="FI153" s="265">
        <v>0</v>
      </c>
      <c r="FJ153" s="265">
        <v>0</v>
      </c>
      <c r="FK153" s="265">
        <v>0</v>
      </c>
      <c r="FL153" s="265">
        <v>0</v>
      </c>
      <c r="FM153" s="265">
        <v>0</v>
      </c>
      <c r="FN153" s="230">
        <f>+SUBTOTAL(9,FB153:FM153)</f>
        <v>0</v>
      </c>
      <c r="FO153" s="266"/>
      <c r="FP153" s="263">
        <v>0</v>
      </c>
      <c r="FQ153" s="264">
        <v>0</v>
      </c>
      <c r="FR153" s="265">
        <v>0</v>
      </c>
      <c r="FS153" s="265">
        <v>0</v>
      </c>
      <c r="FT153" s="265">
        <v>0</v>
      </c>
      <c r="FU153" s="265">
        <v>0</v>
      </c>
      <c r="FV153" s="265">
        <v>0</v>
      </c>
      <c r="FW153" s="265">
        <v>0</v>
      </c>
      <c r="FX153" s="265">
        <v>0</v>
      </c>
      <c r="FY153" s="265">
        <v>0</v>
      </c>
      <c r="FZ153" s="265">
        <v>0</v>
      </c>
      <c r="GA153" s="265">
        <v>0</v>
      </c>
      <c r="GB153" s="230">
        <f>+SUBTOTAL(9,FP153:GA153)</f>
        <v>0</v>
      </c>
      <c r="GC153" s="266"/>
      <c r="GD153" s="263">
        <v>0</v>
      </c>
      <c r="GE153" s="264">
        <v>0</v>
      </c>
      <c r="GF153" s="265">
        <v>0</v>
      </c>
      <c r="GG153" s="265">
        <v>0</v>
      </c>
      <c r="GH153" s="265">
        <v>0</v>
      </c>
      <c r="GI153" s="265">
        <v>0</v>
      </c>
      <c r="GJ153" s="265">
        <v>0</v>
      </c>
      <c r="GK153" s="265">
        <v>0</v>
      </c>
      <c r="GL153" s="265">
        <v>0</v>
      </c>
      <c r="GM153" s="265">
        <v>0</v>
      </c>
      <c r="GN153" s="265">
        <v>0</v>
      </c>
      <c r="GO153" s="265">
        <v>0</v>
      </c>
      <c r="GP153" s="230">
        <f>+SUBTOTAL(9,GD153:GO153)</f>
        <v>0</v>
      </c>
      <c r="GQ153" s="266"/>
      <c r="GR153" s="263">
        <v>0</v>
      </c>
      <c r="GS153" s="264">
        <v>0</v>
      </c>
      <c r="GT153" s="265">
        <v>0</v>
      </c>
      <c r="GU153" s="265">
        <v>0</v>
      </c>
      <c r="GV153" s="265">
        <v>0</v>
      </c>
      <c r="GW153" s="265">
        <v>0</v>
      </c>
      <c r="GX153" s="265">
        <v>0</v>
      </c>
      <c r="GY153" s="265">
        <v>0</v>
      </c>
      <c r="GZ153" s="265">
        <v>0</v>
      </c>
      <c r="HA153" s="265">
        <v>0</v>
      </c>
      <c r="HB153" s="265">
        <v>0</v>
      </c>
      <c r="HC153" s="265">
        <v>0</v>
      </c>
      <c r="HD153" s="230">
        <f>+SUBTOTAL(9,GR153:HC153)</f>
        <v>0</v>
      </c>
      <c r="HE153" s="266"/>
      <c r="HF153" s="263">
        <v>0</v>
      </c>
      <c r="HG153" s="264">
        <v>0</v>
      </c>
      <c r="HH153" s="265">
        <v>0</v>
      </c>
      <c r="HI153" s="265">
        <v>0</v>
      </c>
      <c r="HJ153" s="265">
        <v>0</v>
      </c>
      <c r="HK153" s="265">
        <v>0</v>
      </c>
      <c r="HL153" s="265">
        <v>0</v>
      </c>
      <c r="HM153" s="265">
        <v>0</v>
      </c>
      <c r="HN153" s="265">
        <v>0</v>
      </c>
      <c r="HO153" s="265">
        <v>0</v>
      </c>
      <c r="HP153" s="265">
        <v>0</v>
      </c>
      <c r="HQ153" s="265">
        <v>0</v>
      </c>
      <c r="HR153" s="230">
        <f>+SUBTOTAL(9,HF153:HQ153)</f>
        <v>0</v>
      </c>
      <c r="HS153" s="266"/>
      <c r="HT153" s="263">
        <v>0</v>
      </c>
      <c r="HU153" s="264">
        <v>0</v>
      </c>
      <c r="HV153" s="265">
        <v>0</v>
      </c>
      <c r="HW153" s="265">
        <v>0</v>
      </c>
      <c r="HX153" s="265">
        <v>0</v>
      </c>
      <c r="HY153" s="265">
        <v>0</v>
      </c>
      <c r="HZ153" s="265">
        <v>0</v>
      </c>
      <c r="IA153" s="265">
        <v>0</v>
      </c>
      <c r="IB153" s="265">
        <v>0</v>
      </c>
      <c r="IC153" s="265">
        <v>0</v>
      </c>
      <c r="ID153" s="265">
        <v>0</v>
      </c>
      <c r="IE153" s="265">
        <v>0</v>
      </c>
      <c r="IF153" s="230">
        <f>+SUBTOTAL(9,HT153:IE153)</f>
        <v>0</v>
      </c>
      <c r="IG153" s="266"/>
      <c r="IH153" s="263">
        <v>0</v>
      </c>
      <c r="II153" s="264">
        <v>0</v>
      </c>
      <c r="IJ153" s="265">
        <v>0</v>
      </c>
      <c r="IK153" s="265">
        <v>0</v>
      </c>
      <c r="IL153" s="265">
        <v>0</v>
      </c>
      <c r="IM153" s="265">
        <v>0</v>
      </c>
      <c r="IN153" s="265">
        <v>0</v>
      </c>
      <c r="IO153" s="265">
        <v>0</v>
      </c>
      <c r="IP153" s="265">
        <v>0</v>
      </c>
      <c r="IQ153" s="265">
        <v>0</v>
      </c>
      <c r="IR153" s="265">
        <v>0</v>
      </c>
      <c r="IS153" s="265">
        <v>0</v>
      </c>
      <c r="IT153" s="230">
        <f>+SUBTOTAL(9,IH153:IS153)</f>
        <v>0</v>
      </c>
      <c r="IU153" s="266"/>
      <c r="IV153" s="263">
        <v>0</v>
      </c>
      <c r="IW153" s="264">
        <v>0</v>
      </c>
      <c r="IX153" s="265">
        <v>0</v>
      </c>
      <c r="IY153" s="265">
        <v>0</v>
      </c>
      <c r="IZ153" s="265">
        <v>0</v>
      </c>
      <c r="JA153" s="265">
        <v>0</v>
      </c>
      <c r="JB153" s="265">
        <v>0</v>
      </c>
      <c r="JC153" s="265">
        <v>0</v>
      </c>
      <c r="JD153" s="265">
        <v>0</v>
      </c>
      <c r="JE153" s="265">
        <v>0</v>
      </c>
      <c r="JF153" s="265">
        <v>0</v>
      </c>
      <c r="JG153" s="265">
        <v>0</v>
      </c>
      <c r="JH153" s="230">
        <f>+SUBTOTAL(9,IV153:JG153)</f>
        <v>0</v>
      </c>
      <c r="JI153" s="266"/>
      <c r="JJ153" s="263">
        <v>0</v>
      </c>
      <c r="JK153" s="264">
        <v>0</v>
      </c>
      <c r="JL153" s="265">
        <v>0</v>
      </c>
      <c r="JM153" s="265">
        <v>0</v>
      </c>
      <c r="JN153" s="265">
        <v>0</v>
      </c>
      <c r="JO153" s="265">
        <v>0</v>
      </c>
      <c r="JP153" s="265">
        <v>0</v>
      </c>
      <c r="JQ153" s="265">
        <v>0</v>
      </c>
      <c r="JR153" s="265">
        <v>0</v>
      </c>
      <c r="JS153" s="265">
        <v>0</v>
      </c>
      <c r="JT153" s="265">
        <v>0</v>
      </c>
      <c r="JU153" s="265">
        <v>0</v>
      </c>
      <c r="JV153" s="230">
        <f>+SUBTOTAL(9,JJ153:JU153)</f>
        <v>0</v>
      </c>
      <c r="JW153" s="266"/>
      <c r="JX153" s="263">
        <v>0</v>
      </c>
      <c r="JY153" s="264">
        <v>0</v>
      </c>
      <c r="JZ153" s="265">
        <v>0</v>
      </c>
      <c r="KA153" s="265">
        <v>0</v>
      </c>
      <c r="KB153" s="265">
        <v>0</v>
      </c>
      <c r="KC153" s="265">
        <v>0</v>
      </c>
      <c r="KD153" s="265">
        <v>0</v>
      </c>
      <c r="KE153" s="265">
        <v>0</v>
      </c>
      <c r="KF153" s="265">
        <v>0</v>
      </c>
      <c r="KG153" s="265">
        <v>0</v>
      </c>
      <c r="KH153" s="265">
        <v>0</v>
      </c>
      <c r="KI153" s="265">
        <v>0</v>
      </c>
      <c r="KJ153" s="230">
        <f>+SUBTOTAL(9,JX153:KI153)</f>
        <v>0</v>
      </c>
      <c r="KK153" s="266"/>
      <c r="KL153" s="263">
        <v>0</v>
      </c>
      <c r="KM153" s="264">
        <v>0</v>
      </c>
      <c r="KN153" s="265">
        <v>0</v>
      </c>
      <c r="KO153" s="265">
        <v>0</v>
      </c>
      <c r="KP153" s="265">
        <v>0</v>
      </c>
      <c r="KQ153" s="265">
        <v>0</v>
      </c>
      <c r="KR153" s="265">
        <v>0</v>
      </c>
      <c r="KS153" s="265">
        <v>0</v>
      </c>
      <c r="KT153" s="265">
        <v>0</v>
      </c>
      <c r="KU153" s="265">
        <v>0</v>
      </c>
      <c r="KV153" s="265">
        <v>0</v>
      </c>
      <c r="KW153" s="265">
        <v>0</v>
      </c>
      <c r="KX153" s="230">
        <f>+SUBTOTAL(9,KL153:KW153)</f>
        <v>0</v>
      </c>
      <c r="KY153" s="266"/>
      <c r="KZ153" s="263">
        <v>0</v>
      </c>
      <c r="LA153" s="264">
        <v>0</v>
      </c>
      <c r="LB153" s="265">
        <v>0</v>
      </c>
      <c r="LC153" s="265">
        <v>0</v>
      </c>
      <c r="LD153" s="265">
        <v>0</v>
      </c>
      <c r="LE153" s="265">
        <v>0</v>
      </c>
      <c r="LF153" s="265">
        <v>0</v>
      </c>
      <c r="LG153" s="265">
        <v>0</v>
      </c>
      <c r="LH153" s="265">
        <v>0</v>
      </c>
      <c r="LI153" s="265">
        <v>0</v>
      </c>
      <c r="LJ153" s="265">
        <v>0</v>
      </c>
      <c r="LK153" s="265">
        <v>0</v>
      </c>
      <c r="LL153" s="230">
        <f>+SUBTOTAL(9,KZ153:LK153)</f>
        <v>0</v>
      </c>
      <c r="LM153" s="266"/>
      <c r="LN153" s="263">
        <v>0</v>
      </c>
      <c r="LO153" s="264">
        <v>0</v>
      </c>
      <c r="LP153" s="265">
        <v>0</v>
      </c>
      <c r="LQ153" s="265">
        <v>0</v>
      </c>
      <c r="LR153" s="265">
        <v>0</v>
      </c>
      <c r="LS153" s="265">
        <v>0</v>
      </c>
      <c r="LT153" s="265">
        <v>0</v>
      </c>
      <c r="LU153" s="265">
        <v>0</v>
      </c>
      <c r="LV153" s="265">
        <v>0</v>
      </c>
      <c r="LW153" s="265">
        <v>0</v>
      </c>
      <c r="LX153" s="265">
        <v>0</v>
      </c>
      <c r="LY153" s="265">
        <v>0</v>
      </c>
      <c r="LZ153" s="230">
        <f>+SUBTOTAL(9,LN153:LY153)</f>
        <v>0</v>
      </c>
      <c r="MA153" s="266"/>
      <c r="MB153" s="230">
        <f t="shared" si="612"/>
        <v>0</v>
      </c>
      <c r="MC153" s="230">
        <f t="shared" si="612"/>
        <v>0</v>
      </c>
      <c r="MD153" s="230">
        <f t="shared" si="612"/>
        <v>0</v>
      </c>
      <c r="ME153" s="230">
        <f t="shared" si="612"/>
        <v>0</v>
      </c>
      <c r="MF153" s="230">
        <f t="shared" si="612"/>
        <v>0</v>
      </c>
      <c r="MG153" s="230">
        <f t="shared" si="612"/>
        <v>0</v>
      </c>
      <c r="MH153" s="230">
        <f t="shared" si="612"/>
        <v>0</v>
      </c>
      <c r="MI153" s="230">
        <f t="shared" si="612"/>
        <v>0</v>
      </c>
      <c r="MJ153" s="230">
        <f t="shared" si="612"/>
        <v>0</v>
      </c>
      <c r="MK153" s="230">
        <f t="shared" si="612"/>
        <v>0</v>
      </c>
      <c r="ML153" s="230">
        <f t="shared" si="612"/>
        <v>0</v>
      </c>
      <c r="MM153" s="230">
        <f t="shared" si="612"/>
        <v>0</v>
      </c>
      <c r="MN153" s="230">
        <f>SUM(MB153:MM153)</f>
        <v>0</v>
      </c>
    </row>
    <row r="154" spans="1:352" hidden="1" x14ac:dyDescent="0.3">
      <c r="A154" s="262"/>
      <c r="D154" s="268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30"/>
      <c r="Q154" s="266"/>
      <c r="R154" s="268"/>
      <c r="S154" s="265"/>
      <c r="T154" s="265"/>
      <c r="U154" s="265"/>
      <c r="V154" s="265"/>
      <c r="W154" s="265"/>
      <c r="X154" s="265"/>
      <c r="Y154" s="265"/>
      <c r="Z154" s="265"/>
      <c r="AA154" s="265"/>
      <c r="AB154" s="265"/>
      <c r="AC154" s="265"/>
      <c r="AD154" s="230"/>
      <c r="AE154" s="266"/>
      <c r="AF154" s="268"/>
      <c r="AG154" s="265"/>
      <c r="AH154" s="265"/>
      <c r="AI154" s="265"/>
      <c r="AJ154" s="265"/>
      <c r="AK154" s="265"/>
      <c r="AL154" s="265"/>
      <c r="AM154" s="265"/>
      <c r="AN154" s="265"/>
      <c r="AO154" s="265"/>
      <c r="AP154" s="265"/>
      <c r="AQ154" s="265"/>
      <c r="AR154" s="230"/>
      <c r="AS154" s="266"/>
      <c r="AT154" s="268"/>
      <c r="AU154" s="265"/>
      <c r="AV154" s="265"/>
      <c r="AW154" s="265"/>
      <c r="AX154" s="265"/>
      <c r="AY154" s="265"/>
      <c r="AZ154" s="265"/>
      <c r="BA154" s="265"/>
      <c r="BB154" s="265"/>
      <c r="BC154" s="265"/>
      <c r="BD154" s="265"/>
      <c r="BE154" s="265"/>
      <c r="BF154" s="230"/>
      <c r="BG154" s="266"/>
      <c r="BH154" s="268"/>
      <c r="BI154" s="265"/>
      <c r="BJ154" s="265"/>
      <c r="BK154" s="265"/>
      <c r="BL154" s="265"/>
      <c r="BM154" s="265"/>
      <c r="BN154" s="265"/>
      <c r="BO154" s="265"/>
      <c r="BP154" s="265"/>
      <c r="BQ154" s="265"/>
      <c r="BR154" s="265"/>
      <c r="BS154" s="265"/>
      <c r="BT154" s="230"/>
      <c r="BU154" s="266"/>
      <c r="BV154" s="268"/>
      <c r="BW154" s="265"/>
      <c r="BX154" s="265"/>
      <c r="BY154" s="265"/>
      <c r="BZ154" s="265"/>
      <c r="CA154" s="265"/>
      <c r="CB154" s="265"/>
      <c r="CC154" s="265"/>
      <c r="CD154" s="265"/>
      <c r="CE154" s="265"/>
      <c r="CF154" s="265"/>
      <c r="CG154" s="265"/>
      <c r="CH154" s="230"/>
      <c r="CI154" s="266"/>
      <c r="CJ154" s="268"/>
      <c r="CK154" s="265"/>
      <c r="CL154" s="265"/>
      <c r="CM154" s="265"/>
      <c r="CN154" s="265"/>
      <c r="CO154" s="265"/>
      <c r="CP154" s="265"/>
      <c r="CQ154" s="265"/>
      <c r="CR154" s="265"/>
      <c r="CS154" s="265"/>
      <c r="CT154" s="265"/>
      <c r="CU154" s="265"/>
      <c r="CV154" s="230"/>
      <c r="CW154" s="266"/>
      <c r="CX154" s="268"/>
      <c r="CY154" s="265"/>
      <c r="CZ154" s="265"/>
      <c r="DA154" s="265"/>
      <c r="DB154" s="265"/>
      <c r="DC154" s="265"/>
      <c r="DD154" s="265"/>
      <c r="DE154" s="265"/>
      <c r="DF154" s="265"/>
      <c r="DG154" s="265"/>
      <c r="DH154" s="265"/>
      <c r="DI154" s="265"/>
      <c r="DJ154" s="230"/>
      <c r="DK154" s="266"/>
      <c r="DL154" s="268"/>
      <c r="DM154" s="265"/>
      <c r="DN154" s="265"/>
      <c r="DO154" s="265"/>
      <c r="DP154" s="265"/>
      <c r="DQ154" s="265"/>
      <c r="DR154" s="265"/>
      <c r="DS154" s="265"/>
      <c r="DT154" s="265"/>
      <c r="DU154" s="265"/>
      <c r="DV154" s="265"/>
      <c r="DW154" s="265"/>
      <c r="DX154" s="230"/>
      <c r="DY154" s="266"/>
      <c r="DZ154" s="268"/>
      <c r="EA154" s="265"/>
      <c r="EB154" s="265"/>
      <c r="EC154" s="265"/>
      <c r="ED154" s="265"/>
      <c r="EE154" s="265"/>
      <c r="EF154" s="265"/>
      <c r="EG154" s="265"/>
      <c r="EH154" s="265"/>
      <c r="EI154" s="265"/>
      <c r="EJ154" s="265"/>
      <c r="EK154" s="265"/>
      <c r="EL154" s="230"/>
      <c r="EM154" s="266"/>
      <c r="EN154" s="268"/>
      <c r="EO154" s="265"/>
      <c r="EP154" s="265"/>
      <c r="EQ154" s="265"/>
      <c r="ER154" s="265"/>
      <c r="ES154" s="265"/>
      <c r="ET154" s="265"/>
      <c r="EU154" s="265"/>
      <c r="EV154" s="265"/>
      <c r="EW154" s="265"/>
      <c r="EX154" s="265"/>
      <c r="EY154" s="265"/>
      <c r="EZ154" s="230"/>
      <c r="FA154" s="266"/>
      <c r="FB154" s="268"/>
      <c r="FC154" s="265"/>
      <c r="FD154" s="265"/>
      <c r="FE154" s="265"/>
      <c r="FF154" s="265"/>
      <c r="FG154" s="265"/>
      <c r="FH154" s="265"/>
      <c r="FI154" s="265"/>
      <c r="FJ154" s="265"/>
      <c r="FK154" s="265"/>
      <c r="FL154" s="265"/>
      <c r="FM154" s="265"/>
      <c r="FN154" s="230"/>
      <c r="FO154" s="266"/>
      <c r="FP154" s="268"/>
      <c r="FQ154" s="265"/>
      <c r="FR154" s="265"/>
      <c r="FS154" s="265"/>
      <c r="FT154" s="265"/>
      <c r="FU154" s="265"/>
      <c r="FV154" s="265"/>
      <c r="FW154" s="265"/>
      <c r="FX154" s="265"/>
      <c r="FY154" s="265"/>
      <c r="FZ154" s="265"/>
      <c r="GA154" s="265"/>
      <c r="GB154" s="230"/>
      <c r="GC154" s="266"/>
      <c r="GD154" s="268"/>
      <c r="GE154" s="265"/>
      <c r="GF154" s="265"/>
      <c r="GG154" s="265"/>
      <c r="GH154" s="265"/>
      <c r="GI154" s="265"/>
      <c r="GJ154" s="265"/>
      <c r="GK154" s="265"/>
      <c r="GL154" s="265"/>
      <c r="GM154" s="265"/>
      <c r="GN154" s="265"/>
      <c r="GO154" s="265"/>
      <c r="GP154" s="230"/>
      <c r="GQ154" s="266"/>
      <c r="GR154" s="268"/>
      <c r="GS154" s="265"/>
      <c r="GT154" s="265"/>
      <c r="GU154" s="265"/>
      <c r="GV154" s="265"/>
      <c r="GW154" s="265"/>
      <c r="GX154" s="265"/>
      <c r="GY154" s="265"/>
      <c r="GZ154" s="265"/>
      <c r="HA154" s="265"/>
      <c r="HB154" s="265"/>
      <c r="HC154" s="265"/>
      <c r="HD154" s="230"/>
      <c r="HE154" s="266"/>
      <c r="HF154" s="268"/>
      <c r="HG154" s="265"/>
      <c r="HH154" s="265"/>
      <c r="HI154" s="265"/>
      <c r="HJ154" s="265"/>
      <c r="HK154" s="265"/>
      <c r="HL154" s="265"/>
      <c r="HM154" s="265"/>
      <c r="HN154" s="265"/>
      <c r="HO154" s="265"/>
      <c r="HP154" s="265"/>
      <c r="HQ154" s="265"/>
      <c r="HR154" s="230"/>
      <c r="HS154" s="266"/>
      <c r="HT154" s="268"/>
      <c r="HU154" s="265"/>
      <c r="HV154" s="265"/>
      <c r="HW154" s="265"/>
      <c r="HX154" s="265"/>
      <c r="HY154" s="265"/>
      <c r="HZ154" s="265"/>
      <c r="IA154" s="265"/>
      <c r="IB154" s="265"/>
      <c r="IC154" s="265"/>
      <c r="ID154" s="265"/>
      <c r="IE154" s="265"/>
      <c r="IF154" s="230"/>
      <c r="IG154" s="266"/>
      <c r="IH154" s="268"/>
      <c r="II154" s="265"/>
      <c r="IJ154" s="265"/>
      <c r="IK154" s="265"/>
      <c r="IL154" s="265"/>
      <c r="IM154" s="265"/>
      <c r="IN154" s="265"/>
      <c r="IO154" s="265"/>
      <c r="IP154" s="265"/>
      <c r="IQ154" s="265"/>
      <c r="IR154" s="265"/>
      <c r="IS154" s="265"/>
      <c r="IT154" s="230"/>
      <c r="IU154" s="266"/>
      <c r="IV154" s="268"/>
      <c r="IW154" s="265"/>
      <c r="IX154" s="265"/>
      <c r="IY154" s="265"/>
      <c r="IZ154" s="265"/>
      <c r="JA154" s="265"/>
      <c r="JB154" s="265"/>
      <c r="JC154" s="265"/>
      <c r="JD154" s="265"/>
      <c r="JE154" s="265"/>
      <c r="JF154" s="265"/>
      <c r="JG154" s="265"/>
      <c r="JH154" s="230"/>
      <c r="JI154" s="266"/>
      <c r="JJ154" s="268"/>
      <c r="JK154" s="265"/>
      <c r="JL154" s="265"/>
      <c r="JM154" s="265"/>
      <c r="JN154" s="265"/>
      <c r="JO154" s="265"/>
      <c r="JP154" s="265"/>
      <c r="JQ154" s="265"/>
      <c r="JR154" s="265"/>
      <c r="JS154" s="265"/>
      <c r="JT154" s="265"/>
      <c r="JU154" s="265"/>
      <c r="JV154" s="230"/>
      <c r="JW154" s="266"/>
      <c r="JX154" s="268"/>
      <c r="JY154" s="265"/>
      <c r="JZ154" s="265"/>
      <c r="KA154" s="265"/>
      <c r="KB154" s="265"/>
      <c r="KC154" s="265"/>
      <c r="KD154" s="265"/>
      <c r="KE154" s="265"/>
      <c r="KF154" s="265"/>
      <c r="KG154" s="265"/>
      <c r="KH154" s="265"/>
      <c r="KI154" s="265"/>
      <c r="KJ154" s="230"/>
      <c r="KK154" s="266"/>
      <c r="KL154" s="268"/>
      <c r="KM154" s="265"/>
      <c r="KN154" s="265"/>
      <c r="KO154" s="265"/>
      <c r="KP154" s="265"/>
      <c r="KQ154" s="265"/>
      <c r="KR154" s="265"/>
      <c r="KS154" s="265"/>
      <c r="KT154" s="265"/>
      <c r="KU154" s="265"/>
      <c r="KV154" s="265"/>
      <c r="KW154" s="265"/>
      <c r="KX154" s="230"/>
      <c r="KY154" s="266"/>
      <c r="KZ154" s="268"/>
      <c r="LA154" s="265"/>
      <c r="LB154" s="265"/>
      <c r="LC154" s="265"/>
      <c r="LD154" s="265"/>
      <c r="LE154" s="265"/>
      <c r="LF154" s="265"/>
      <c r="LG154" s="265"/>
      <c r="LH154" s="265"/>
      <c r="LI154" s="265"/>
      <c r="LJ154" s="265"/>
      <c r="LK154" s="265"/>
      <c r="LL154" s="230"/>
      <c r="LM154" s="266"/>
      <c r="LN154" s="268"/>
      <c r="LO154" s="265"/>
      <c r="LP154" s="265"/>
      <c r="LQ154" s="265"/>
      <c r="LR154" s="265"/>
      <c r="LS154" s="265"/>
      <c r="LT154" s="265"/>
      <c r="LU154" s="265"/>
      <c r="LV154" s="265"/>
      <c r="LW154" s="265"/>
      <c r="LX154" s="265"/>
      <c r="LY154" s="265"/>
      <c r="LZ154" s="230"/>
      <c r="MA154" s="266"/>
      <c r="MB154" s="230"/>
      <c r="MC154" s="230"/>
      <c r="MD154" s="230"/>
      <c r="ME154" s="230"/>
      <c r="MF154" s="230"/>
      <c r="MG154" s="230"/>
      <c r="MH154" s="230"/>
      <c r="MI154" s="230"/>
      <c r="MJ154" s="230"/>
      <c r="MK154" s="230"/>
      <c r="ML154" s="230"/>
      <c r="MM154" s="230"/>
      <c r="MN154" s="230"/>
    </row>
    <row r="155" spans="1:352" hidden="1" x14ac:dyDescent="0.3">
      <c r="A155" s="262"/>
      <c r="B155" s="166" t="s">
        <v>197</v>
      </c>
      <c r="C155" s="165"/>
      <c r="D155" s="269">
        <f>SUM(D152:D154)</f>
        <v>0</v>
      </c>
      <c r="E155" s="270">
        <f t="shared" ref="E155:O155" si="613">SUM(E152:E154)</f>
        <v>0</v>
      </c>
      <c r="F155" s="270">
        <f t="shared" si="613"/>
        <v>0</v>
      </c>
      <c r="G155" s="270">
        <f t="shared" si="613"/>
        <v>0</v>
      </c>
      <c r="H155" s="270">
        <f t="shared" si="613"/>
        <v>0</v>
      </c>
      <c r="I155" s="270">
        <f t="shared" si="613"/>
        <v>0</v>
      </c>
      <c r="J155" s="270">
        <f t="shared" si="613"/>
        <v>0</v>
      </c>
      <c r="K155" s="270">
        <f t="shared" si="613"/>
        <v>0</v>
      </c>
      <c r="L155" s="270">
        <f t="shared" si="613"/>
        <v>0</v>
      </c>
      <c r="M155" s="270">
        <f t="shared" si="613"/>
        <v>0</v>
      </c>
      <c r="N155" s="270">
        <f t="shared" si="613"/>
        <v>0</v>
      </c>
      <c r="O155" s="270">
        <f t="shared" si="613"/>
        <v>0</v>
      </c>
      <c r="P155" s="271">
        <f>+SUBTOTAL(9,D155:O155)</f>
        <v>0</v>
      </c>
      <c r="Q155" s="266"/>
      <c r="R155" s="269">
        <f>SUM(R152:R154)</f>
        <v>0</v>
      </c>
      <c r="S155" s="270">
        <f t="shared" ref="S155:AC155" si="614">SUM(S152:S154)</f>
        <v>0</v>
      </c>
      <c r="T155" s="270">
        <f t="shared" si="614"/>
        <v>0</v>
      </c>
      <c r="U155" s="270">
        <f t="shared" si="614"/>
        <v>0</v>
      </c>
      <c r="V155" s="270">
        <f t="shared" si="614"/>
        <v>0</v>
      </c>
      <c r="W155" s="270">
        <f t="shared" si="614"/>
        <v>0</v>
      </c>
      <c r="X155" s="270">
        <f t="shared" si="614"/>
        <v>0</v>
      </c>
      <c r="Y155" s="270">
        <f t="shared" si="614"/>
        <v>0</v>
      </c>
      <c r="Z155" s="270">
        <f t="shared" si="614"/>
        <v>0</v>
      </c>
      <c r="AA155" s="270">
        <f t="shared" si="614"/>
        <v>0</v>
      </c>
      <c r="AB155" s="270">
        <f t="shared" si="614"/>
        <v>0</v>
      </c>
      <c r="AC155" s="270">
        <f t="shared" si="614"/>
        <v>0</v>
      </c>
      <c r="AD155" s="271">
        <f>+SUBTOTAL(9,R155:AC155)</f>
        <v>0</v>
      </c>
      <c r="AE155" s="266"/>
      <c r="AF155" s="269">
        <f>SUM(AF152:AF154)</f>
        <v>0</v>
      </c>
      <c r="AG155" s="270">
        <f t="shared" ref="AG155:AQ155" si="615">SUM(AG152:AG154)</f>
        <v>0</v>
      </c>
      <c r="AH155" s="270">
        <f t="shared" si="615"/>
        <v>0</v>
      </c>
      <c r="AI155" s="270">
        <f t="shared" si="615"/>
        <v>0</v>
      </c>
      <c r="AJ155" s="270">
        <f t="shared" si="615"/>
        <v>0</v>
      </c>
      <c r="AK155" s="270">
        <f t="shared" si="615"/>
        <v>0</v>
      </c>
      <c r="AL155" s="270">
        <f t="shared" si="615"/>
        <v>0</v>
      </c>
      <c r="AM155" s="270">
        <f t="shared" si="615"/>
        <v>0</v>
      </c>
      <c r="AN155" s="270">
        <f t="shared" si="615"/>
        <v>0</v>
      </c>
      <c r="AO155" s="270">
        <f t="shared" si="615"/>
        <v>0</v>
      </c>
      <c r="AP155" s="270">
        <f t="shared" si="615"/>
        <v>0</v>
      </c>
      <c r="AQ155" s="270">
        <f t="shared" si="615"/>
        <v>0</v>
      </c>
      <c r="AR155" s="271">
        <f>+SUBTOTAL(9,AF155:AQ155)</f>
        <v>0</v>
      </c>
      <c r="AS155" s="266"/>
      <c r="AT155" s="269">
        <f>SUM(AT152:AT154)</f>
        <v>0</v>
      </c>
      <c r="AU155" s="270">
        <f t="shared" ref="AU155:BE155" si="616">SUM(AU152:AU154)</f>
        <v>0</v>
      </c>
      <c r="AV155" s="270">
        <f t="shared" si="616"/>
        <v>0</v>
      </c>
      <c r="AW155" s="270">
        <f t="shared" si="616"/>
        <v>0</v>
      </c>
      <c r="AX155" s="270">
        <f t="shared" si="616"/>
        <v>0</v>
      </c>
      <c r="AY155" s="270">
        <f t="shared" si="616"/>
        <v>0</v>
      </c>
      <c r="AZ155" s="270">
        <f t="shared" si="616"/>
        <v>0</v>
      </c>
      <c r="BA155" s="270">
        <f t="shared" si="616"/>
        <v>0</v>
      </c>
      <c r="BB155" s="270">
        <f t="shared" si="616"/>
        <v>0</v>
      </c>
      <c r="BC155" s="270">
        <f t="shared" si="616"/>
        <v>0</v>
      </c>
      <c r="BD155" s="270">
        <f t="shared" si="616"/>
        <v>0</v>
      </c>
      <c r="BE155" s="270">
        <f t="shared" si="616"/>
        <v>0</v>
      </c>
      <c r="BF155" s="271">
        <f>+SUBTOTAL(9,AT155:BE155)</f>
        <v>0</v>
      </c>
      <c r="BG155" s="266"/>
      <c r="BH155" s="269">
        <f>SUM(BH152:BH154)</f>
        <v>0</v>
      </c>
      <c r="BI155" s="270">
        <f t="shared" ref="BI155:BS155" si="617">SUM(BI152:BI154)</f>
        <v>0</v>
      </c>
      <c r="BJ155" s="270">
        <f t="shared" si="617"/>
        <v>0</v>
      </c>
      <c r="BK155" s="270">
        <f t="shared" si="617"/>
        <v>0</v>
      </c>
      <c r="BL155" s="270">
        <f t="shared" si="617"/>
        <v>0</v>
      </c>
      <c r="BM155" s="270">
        <f t="shared" si="617"/>
        <v>0</v>
      </c>
      <c r="BN155" s="270">
        <f t="shared" si="617"/>
        <v>0</v>
      </c>
      <c r="BO155" s="270">
        <f t="shared" si="617"/>
        <v>0</v>
      </c>
      <c r="BP155" s="270">
        <f t="shared" si="617"/>
        <v>0</v>
      </c>
      <c r="BQ155" s="270">
        <f t="shared" si="617"/>
        <v>0</v>
      </c>
      <c r="BR155" s="270">
        <f t="shared" si="617"/>
        <v>0</v>
      </c>
      <c r="BS155" s="270">
        <f t="shared" si="617"/>
        <v>0</v>
      </c>
      <c r="BT155" s="271">
        <f>+SUBTOTAL(9,BH155:BS155)</f>
        <v>0</v>
      </c>
      <c r="BU155" s="266"/>
      <c r="BV155" s="269">
        <f>SUM(BV152:BV154)</f>
        <v>0</v>
      </c>
      <c r="BW155" s="270">
        <f t="shared" ref="BW155:CG155" si="618">SUM(BW152:BW154)</f>
        <v>0</v>
      </c>
      <c r="BX155" s="270">
        <f t="shared" si="618"/>
        <v>0</v>
      </c>
      <c r="BY155" s="270">
        <f t="shared" si="618"/>
        <v>0</v>
      </c>
      <c r="BZ155" s="270">
        <f t="shared" si="618"/>
        <v>0</v>
      </c>
      <c r="CA155" s="270">
        <f t="shared" si="618"/>
        <v>0</v>
      </c>
      <c r="CB155" s="270">
        <f t="shared" si="618"/>
        <v>0</v>
      </c>
      <c r="CC155" s="270">
        <f t="shared" si="618"/>
        <v>0</v>
      </c>
      <c r="CD155" s="270">
        <f t="shared" si="618"/>
        <v>0</v>
      </c>
      <c r="CE155" s="270">
        <f t="shared" si="618"/>
        <v>0</v>
      </c>
      <c r="CF155" s="270">
        <f t="shared" si="618"/>
        <v>0</v>
      </c>
      <c r="CG155" s="270">
        <f t="shared" si="618"/>
        <v>0</v>
      </c>
      <c r="CH155" s="271">
        <f>+SUBTOTAL(9,BV155:CG155)</f>
        <v>0</v>
      </c>
      <c r="CI155" s="266"/>
      <c r="CJ155" s="269">
        <f>SUM(CJ152:CJ154)</f>
        <v>0</v>
      </c>
      <c r="CK155" s="270">
        <f t="shared" ref="CK155:CU155" si="619">SUM(CK152:CK154)</f>
        <v>0</v>
      </c>
      <c r="CL155" s="270">
        <f t="shared" si="619"/>
        <v>0</v>
      </c>
      <c r="CM155" s="270">
        <f t="shared" si="619"/>
        <v>0</v>
      </c>
      <c r="CN155" s="270">
        <f t="shared" si="619"/>
        <v>0</v>
      </c>
      <c r="CO155" s="270">
        <f t="shared" si="619"/>
        <v>0</v>
      </c>
      <c r="CP155" s="270">
        <f t="shared" si="619"/>
        <v>0</v>
      </c>
      <c r="CQ155" s="270">
        <f t="shared" si="619"/>
        <v>0</v>
      </c>
      <c r="CR155" s="270">
        <f t="shared" si="619"/>
        <v>0</v>
      </c>
      <c r="CS155" s="270">
        <f t="shared" si="619"/>
        <v>0</v>
      </c>
      <c r="CT155" s="270">
        <f t="shared" si="619"/>
        <v>0</v>
      </c>
      <c r="CU155" s="270">
        <f t="shared" si="619"/>
        <v>0</v>
      </c>
      <c r="CV155" s="271">
        <f>+SUBTOTAL(9,CJ155:CU155)</f>
        <v>0</v>
      </c>
      <c r="CW155" s="266"/>
      <c r="CX155" s="269">
        <f>SUM(CX152:CX154)</f>
        <v>0</v>
      </c>
      <c r="CY155" s="270">
        <f t="shared" ref="CY155:DI155" si="620">SUM(CY152:CY154)</f>
        <v>0</v>
      </c>
      <c r="CZ155" s="270">
        <f t="shared" si="620"/>
        <v>0</v>
      </c>
      <c r="DA155" s="270">
        <f t="shared" si="620"/>
        <v>0</v>
      </c>
      <c r="DB155" s="270">
        <f t="shared" si="620"/>
        <v>0</v>
      </c>
      <c r="DC155" s="270">
        <f t="shared" si="620"/>
        <v>0</v>
      </c>
      <c r="DD155" s="270">
        <f t="shared" si="620"/>
        <v>0</v>
      </c>
      <c r="DE155" s="270">
        <f t="shared" si="620"/>
        <v>0</v>
      </c>
      <c r="DF155" s="270">
        <f t="shared" si="620"/>
        <v>0</v>
      </c>
      <c r="DG155" s="270">
        <f t="shared" si="620"/>
        <v>0</v>
      </c>
      <c r="DH155" s="270">
        <f t="shared" si="620"/>
        <v>0</v>
      </c>
      <c r="DI155" s="270">
        <f t="shared" si="620"/>
        <v>0</v>
      </c>
      <c r="DJ155" s="271">
        <f>+SUBTOTAL(9,CX155:DI155)</f>
        <v>0</v>
      </c>
      <c r="DK155" s="266"/>
      <c r="DL155" s="269">
        <f>SUM(DL152:DL154)</f>
        <v>0</v>
      </c>
      <c r="DM155" s="270">
        <f t="shared" ref="DM155:DW155" si="621">SUM(DM152:DM154)</f>
        <v>0</v>
      </c>
      <c r="DN155" s="270">
        <f t="shared" si="621"/>
        <v>0</v>
      </c>
      <c r="DO155" s="270">
        <f t="shared" si="621"/>
        <v>0</v>
      </c>
      <c r="DP155" s="270">
        <f t="shared" si="621"/>
        <v>0</v>
      </c>
      <c r="DQ155" s="270">
        <f t="shared" si="621"/>
        <v>0</v>
      </c>
      <c r="DR155" s="270">
        <f t="shared" si="621"/>
        <v>0</v>
      </c>
      <c r="DS155" s="270">
        <f t="shared" si="621"/>
        <v>0</v>
      </c>
      <c r="DT155" s="270">
        <f t="shared" si="621"/>
        <v>0</v>
      </c>
      <c r="DU155" s="270">
        <f t="shared" si="621"/>
        <v>0</v>
      </c>
      <c r="DV155" s="270">
        <f t="shared" si="621"/>
        <v>0</v>
      </c>
      <c r="DW155" s="270">
        <f t="shared" si="621"/>
        <v>0</v>
      </c>
      <c r="DX155" s="271">
        <f>+SUBTOTAL(9,DL155:DW155)</f>
        <v>0</v>
      </c>
      <c r="DY155" s="266"/>
      <c r="DZ155" s="269">
        <f>SUM(DZ152:DZ154)</f>
        <v>0</v>
      </c>
      <c r="EA155" s="270">
        <f t="shared" ref="EA155:EK155" si="622">SUM(EA152:EA154)</f>
        <v>0</v>
      </c>
      <c r="EB155" s="270">
        <f t="shared" si="622"/>
        <v>0</v>
      </c>
      <c r="EC155" s="270">
        <f t="shared" si="622"/>
        <v>0</v>
      </c>
      <c r="ED155" s="270">
        <f t="shared" si="622"/>
        <v>0</v>
      </c>
      <c r="EE155" s="270">
        <f t="shared" si="622"/>
        <v>0</v>
      </c>
      <c r="EF155" s="270">
        <f t="shared" si="622"/>
        <v>0</v>
      </c>
      <c r="EG155" s="270">
        <f t="shared" si="622"/>
        <v>0</v>
      </c>
      <c r="EH155" s="270">
        <f t="shared" si="622"/>
        <v>0</v>
      </c>
      <c r="EI155" s="270">
        <f t="shared" si="622"/>
        <v>0</v>
      </c>
      <c r="EJ155" s="270">
        <f t="shared" si="622"/>
        <v>0</v>
      </c>
      <c r="EK155" s="270">
        <f t="shared" si="622"/>
        <v>0</v>
      </c>
      <c r="EL155" s="271">
        <f>+SUBTOTAL(9,DZ155:EK155)</f>
        <v>0</v>
      </c>
      <c r="EM155" s="266"/>
      <c r="EN155" s="269">
        <f>SUM(EN152:EN154)</f>
        <v>0</v>
      </c>
      <c r="EO155" s="270">
        <f t="shared" ref="EO155:EY155" si="623">SUM(EO152:EO154)</f>
        <v>0</v>
      </c>
      <c r="EP155" s="270">
        <f t="shared" si="623"/>
        <v>0</v>
      </c>
      <c r="EQ155" s="270">
        <f t="shared" si="623"/>
        <v>0</v>
      </c>
      <c r="ER155" s="270">
        <f t="shared" si="623"/>
        <v>0</v>
      </c>
      <c r="ES155" s="270">
        <f t="shared" si="623"/>
        <v>0</v>
      </c>
      <c r="ET155" s="270">
        <f t="shared" si="623"/>
        <v>0</v>
      </c>
      <c r="EU155" s="270">
        <f t="shared" si="623"/>
        <v>0</v>
      </c>
      <c r="EV155" s="270">
        <f t="shared" si="623"/>
        <v>0</v>
      </c>
      <c r="EW155" s="270">
        <f t="shared" si="623"/>
        <v>0</v>
      </c>
      <c r="EX155" s="270">
        <f t="shared" si="623"/>
        <v>0</v>
      </c>
      <c r="EY155" s="270">
        <f t="shared" si="623"/>
        <v>0</v>
      </c>
      <c r="EZ155" s="271">
        <f>+SUBTOTAL(9,EN155:EY155)</f>
        <v>0</v>
      </c>
      <c r="FA155" s="266"/>
      <c r="FB155" s="269">
        <f>SUM(FB152:FB154)</f>
        <v>0</v>
      </c>
      <c r="FC155" s="270">
        <f t="shared" ref="FC155:FM155" si="624">SUM(FC152:FC154)</f>
        <v>0</v>
      </c>
      <c r="FD155" s="270">
        <f t="shared" si="624"/>
        <v>0</v>
      </c>
      <c r="FE155" s="270">
        <f t="shared" si="624"/>
        <v>0</v>
      </c>
      <c r="FF155" s="270">
        <f t="shared" si="624"/>
        <v>0</v>
      </c>
      <c r="FG155" s="270">
        <f t="shared" si="624"/>
        <v>0</v>
      </c>
      <c r="FH155" s="270">
        <f t="shared" si="624"/>
        <v>0</v>
      </c>
      <c r="FI155" s="270">
        <f t="shared" si="624"/>
        <v>0</v>
      </c>
      <c r="FJ155" s="270">
        <f t="shared" si="624"/>
        <v>0</v>
      </c>
      <c r="FK155" s="270">
        <f t="shared" si="624"/>
        <v>0</v>
      </c>
      <c r="FL155" s="270">
        <f t="shared" si="624"/>
        <v>0</v>
      </c>
      <c r="FM155" s="270">
        <f t="shared" si="624"/>
        <v>0</v>
      </c>
      <c r="FN155" s="271">
        <f>+SUBTOTAL(9,FB155:FM155)</f>
        <v>0</v>
      </c>
      <c r="FO155" s="266"/>
      <c r="FP155" s="269">
        <f>SUM(FP152:FP154)</f>
        <v>0</v>
      </c>
      <c r="FQ155" s="270">
        <f t="shared" ref="FQ155:GA155" si="625">SUM(FQ152:FQ154)</f>
        <v>0</v>
      </c>
      <c r="FR155" s="270">
        <f t="shared" si="625"/>
        <v>0</v>
      </c>
      <c r="FS155" s="270">
        <f t="shared" si="625"/>
        <v>0</v>
      </c>
      <c r="FT155" s="270">
        <f t="shared" si="625"/>
        <v>0</v>
      </c>
      <c r="FU155" s="270">
        <f t="shared" si="625"/>
        <v>0</v>
      </c>
      <c r="FV155" s="270">
        <f t="shared" si="625"/>
        <v>0</v>
      </c>
      <c r="FW155" s="270">
        <f t="shared" si="625"/>
        <v>0</v>
      </c>
      <c r="FX155" s="270">
        <f t="shared" si="625"/>
        <v>0</v>
      </c>
      <c r="FY155" s="270">
        <f t="shared" si="625"/>
        <v>0</v>
      </c>
      <c r="FZ155" s="270">
        <f t="shared" si="625"/>
        <v>0</v>
      </c>
      <c r="GA155" s="270">
        <f t="shared" si="625"/>
        <v>0</v>
      </c>
      <c r="GB155" s="271">
        <f>+SUBTOTAL(9,FP155:GA155)</f>
        <v>0</v>
      </c>
      <c r="GC155" s="266"/>
      <c r="GD155" s="269">
        <f>SUM(GD152:GD154)</f>
        <v>0</v>
      </c>
      <c r="GE155" s="270">
        <f t="shared" ref="GE155:GO155" si="626">SUM(GE152:GE154)</f>
        <v>0</v>
      </c>
      <c r="GF155" s="270">
        <f t="shared" si="626"/>
        <v>0</v>
      </c>
      <c r="GG155" s="270">
        <f t="shared" si="626"/>
        <v>0</v>
      </c>
      <c r="GH155" s="270">
        <f t="shared" si="626"/>
        <v>0</v>
      </c>
      <c r="GI155" s="270">
        <f t="shared" si="626"/>
        <v>0</v>
      </c>
      <c r="GJ155" s="270">
        <f t="shared" si="626"/>
        <v>0</v>
      </c>
      <c r="GK155" s="270">
        <f t="shared" si="626"/>
        <v>0</v>
      </c>
      <c r="GL155" s="270">
        <f t="shared" si="626"/>
        <v>0</v>
      </c>
      <c r="GM155" s="270">
        <f t="shared" si="626"/>
        <v>0</v>
      </c>
      <c r="GN155" s="270">
        <f t="shared" si="626"/>
        <v>0</v>
      </c>
      <c r="GO155" s="270">
        <f t="shared" si="626"/>
        <v>0</v>
      </c>
      <c r="GP155" s="271">
        <f>+SUBTOTAL(9,GD155:GO155)</f>
        <v>0</v>
      </c>
      <c r="GQ155" s="266"/>
      <c r="GR155" s="269">
        <f>SUM(GR152:GR154)</f>
        <v>0</v>
      </c>
      <c r="GS155" s="270">
        <f t="shared" ref="GS155:HC155" si="627">SUM(GS152:GS154)</f>
        <v>0</v>
      </c>
      <c r="GT155" s="270">
        <f t="shared" si="627"/>
        <v>0</v>
      </c>
      <c r="GU155" s="270">
        <f t="shared" si="627"/>
        <v>0</v>
      </c>
      <c r="GV155" s="270">
        <f t="shared" si="627"/>
        <v>0</v>
      </c>
      <c r="GW155" s="270">
        <f t="shared" si="627"/>
        <v>0</v>
      </c>
      <c r="GX155" s="270">
        <f t="shared" si="627"/>
        <v>0</v>
      </c>
      <c r="GY155" s="270">
        <f t="shared" si="627"/>
        <v>0</v>
      </c>
      <c r="GZ155" s="270">
        <f t="shared" si="627"/>
        <v>0</v>
      </c>
      <c r="HA155" s="270">
        <f t="shared" si="627"/>
        <v>0</v>
      </c>
      <c r="HB155" s="270">
        <f t="shared" si="627"/>
        <v>0</v>
      </c>
      <c r="HC155" s="270">
        <f t="shared" si="627"/>
        <v>0</v>
      </c>
      <c r="HD155" s="271">
        <f>+SUBTOTAL(9,GR155:HC155)</f>
        <v>0</v>
      </c>
      <c r="HE155" s="266"/>
      <c r="HF155" s="269">
        <f>SUM(HF152:HF154)</f>
        <v>0</v>
      </c>
      <c r="HG155" s="270">
        <f t="shared" ref="HG155:HQ155" si="628">SUM(HG152:HG154)</f>
        <v>0</v>
      </c>
      <c r="HH155" s="270">
        <f t="shared" si="628"/>
        <v>0</v>
      </c>
      <c r="HI155" s="270">
        <f t="shared" si="628"/>
        <v>0</v>
      </c>
      <c r="HJ155" s="270">
        <f t="shared" si="628"/>
        <v>0</v>
      </c>
      <c r="HK155" s="270">
        <f t="shared" si="628"/>
        <v>0</v>
      </c>
      <c r="HL155" s="270">
        <f t="shared" si="628"/>
        <v>0</v>
      </c>
      <c r="HM155" s="270">
        <f t="shared" si="628"/>
        <v>0</v>
      </c>
      <c r="HN155" s="270">
        <f t="shared" si="628"/>
        <v>0</v>
      </c>
      <c r="HO155" s="270">
        <f t="shared" si="628"/>
        <v>0</v>
      </c>
      <c r="HP155" s="270">
        <f t="shared" si="628"/>
        <v>0</v>
      </c>
      <c r="HQ155" s="270">
        <f t="shared" si="628"/>
        <v>0</v>
      </c>
      <c r="HR155" s="271">
        <f>+SUBTOTAL(9,HF155:HQ155)</f>
        <v>0</v>
      </c>
      <c r="HS155" s="266"/>
      <c r="HT155" s="269">
        <f>SUM(HT152:HT154)</f>
        <v>0</v>
      </c>
      <c r="HU155" s="270">
        <f t="shared" ref="HU155:IE155" si="629">SUM(HU152:HU154)</f>
        <v>0</v>
      </c>
      <c r="HV155" s="270">
        <f t="shared" si="629"/>
        <v>0</v>
      </c>
      <c r="HW155" s="270">
        <f t="shared" si="629"/>
        <v>0</v>
      </c>
      <c r="HX155" s="270">
        <f t="shared" si="629"/>
        <v>0</v>
      </c>
      <c r="HY155" s="270">
        <f t="shared" si="629"/>
        <v>0</v>
      </c>
      <c r="HZ155" s="270">
        <f t="shared" si="629"/>
        <v>0</v>
      </c>
      <c r="IA155" s="270">
        <f t="shared" si="629"/>
        <v>0</v>
      </c>
      <c r="IB155" s="270">
        <f t="shared" si="629"/>
        <v>0</v>
      </c>
      <c r="IC155" s="270">
        <f t="shared" si="629"/>
        <v>0</v>
      </c>
      <c r="ID155" s="270">
        <f t="shared" si="629"/>
        <v>0</v>
      </c>
      <c r="IE155" s="270">
        <f t="shared" si="629"/>
        <v>0</v>
      </c>
      <c r="IF155" s="271">
        <f>+SUBTOTAL(9,HT155:IE155)</f>
        <v>0</v>
      </c>
      <c r="IG155" s="266"/>
      <c r="IH155" s="269">
        <f>SUM(IH152:IH154)</f>
        <v>0</v>
      </c>
      <c r="II155" s="270">
        <f t="shared" ref="II155:IS155" si="630">SUM(II152:II154)</f>
        <v>0</v>
      </c>
      <c r="IJ155" s="270">
        <f t="shared" si="630"/>
        <v>0</v>
      </c>
      <c r="IK155" s="270">
        <f t="shared" si="630"/>
        <v>0</v>
      </c>
      <c r="IL155" s="270">
        <f t="shared" si="630"/>
        <v>0</v>
      </c>
      <c r="IM155" s="270">
        <f t="shared" si="630"/>
        <v>0</v>
      </c>
      <c r="IN155" s="270">
        <f t="shared" si="630"/>
        <v>0</v>
      </c>
      <c r="IO155" s="270">
        <f t="shared" si="630"/>
        <v>0</v>
      </c>
      <c r="IP155" s="270">
        <f t="shared" si="630"/>
        <v>0</v>
      </c>
      <c r="IQ155" s="270">
        <f t="shared" si="630"/>
        <v>0</v>
      </c>
      <c r="IR155" s="270">
        <f t="shared" si="630"/>
        <v>0</v>
      </c>
      <c r="IS155" s="270">
        <f t="shared" si="630"/>
        <v>0</v>
      </c>
      <c r="IT155" s="271">
        <f>+SUBTOTAL(9,IH155:IS155)</f>
        <v>0</v>
      </c>
      <c r="IU155" s="266"/>
      <c r="IV155" s="269">
        <f>SUM(IV152:IV154)</f>
        <v>0</v>
      </c>
      <c r="IW155" s="270">
        <f t="shared" ref="IW155:JG155" si="631">SUM(IW152:IW154)</f>
        <v>0</v>
      </c>
      <c r="IX155" s="270">
        <f t="shared" si="631"/>
        <v>0</v>
      </c>
      <c r="IY155" s="270">
        <f t="shared" si="631"/>
        <v>0</v>
      </c>
      <c r="IZ155" s="270">
        <f t="shared" si="631"/>
        <v>0</v>
      </c>
      <c r="JA155" s="270">
        <f t="shared" si="631"/>
        <v>0</v>
      </c>
      <c r="JB155" s="270">
        <f t="shared" si="631"/>
        <v>0</v>
      </c>
      <c r="JC155" s="270">
        <f t="shared" si="631"/>
        <v>0</v>
      </c>
      <c r="JD155" s="270">
        <f t="shared" si="631"/>
        <v>0</v>
      </c>
      <c r="JE155" s="270">
        <f t="shared" si="631"/>
        <v>0</v>
      </c>
      <c r="JF155" s="270">
        <f t="shared" si="631"/>
        <v>0</v>
      </c>
      <c r="JG155" s="270">
        <f t="shared" si="631"/>
        <v>0</v>
      </c>
      <c r="JH155" s="271">
        <f>+SUBTOTAL(9,IV155:JG155)</f>
        <v>0</v>
      </c>
      <c r="JI155" s="266"/>
      <c r="JJ155" s="269">
        <f>SUM(JJ152:JJ154)</f>
        <v>0</v>
      </c>
      <c r="JK155" s="270">
        <f t="shared" ref="JK155:JU155" si="632">SUM(JK152:JK154)</f>
        <v>0</v>
      </c>
      <c r="JL155" s="270">
        <f t="shared" si="632"/>
        <v>0</v>
      </c>
      <c r="JM155" s="270">
        <f t="shared" si="632"/>
        <v>0</v>
      </c>
      <c r="JN155" s="270">
        <f t="shared" si="632"/>
        <v>0</v>
      </c>
      <c r="JO155" s="270">
        <f t="shared" si="632"/>
        <v>0</v>
      </c>
      <c r="JP155" s="270">
        <f t="shared" si="632"/>
        <v>0</v>
      </c>
      <c r="JQ155" s="270">
        <f t="shared" si="632"/>
        <v>0</v>
      </c>
      <c r="JR155" s="270">
        <f t="shared" si="632"/>
        <v>0</v>
      </c>
      <c r="JS155" s="270">
        <f t="shared" si="632"/>
        <v>0</v>
      </c>
      <c r="JT155" s="270">
        <f t="shared" si="632"/>
        <v>0</v>
      </c>
      <c r="JU155" s="270">
        <f t="shared" si="632"/>
        <v>0</v>
      </c>
      <c r="JV155" s="271">
        <f>+SUBTOTAL(9,JJ155:JU155)</f>
        <v>0</v>
      </c>
      <c r="JW155" s="266"/>
      <c r="JX155" s="269">
        <f>SUM(JX152:JX154)</f>
        <v>0</v>
      </c>
      <c r="JY155" s="270">
        <f t="shared" ref="JY155:KI155" si="633">SUM(JY152:JY154)</f>
        <v>0</v>
      </c>
      <c r="JZ155" s="270">
        <f t="shared" si="633"/>
        <v>0</v>
      </c>
      <c r="KA155" s="270">
        <f t="shared" si="633"/>
        <v>0</v>
      </c>
      <c r="KB155" s="270">
        <f t="shared" si="633"/>
        <v>0</v>
      </c>
      <c r="KC155" s="270">
        <f t="shared" si="633"/>
        <v>0</v>
      </c>
      <c r="KD155" s="270">
        <f t="shared" si="633"/>
        <v>0</v>
      </c>
      <c r="KE155" s="270">
        <f t="shared" si="633"/>
        <v>0</v>
      </c>
      <c r="KF155" s="270">
        <f t="shared" si="633"/>
        <v>0</v>
      </c>
      <c r="KG155" s="270">
        <f t="shared" si="633"/>
        <v>0</v>
      </c>
      <c r="KH155" s="270">
        <f t="shared" si="633"/>
        <v>0</v>
      </c>
      <c r="KI155" s="270">
        <f t="shared" si="633"/>
        <v>0</v>
      </c>
      <c r="KJ155" s="271">
        <f>+SUBTOTAL(9,JX155:KI155)</f>
        <v>0</v>
      </c>
      <c r="KK155" s="266"/>
      <c r="KL155" s="269">
        <f>SUM(KL152:KL154)</f>
        <v>0</v>
      </c>
      <c r="KM155" s="270">
        <f t="shared" ref="KM155:KW155" si="634">SUM(KM152:KM154)</f>
        <v>0</v>
      </c>
      <c r="KN155" s="270">
        <f t="shared" si="634"/>
        <v>0</v>
      </c>
      <c r="KO155" s="270">
        <f t="shared" si="634"/>
        <v>0</v>
      </c>
      <c r="KP155" s="270">
        <f t="shared" si="634"/>
        <v>0</v>
      </c>
      <c r="KQ155" s="270">
        <f t="shared" si="634"/>
        <v>0</v>
      </c>
      <c r="KR155" s="270">
        <f t="shared" si="634"/>
        <v>0</v>
      </c>
      <c r="KS155" s="270">
        <f t="shared" si="634"/>
        <v>0</v>
      </c>
      <c r="KT155" s="270">
        <f t="shared" si="634"/>
        <v>0</v>
      </c>
      <c r="KU155" s="270">
        <f t="shared" si="634"/>
        <v>0</v>
      </c>
      <c r="KV155" s="270">
        <f t="shared" si="634"/>
        <v>0</v>
      </c>
      <c r="KW155" s="270">
        <f t="shared" si="634"/>
        <v>0</v>
      </c>
      <c r="KX155" s="271">
        <f>+SUBTOTAL(9,KL155:KW155)</f>
        <v>0</v>
      </c>
      <c r="KY155" s="266"/>
      <c r="KZ155" s="269">
        <f>SUM(KZ152:KZ154)</f>
        <v>0</v>
      </c>
      <c r="LA155" s="270">
        <f t="shared" ref="LA155:LK155" si="635">SUM(LA152:LA154)</f>
        <v>0</v>
      </c>
      <c r="LB155" s="270">
        <f t="shared" si="635"/>
        <v>0</v>
      </c>
      <c r="LC155" s="270">
        <f t="shared" si="635"/>
        <v>0</v>
      </c>
      <c r="LD155" s="270">
        <f t="shared" si="635"/>
        <v>0</v>
      </c>
      <c r="LE155" s="270">
        <f t="shared" si="635"/>
        <v>0</v>
      </c>
      <c r="LF155" s="270">
        <f t="shared" si="635"/>
        <v>0</v>
      </c>
      <c r="LG155" s="270">
        <f t="shared" si="635"/>
        <v>0</v>
      </c>
      <c r="LH155" s="270">
        <f t="shared" si="635"/>
        <v>0</v>
      </c>
      <c r="LI155" s="270">
        <f t="shared" si="635"/>
        <v>0</v>
      </c>
      <c r="LJ155" s="270">
        <f t="shared" si="635"/>
        <v>0</v>
      </c>
      <c r="LK155" s="270">
        <f t="shared" si="635"/>
        <v>0</v>
      </c>
      <c r="LL155" s="271">
        <f>+SUBTOTAL(9,KZ155:LK155)</f>
        <v>0</v>
      </c>
      <c r="LM155" s="266"/>
      <c r="LN155" s="269">
        <f>SUM(LN152:LN154)</f>
        <v>0</v>
      </c>
      <c r="LO155" s="270">
        <f t="shared" ref="LO155:LY155" si="636">SUM(LO152:LO154)</f>
        <v>0</v>
      </c>
      <c r="LP155" s="270">
        <f t="shared" si="636"/>
        <v>0</v>
      </c>
      <c r="LQ155" s="270">
        <f t="shared" si="636"/>
        <v>0</v>
      </c>
      <c r="LR155" s="270">
        <f t="shared" si="636"/>
        <v>0</v>
      </c>
      <c r="LS155" s="270">
        <f t="shared" si="636"/>
        <v>0</v>
      </c>
      <c r="LT155" s="270">
        <f t="shared" si="636"/>
        <v>0</v>
      </c>
      <c r="LU155" s="270">
        <f t="shared" si="636"/>
        <v>0</v>
      </c>
      <c r="LV155" s="270">
        <f t="shared" si="636"/>
        <v>0</v>
      </c>
      <c r="LW155" s="270">
        <f t="shared" si="636"/>
        <v>0</v>
      </c>
      <c r="LX155" s="270">
        <f t="shared" si="636"/>
        <v>0</v>
      </c>
      <c r="LY155" s="270">
        <f t="shared" si="636"/>
        <v>0</v>
      </c>
      <c r="LZ155" s="271">
        <f>+SUBTOTAL(9,LN155:LY155)</f>
        <v>0</v>
      </c>
      <c r="MA155" s="266"/>
      <c r="MB155" s="271">
        <f t="shared" ref="MB155:MC155" si="637">SUM(MB152:MB154)</f>
        <v>0</v>
      </c>
      <c r="MC155" s="271">
        <f t="shared" si="637"/>
        <v>0</v>
      </c>
      <c r="MD155" s="271">
        <f t="shared" ref="MD155:MN155" si="638">SUM(MD152:MD154)</f>
        <v>0</v>
      </c>
      <c r="ME155" s="271">
        <f t="shared" si="638"/>
        <v>0</v>
      </c>
      <c r="MF155" s="271">
        <f t="shared" si="638"/>
        <v>0</v>
      </c>
      <c r="MG155" s="271">
        <f t="shared" si="638"/>
        <v>0</v>
      </c>
      <c r="MH155" s="271">
        <f t="shared" si="638"/>
        <v>0</v>
      </c>
      <c r="MI155" s="271">
        <f t="shared" si="638"/>
        <v>0</v>
      </c>
      <c r="MJ155" s="271">
        <f t="shared" si="638"/>
        <v>0</v>
      </c>
      <c r="MK155" s="271">
        <f t="shared" si="638"/>
        <v>0</v>
      </c>
      <c r="ML155" s="271">
        <f t="shared" si="638"/>
        <v>0</v>
      </c>
      <c r="MM155" s="271">
        <f t="shared" si="638"/>
        <v>0</v>
      </c>
      <c r="MN155" s="271">
        <f t="shared" si="638"/>
        <v>0</v>
      </c>
    </row>
    <row r="156" spans="1:352" hidden="1" x14ac:dyDescent="0.3">
      <c r="A156" s="262"/>
      <c r="D156" s="268"/>
      <c r="E156" s="265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230"/>
      <c r="Q156" s="266"/>
      <c r="R156" s="268"/>
      <c r="S156" s="265"/>
      <c r="T156" s="265"/>
      <c r="U156" s="265"/>
      <c r="V156" s="265"/>
      <c r="W156" s="265"/>
      <c r="X156" s="265"/>
      <c r="Y156" s="265"/>
      <c r="Z156" s="265"/>
      <c r="AA156" s="265"/>
      <c r="AB156" s="265"/>
      <c r="AC156" s="265"/>
      <c r="AD156" s="230"/>
      <c r="AE156" s="266"/>
      <c r="AF156" s="268"/>
      <c r="AG156" s="265"/>
      <c r="AH156" s="265"/>
      <c r="AI156" s="265"/>
      <c r="AJ156" s="265"/>
      <c r="AK156" s="265"/>
      <c r="AL156" s="265"/>
      <c r="AM156" s="265"/>
      <c r="AN156" s="265"/>
      <c r="AO156" s="265"/>
      <c r="AP156" s="265"/>
      <c r="AQ156" s="265"/>
      <c r="AR156" s="230"/>
      <c r="AS156" s="266"/>
      <c r="AT156" s="268"/>
      <c r="AU156" s="265"/>
      <c r="AV156" s="265"/>
      <c r="AW156" s="265"/>
      <c r="AX156" s="265"/>
      <c r="AY156" s="265"/>
      <c r="AZ156" s="265"/>
      <c r="BA156" s="265"/>
      <c r="BB156" s="265"/>
      <c r="BC156" s="265"/>
      <c r="BD156" s="265"/>
      <c r="BE156" s="265"/>
      <c r="BF156" s="230"/>
      <c r="BG156" s="266"/>
      <c r="BH156" s="268"/>
      <c r="BI156" s="265"/>
      <c r="BJ156" s="265"/>
      <c r="BK156" s="265"/>
      <c r="BL156" s="265"/>
      <c r="BM156" s="265"/>
      <c r="BN156" s="265"/>
      <c r="BO156" s="265"/>
      <c r="BP156" s="265"/>
      <c r="BQ156" s="265"/>
      <c r="BR156" s="265"/>
      <c r="BS156" s="265"/>
      <c r="BT156" s="230"/>
      <c r="BU156" s="266"/>
      <c r="BV156" s="268"/>
      <c r="BW156" s="265"/>
      <c r="BX156" s="265"/>
      <c r="BY156" s="265"/>
      <c r="BZ156" s="265"/>
      <c r="CA156" s="265"/>
      <c r="CB156" s="265"/>
      <c r="CC156" s="265"/>
      <c r="CD156" s="265"/>
      <c r="CE156" s="265"/>
      <c r="CF156" s="265"/>
      <c r="CG156" s="265"/>
      <c r="CH156" s="230"/>
      <c r="CI156" s="266"/>
      <c r="CJ156" s="268"/>
      <c r="CK156" s="265"/>
      <c r="CL156" s="265"/>
      <c r="CM156" s="265"/>
      <c r="CN156" s="265"/>
      <c r="CO156" s="265"/>
      <c r="CP156" s="265"/>
      <c r="CQ156" s="265"/>
      <c r="CR156" s="265"/>
      <c r="CS156" s="265"/>
      <c r="CT156" s="265"/>
      <c r="CU156" s="265"/>
      <c r="CV156" s="230"/>
      <c r="CW156" s="266"/>
      <c r="CX156" s="268"/>
      <c r="CY156" s="265"/>
      <c r="CZ156" s="265"/>
      <c r="DA156" s="265"/>
      <c r="DB156" s="265"/>
      <c r="DC156" s="265"/>
      <c r="DD156" s="265"/>
      <c r="DE156" s="265"/>
      <c r="DF156" s="265"/>
      <c r="DG156" s="265"/>
      <c r="DH156" s="265"/>
      <c r="DI156" s="265"/>
      <c r="DJ156" s="230"/>
      <c r="DK156" s="266"/>
      <c r="DL156" s="268"/>
      <c r="DM156" s="265"/>
      <c r="DN156" s="265"/>
      <c r="DO156" s="265"/>
      <c r="DP156" s="265"/>
      <c r="DQ156" s="265"/>
      <c r="DR156" s="265"/>
      <c r="DS156" s="265"/>
      <c r="DT156" s="265"/>
      <c r="DU156" s="265"/>
      <c r="DV156" s="265"/>
      <c r="DW156" s="265"/>
      <c r="DX156" s="230"/>
      <c r="DY156" s="266"/>
      <c r="DZ156" s="268"/>
      <c r="EA156" s="265"/>
      <c r="EB156" s="265"/>
      <c r="EC156" s="265"/>
      <c r="ED156" s="265"/>
      <c r="EE156" s="265"/>
      <c r="EF156" s="265"/>
      <c r="EG156" s="265"/>
      <c r="EH156" s="265"/>
      <c r="EI156" s="265"/>
      <c r="EJ156" s="265"/>
      <c r="EK156" s="265"/>
      <c r="EL156" s="230"/>
      <c r="EM156" s="266"/>
      <c r="EN156" s="268"/>
      <c r="EO156" s="265"/>
      <c r="EP156" s="265"/>
      <c r="EQ156" s="265"/>
      <c r="ER156" s="265"/>
      <c r="ES156" s="265"/>
      <c r="ET156" s="265"/>
      <c r="EU156" s="265"/>
      <c r="EV156" s="265"/>
      <c r="EW156" s="265"/>
      <c r="EX156" s="265"/>
      <c r="EY156" s="265"/>
      <c r="EZ156" s="230"/>
      <c r="FA156" s="266"/>
      <c r="FB156" s="268"/>
      <c r="FC156" s="265"/>
      <c r="FD156" s="265"/>
      <c r="FE156" s="265"/>
      <c r="FF156" s="265"/>
      <c r="FG156" s="265"/>
      <c r="FH156" s="265"/>
      <c r="FI156" s="265"/>
      <c r="FJ156" s="265"/>
      <c r="FK156" s="265"/>
      <c r="FL156" s="265"/>
      <c r="FM156" s="265"/>
      <c r="FN156" s="230"/>
      <c r="FO156" s="266"/>
      <c r="FP156" s="268"/>
      <c r="FQ156" s="265"/>
      <c r="FR156" s="265"/>
      <c r="FS156" s="265"/>
      <c r="FT156" s="265"/>
      <c r="FU156" s="265"/>
      <c r="FV156" s="265"/>
      <c r="FW156" s="265"/>
      <c r="FX156" s="265"/>
      <c r="FY156" s="265"/>
      <c r="FZ156" s="265"/>
      <c r="GA156" s="265"/>
      <c r="GB156" s="230"/>
      <c r="GC156" s="266"/>
      <c r="GD156" s="268"/>
      <c r="GE156" s="265"/>
      <c r="GF156" s="265"/>
      <c r="GG156" s="265"/>
      <c r="GH156" s="265"/>
      <c r="GI156" s="265"/>
      <c r="GJ156" s="265"/>
      <c r="GK156" s="265"/>
      <c r="GL156" s="265"/>
      <c r="GM156" s="265"/>
      <c r="GN156" s="265"/>
      <c r="GO156" s="265"/>
      <c r="GP156" s="230"/>
      <c r="GQ156" s="266"/>
      <c r="GR156" s="268"/>
      <c r="GS156" s="265"/>
      <c r="GT156" s="265"/>
      <c r="GU156" s="265"/>
      <c r="GV156" s="265"/>
      <c r="GW156" s="265"/>
      <c r="GX156" s="265"/>
      <c r="GY156" s="265"/>
      <c r="GZ156" s="265"/>
      <c r="HA156" s="265"/>
      <c r="HB156" s="265"/>
      <c r="HC156" s="265"/>
      <c r="HD156" s="230"/>
      <c r="HE156" s="266"/>
      <c r="HF156" s="268"/>
      <c r="HG156" s="265"/>
      <c r="HH156" s="265"/>
      <c r="HI156" s="265"/>
      <c r="HJ156" s="265"/>
      <c r="HK156" s="265"/>
      <c r="HL156" s="265"/>
      <c r="HM156" s="265"/>
      <c r="HN156" s="265"/>
      <c r="HO156" s="265"/>
      <c r="HP156" s="265"/>
      <c r="HQ156" s="265"/>
      <c r="HR156" s="230"/>
      <c r="HS156" s="266"/>
      <c r="HT156" s="268"/>
      <c r="HU156" s="265"/>
      <c r="HV156" s="265"/>
      <c r="HW156" s="265"/>
      <c r="HX156" s="265"/>
      <c r="HY156" s="265"/>
      <c r="HZ156" s="265"/>
      <c r="IA156" s="265"/>
      <c r="IB156" s="265"/>
      <c r="IC156" s="265"/>
      <c r="ID156" s="265"/>
      <c r="IE156" s="265"/>
      <c r="IF156" s="230"/>
      <c r="IG156" s="266"/>
      <c r="IH156" s="268"/>
      <c r="II156" s="265"/>
      <c r="IJ156" s="265"/>
      <c r="IK156" s="265"/>
      <c r="IL156" s="265"/>
      <c r="IM156" s="265"/>
      <c r="IN156" s="265"/>
      <c r="IO156" s="265"/>
      <c r="IP156" s="265"/>
      <c r="IQ156" s="265"/>
      <c r="IR156" s="265"/>
      <c r="IS156" s="265"/>
      <c r="IT156" s="230"/>
      <c r="IU156" s="266"/>
      <c r="IV156" s="268"/>
      <c r="IW156" s="265"/>
      <c r="IX156" s="265"/>
      <c r="IY156" s="265"/>
      <c r="IZ156" s="265"/>
      <c r="JA156" s="265"/>
      <c r="JB156" s="265"/>
      <c r="JC156" s="265"/>
      <c r="JD156" s="265"/>
      <c r="JE156" s="265"/>
      <c r="JF156" s="265"/>
      <c r="JG156" s="265"/>
      <c r="JH156" s="230"/>
      <c r="JI156" s="266"/>
      <c r="JJ156" s="268"/>
      <c r="JK156" s="265"/>
      <c r="JL156" s="265"/>
      <c r="JM156" s="265"/>
      <c r="JN156" s="265"/>
      <c r="JO156" s="265"/>
      <c r="JP156" s="265"/>
      <c r="JQ156" s="265"/>
      <c r="JR156" s="265"/>
      <c r="JS156" s="265"/>
      <c r="JT156" s="265"/>
      <c r="JU156" s="265"/>
      <c r="JV156" s="230"/>
      <c r="JW156" s="266"/>
      <c r="JX156" s="268"/>
      <c r="JY156" s="265"/>
      <c r="JZ156" s="265"/>
      <c r="KA156" s="265"/>
      <c r="KB156" s="265"/>
      <c r="KC156" s="265"/>
      <c r="KD156" s="265"/>
      <c r="KE156" s="265"/>
      <c r="KF156" s="265"/>
      <c r="KG156" s="265"/>
      <c r="KH156" s="265"/>
      <c r="KI156" s="265"/>
      <c r="KJ156" s="230"/>
      <c r="KK156" s="266"/>
      <c r="KL156" s="268"/>
      <c r="KM156" s="265"/>
      <c r="KN156" s="265"/>
      <c r="KO156" s="265"/>
      <c r="KP156" s="265"/>
      <c r="KQ156" s="265"/>
      <c r="KR156" s="265"/>
      <c r="KS156" s="265"/>
      <c r="KT156" s="265"/>
      <c r="KU156" s="265"/>
      <c r="KV156" s="265"/>
      <c r="KW156" s="265"/>
      <c r="KX156" s="230"/>
      <c r="KY156" s="266"/>
      <c r="KZ156" s="268"/>
      <c r="LA156" s="265"/>
      <c r="LB156" s="265"/>
      <c r="LC156" s="265"/>
      <c r="LD156" s="265"/>
      <c r="LE156" s="265"/>
      <c r="LF156" s="265"/>
      <c r="LG156" s="265"/>
      <c r="LH156" s="265"/>
      <c r="LI156" s="265"/>
      <c r="LJ156" s="265"/>
      <c r="LK156" s="265"/>
      <c r="LL156" s="230"/>
      <c r="LM156" s="266"/>
      <c r="LN156" s="268"/>
      <c r="LO156" s="265"/>
      <c r="LP156" s="265"/>
      <c r="LQ156" s="265"/>
      <c r="LR156" s="265"/>
      <c r="LS156" s="265"/>
      <c r="LT156" s="265"/>
      <c r="LU156" s="265"/>
      <c r="LV156" s="265"/>
      <c r="LW156" s="265"/>
      <c r="LX156" s="265"/>
      <c r="LY156" s="265"/>
      <c r="LZ156" s="230"/>
      <c r="MA156" s="266"/>
      <c r="MB156" s="230"/>
      <c r="MC156" s="230"/>
      <c r="MD156" s="230"/>
      <c r="ME156" s="230"/>
      <c r="MF156" s="230"/>
      <c r="MG156" s="230"/>
      <c r="MH156" s="230"/>
      <c r="MI156" s="230"/>
      <c r="MJ156" s="230"/>
      <c r="MK156" s="230"/>
      <c r="ML156" s="230"/>
      <c r="MM156" s="230"/>
      <c r="MN156" s="230"/>
    </row>
    <row r="157" spans="1:352" ht="13" hidden="1" x14ac:dyDescent="0.3">
      <c r="A157" s="262"/>
      <c r="B157" s="171" t="s">
        <v>198</v>
      </c>
      <c r="C157" s="172"/>
      <c r="D157" s="222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72"/>
      <c r="Q157" s="224"/>
      <c r="R157" s="222"/>
      <c r="S157" s="221"/>
      <c r="T157" s="221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72"/>
      <c r="AE157" s="224"/>
      <c r="AF157" s="222"/>
      <c r="AG157" s="221"/>
      <c r="AH157" s="221"/>
      <c r="AI157" s="221"/>
      <c r="AJ157" s="221"/>
      <c r="AK157" s="221"/>
      <c r="AL157" s="221"/>
      <c r="AM157" s="221"/>
      <c r="AN157" s="221"/>
      <c r="AO157" s="221"/>
      <c r="AP157" s="221"/>
      <c r="AQ157" s="221"/>
      <c r="AR157" s="272"/>
      <c r="AS157" s="224"/>
      <c r="AT157" s="222"/>
      <c r="AU157" s="221"/>
      <c r="AV157" s="221"/>
      <c r="AW157" s="221"/>
      <c r="AX157" s="221"/>
      <c r="AY157" s="221"/>
      <c r="AZ157" s="221"/>
      <c r="BA157" s="221"/>
      <c r="BB157" s="221"/>
      <c r="BC157" s="221"/>
      <c r="BD157" s="221"/>
      <c r="BE157" s="221"/>
      <c r="BF157" s="272"/>
      <c r="BG157" s="224"/>
      <c r="BH157" s="222"/>
      <c r="BI157" s="221"/>
      <c r="BJ157" s="221"/>
      <c r="BK157" s="221"/>
      <c r="BL157" s="221"/>
      <c r="BM157" s="221"/>
      <c r="BN157" s="221"/>
      <c r="BO157" s="221"/>
      <c r="BP157" s="221"/>
      <c r="BQ157" s="221"/>
      <c r="BR157" s="221"/>
      <c r="BS157" s="221"/>
      <c r="BT157" s="272"/>
      <c r="BU157" s="224"/>
      <c r="BV157" s="222"/>
      <c r="BW157" s="221"/>
      <c r="BX157" s="221"/>
      <c r="BY157" s="221"/>
      <c r="BZ157" s="221"/>
      <c r="CA157" s="221"/>
      <c r="CB157" s="221"/>
      <c r="CC157" s="221"/>
      <c r="CD157" s="221"/>
      <c r="CE157" s="221"/>
      <c r="CF157" s="221"/>
      <c r="CG157" s="221"/>
      <c r="CH157" s="272"/>
      <c r="CI157" s="224"/>
      <c r="CJ157" s="222"/>
      <c r="CK157" s="221"/>
      <c r="CL157" s="221"/>
      <c r="CM157" s="221"/>
      <c r="CN157" s="221"/>
      <c r="CO157" s="221"/>
      <c r="CP157" s="221"/>
      <c r="CQ157" s="221"/>
      <c r="CR157" s="221"/>
      <c r="CS157" s="221"/>
      <c r="CT157" s="221"/>
      <c r="CU157" s="221"/>
      <c r="CV157" s="272"/>
      <c r="CW157" s="224"/>
      <c r="CX157" s="222"/>
      <c r="CY157" s="221"/>
      <c r="CZ157" s="221"/>
      <c r="DA157" s="221"/>
      <c r="DB157" s="221"/>
      <c r="DC157" s="221"/>
      <c r="DD157" s="221"/>
      <c r="DE157" s="221"/>
      <c r="DF157" s="221"/>
      <c r="DG157" s="221"/>
      <c r="DH157" s="221"/>
      <c r="DI157" s="221"/>
      <c r="DJ157" s="272"/>
      <c r="DK157" s="224"/>
      <c r="DL157" s="222"/>
      <c r="DM157" s="221"/>
      <c r="DN157" s="221"/>
      <c r="DO157" s="221"/>
      <c r="DP157" s="221"/>
      <c r="DQ157" s="221"/>
      <c r="DR157" s="221"/>
      <c r="DS157" s="221"/>
      <c r="DT157" s="221"/>
      <c r="DU157" s="221"/>
      <c r="DV157" s="221"/>
      <c r="DW157" s="221"/>
      <c r="DX157" s="272"/>
      <c r="DY157" s="224"/>
      <c r="DZ157" s="222"/>
      <c r="EA157" s="221"/>
      <c r="EB157" s="221"/>
      <c r="EC157" s="221"/>
      <c r="ED157" s="221"/>
      <c r="EE157" s="221"/>
      <c r="EF157" s="221"/>
      <c r="EG157" s="221"/>
      <c r="EH157" s="221"/>
      <c r="EI157" s="221"/>
      <c r="EJ157" s="221"/>
      <c r="EK157" s="221"/>
      <c r="EL157" s="272"/>
      <c r="EM157" s="224"/>
      <c r="EN157" s="222"/>
      <c r="EO157" s="221"/>
      <c r="EP157" s="221"/>
      <c r="EQ157" s="221"/>
      <c r="ER157" s="221"/>
      <c r="ES157" s="221"/>
      <c r="ET157" s="221"/>
      <c r="EU157" s="221"/>
      <c r="EV157" s="221"/>
      <c r="EW157" s="221"/>
      <c r="EX157" s="221"/>
      <c r="EY157" s="221"/>
      <c r="EZ157" s="272"/>
      <c r="FA157" s="224"/>
      <c r="FB157" s="222"/>
      <c r="FC157" s="221"/>
      <c r="FD157" s="221"/>
      <c r="FE157" s="221"/>
      <c r="FF157" s="221"/>
      <c r="FG157" s="221"/>
      <c r="FH157" s="221"/>
      <c r="FI157" s="221"/>
      <c r="FJ157" s="221"/>
      <c r="FK157" s="221"/>
      <c r="FL157" s="221"/>
      <c r="FM157" s="221"/>
      <c r="FN157" s="272"/>
      <c r="FO157" s="224"/>
      <c r="FP157" s="222"/>
      <c r="FQ157" s="221"/>
      <c r="FR157" s="221"/>
      <c r="FS157" s="221"/>
      <c r="FT157" s="221"/>
      <c r="FU157" s="221"/>
      <c r="FV157" s="221"/>
      <c r="FW157" s="221"/>
      <c r="FX157" s="221"/>
      <c r="FY157" s="221"/>
      <c r="FZ157" s="221"/>
      <c r="GA157" s="221"/>
      <c r="GB157" s="272"/>
      <c r="GC157" s="224"/>
      <c r="GD157" s="222"/>
      <c r="GE157" s="221"/>
      <c r="GF157" s="221"/>
      <c r="GG157" s="221"/>
      <c r="GH157" s="221"/>
      <c r="GI157" s="221"/>
      <c r="GJ157" s="221"/>
      <c r="GK157" s="221"/>
      <c r="GL157" s="221"/>
      <c r="GM157" s="221"/>
      <c r="GN157" s="221"/>
      <c r="GO157" s="221"/>
      <c r="GP157" s="272"/>
      <c r="GQ157" s="224"/>
      <c r="GR157" s="222"/>
      <c r="GS157" s="221"/>
      <c r="GT157" s="221"/>
      <c r="GU157" s="221"/>
      <c r="GV157" s="221"/>
      <c r="GW157" s="221"/>
      <c r="GX157" s="221"/>
      <c r="GY157" s="221"/>
      <c r="GZ157" s="221"/>
      <c r="HA157" s="221"/>
      <c r="HB157" s="221"/>
      <c r="HC157" s="221"/>
      <c r="HD157" s="272"/>
      <c r="HE157" s="224"/>
      <c r="HF157" s="222"/>
      <c r="HG157" s="221"/>
      <c r="HH157" s="221"/>
      <c r="HI157" s="221"/>
      <c r="HJ157" s="221"/>
      <c r="HK157" s="221"/>
      <c r="HL157" s="221"/>
      <c r="HM157" s="221"/>
      <c r="HN157" s="221"/>
      <c r="HO157" s="221"/>
      <c r="HP157" s="221"/>
      <c r="HQ157" s="221"/>
      <c r="HR157" s="272"/>
      <c r="HS157" s="224"/>
      <c r="HT157" s="222"/>
      <c r="HU157" s="221"/>
      <c r="HV157" s="221"/>
      <c r="HW157" s="221"/>
      <c r="HX157" s="221"/>
      <c r="HY157" s="221"/>
      <c r="HZ157" s="221"/>
      <c r="IA157" s="221"/>
      <c r="IB157" s="221"/>
      <c r="IC157" s="221"/>
      <c r="ID157" s="221"/>
      <c r="IE157" s="221"/>
      <c r="IF157" s="272"/>
      <c r="IG157" s="224"/>
      <c r="IH157" s="222"/>
      <c r="II157" s="221"/>
      <c r="IJ157" s="221"/>
      <c r="IK157" s="221"/>
      <c r="IL157" s="221"/>
      <c r="IM157" s="221"/>
      <c r="IN157" s="221"/>
      <c r="IO157" s="221"/>
      <c r="IP157" s="221"/>
      <c r="IQ157" s="221"/>
      <c r="IR157" s="221"/>
      <c r="IS157" s="221"/>
      <c r="IT157" s="272"/>
      <c r="IU157" s="224"/>
      <c r="IV157" s="222"/>
      <c r="IW157" s="221"/>
      <c r="IX157" s="221"/>
      <c r="IY157" s="221"/>
      <c r="IZ157" s="221"/>
      <c r="JA157" s="221"/>
      <c r="JB157" s="221"/>
      <c r="JC157" s="221"/>
      <c r="JD157" s="221"/>
      <c r="JE157" s="221"/>
      <c r="JF157" s="221"/>
      <c r="JG157" s="221"/>
      <c r="JH157" s="272"/>
      <c r="JI157" s="224"/>
      <c r="JJ157" s="222"/>
      <c r="JK157" s="221"/>
      <c r="JL157" s="221"/>
      <c r="JM157" s="221"/>
      <c r="JN157" s="221"/>
      <c r="JO157" s="221"/>
      <c r="JP157" s="221"/>
      <c r="JQ157" s="221"/>
      <c r="JR157" s="221"/>
      <c r="JS157" s="221"/>
      <c r="JT157" s="221"/>
      <c r="JU157" s="221"/>
      <c r="JV157" s="272"/>
      <c r="JW157" s="224"/>
      <c r="JX157" s="222"/>
      <c r="JY157" s="221"/>
      <c r="JZ157" s="221"/>
      <c r="KA157" s="221"/>
      <c r="KB157" s="221"/>
      <c r="KC157" s="221"/>
      <c r="KD157" s="221"/>
      <c r="KE157" s="221"/>
      <c r="KF157" s="221"/>
      <c r="KG157" s="221"/>
      <c r="KH157" s="221"/>
      <c r="KI157" s="221"/>
      <c r="KJ157" s="272"/>
      <c r="KK157" s="224"/>
      <c r="KL157" s="222"/>
      <c r="KM157" s="221"/>
      <c r="KN157" s="221"/>
      <c r="KO157" s="221"/>
      <c r="KP157" s="221"/>
      <c r="KQ157" s="221"/>
      <c r="KR157" s="221"/>
      <c r="KS157" s="221"/>
      <c r="KT157" s="221"/>
      <c r="KU157" s="221"/>
      <c r="KV157" s="221"/>
      <c r="KW157" s="221"/>
      <c r="KX157" s="272"/>
      <c r="KY157" s="224"/>
      <c r="KZ157" s="222"/>
      <c r="LA157" s="221"/>
      <c r="LB157" s="221"/>
      <c r="LC157" s="221"/>
      <c r="LD157" s="221"/>
      <c r="LE157" s="221"/>
      <c r="LF157" s="221"/>
      <c r="LG157" s="221"/>
      <c r="LH157" s="221"/>
      <c r="LI157" s="221"/>
      <c r="LJ157" s="221"/>
      <c r="LK157" s="221"/>
      <c r="LL157" s="272"/>
      <c r="LM157" s="224"/>
      <c r="LN157" s="222"/>
      <c r="LO157" s="221"/>
      <c r="LP157" s="221"/>
      <c r="LQ157" s="221"/>
      <c r="LR157" s="221"/>
      <c r="LS157" s="221"/>
      <c r="LT157" s="221"/>
      <c r="LU157" s="221"/>
      <c r="LV157" s="221"/>
      <c r="LW157" s="221"/>
      <c r="LX157" s="221"/>
      <c r="LY157" s="221"/>
      <c r="LZ157" s="272"/>
      <c r="MA157" s="224"/>
      <c r="MB157" s="272"/>
      <c r="MC157" s="272"/>
      <c r="MD157" s="272"/>
      <c r="ME157" s="272"/>
      <c r="MF157" s="272"/>
      <c r="MG157" s="272"/>
      <c r="MH157" s="272"/>
      <c r="MI157" s="272"/>
      <c r="MJ157" s="272"/>
      <c r="MK157" s="272"/>
      <c r="ML157" s="272"/>
      <c r="MM157" s="272"/>
      <c r="MN157" s="272"/>
    </row>
    <row r="158" spans="1:352" hidden="1" x14ac:dyDescent="0.25">
      <c r="A158" s="262"/>
      <c r="B158" s="70" t="s">
        <v>8</v>
      </c>
      <c r="C158" s="98"/>
      <c r="D158" s="263">
        <v>0</v>
      </c>
      <c r="E158" s="264">
        <v>0</v>
      </c>
      <c r="F158" s="264">
        <v>0</v>
      </c>
      <c r="G158" s="264">
        <v>0</v>
      </c>
      <c r="H158" s="264">
        <v>0</v>
      </c>
      <c r="I158" s="264">
        <v>0</v>
      </c>
      <c r="J158" s="264">
        <v>0</v>
      </c>
      <c r="K158" s="264">
        <v>0</v>
      </c>
      <c r="L158" s="264">
        <v>0</v>
      </c>
      <c r="M158" s="264">
        <v>0</v>
      </c>
      <c r="N158" s="264">
        <v>0</v>
      </c>
      <c r="O158" s="264">
        <v>0</v>
      </c>
      <c r="P158" s="230">
        <f t="shared" ref="P158:P166" si="639">+SUBTOTAL(9,D158:O158)</f>
        <v>0</v>
      </c>
      <c r="Q158" s="266"/>
      <c r="R158" s="263">
        <v>0</v>
      </c>
      <c r="S158" s="264">
        <v>0</v>
      </c>
      <c r="T158" s="264">
        <v>0</v>
      </c>
      <c r="U158" s="264">
        <v>0</v>
      </c>
      <c r="V158" s="264">
        <v>0</v>
      </c>
      <c r="W158" s="264">
        <v>0</v>
      </c>
      <c r="X158" s="264">
        <v>0</v>
      </c>
      <c r="Y158" s="264">
        <v>0</v>
      </c>
      <c r="Z158" s="264">
        <v>0</v>
      </c>
      <c r="AA158" s="264">
        <v>0</v>
      </c>
      <c r="AB158" s="264">
        <v>0</v>
      </c>
      <c r="AC158" s="264">
        <v>0</v>
      </c>
      <c r="AD158" s="230">
        <f t="shared" ref="AD158:AD166" si="640">+SUBTOTAL(9,R158:AC158)</f>
        <v>0</v>
      </c>
      <c r="AE158" s="266"/>
      <c r="AF158" s="263">
        <v>0</v>
      </c>
      <c r="AG158" s="264">
        <v>0</v>
      </c>
      <c r="AH158" s="264">
        <v>0</v>
      </c>
      <c r="AI158" s="264">
        <v>0</v>
      </c>
      <c r="AJ158" s="264">
        <v>0</v>
      </c>
      <c r="AK158" s="264">
        <v>0</v>
      </c>
      <c r="AL158" s="264">
        <v>0</v>
      </c>
      <c r="AM158" s="264">
        <v>0</v>
      </c>
      <c r="AN158" s="264">
        <v>0</v>
      </c>
      <c r="AO158" s="264">
        <v>0</v>
      </c>
      <c r="AP158" s="264">
        <v>0</v>
      </c>
      <c r="AQ158" s="264">
        <v>0</v>
      </c>
      <c r="AR158" s="230">
        <f t="shared" ref="AR158:AR166" si="641">+SUBTOTAL(9,AF158:AQ158)</f>
        <v>0</v>
      </c>
      <c r="AS158" s="266"/>
      <c r="AT158" s="263">
        <v>0</v>
      </c>
      <c r="AU158" s="264">
        <v>0</v>
      </c>
      <c r="AV158" s="264">
        <v>0</v>
      </c>
      <c r="AW158" s="264">
        <v>0</v>
      </c>
      <c r="AX158" s="264">
        <v>0</v>
      </c>
      <c r="AY158" s="264">
        <v>0</v>
      </c>
      <c r="AZ158" s="264">
        <v>0</v>
      </c>
      <c r="BA158" s="264">
        <v>0</v>
      </c>
      <c r="BB158" s="265">
        <v>0</v>
      </c>
      <c r="BC158" s="265">
        <v>0</v>
      </c>
      <c r="BD158" s="265">
        <v>0</v>
      </c>
      <c r="BE158" s="265">
        <v>0</v>
      </c>
      <c r="BF158" s="230">
        <f t="shared" ref="BF158:BF166" si="642">+SUBTOTAL(9,AT158:BE158)</f>
        <v>0</v>
      </c>
      <c r="BG158" s="266"/>
      <c r="BH158" s="263">
        <v>0</v>
      </c>
      <c r="BI158" s="264">
        <v>0</v>
      </c>
      <c r="BJ158" s="265">
        <v>0</v>
      </c>
      <c r="BK158" s="265">
        <v>0</v>
      </c>
      <c r="BL158" s="265">
        <v>0</v>
      </c>
      <c r="BM158" s="265">
        <v>0</v>
      </c>
      <c r="BN158" s="265">
        <v>0</v>
      </c>
      <c r="BO158" s="265">
        <v>0</v>
      </c>
      <c r="BP158" s="265">
        <v>0</v>
      </c>
      <c r="BQ158" s="265">
        <v>0</v>
      </c>
      <c r="BR158" s="265">
        <v>0</v>
      </c>
      <c r="BS158" s="265">
        <v>0</v>
      </c>
      <c r="BT158" s="230">
        <f t="shared" ref="BT158:BT166" si="643">+SUBTOTAL(9,BH158:BS158)</f>
        <v>0</v>
      </c>
      <c r="BU158" s="266"/>
      <c r="BV158" s="263">
        <v>0</v>
      </c>
      <c r="BW158" s="264">
        <v>0</v>
      </c>
      <c r="BX158" s="265">
        <v>0</v>
      </c>
      <c r="BY158" s="265">
        <v>0</v>
      </c>
      <c r="BZ158" s="265">
        <v>0</v>
      </c>
      <c r="CA158" s="265">
        <v>0</v>
      </c>
      <c r="CB158" s="265">
        <v>0</v>
      </c>
      <c r="CC158" s="265">
        <v>0</v>
      </c>
      <c r="CD158" s="265">
        <v>0</v>
      </c>
      <c r="CE158" s="265">
        <v>0</v>
      </c>
      <c r="CF158" s="265">
        <v>0</v>
      </c>
      <c r="CG158" s="265">
        <v>0</v>
      </c>
      <c r="CH158" s="230">
        <f t="shared" ref="CH158:CH159" si="644">+SUBTOTAL(9,BV158:CG158)</f>
        <v>0</v>
      </c>
      <c r="CI158" s="266"/>
      <c r="CJ158" s="263">
        <v>0</v>
      </c>
      <c r="CK158" s="264">
        <v>0</v>
      </c>
      <c r="CL158" s="265">
        <v>0</v>
      </c>
      <c r="CM158" s="265">
        <v>0</v>
      </c>
      <c r="CN158" s="265">
        <v>0</v>
      </c>
      <c r="CO158" s="265">
        <v>0</v>
      </c>
      <c r="CP158" s="265">
        <v>0</v>
      </c>
      <c r="CQ158" s="265">
        <v>0</v>
      </c>
      <c r="CR158" s="265">
        <v>0</v>
      </c>
      <c r="CS158" s="265">
        <v>0</v>
      </c>
      <c r="CT158" s="265">
        <v>0</v>
      </c>
      <c r="CU158" s="265">
        <v>0</v>
      </c>
      <c r="CV158" s="230">
        <f t="shared" ref="CV158:CV161" si="645">+SUBTOTAL(9,CJ158:CU158)</f>
        <v>0</v>
      </c>
      <c r="CW158" s="266"/>
      <c r="CX158" s="263">
        <v>0</v>
      </c>
      <c r="CY158" s="264">
        <v>0</v>
      </c>
      <c r="CZ158" s="265">
        <v>0</v>
      </c>
      <c r="DA158" s="265">
        <v>0</v>
      </c>
      <c r="DB158" s="265">
        <v>0</v>
      </c>
      <c r="DC158" s="265">
        <v>0</v>
      </c>
      <c r="DD158" s="265">
        <v>0</v>
      </c>
      <c r="DE158" s="265">
        <v>0</v>
      </c>
      <c r="DF158" s="265">
        <v>0</v>
      </c>
      <c r="DG158" s="265">
        <v>0</v>
      </c>
      <c r="DH158" s="265">
        <v>0</v>
      </c>
      <c r="DI158" s="265">
        <v>0</v>
      </c>
      <c r="DJ158" s="230">
        <f t="shared" ref="DJ158" si="646">+SUBTOTAL(9,CX158:DI158)</f>
        <v>0</v>
      </c>
      <c r="DK158" s="266"/>
      <c r="DL158" s="263">
        <v>0</v>
      </c>
      <c r="DM158" s="264">
        <v>0</v>
      </c>
      <c r="DN158" s="265">
        <v>0</v>
      </c>
      <c r="DO158" s="265">
        <v>0</v>
      </c>
      <c r="DP158" s="265">
        <v>0</v>
      </c>
      <c r="DQ158" s="265">
        <v>0</v>
      </c>
      <c r="DR158" s="265">
        <v>0</v>
      </c>
      <c r="DS158" s="265">
        <v>0</v>
      </c>
      <c r="DT158" s="265">
        <v>0</v>
      </c>
      <c r="DU158" s="265">
        <v>0</v>
      </c>
      <c r="DV158" s="265">
        <v>0</v>
      </c>
      <c r="DW158" s="265">
        <v>0</v>
      </c>
      <c r="DX158" s="230">
        <f>+SUBTOTAL(9,DL158:DW158)</f>
        <v>0</v>
      </c>
      <c r="DY158" s="266"/>
      <c r="DZ158" s="263">
        <v>0</v>
      </c>
      <c r="EA158" s="264">
        <v>0</v>
      </c>
      <c r="EB158" s="265">
        <v>0</v>
      </c>
      <c r="EC158" s="265">
        <v>0</v>
      </c>
      <c r="ED158" s="265">
        <v>0</v>
      </c>
      <c r="EE158" s="265">
        <v>0</v>
      </c>
      <c r="EF158" s="265">
        <v>0</v>
      </c>
      <c r="EG158" s="265">
        <v>0</v>
      </c>
      <c r="EH158" s="265">
        <v>0</v>
      </c>
      <c r="EI158" s="265">
        <v>0</v>
      </c>
      <c r="EJ158" s="265">
        <v>0</v>
      </c>
      <c r="EK158" s="265">
        <v>0</v>
      </c>
      <c r="EL158" s="230">
        <f t="shared" ref="EL158:EL161" si="647">+SUBTOTAL(9,DZ158:EK158)</f>
        <v>0</v>
      </c>
      <c r="EM158" s="266"/>
      <c r="EN158" s="263">
        <v>0</v>
      </c>
      <c r="EO158" s="264">
        <v>0</v>
      </c>
      <c r="EP158" s="265">
        <v>0</v>
      </c>
      <c r="EQ158" s="265">
        <v>0</v>
      </c>
      <c r="ER158" s="265">
        <v>0</v>
      </c>
      <c r="ES158" s="265">
        <v>0</v>
      </c>
      <c r="ET158" s="265">
        <v>0</v>
      </c>
      <c r="EU158" s="265">
        <v>0</v>
      </c>
      <c r="EV158" s="265">
        <v>0</v>
      </c>
      <c r="EW158" s="265">
        <v>0</v>
      </c>
      <c r="EX158" s="265">
        <v>0</v>
      </c>
      <c r="EY158" s="265">
        <v>0</v>
      </c>
      <c r="EZ158" s="230">
        <f t="shared" ref="EZ158:EZ162" si="648">+SUBTOTAL(9,EN158:EY158)</f>
        <v>0</v>
      </c>
      <c r="FA158" s="266"/>
      <c r="FB158" s="263">
        <v>0</v>
      </c>
      <c r="FC158" s="264">
        <v>0</v>
      </c>
      <c r="FD158" s="265">
        <v>0</v>
      </c>
      <c r="FE158" s="265">
        <v>0</v>
      </c>
      <c r="FF158" s="265">
        <v>0</v>
      </c>
      <c r="FG158" s="265">
        <v>0</v>
      </c>
      <c r="FH158" s="265">
        <v>0</v>
      </c>
      <c r="FI158" s="265">
        <v>0</v>
      </c>
      <c r="FJ158" s="265">
        <v>0</v>
      </c>
      <c r="FK158" s="265">
        <v>0</v>
      </c>
      <c r="FL158" s="265">
        <v>0</v>
      </c>
      <c r="FM158" s="265">
        <v>0</v>
      </c>
      <c r="FN158" s="230">
        <f t="shared" ref="FN158:FN161" si="649">+SUBTOTAL(9,FB158:FM158)</f>
        <v>0</v>
      </c>
      <c r="FO158" s="266"/>
      <c r="FP158" s="263">
        <v>0</v>
      </c>
      <c r="FQ158" s="264">
        <v>0</v>
      </c>
      <c r="FR158" s="265">
        <v>0</v>
      </c>
      <c r="FS158" s="265">
        <v>0</v>
      </c>
      <c r="FT158" s="265">
        <v>0</v>
      </c>
      <c r="FU158" s="265">
        <v>0</v>
      </c>
      <c r="FV158" s="265">
        <v>0</v>
      </c>
      <c r="FW158" s="265">
        <v>0</v>
      </c>
      <c r="FX158" s="265">
        <v>0</v>
      </c>
      <c r="FY158" s="265">
        <v>0</v>
      </c>
      <c r="FZ158" s="265">
        <v>0</v>
      </c>
      <c r="GA158" s="265">
        <v>0</v>
      </c>
      <c r="GB158" s="230">
        <f t="shared" ref="GB158:GB161" si="650">+SUBTOTAL(9,FP158:GA158)</f>
        <v>0</v>
      </c>
      <c r="GC158" s="266"/>
      <c r="GD158" s="263">
        <v>0</v>
      </c>
      <c r="GE158" s="264">
        <v>0</v>
      </c>
      <c r="GF158" s="265">
        <v>0</v>
      </c>
      <c r="GG158" s="265">
        <v>0</v>
      </c>
      <c r="GH158" s="265">
        <v>0</v>
      </c>
      <c r="GI158" s="265">
        <v>0</v>
      </c>
      <c r="GJ158" s="265">
        <v>0</v>
      </c>
      <c r="GK158" s="265">
        <v>0</v>
      </c>
      <c r="GL158" s="265">
        <v>0</v>
      </c>
      <c r="GM158" s="265">
        <v>0</v>
      </c>
      <c r="GN158" s="265">
        <v>0</v>
      </c>
      <c r="GO158" s="265">
        <v>0</v>
      </c>
      <c r="GP158" s="230">
        <f t="shared" ref="GP158:GP166" si="651">+SUBTOTAL(9,GD158:GO158)</f>
        <v>0</v>
      </c>
      <c r="GQ158" s="266"/>
      <c r="GR158" s="263">
        <v>0</v>
      </c>
      <c r="GS158" s="264">
        <v>0</v>
      </c>
      <c r="GT158" s="265">
        <v>0</v>
      </c>
      <c r="GU158" s="265">
        <v>0</v>
      </c>
      <c r="GV158" s="265">
        <v>0</v>
      </c>
      <c r="GW158" s="265">
        <v>0</v>
      </c>
      <c r="GX158" s="265">
        <v>0</v>
      </c>
      <c r="GY158" s="265">
        <v>0</v>
      </c>
      <c r="GZ158" s="265">
        <v>0</v>
      </c>
      <c r="HA158" s="265">
        <v>0</v>
      </c>
      <c r="HB158" s="265">
        <v>0</v>
      </c>
      <c r="HC158" s="265">
        <v>0</v>
      </c>
      <c r="HD158" s="230">
        <f t="shared" ref="HD158:HD166" si="652">+SUBTOTAL(9,GR158:HC158)</f>
        <v>0</v>
      </c>
      <c r="HE158" s="266"/>
      <c r="HF158" s="263">
        <v>0</v>
      </c>
      <c r="HG158" s="264">
        <v>0</v>
      </c>
      <c r="HH158" s="265">
        <v>0</v>
      </c>
      <c r="HI158" s="265">
        <v>0</v>
      </c>
      <c r="HJ158" s="265">
        <v>0</v>
      </c>
      <c r="HK158" s="265">
        <v>0</v>
      </c>
      <c r="HL158" s="265">
        <v>0</v>
      </c>
      <c r="HM158" s="265">
        <v>0</v>
      </c>
      <c r="HN158" s="265">
        <v>0</v>
      </c>
      <c r="HO158" s="265">
        <v>0</v>
      </c>
      <c r="HP158" s="265">
        <v>0</v>
      </c>
      <c r="HQ158" s="265">
        <v>0</v>
      </c>
      <c r="HR158" s="230">
        <f t="shared" ref="HR158:HR160" si="653">+SUBTOTAL(9,HF158:HQ158)</f>
        <v>0</v>
      </c>
      <c r="HS158" s="266"/>
      <c r="HT158" s="263">
        <v>0</v>
      </c>
      <c r="HU158" s="264">
        <v>0</v>
      </c>
      <c r="HV158" s="265">
        <v>0</v>
      </c>
      <c r="HW158" s="265">
        <v>0</v>
      </c>
      <c r="HX158" s="265">
        <v>0</v>
      </c>
      <c r="HY158" s="265">
        <v>0</v>
      </c>
      <c r="HZ158" s="265">
        <v>0</v>
      </c>
      <c r="IA158" s="265">
        <v>0</v>
      </c>
      <c r="IB158" s="265">
        <v>0</v>
      </c>
      <c r="IC158" s="265">
        <v>0</v>
      </c>
      <c r="ID158" s="265">
        <v>0</v>
      </c>
      <c r="IE158" s="265">
        <v>0</v>
      </c>
      <c r="IF158" s="230">
        <f t="shared" ref="IF158:IF166" si="654">+SUBTOTAL(9,HT158:IE158)</f>
        <v>0</v>
      </c>
      <c r="IG158" s="266"/>
      <c r="IH158" s="263">
        <v>0</v>
      </c>
      <c r="II158" s="264">
        <v>0</v>
      </c>
      <c r="IJ158" s="265">
        <v>0</v>
      </c>
      <c r="IK158" s="265">
        <v>0</v>
      </c>
      <c r="IL158" s="265">
        <v>0</v>
      </c>
      <c r="IM158" s="265">
        <v>0</v>
      </c>
      <c r="IN158" s="265">
        <v>0</v>
      </c>
      <c r="IO158" s="265">
        <v>0</v>
      </c>
      <c r="IP158" s="265">
        <v>0</v>
      </c>
      <c r="IQ158" s="265">
        <v>0</v>
      </c>
      <c r="IR158" s="265">
        <v>0</v>
      </c>
      <c r="IS158" s="265">
        <v>0</v>
      </c>
      <c r="IT158" s="230">
        <f t="shared" ref="IT158:IT166" si="655">+SUBTOTAL(9,IH158:IS158)</f>
        <v>0</v>
      </c>
      <c r="IU158" s="266"/>
      <c r="IV158" s="263">
        <v>0</v>
      </c>
      <c r="IW158" s="264">
        <v>0</v>
      </c>
      <c r="IX158" s="265">
        <v>0</v>
      </c>
      <c r="IY158" s="265">
        <v>0</v>
      </c>
      <c r="IZ158" s="265">
        <v>0</v>
      </c>
      <c r="JA158" s="265">
        <v>0</v>
      </c>
      <c r="JB158" s="265">
        <v>0</v>
      </c>
      <c r="JC158" s="265">
        <v>0</v>
      </c>
      <c r="JD158" s="265">
        <v>0</v>
      </c>
      <c r="JE158" s="265">
        <v>0</v>
      </c>
      <c r="JF158" s="265">
        <v>0</v>
      </c>
      <c r="JG158" s="265">
        <v>0</v>
      </c>
      <c r="JH158" s="230">
        <f t="shared" ref="JH158:JH166" si="656">+SUBTOTAL(9,IV158:JG158)</f>
        <v>0</v>
      </c>
      <c r="JI158" s="266"/>
      <c r="JJ158" s="263">
        <v>0</v>
      </c>
      <c r="JK158" s="264">
        <v>0</v>
      </c>
      <c r="JL158" s="265">
        <v>0</v>
      </c>
      <c r="JM158" s="265">
        <v>0</v>
      </c>
      <c r="JN158" s="265">
        <v>0</v>
      </c>
      <c r="JO158" s="265">
        <v>0</v>
      </c>
      <c r="JP158" s="265">
        <v>0</v>
      </c>
      <c r="JQ158" s="265">
        <v>0</v>
      </c>
      <c r="JR158" s="265">
        <v>0</v>
      </c>
      <c r="JS158" s="265">
        <v>0</v>
      </c>
      <c r="JT158" s="265">
        <v>0</v>
      </c>
      <c r="JU158" s="265">
        <v>0</v>
      </c>
      <c r="JV158" s="230">
        <f t="shared" ref="JV158:JV166" si="657">+SUBTOTAL(9,JJ158:JU158)</f>
        <v>0</v>
      </c>
      <c r="JW158" s="266"/>
      <c r="JX158" s="263">
        <v>0</v>
      </c>
      <c r="JY158" s="264">
        <v>0</v>
      </c>
      <c r="JZ158" s="265">
        <v>0</v>
      </c>
      <c r="KA158" s="265">
        <v>0</v>
      </c>
      <c r="KB158" s="265">
        <v>0</v>
      </c>
      <c r="KC158" s="265">
        <v>0</v>
      </c>
      <c r="KD158" s="265">
        <v>0</v>
      </c>
      <c r="KE158" s="265">
        <v>0</v>
      </c>
      <c r="KF158" s="265">
        <v>0</v>
      </c>
      <c r="KG158" s="265">
        <v>0</v>
      </c>
      <c r="KH158" s="265">
        <v>0</v>
      </c>
      <c r="KI158" s="265">
        <v>0</v>
      </c>
      <c r="KJ158" s="230">
        <f t="shared" ref="KJ158:KJ166" si="658">+SUBTOTAL(9,JX158:KI158)</f>
        <v>0</v>
      </c>
      <c r="KK158" s="266"/>
      <c r="KL158" s="263">
        <v>0</v>
      </c>
      <c r="KM158" s="264">
        <v>0</v>
      </c>
      <c r="KN158" s="265">
        <v>0</v>
      </c>
      <c r="KO158" s="265">
        <v>0</v>
      </c>
      <c r="KP158" s="265">
        <v>0</v>
      </c>
      <c r="KQ158" s="265">
        <v>0</v>
      </c>
      <c r="KR158" s="265">
        <v>0</v>
      </c>
      <c r="KS158" s="265">
        <v>0</v>
      </c>
      <c r="KT158" s="265">
        <v>0</v>
      </c>
      <c r="KU158" s="265">
        <v>0</v>
      </c>
      <c r="KV158" s="265">
        <v>0</v>
      </c>
      <c r="KW158" s="265">
        <v>0</v>
      </c>
      <c r="KX158" s="230">
        <f t="shared" ref="KX158:KX166" si="659">+SUBTOTAL(9,KL158:KW158)</f>
        <v>0</v>
      </c>
      <c r="KY158" s="266"/>
      <c r="KZ158" s="263">
        <v>0</v>
      </c>
      <c r="LA158" s="264">
        <v>0</v>
      </c>
      <c r="LB158" s="265">
        <v>0</v>
      </c>
      <c r="LC158" s="265">
        <v>0</v>
      </c>
      <c r="LD158" s="265">
        <v>0</v>
      </c>
      <c r="LE158" s="265">
        <v>0</v>
      </c>
      <c r="LF158" s="265">
        <v>0</v>
      </c>
      <c r="LG158" s="265">
        <v>0</v>
      </c>
      <c r="LH158" s="265">
        <v>0</v>
      </c>
      <c r="LI158" s="265">
        <v>0</v>
      </c>
      <c r="LJ158" s="265">
        <v>0</v>
      </c>
      <c r="LK158" s="265">
        <v>0</v>
      </c>
      <c r="LL158" s="230">
        <f t="shared" ref="LL158:LL166" si="660">+SUBTOTAL(9,KZ158:LK158)</f>
        <v>0</v>
      </c>
      <c r="LM158" s="266"/>
      <c r="LN158" s="263">
        <v>0</v>
      </c>
      <c r="LO158" s="264">
        <v>0</v>
      </c>
      <c r="LP158" s="265">
        <v>0</v>
      </c>
      <c r="LQ158" s="265">
        <v>0</v>
      </c>
      <c r="LR158" s="265">
        <v>0</v>
      </c>
      <c r="LS158" s="265">
        <v>0</v>
      </c>
      <c r="LT158" s="265">
        <v>0</v>
      </c>
      <c r="LU158" s="265">
        <v>0</v>
      </c>
      <c r="LV158" s="265">
        <v>0</v>
      </c>
      <c r="LW158" s="265">
        <v>0</v>
      </c>
      <c r="LX158" s="265">
        <v>0</v>
      </c>
      <c r="LY158" s="265">
        <v>0</v>
      </c>
      <c r="LZ158" s="230">
        <f t="shared" ref="LZ158:LZ166" si="661">+SUBTOTAL(9,LN158:LY158)</f>
        <v>0</v>
      </c>
      <c r="MA158" s="266"/>
      <c r="MB158" s="230">
        <f t="shared" ref="MB158:MM164" si="662">SUMIF($D$6:$LY$6,MB$3,$D158:$LY158)</f>
        <v>0</v>
      </c>
      <c r="MC158" s="230">
        <f t="shared" si="662"/>
        <v>0</v>
      </c>
      <c r="MD158" s="230">
        <f t="shared" si="662"/>
        <v>0</v>
      </c>
      <c r="ME158" s="230">
        <f t="shared" si="662"/>
        <v>0</v>
      </c>
      <c r="MF158" s="230">
        <f t="shared" si="662"/>
        <v>0</v>
      </c>
      <c r="MG158" s="230">
        <f t="shared" si="662"/>
        <v>0</v>
      </c>
      <c r="MH158" s="230">
        <f t="shared" si="662"/>
        <v>0</v>
      </c>
      <c r="MI158" s="230">
        <f t="shared" si="662"/>
        <v>0</v>
      </c>
      <c r="MJ158" s="230">
        <f t="shared" si="662"/>
        <v>0</v>
      </c>
      <c r="MK158" s="230">
        <f t="shared" si="662"/>
        <v>0</v>
      </c>
      <c r="ML158" s="230">
        <f t="shared" si="662"/>
        <v>0</v>
      </c>
      <c r="MM158" s="230">
        <f t="shared" si="662"/>
        <v>0</v>
      </c>
      <c r="MN158" s="230">
        <f t="shared" ref="MN158:MN164" si="663">SUM(MB158:MM158)</f>
        <v>0</v>
      </c>
    </row>
    <row r="159" spans="1:352" hidden="1" x14ac:dyDescent="0.25">
      <c r="A159" s="262"/>
      <c r="B159" s="64" t="s">
        <v>9</v>
      </c>
      <c r="D159" s="263">
        <v>0</v>
      </c>
      <c r="E159" s="273">
        <v>0</v>
      </c>
      <c r="F159" s="273">
        <v>0</v>
      </c>
      <c r="G159" s="273">
        <v>0</v>
      </c>
      <c r="H159" s="273">
        <v>0</v>
      </c>
      <c r="I159" s="273">
        <v>0</v>
      </c>
      <c r="J159" s="273">
        <v>0</v>
      </c>
      <c r="K159" s="273">
        <v>0</v>
      </c>
      <c r="L159" s="273">
        <v>0</v>
      </c>
      <c r="M159" s="273">
        <v>0</v>
      </c>
      <c r="N159" s="273">
        <v>0</v>
      </c>
      <c r="O159" s="273">
        <v>0</v>
      </c>
      <c r="P159" s="230">
        <f t="shared" si="639"/>
        <v>0</v>
      </c>
      <c r="Q159" s="266"/>
      <c r="R159" s="263">
        <v>0</v>
      </c>
      <c r="S159" s="273">
        <v>0</v>
      </c>
      <c r="T159" s="273">
        <v>0</v>
      </c>
      <c r="U159" s="273">
        <v>0</v>
      </c>
      <c r="V159" s="273">
        <v>0</v>
      </c>
      <c r="W159" s="273">
        <v>0</v>
      </c>
      <c r="X159" s="273">
        <v>0</v>
      </c>
      <c r="Y159" s="273">
        <v>0</v>
      </c>
      <c r="Z159" s="273">
        <v>0</v>
      </c>
      <c r="AA159" s="273">
        <v>0</v>
      </c>
      <c r="AB159" s="273">
        <v>0</v>
      </c>
      <c r="AC159" s="273">
        <v>0</v>
      </c>
      <c r="AD159" s="230">
        <f t="shared" si="640"/>
        <v>0</v>
      </c>
      <c r="AE159" s="266"/>
      <c r="AF159" s="263">
        <v>0</v>
      </c>
      <c r="AG159" s="273">
        <v>0</v>
      </c>
      <c r="AH159" s="273">
        <v>0</v>
      </c>
      <c r="AI159" s="273">
        <v>0</v>
      </c>
      <c r="AJ159" s="273">
        <v>0</v>
      </c>
      <c r="AK159" s="273">
        <v>0</v>
      </c>
      <c r="AL159" s="273">
        <v>0</v>
      </c>
      <c r="AM159" s="273">
        <v>0</v>
      </c>
      <c r="AN159" s="273">
        <v>0</v>
      </c>
      <c r="AO159" s="273">
        <v>0</v>
      </c>
      <c r="AP159" s="273">
        <v>0</v>
      </c>
      <c r="AQ159" s="273">
        <v>0</v>
      </c>
      <c r="AR159" s="230">
        <f t="shared" si="641"/>
        <v>0</v>
      </c>
      <c r="AS159" s="266"/>
      <c r="AT159" s="263">
        <v>0</v>
      </c>
      <c r="AU159" s="273">
        <v>0</v>
      </c>
      <c r="AV159" s="273">
        <v>0</v>
      </c>
      <c r="AW159" s="273">
        <v>0</v>
      </c>
      <c r="AX159" s="273">
        <v>0</v>
      </c>
      <c r="AY159" s="273">
        <v>0</v>
      </c>
      <c r="AZ159" s="273">
        <v>0</v>
      </c>
      <c r="BA159" s="273">
        <v>0</v>
      </c>
      <c r="BB159" s="265">
        <v>0</v>
      </c>
      <c r="BC159" s="265">
        <v>0</v>
      </c>
      <c r="BD159" s="265">
        <v>0</v>
      </c>
      <c r="BE159" s="265">
        <v>0</v>
      </c>
      <c r="BF159" s="230">
        <f t="shared" si="642"/>
        <v>0</v>
      </c>
      <c r="BG159" s="266"/>
      <c r="BH159" s="263">
        <v>0</v>
      </c>
      <c r="BI159" s="264">
        <v>0</v>
      </c>
      <c r="BJ159" s="265">
        <v>0</v>
      </c>
      <c r="BK159" s="265">
        <v>0</v>
      </c>
      <c r="BL159" s="265">
        <v>0</v>
      </c>
      <c r="BM159" s="265">
        <v>0</v>
      </c>
      <c r="BN159" s="265">
        <v>0</v>
      </c>
      <c r="BO159" s="265">
        <v>0</v>
      </c>
      <c r="BP159" s="265">
        <v>0</v>
      </c>
      <c r="BQ159" s="265">
        <v>0</v>
      </c>
      <c r="BR159" s="265">
        <v>0</v>
      </c>
      <c r="BS159" s="265">
        <v>0</v>
      </c>
      <c r="BT159" s="230">
        <f t="shared" si="643"/>
        <v>0</v>
      </c>
      <c r="BU159" s="266"/>
      <c r="BV159" s="263">
        <v>0</v>
      </c>
      <c r="BW159" s="264">
        <v>0</v>
      </c>
      <c r="BX159" s="265">
        <v>0</v>
      </c>
      <c r="BY159" s="265">
        <v>0</v>
      </c>
      <c r="BZ159" s="265">
        <v>0</v>
      </c>
      <c r="CA159" s="265">
        <v>0</v>
      </c>
      <c r="CB159" s="265">
        <v>0</v>
      </c>
      <c r="CC159" s="265">
        <v>0</v>
      </c>
      <c r="CD159" s="265">
        <v>0</v>
      </c>
      <c r="CE159" s="265">
        <v>0</v>
      </c>
      <c r="CF159" s="265">
        <v>0</v>
      </c>
      <c r="CG159" s="265">
        <v>0</v>
      </c>
      <c r="CH159" s="230">
        <f t="shared" si="644"/>
        <v>0</v>
      </c>
      <c r="CI159" s="266"/>
      <c r="CJ159" s="263">
        <v>0</v>
      </c>
      <c r="CK159" s="264">
        <v>0</v>
      </c>
      <c r="CL159" s="265">
        <v>0</v>
      </c>
      <c r="CM159" s="265">
        <v>0</v>
      </c>
      <c r="CN159" s="265">
        <v>0</v>
      </c>
      <c r="CO159" s="265">
        <v>0</v>
      </c>
      <c r="CP159" s="265">
        <v>0</v>
      </c>
      <c r="CQ159" s="265">
        <v>0</v>
      </c>
      <c r="CR159" s="265">
        <v>0</v>
      </c>
      <c r="CS159" s="265">
        <v>0</v>
      </c>
      <c r="CT159" s="265">
        <v>0</v>
      </c>
      <c r="CU159" s="265">
        <v>0</v>
      </c>
      <c r="CV159" s="230">
        <f t="shared" si="645"/>
        <v>0</v>
      </c>
      <c r="CW159" s="266"/>
      <c r="CX159" s="263">
        <v>0</v>
      </c>
      <c r="CY159" s="264">
        <v>0</v>
      </c>
      <c r="CZ159" s="265">
        <v>0</v>
      </c>
      <c r="DA159" s="265">
        <v>0</v>
      </c>
      <c r="DB159" s="265">
        <v>0</v>
      </c>
      <c r="DC159" s="265">
        <v>0</v>
      </c>
      <c r="DD159" s="265">
        <v>0</v>
      </c>
      <c r="DE159" s="265">
        <v>0</v>
      </c>
      <c r="DF159" s="265">
        <v>0</v>
      </c>
      <c r="DG159" s="265">
        <v>0</v>
      </c>
      <c r="DH159" s="265">
        <v>0</v>
      </c>
      <c r="DI159" s="265">
        <v>0</v>
      </c>
      <c r="DJ159" s="230">
        <f>+SUBTOTAL(9,CX159:DI159)</f>
        <v>0</v>
      </c>
      <c r="DK159" s="266"/>
      <c r="DL159" s="263">
        <v>0</v>
      </c>
      <c r="DM159" s="264">
        <v>0</v>
      </c>
      <c r="DN159" s="265">
        <v>0</v>
      </c>
      <c r="DO159" s="265">
        <v>0</v>
      </c>
      <c r="DP159" s="265">
        <v>0</v>
      </c>
      <c r="DQ159" s="265">
        <v>0</v>
      </c>
      <c r="DR159" s="265">
        <v>0</v>
      </c>
      <c r="DS159" s="265">
        <v>0</v>
      </c>
      <c r="DT159" s="265">
        <v>0</v>
      </c>
      <c r="DU159" s="265">
        <v>0</v>
      </c>
      <c r="DV159" s="265">
        <v>0</v>
      </c>
      <c r="DW159" s="265">
        <v>0</v>
      </c>
      <c r="DX159" s="230">
        <f t="shared" ref="DX159:DX166" si="664">+SUBTOTAL(9,DL159:DW159)</f>
        <v>0</v>
      </c>
      <c r="DY159" s="266"/>
      <c r="DZ159" s="263">
        <v>0</v>
      </c>
      <c r="EA159" s="264">
        <v>0</v>
      </c>
      <c r="EB159" s="265">
        <v>0</v>
      </c>
      <c r="EC159" s="265">
        <v>0</v>
      </c>
      <c r="ED159" s="265">
        <v>0</v>
      </c>
      <c r="EE159" s="265">
        <v>0</v>
      </c>
      <c r="EF159" s="265">
        <v>0</v>
      </c>
      <c r="EG159" s="265">
        <v>0</v>
      </c>
      <c r="EH159" s="265">
        <v>0</v>
      </c>
      <c r="EI159" s="265">
        <v>0</v>
      </c>
      <c r="EJ159" s="265">
        <v>0</v>
      </c>
      <c r="EK159" s="265">
        <v>0</v>
      </c>
      <c r="EL159" s="230">
        <f t="shared" si="647"/>
        <v>0</v>
      </c>
      <c r="EM159" s="266"/>
      <c r="EN159" s="263">
        <v>0</v>
      </c>
      <c r="EO159" s="264">
        <v>0</v>
      </c>
      <c r="EP159" s="265">
        <v>0</v>
      </c>
      <c r="EQ159" s="265">
        <v>0</v>
      </c>
      <c r="ER159" s="265">
        <v>0</v>
      </c>
      <c r="ES159" s="265">
        <v>0</v>
      </c>
      <c r="ET159" s="265">
        <v>0</v>
      </c>
      <c r="EU159" s="265">
        <v>0</v>
      </c>
      <c r="EV159" s="265">
        <v>0</v>
      </c>
      <c r="EW159" s="265">
        <v>0</v>
      </c>
      <c r="EX159" s="265">
        <v>0</v>
      </c>
      <c r="EY159" s="265">
        <v>0</v>
      </c>
      <c r="EZ159" s="230">
        <f t="shared" si="648"/>
        <v>0</v>
      </c>
      <c r="FA159" s="266"/>
      <c r="FB159" s="263">
        <v>0</v>
      </c>
      <c r="FC159" s="264">
        <v>0</v>
      </c>
      <c r="FD159" s="265">
        <v>0</v>
      </c>
      <c r="FE159" s="265">
        <v>0</v>
      </c>
      <c r="FF159" s="265">
        <v>0</v>
      </c>
      <c r="FG159" s="265">
        <v>0</v>
      </c>
      <c r="FH159" s="265">
        <v>0</v>
      </c>
      <c r="FI159" s="265">
        <v>0</v>
      </c>
      <c r="FJ159" s="265">
        <v>0</v>
      </c>
      <c r="FK159" s="265">
        <v>0</v>
      </c>
      <c r="FL159" s="265">
        <v>0</v>
      </c>
      <c r="FM159" s="265">
        <v>0</v>
      </c>
      <c r="FN159" s="230">
        <f t="shared" si="649"/>
        <v>0</v>
      </c>
      <c r="FO159" s="266"/>
      <c r="FP159" s="263">
        <v>0</v>
      </c>
      <c r="FQ159" s="264">
        <v>0</v>
      </c>
      <c r="FR159" s="265">
        <v>0</v>
      </c>
      <c r="FS159" s="265">
        <v>0</v>
      </c>
      <c r="FT159" s="265">
        <v>0</v>
      </c>
      <c r="FU159" s="265">
        <v>0</v>
      </c>
      <c r="FV159" s="265">
        <v>0</v>
      </c>
      <c r="FW159" s="265">
        <v>0</v>
      </c>
      <c r="FX159" s="265">
        <v>0</v>
      </c>
      <c r="FY159" s="265">
        <v>0</v>
      </c>
      <c r="FZ159" s="265">
        <v>0</v>
      </c>
      <c r="GA159" s="265">
        <v>0</v>
      </c>
      <c r="GB159" s="230">
        <f t="shared" si="650"/>
        <v>0</v>
      </c>
      <c r="GC159" s="266"/>
      <c r="GD159" s="263">
        <v>0</v>
      </c>
      <c r="GE159" s="264">
        <v>0</v>
      </c>
      <c r="GF159" s="265">
        <v>0</v>
      </c>
      <c r="GG159" s="265">
        <v>0</v>
      </c>
      <c r="GH159" s="265">
        <v>0</v>
      </c>
      <c r="GI159" s="265">
        <v>0</v>
      </c>
      <c r="GJ159" s="265">
        <v>0</v>
      </c>
      <c r="GK159" s="265">
        <v>0</v>
      </c>
      <c r="GL159" s="265">
        <v>0</v>
      </c>
      <c r="GM159" s="265">
        <v>0</v>
      </c>
      <c r="GN159" s="265">
        <v>0</v>
      </c>
      <c r="GO159" s="265">
        <v>0</v>
      </c>
      <c r="GP159" s="230">
        <f t="shared" si="651"/>
        <v>0</v>
      </c>
      <c r="GQ159" s="266"/>
      <c r="GR159" s="263">
        <v>0</v>
      </c>
      <c r="GS159" s="264">
        <v>0</v>
      </c>
      <c r="GT159" s="265">
        <v>0</v>
      </c>
      <c r="GU159" s="265">
        <v>0</v>
      </c>
      <c r="GV159" s="265">
        <v>0</v>
      </c>
      <c r="GW159" s="265">
        <v>0</v>
      </c>
      <c r="GX159" s="265">
        <v>0</v>
      </c>
      <c r="GY159" s="265">
        <v>0</v>
      </c>
      <c r="GZ159" s="265">
        <v>0</v>
      </c>
      <c r="HA159" s="265">
        <v>0</v>
      </c>
      <c r="HB159" s="265">
        <v>0</v>
      </c>
      <c r="HC159" s="265">
        <v>0</v>
      </c>
      <c r="HD159" s="230">
        <f t="shared" si="652"/>
        <v>0</v>
      </c>
      <c r="HE159" s="266"/>
      <c r="HF159" s="263">
        <v>0</v>
      </c>
      <c r="HG159" s="264">
        <v>0</v>
      </c>
      <c r="HH159" s="265">
        <v>0</v>
      </c>
      <c r="HI159" s="265">
        <v>0</v>
      </c>
      <c r="HJ159" s="265">
        <v>0</v>
      </c>
      <c r="HK159" s="265">
        <v>0</v>
      </c>
      <c r="HL159" s="265">
        <v>0</v>
      </c>
      <c r="HM159" s="265">
        <v>0</v>
      </c>
      <c r="HN159" s="265">
        <v>0</v>
      </c>
      <c r="HO159" s="265">
        <v>0</v>
      </c>
      <c r="HP159" s="265">
        <v>0</v>
      </c>
      <c r="HQ159" s="265">
        <v>0</v>
      </c>
      <c r="HR159" s="230">
        <f t="shared" si="653"/>
        <v>0</v>
      </c>
      <c r="HS159" s="266"/>
      <c r="HT159" s="263">
        <v>0</v>
      </c>
      <c r="HU159" s="264">
        <v>0</v>
      </c>
      <c r="HV159" s="265">
        <v>0</v>
      </c>
      <c r="HW159" s="265">
        <v>0</v>
      </c>
      <c r="HX159" s="265">
        <v>0</v>
      </c>
      <c r="HY159" s="265">
        <v>0</v>
      </c>
      <c r="HZ159" s="265">
        <v>0</v>
      </c>
      <c r="IA159" s="265">
        <v>0</v>
      </c>
      <c r="IB159" s="265">
        <v>0</v>
      </c>
      <c r="IC159" s="265">
        <v>0</v>
      </c>
      <c r="ID159" s="265">
        <v>0</v>
      </c>
      <c r="IE159" s="265">
        <v>0</v>
      </c>
      <c r="IF159" s="230">
        <f t="shared" si="654"/>
        <v>0</v>
      </c>
      <c r="IG159" s="266"/>
      <c r="IH159" s="263">
        <v>0</v>
      </c>
      <c r="II159" s="264">
        <v>0</v>
      </c>
      <c r="IJ159" s="265">
        <v>0</v>
      </c>
      <c r="IK159" s="265">
        <v>0</v>
      </c>
      <c r="IL159" s="265">
        <v>0</v>
      </c>
      <c r="IM159" s="265">
        <v>0</v>
      </c>
      <c r="IN159" s="265">
        <v>0</v>
      </c>
      <c r="IO159" s="265">
        <v>0</v>
      </c>
      <c r="IP159" s="265">
        <v>0</v>
      </c>
      <c r="IQ159" s="265">
        <v>0</v>
      </c>
      <c r="IR159" s="265">
        <v>0</v>
      </c>
      <c r="IS159" s="265">
        <v>0</v>
      </c>
      <c r="IT159" s="230">
        <f t="shared" si="655"/>
        <v>0</v>
      </c>
      <c r="IU159" s="266"/>
      <c r="IV159" s="263">
        <v>0</v>
      </c>
      <c r="IW159" s="264">
        <v>0</v>
      </c>
      <c r="IX159" s="265">
        <v>0</v>
      </c>
      <c r="IY159" s="265">
        <v>0</v>
      </c>
      <c r="IZ159" s="265">
        <v>0</v>
      </c>
      <c r="JA159" s="265">
        <v>0</v>
      </c>
      <c r="JB159" s="265">
        <v>0</v>
      </c>
      <c r="JC159" s="265">
        <v>0</v>
      </c>
      <c r="JD159" s="265">
        <v>0</v>
      </c>
      <c r="JE159" s="265">
        <v>0</v>
      </c>
      <c r="JF159" s="265">
        <v>0</v>
      </c>
      <c r="JG159" s="265">
        <v>0</v>
      </c>
      <c r="JH159" s="230">
        <f t="shared" si="656"/>
        <v>0</v>
      </c>
      <c r="JI159" s="266"/>
      <c r="JJ159" s="263">
        <v>0</v>
      </c>
      <c r="JK159" s="264">
        <v>0</v>
      </c>
      <c r="JL159" s="265">
        <v>0</v>
      </c>
      <c r="JM159" s="265">
        <v>0</v>
      </c>
      <c r="JN159" s="265">
        <v>0</v>
      </c>
      <c r="JO159" s="265">
        <v>0</v>
      </c>
      <c r="JP159" s="265">
        <v>0</v>
      </c>
      <c r="JQ159" s="265">
        <v>0</v>
      </c>
      <c r="JR159" s="265">
        <v>0</v>
      </c>
      <c r="JS159" s="265">
        <v>0</v>
      </c>
      <c r="JT159" s="265">
        <v>0</v>
      </c>
      <c r="JU159" s="265">
        <v>0</v>
      </c>
      <c r="JV159" s="230">
        <f t="shared" si="657"/>
        <v>0</v>
      </c>
      <c r="JW159" s="266"/>
      <c r="JX159" s="263">
        <v>0</v>
      </c>
      <c r="JY159" s="264">
        <v>0</v>
      </c>
      <c r="JZ159" s="265">
        <v>0</v>
      </c>
      <c r="KA159" s="265">
        <v>0</v>
      </c>
      <c r="KB159" s="265">
        <v>0</v>
      </c>
      <c r="KC159" s="265">
        <v>0</v>
      </c>
      <c r="KD159" s="265">
        <v>0</v>
      </c>
      <c r="KE159" s="265">
        <v>0</v>
      </c>
      <c r="KF159" s="265">
        <v>0</v>
      </c>
      <c r="KG159" s="265">
        <v>0</v>
      </c>
      <c r="KH159" s="265">
        <v>0</v>
      </c>
      <c r="KI159" s="265">
        <v>0</v>
      </c>
      <c r="KJ159" s="230">
        <f t="shared" si="658"/>
        <v>0</v>
      </c>
      <c r="KK159" s="266"/>
      <c r="KL159" s="263">
        <v>0</v>
      </c>
      <c r="KM159" s="264">
        <v>0</v>
      </c>
      <c r="KN159" s="265">
        <v>0</v>
      </c>
      <c r="KO159" s="265">
        <v>0</v>
      </c>
      <c r="KP159" s="265">
        <v>0</v>
      </c>
      <c r="KQ159" s="265">
        <v>0</v>
      </c>
      <c r="KR159" s="265">
        <v>0</v>
      </c>
      <c r="KS159" s="265">
        <v>0</v>
      </c>
      <c r="KT159" s="265">
        <v>0</v>
      </c>
      <c r="KU159" s="265">
        <v>0</v>
      </c>
      <c r="KV159" s="265">
        <v>0</v>
      </c>
      <c r="KW159" s="265">
        <v>0</v>
      </c>
      <c r="KX159" s="230">
        <f t="shared" si="659"/>
        <v>0</v>
      </c>
      <c r="KY159" s="266"/>
      <c r="KZ159" s="263">
        <v>0</v>
      </c>
      <c r="LA159" s="264">
        <v>0</v>
      </c>
      <c r="LB159" s="265">
        <v>0</v>
      </c>
      <c r="LC159" s="265">
        <v>0</v>
      </c>
      <c r="LD159" s="265">
        <v>0</v>
      </c>
      <c r="LE159" s="265">
        <v>0</v>
      </c>
      <c r="LF159" s="265">
        <v>0</v>
      </c>
      <c r="LG159" s="265">
        <v>0</v>
      </c>
      <c r="LH159" s="265">
        <v>0</v>
      </c>
      <c r="LI159" s="265">
        <v>0</v>
      </c>
      <c r="LJ159" s="265">
        <v>0</v>
      </c>
      <c r="LK159" s="265">
        <v>0</v>
      </c>
      <c r="LL159" s="230">
        <f t="shared" si="660"/>
        <v>0</v>
      </c>
      <c r="LM159" s="266"/>
      <c r="LN159" s="263">
        <v>0</v>
      </c>
      <c r="LO159" s="264">
        <v>0</v>
      </c>
      <c r="LP159" s="265">
        <v>0</v>
      </c>
      <c r="LQ159" s="265">
        <v>0</v>
      </c>
      <c r="LR159" s="265">
        <v>0</v>
      </c>
      <c r="LS159" s="265">
        <v>0</v>
      </c>
      <c r="LT159" s="265">
        <v>0</v>
      </c>
      <c r="LU159" s="265">
        <v>0</v>
      </c>
      <c r="LV159" s="265">
        <v>0</v>
      </c>
      <c r="LW159" s="265">
        <v>0</v>
      </c>
      <c r="LX159" s="265">
        <v>0</v>
      </c>
      <c r="LY159" s="265">
        <v>0</v>
      </c>
      <c r="LZ159" s="230">
        <f t="shared" si="661"/>
        <v>0</v>
      </c>
      <c r="MA159" s="266"/>
      <c r="MB159" s="230">
        <f t="shared" si="662"/>
        <v>0</v>
      </c>
      <c r="MC159" s="230">
        <f t="shared" si="662"/>
        <v>0</v>
      </c>
      <c r="MD159" s="230">
        <f t="shared" si="662"/>
        <v>0</v>
      </c>
      <c r="ME159" s="230">
        <f t="shared" si="662"/>
        <v>0</v>
      </c>
      <c r="MF159" s="230">
        <f t="shared" si="662"/>
        <v>0</v>
      </c>
      <c r="MG159" s="230">
        <f t="shared" si="662"/>
        <v>0</v>
      </c>
      <c r="MH159" s="230">
        <f t="shared" si="662"/>
        <v>0</v>
      </c>
      <c r="MI159" s="230">
        <f t="shared" si="662"/>
        <v>0</v>
      </c>
      <c r="MJ159" s="230">
        <f t="shared" si="662"/>
        <v>0</v>
      </c>
      <c r="MK159" s="230">
        <f t="shared" si="662"/>
        <v>0</v>
      </c>
      <c r="ML159" s="230">
        <f t="shared" si="662"/>
        <v>0</v>
      </c>
      <c r="MM159" s="230">
        <f t="shared" si="662"/>
        <v>0</v>
      </c>
      <c r="MN159" s="230">
        <f t="shared" si="663"/>
        <v>0</v>
      </c>
    </row>
    <row r="160" spans="1:352" hidden="1" x14ac:dyDescent="0.25">
      <c r="A160" s="262"/>
      <c r="B160" s="178" t="s">
        <v>199</v>
      </c>
      <c r="C160" s="98"/>
      <c r="D160" s="263">
        <v>0</v>
      </c>
      <c r="E160" s="274">
        <v>0</v>
      </c>
      <c r="F160" s="274">
        <v>0</v>
      </c>
      <c r="G160" s="274">
        <v>0</v>
      </c>
      <c r="H160" s="274">
        <v>0</v>
      </c>
      <c r="I160" s="274">
        <v>0</v>
      </c>
      <c r="J160" s="274">
        <v>0</v>
      </c>
      <c r="K160" s="274">
        <v>0</v>
      </c>
      <c r="L160" s="274">
        <v>0</v>
      </c>
      <c r="M160" s="274">
        <v>0</v>
      </c>
      <c r="N160" s="274">
        <v>0</v>
      </c>
      <c r="O160" s="274">
        <v>0</v>
      </c>
      <c r="P160" s="230">
        <f t="shared" si="639"/>
        <v>0</v>
      </c>
      <c r="Q160" s="266"/>
      <c r="R160" s="263">
        <v>0</v>
      </c>
      <c r="S160" s="274">
        <v>0</v>
      </c>
      <c r="T160" s="274">
        <v>0</v>
      </c>
      <c r="U160" s="274">
        <v>0</v>
      </c>
      <c r="V160" s="274">
        <v>0</v>
      </c>
      <c r="W160" s="274">
        <v>0</v>
      </c>
      <c r="X160" s="274">
        <v>0</v>
      </c>
      <c r="Y160" s="274">
        <v>0</v>
      </c>
      <c r="Z160" s="274">
        <v>0</v>
      </c>
      <c r="AA160" s="274">
        <v>0</v>
      </c>
      <c r="AB160" s="274">
        <v>0</v>
      </c>
      <c r="AC160" s="274">
        <v>0</v>
      </c>
      <c r="AD160" s="230">
        <f t="shared" si="640"/>
        <v>0</v>
      </c>
      <c r="AE160" s="266"/>
      <c r="AF160" s="263">
        <v>0</v>
      </c>
      <c r="AG160" s="274">
        <v>0</v>
      </c>
      <c r="AH160" s="274">
        <v>0</v>
      </c>
      <c r="AI160" s="274">
        <v>0</v>
      </c>
      <c r="AJ160" s="274">
        <v>0</v>
      </c>
      <c r="AK160" s="274">
        <v>0</v>
      </c>
      <c r="AL160" s="274">
        <v>0</v>
      </c>
      <c r="AM160" s="274">
        <v>0</v>
      </c>
      <c r="AN160" s="274">
        <v>0</v>
      </c>
      <c r="AO160" s="274">
        <v>0</v>
      </c>
      <c r="AP160" s="274">
        <v>0</v>
      </c>
      <c r="AQ160" s="274">
        <v>0</v>
      </c>
      <c r="AR160" s="230">
        <f t="shared" si="641"/>
        <v>0</v>
      </c>
      <c r="AS160" s="266"/>
      <c r="AT160" s="263">
        <v>0</v>
      </c>
      <c r="AU160" s="274">
        <v>0</v>
      </c>
      <c r="AV160" s="274">
        <v>0</v>
      </c>
      <c r="AW160" s="274">
        <v>0</v>
      </c>
      <c r="AX160" s="274">
        <v>0</v>
      </c>
      <c r="AY160" s="274">
        <v>0</v>
      </c>
      <c r="AZ160" s="274">
        <v>0</v>
      </c>
      <c r="BA160" s="274">
        <v>0</v>
      </c>
      <c r="BB160" s="265">
        <v>0</v>
      </c>
      <c r="BC160" s="265">
        <v>0</v>
      </c>
      <c r="BD160" s="265">
        <v>0</v>
      </c>
      <c r="BE160" s="265">
        <v>0</v>
      </c>
      <c r="BF160" s="230">
        <f t="shared" si="642"/>
        <v>0</v>
      </c>
      <c r="BG160" s="266"/>
      <c r="BH160" s="263">
        <v>0</v>
      </c>
      <c r="BI160" s="264">
        <v>0</v>
      </c>
      <c r="BJ160" s="265">
        <v>0</v>
      </c>
      <c r="BK160" s="265">
        <v>0</v>
      </c>
      <c r="BL160" s="265">
        <v>0</v>
      </c>
      <c r="BM160" s="265">
        <v>0</v>
      </c>
      <c r="BN160" s="265">
        <v>0</v>
      </c>
      <c r="BO160" s="265">
        <v>0</v>
      </c>
      <c r="BP160" s="265">
        <v>0</v>
      </c>
      <c r="BQ160" s="265">
        <v>0</v>
      </c>
      <c r="BR160" s="265">
        <v>0</v>
      </c>
      <c r="BS160" s="265">
        <v>0</v>
      </c>
      <c r="BT160" s="230">
        <f t="shared" si="643"/>
        <v>0</v>
      </c>
      <c r="BU160" s="266"/>
      <c r="BV160" s="263">
        <v>0</v>
      </c>
      <c r="BW160" s="264">
        <v>0</v>
      </c>
      <c r="BX160" s="265">
        <v>0</v>
      </c>
      <c r="BY160" s="265">
        <v>0</v>
      </c>
      <c r="BZ160" s="265">
        <v>0</v>
      </c>
      <c r="CA160" s="265">
        <v>0</v>
      </c>
      <c r="CB160" s="265">
        <v>0</v>
      </c>
      <c r="CC160" s="265">
        <v>0</v>
      </c>
      <c r="CD160" s="265">
        <v>0</v>
      </c>
      <c r="CE160" s="265">
        <v>0</v>
      </c>
      <c r="CF160" s="265">
        <v>0</v>
      </c>
      <c r="CG160" s="265">
        <v>0</v>
      </c>
      <c r="CH160" s="230">
        <f>+SUBTOTAL(9,BV160:CG160)</f>
        <v>0</v>
      </c>
      <c r="CI160" s="266"/>
      <c r="CJ160" s="263">
        <v>0</v>
      </c>
      <c r="CK160" s="264">
        <v>0</v>
      </c>
      <c r="CL160" s="265">
        <v>0</v>
      </c>
      <c r="CM160" s="265">
        <v>0</v>
      </c>
      <c r="CN160" s="265">
        <v>0</v>
      </c>
      <c r="CO160" s="265">
        <v>0</v>
      </c>
      <c r="CP160" s="265">
        <v>0</v>
      </c>
      <c r="CQ160" s="265">
        <v>0</v>
      </c>
      <c r="CR160" s="265">
        <v>0</v>
      </c>
      <c r="CS160" s="265">
        <v>0</v>
      </c>
      <c r="CT160" s="265">
        <v>0</v>
      </c>
      <c r="CU160" s="265">
        <v>0</v>
      </c>
      <c r="CV160" s="230">
        <f t="shared" si="645"/>
        <v>0</v>
      </c>
      <c r="CW160" s="266"/>
      <c r="CX160" s="263">
        <v>0</v>
      </c>
      <c r="CY160" s="264">
        <v>0</v>
      </c>
      <c r="CZ160" s="265">
        <v>0</v>
      </c>
      <c r="DA160" s="265">
        <v>0</v>
      </c>
      <c r="DB160" s="265">
        <v>0</v>
      </c>
      <c r="DC160" s="265">
        <v>0</v>
      </c>
      <c r="DD160" s="265">
        <v>0</v>
      </c>
      <c r="DE160" s="265">
        <v>0</v>
      </c>
      <c r="DF160" s="265">
        <v>0</v>
      </c>
      <c r="DG160" s="265">
        <v>0</v>
      </c>
      <c r="DH160" s="265">
        <v>0</v>
      </c>
      <c r="DI160" s="265">
        <v>0</v>
      </c>
      <c r="DJ160" s="230">
        <f t="shared" ref="DJ160:DJ166" si="665">+SUBTOTAL(9,CX160:DI160)</f>
        <v>0</v>
      </c>
      <c r="DK160" s="266"/>
      <c r="DL160" s="263">
        <v>0</v>
      </c>
      <c r="DM160" s="264">
        <v>0</v>
      </c>
      <c r="DN160" s="265">
        <v>0</v>
      </c>
      <c r="DO160" s="265">
        <v>0</v>
      </c>
      <c r="DP160" s="265">
        <v>0</v>
      </c>
      <c r="DQ160" s="265">
        <v>0</v>
      </c>
      <c r="DR160" s="265">
        <v>0</v>
      </c>
      <c r="DS160" s="265">
        <v>0</v>
      </c>
      <c r="DT160" s="265">
        <v>0</v>
      </c>
      <c r="DU160" s="265">
        <v>0</v>
      </c>
      <c r="DV160" s="265">
        <v>0</v>
      </c>
      <c r="DW160" s="265">
        <v>0</v>
      </c>
      <c r="DX160" s="230">
        <f t="shared" si="664"/>
        <v>0</v>
      </c>
      <c r="DY160" s="266"/>
      <c r="DZ160" s="263">
        <v>0</v>
      </c>
      <c r="EA160" s="264">
        <v>0</v>
      </c>
      <c r="EB160" s="265">
        <v>0</v>
      </c>
      <c r="EC160" s="265">
        <v>0</v>
      </c>
      <c r="ED160" s="265">
        <v>0</v>
      </c>
      <c r="EE160" s="265">
        <v>0</v>
      </c>
      <c r="EF160" s="265">
        <v>0</v>
      </c>
      <c r="EG160" s="265">
        <v>0</v>
      </c>
      <c r="EH160" s="265">
        <v>0</v>
      </c>
      <c r="EI160" s="265">
        <v>0</v>
      </c>
      <c r="EJ160" s="265">
        <v>0</v>
      </c>
      <c r="EK160" s="265">
        <v>0</v>
      </c>
      <c r="EL160" s="230">
        <f t="shared" si="647"/>
        <v>0</v>
      </c>
      <c r="EM160" s="266"/>
      <c r="EN160" s="263">
        <v>0</v>
      </c>
      <c r="EO160" s="264">
        <v>0</v>
      </c>
      <c r="EP160" s="265">
        <v>0</v>
      </c>
      <c r="EQ160" s="265">
        <v>0</v>
      </c>
      <c r="ER160" s="265">
        <v>0</v>
      </c>
      <c r="ES160" s="265">
        <v>0</v>
      </c>
      <c r="ET160" s="265">
        <v>0</v>
      </c>
      <c r="EU160" s="265">
        <v>0</v>
      </c>
      <c r="EV160" s="265">
        <v>0</v>
      </c>
      <c r="EW160" s="265">
        <v>0</v>
      </c>
      <c r="EX160" s="265">
        <v>0</v>
      </c>
      <c r="EY160" s="265">
        <v>0</v>
      </c>
      <c r="EZ160" s="230">
        <f t="shared" si="648"/>
        <v>0</v>
      </c>
      <c r="FA160" s="266"/>
      <c r="FB160" s="263">
        <v>0</v>
      </c>
      <c r="FC160" s="264">
        <v>0</v>
      </c>
      <c r="FD160" s="265">
        <v>0</v>
      </c>
      <c r="FE160" s="265">
        <v>0</v>
      </c>
      <c r="FF160" s="265">
        <v>0</v>
      </c>
      <c r="FG160" s="265">
        <v>0</v>
      </c>
      <c r="FH160" s="265">
        <v>0</v>
      </c>
      <c r="FI160" s="265">
        <v>0</v>
      </c>
      <c r="FJ160" s="265">
        <v>0</v>
      </c>
      <c r="FK160" s="265">
        <v>0</v>
      </c>
      <c r="FL160" s="265">
        <v>0</v>
      </c>
      <c r="FM160" s="265">
        <v>0</v>
      </c>
      <c r="FN160" s="230">
        <f t="shared" si="649"/>
        <v>0</v>
      </c>
      <c r="FO160" s="266"/>
      <c r="FP160" s="263">
        <v>0</v>
      </c>
      <c r="FQ160" s="264">
        <v>0</v>
      </c>
      <c r="FR160" s="265">
        <v>0</v>
      </c>
      <c r="FS160" s="265">
        <v>0</v>
      </c>
      <c r="FT160" s="265">
        <v>0</v>
      </c>
      <c r="FU160" s="265">
        <v>0</v>
      </c>
      <c r="FV160" s="265">
        <v>0</v>
      </c>
      <c r="FW160" s="265">
        <v>0</v>
      </c>
      <c r="FX160" s="265">
        <v>0</v>
      </c>
      <c r="FY160" s="265">
        <v>0</v>
      </c>
      <c r="FZ160" s="265">
        <v>0</v>
      </c>
      <c r="GA160" s="265">
        <v>0</v>
      </c>
      <c r="GB160" s="230">
        <f t="shared" si="650"/>
        <v>0</v>
      </c>
      <c r="GC160" s="266"/>
      <c r="GD160" s="263">
        <v>0</v>
      </c>
      <c r="GE160" s="264">
        <v>0</v>
      </c>
      <c r="GF160" s="265">
        <v>0</v>
      </c>
      <c r="GG160" s="265">
        <v>0</v>
      </c>
      <c r="GH160" s="265">
        <v>0</v>
      </c>
      <c r="GI160" s="265">
        <v>0</v>
      </c>
      <c r="GJ160" s="265">
        <v>0</v>
      </c>
      <c r="GK160" s="265">
        <v>0</v>
      </c>
      <c r="GL160" s="265">
        <v>0</v>
      </c>
      <c r="GM160" s="265">
        <v>0</v>
      </c>
      <c r="GN160" s="265">
        <v>0</v>
      </c>
      <c r="GO160" s="265">
        <v>0</v>
      </c>
      <c r="GP160" s="230">
        <f t="shared" si="651"/>
        <v>0</v>
      </c>
      <c r="GQ160" s="266"/>
      <c r="GR160" s="263">
        <v>0</v>
      </c>
      <c r="GS160" s="264">
        <v>0</v>
      </c>
      <c r="GT160" s="265">
        <v>0</v>
      </c>
      <c r="GU160" s="265">
        <v>0</v>
      </c>
      <c r="GV160" s="265">
        <v>0</v>
      </c>
      <c r="GW160" s="265">
        <v>0</v>
      </c>
      <c r="GX160" s="265">
        <v>0</v>
      </c>
      <c r="GY160" s="265">
        <v>0</v>
      </c>
      <c r="GZ160" s="265">
        <v>0</v>
      </c>
      <c r="HA160" s="265">
        <v>0</v>
      </c>
      <c r="HB160" s="265">
        <v>0</v>
      </c>
      <c r="HC160" s="265">
        <v>0</v>
      </c>
      <c r="HD160" s="230">
        <f t="shared" si="652"/>
        <v>0</v>
      </c>
      <c r="HE160" s="266"/>
      <c r="HF160" s="263">
        <v>0</v>
      </c>
      <c r="HG160" s="264">
        <v>0</v>
      </c>
      <c r="HH160" s="265">
        <v>0</v>
      </c>
      <c r="HI160" s="265">
        <v>0</v>
      </c>
      <c r="HJ160" s="265">
        <v>0</v>
      </c>
      <c r="HK160" s="265">
        <v>0</v>
      </c>
      <c r="HL160" s="265">
        <v>0</v>
      </c>
      <c r="HM160" s="265">
        <v>0</v>
      </c>
      <c r="HN160" s="265">
        <v>0</v>
      </c>
      <c r="HO160" s="265">
        <v>0</v>
      </c>
      <c r="HP160" s="265">
        <v>0</v>
      </c>
      <c r="HQ160" s="265">
        <v>0</v>
      </c>
      <c r="HR160" s="230">
        <f t="shared" si="653"/>
        <v>0</v>
      </c>
      <c r="HS160" s="266"/>
      <c r="HT160" s="263">
        <v>0</v>
      </c>
      <c r="HU160" s="264">
        <v>0</v>
      </c>
      <c r="HV160" s="265">
        <v>0</v>
      </c>
      <c r="HW160" s="265">
        <v>0</v>
      </c>
      <c r="HX160" s="265">
        <v>0</v>
      </c>
      <c r="HY160" s="265">
        <v>0</v>
      </c>
      <c r="HZ160" s="265">
        <v>0</v>
      </c>
      <c r="IA160" s="265">
        <v>0</v>
      </c>
      <c r="IB160" s="265">
        <v>0</v>
      </c>
      <c r="IC160" s="265">
        <v>0</v>
      </c>
      <c r="ID160" s="265">
        <v>0</v>
      </c>
      <c r="IE160" s="265">
        <v>0</v>
      </c>
      <c r="IF160" s="230">
        <f t="shared" si="654"/>
        <v>0</v>
      </c>
      <c r="IG160" s="266"/>
      <c r="IH160" s="263">
        <v>0</v>
      </c>
      <c r="II160" s="264">
        <v>0</v>
      </c>
      <c r="IJ160" s="265">
        <v>0</v>
      </c>
      <c r="IK160" s="265">
        <v>0</v>
      </c>
      <c r="IL160" s="265">
        <v>0</v>
      </c>
      <c r="IM160" s="265">
        <v>0</v>
      </c>
      <c r="IN160" s="265">
        <v>0</v>
      </c>
      <c r="IO160" s="265">
        <v>0</v>
      </c>
      <c r="IP160" s="265">
        <v>0</v>
      </c>
      <c r="IQ160" s="265">
        <v>0</v>
      </c>
      <c r="IR160" s="265">
        <v>0</v>
      </c>
      <c r="IS160" s="265">
        <v>0</v>
      </c>
      <c r="IT160" s="230">
        <f t="shared" si="655"/>
        <v>0</v>
      </c>
      <c r="IU160" s="266"/>
      <c r="IV160" s="263">
        <v>0</v>
      </c>
      <c r="IW160" s="264">
        <v>0</v>
      </c>
      <c r="IX160" s="265">
        <v>0</v>
      </c>
      <c r="IY160" s="265">
        <v>0</v>
      </c>
      <c r="IZ160" s="265">
        <v>0</v>
      </c>
      <c r="JA160" s="265">
        <v>0</v>
      </c>
      <c r="JB160" s="265">
        <v>0</v>
      </c>
      <c r="JC160" s="265">
        <v>0</v>
      </c>
      <c r="JD160" s="265">
        <v>0</v>
      </c>
      <c r="JE160" s="265">
        <v>0</v>
      </c>
      <c r="JF160" s="265">
        <v>0</v>
      </c>
      <c r="JG160" s="265">
        <v>0</v>
      </c>
      <c r="JH160" s="230">
        <f t="shared" si="656"/>
        <v>0</v>
      </c>
      <c r="JI160" s="266"/>
      <c r="JJ160" s="263">
        <v>0</v>
      </c>
      <c r="JK160" s="264">
        <v>0</v>
      </c>
      <c r="JL160" s="265">
        <v>0</v>
      </c>
      <c r="JM160" s="265">
        <v>0</v>
      </c>
      <c r="JN160" s="265">
        <v>0</v>
      </c>
      <c r="JO160" s="265">
        <v>0</v>
      </c>
      <c r="JP160" s="265">
        <v>0</v>
      </c>
      <c r="JQ160" s="265">
        <v>0</v>
      </c>
      <c r="JR160" s="265">
        <v>0</v>
      </c>
      <c r="JS160" s="265">
        <v>0</v>
      </c>
      <c r="JT160" s="265">
        <v>0</v>
      </c>
      <c r="JU160" s="265">
        <v>0</v>
      </c>
      <c r="JV160" s="230">
        <f t="shared" si="657"/>
        <v>0</v>
      </c>
      <c r="JW160" s="266"/>
      <c r="JX160" s="263">
        <v>0</v>
      </c>
      <c r="JY160" s="264">
        <v>0</v>
      </c>
      <c r="JZ160" s="265">
        <v>0</v>
      </c>
      <c r="KA160" s="265">
        <v>0</v>
      </c>
      <c r="KB160" s="265">
        <v>0</v>
      </c>
      <c r="KC160" s="265">
        <v>0</v>
      </c>
      <c r="KD160" s="265">
        <v>0</v>
      </c>
      <c r="KE160" s="265">
        <v>0</v>
      </c>
      <c r="KF160" s="265">
        <v>0</v>
      </c>
      <c r="KG160" s="265">
        <v>0</v>
      </c>
      <c r="KH160" s="265">
        <v>0</v>
      </c>
      <c r="KI160" s="265">
        <v>0</v>
      </c>
      <c r="KJ160" s="230">
        <f t="shared" si="658"/>
        <v>0</v>
      </c>
      <c r="KK160" s="266"/>
      <c r="KL160" s="263">
        <v>0</v>
      </c>
      <c r="KM160" s="264">
        <v>0</v>
      </c>
      <c r="KN160" s="265">
        <v>0</v>
      </c>
      <c r="KO160" s="265">
        <v>0</v>
      </c>
      <c r="KP160" s="265">
        <v>0</v>
      </c>
      <c r="KQ160" s="265">
        <v>0</v>
      </c>
      <c r="KR160" s="265">
        <v>0</v>
      </c>
      <c r="KS160" s="265">
        <v>0</v>
      </c>
      <c r="KT160" s="265">
        <v>0</v>
      </c>
      <c r="KU160" s="265">
        <v>0</v>
      </c>
      <c r="KV160" s="265">
        <v>0</v>
      </c>
      <c r="KW160" s="265">
        <v>0</v>
      </c>
      <c r="KX160" s="230">
        <f t="shared" si="659"/>
        <v>0</v>
      </c>
      <c r="KY160" s="266"/>
      <c r="KZ160" s="263">
        <v>0</v>
      </c>
      <c r="LA160" s="264">
        <v>0</v>
      </c>
      <c r="LB160" s="265">
        <v>0</v>
      </c>
      <c r="LC160" s="265">
        <v>0</v>
      </c>
      <c r="LD160" s="265">
        <v>0</v>
      </c>
      <c r="LE160" s="265">
        <v>0</v>
      </c>
      <c r="LF160" s="265">
        <v>0</v>
      </c>
      <c r="LG160" s="265">
        <v>0</v>
      </c>
      <c r="LH160" s="265">
        <v>0</v>
      </c>
      <c r="LI160" s="265">
        <v>0</v>
      </c>
      <c r="LJ160" s="265">
        <v>0</v>
      </c>
      <c r="LK160" s="265">
        <v>0</v>
      </c>
      <c r="LL160" s="230">
        <f t="shared" si="660"/>
        <v>0</v>
      </c>
      <c r="LM160" s="266"/>
      <c r="LN160" s="263">
        <v>0</v>
      </c>
      <c r="LO160" s="264">
        <v>0</v>
      </c>
      <c r="LP160" s="265">
        <v>0</v>
      </c>
      <c r="LQ160" s="265">
        <v>0</v>
      </c>
      <c r="LR160" s="265">
        <v>0</v>
      </c>
      <c r="LS160" s="265">
        <v>0</v>
      </c>
      <c r="LT160" s="265">
        <v>0</v>
      </c>
      <c r="LU160" s="265">
        <v>0</v>
      </c>
      <c r="LV160" s="265">
        <v>0</v>
      </c>
      <c r="LW160" s="265">
        <v>0</v>
      </c>
      <c r="LX160" s="265">
        <v>0</v>
      </c>
      <c r="LY160" s="265">
        <v>0</v>
      </c>
      <c r="LZ160" s="230">
        <f t="shared" si="661"/>
        <v>0</v>
      </c>
      <c r="MA160" s="266"/>
      <c r="MB160" s="230">
        <f t="shared" si="662"/>
        <v>0</v>
      </c>
      <c r="MC160" s="230">
        <f t="shared" si="662"/>
        <v>0</v>
      </c>
      <c r="MD160" s="230">
        <f t="shared" si="662"/>
        <v>0</v>
      </c>
      <c r="ME160" s="230">
        <f t="shared" si="662"/>
        <v>0</v>
      </c>
      <c r="MF160" s="230">
        <f t="shared" si="662"/>
        <v>0</v>
      </c>
      <c r="MG160" s="230">
        <f t="shared" si="662"/>
        <v>0</v>
      </c>
      <c r="MH160" s="230">
        <f t="shared" si="662"/>
        <v>0</v>
      </c>
      <c r="MI160" s="230">
        <f t="shared" si="662"/>
        <v>0</v>
      </c>
      <c r="MJ160" s="230">
        <f t="shared" si="662"/>
        <v>0</v>
      </c>
      <c r="MK160" s="230">
        <f t="shared" si="662"/>
        <v>0</v>
      </c>
      <c r="ML160" s="230">
        <f t="shared" si="662"/>
        <v>0</v>
      </c>
      <c r="MM160" s="230">
        <f t="shared" si="662"/>
        <v>0</v>
      </c>
      <c r="MN160" s="230">
        <f t="shared" si="663"/>
        <v>0</v>
      </c>
    </row>
    <row r="161" spans="1:352" hidden="1" x14ac:dyDescent="0.25">
      <c r="A161" s="262"/>
      <c r="B161" s="181" t="s">
        <v>200</v>
      </c>
      <c r="C161" s="98"/>
      <c r="D161" s="263">
        <v>0</v>
      </c>
      <c r="E161" s="264">
        <v>0</v>
      </c>
      <c r="F161" s="264">
        <v>0</v>
      </c>
      <c r="G161" s="264">
        <v>0</v>
      </c>
      <c r="H161" s="264">
        <v>0</v>
      </c>
      <c r="I161" s="264">
        <v>0</v>
      </c>
      <c r="J161" s="264">
        <v>0</v>
      </c>
      <c r="K161" s="264">
        <v>0</v>
      </c>
      <c r="L161" s="264">
        <v>0</v>
      </c>
      <c r="M161" s="264">
        <v>0</v>
      </c>
      <c r="N161" s="264">
        <v>0</v>
      </c>
      <c r="O161" s="264">
        <v>0</v>
      </c>
      <c r="P161" s="230">
        <f t="shared" si="639"/>
        <v>0</v>
      </c>
      <c r="Q161" s="266"/>
      <c r="R161" s="263">
        <v>0</v>
      </c>
      <c r="S161" s="264">
        <v>0</v>
      </c>
      <c r="T161" s="264">
        <v>0</v>
      </c>
      <c r="U161" s="264">
        <v>0</v>
      </c>
      <c r="V161" s="264">
        <v>0</v>
      </c>
      <c r="W161" s="264">
        <v>0</v>
      </c>
      <c r="X161" s="264">
        <v>0</v>
      </c>
      <c r="Y161" s="264">
        <v>0</v>
      </c>
      <c r="Z161" s="264">
        <v>0</v>
      </c>
      <c r="AA161" s="264">
        <v>0</v>
      </c>
      <c r="AB161" s="264">
        <v>0</v>
      </c>
      <c r="AC161" s="264">
        <v>0</v>
      </c>
      <c r="AD161" s="230">
        <f t="shared" si="640"/>
        <v>0</v>
      </c>
      <c r="AE161" s="266"/>
      <c r="AF161" s="263">
        <v>0</v>
      </c>
      <c r="AG161" s="264">
        <v>0</v>
      </c>
      <c r="AH161" s="264">
        <v>0</v>
      </c>
      <c r="AI161" s="264">
        <v>0</v>
      </c>
      <c r="AJ161" s="264">
        <v>0</v>
      </c>
      <c r="AK161" s="264">
        <v>0</v>
      </c>
      <c r="AL161" s="264">
        <v>0</v>
      </c>
      <c r="AM161" s="264">
        <v>0</v>
      </c>
      <c r="AN161" s="264">
        <v>0</v>
      </c>
      <c r="AO161" s="264">
        <v>0</v>
      </c>
      <c r="AP161" s="264">
        <v>0</v>
      </c>
      <c r="AQ161" s="264">
        <v>0</v>
      </c>
      <c r="AR161" s="230">
        <f t="shared" si="641"/>
        <v>0</v>
      </c>
      <c r="AS161" s="266"/>
      <c r="AT161" s="263">
        <v>0</v>
      </c>
      <c r="AU161" s="264">
        <v>0</v>
      </c>
      <c r="AV161" s="264">
        <v>0</v>
      </c>
      <c r="AW161" s="264">
        <v>0</v>
      </c>
      <c r="AX161" s="264">
        <v>0</v>
      </c>
      <c r="AY161" s="264">
        <v>0</v>
      </c>
      <c r="AZ161" s="264">
        <v>0</v>
      </c>
      <c r="BA161" s="264">
        <v>0</v>
      </c>
      <c r="BB161" s="265">
        <v>0</v>
      </c>
      <c r="BC161" s="265">
        <v>0</v>
      </c>
      <c r="BD161" s="265">
        <v>0</v>
      </c>
      <c r="BE161" s="265">
        <v>0</v>
      </c>
      <c r="BF161" s="230">
        <f t="shared" si="642"/>
        <v>0</v>
      </c>
      <c r="BG161" s="266"/>
      <c r="BH161" s="263">
        <v>0</v>
      </c>
      <c r="BI161" s="264">
        <v>0</v>
      </c>
      <c r="BJ161" s="265">
        <v>0</v>
      </c>
      <c r="BK161" s="265">
        <v>0</v>
      </c>
      <c r="BL161" s="265">
        <v>0</v>
      </c>
      <c r="BM161" s="265">
        <v>0</v>
      </c>
      <c r="BN161" s="265">
        <v>0</v>
      </c>
      <c r="BO161" s="265">
        <v>0</v>
      </c>
      <c r="BP161" s="265">
        <v>0</v>
      </c>
      <c r="BQ161" s="265">
        <v>0</v>
      </c>
      <c r="BR161" s="265">
        <v>0</v>
      </c>
      <c r="BS161" s="265">
        <v>0</v>
      </c>
      <c r="BT161" s="230">
        <f t="shared" si="643"/>
        <v>0</v>
      </c>
      <c r="BU161" s="266"/>
      <c r="BV161" s="263">
        <v>0</v>
      </c>
      <c r="BW161" s="264">
        <v>0</v>
      </c>
      <c r="BX161" s="265">
        <v>0</v>
      </c>
      <c r="BY161" s="265">
        <v>0</v>
      </c>
      <c r="BZ161" s="265">
        <v>0</v>
      </c>
      <c r="CA161" s="265">
        <v>0</v>
      </c>
      <c r="CB161" s="265">
        <v>0</v>
      </c>
      <c r="CC161" s="265">
        <v>0</v>
      </c>
      <c r="CD161" s="265">
        <v>0</v>
      </c>
      <c r="CE161" s="265">
        <v>0</v>
      </c>
      <c r="CF161" s="265">
        <v>0</v>
      </c>
      <c r="CG161" s="265">
        <v>0</v>
      </c>
      <c r="CH161" s="230">
        <f t="shared" ref="CH161:CH166" si="666">+SUBTOTAL(9,BV161:CG161)</f>
        <v>0</v>
      </c>
      <c r="CI161" s="266"/>
      <c r="CJ161" s="263">
        <v>0</v>
      </c>
      <c r="CK161" s="264">
        <v>0</v>
      </c>
      <c r="CL161" s="265">
        <v>0</v>
      </c>
      <c r="CM161" s="265">
        <v>0</v>
      </c>
      <c r="CN161" s="265">
        <v>0</v>
      </c>
      <c r="CO161" s="265">
        <v>0</v>
      </c>
      <c r="CP161" s="265">
        <v>0</v>
      </c>
      <c r="CQ161" s="265">
        <v>0</v>
      </c>
      <c r="CR161" s="265">
        <v>0</v>
      </c>
      <c r="CS161" s="265">
        <v>0</v>
      </c>
      <c r="CT161" s="265">
        <v>0</v>
      </c>
      <c r="CU161" s="265">
        <v>0</v>
      </c>
      <c r="CV161" s="230">
        <f t="shared" si="645"/>
        <v>0</v>
      </c>
      <c r="CW161" s="266"/>
      <c r="CX161" s="263">
        <v>0</v>
      </c>
      <c r="CY161" s="264">
        <v>0</v>
      </c>
      <c r="CZ161" s="265">
        <v>0</v>
      </c>
      <c r="DA161" s="265">
        <v>0</v>
      </c>
      <c r="DB161" s="265">
        <v>0</v>
      </c>
      <c r="DC161" s="265">
        <v>0</v>
      </c>
      <c r="DD161" s="265">
        <v>0</v>
      </c>
      <c r="DE161" s="265">
        <v>0</v>
      </c>
      <c r="DF161" s="265">
        <v>0</v>
      </c>
      <c r="DG161" s="265">
        <v>0</v>
      </c>
      <c r="DH161" s="265">
        <v>0</v>
      </c>
      <c r="DI161" s="265">
        <v>0</v>
      </c>
      <c r="DJ161" s="230">
        <f t="shared" si="665"/>
        <v>0</v>
      </c>
      <c r="DK161" s="266"/>
      <c r="DL161" s="263">
        <v>0</v>
      </c>
      <c r="DM161" s="264">
        <v>0</v>
      </c>
      <c r="DN161" s="265">
        <v>0</v>
      </c>
      <c r="DO161" s="265">
        <v>0</v>
      </c>
      <c r="DP161" s="265">
        <v>0</v>
      </c>
      <c r="DQ161" s="265">
        <v>0</v>
      </c>
      <c r="DR161" s="265">
        <v>0</v>
      </c>
      <c r="DS161" s="265">
        <v>0</v>
      </c>
      <c r="DT161" s="265">
        <v>0</v>
      </c>
      <c r="DU161" s="265">
        <v>0</v>
      </c>
      <c r="DV161" s="265">
        <v>0</v>
      </c>
      <c r="DW161" s="265">
        <v>0</v>
      </c>
      <c r="DX161" s="230">
        <f t="shared" si="664"/>
        <v>0</v>
      </c>
      <c r="DY161" s="266"/>
      <c r="DZ161" s="263">
        <v>0</v>
      </c>
      <c r="EA161" s="264">
        <v>0</v>
      </c>
      <c r="EB161" s="265">
        <v>0</v>
      </c>
      <c r="EC161" s="265">
        <v>0</v>
      </c>
      <c r="ED161" s="265">
        <v>0</v>
      </c>
      <c r="EE161" s="265">
        <v>0</v>
      </c>
      <c r="EF161" s="265">
        <v>0</v>
      </c>
      <c r="EG161" s="265">
        <v>0</v>
      </c>
      <c r="EH161" s="265">
        <v>0</v>
      </c>
      <c r="EI161" s="265">
        <v>0</v>
      </c>
      <c r="EJ161" s="265">
        <v>0</v>
      </c>
      <c r="EK161" s="265">
        <v>0</v>
      </c>
      <c r="EL161" s="230">
        <f t="shared" si="647"/>
        <v>0</v>
      </c>
      <c r="EM161" s="266"/>
      <c r="EN161" s="263">
        <v>0</v>
      </c>
      <c r="EO161" s="264">
        <v>0</v>
      </c>
      <c r="EP161" s="265">
        <v>0</v>
      </c>
      <c r="EQ161" s="265">
        <v>0</v>
      </c>
      <c r="ER161" s="265">
        <v>0</v>
      </c>
      <c r="ES161" s="265">
        <v>0</v>
      </c>
      <c r="ET161" s="265">
        <v>0</v>
      </c>
      <c r="EU161" s="265">
        <v>0</v>
      </c>
      <c r="EV161" s="265">
        <v>0</v>
      </c>
      <c r="EW161" s="265">
        <v>0</v>
      </c>
      <c r="EX161" s="265">
        <v>0</v>
      </c>
      <c r="EY161" s="265">
        <v>0</v>
      </c>
      <c r="EZ161" s="230">
        <f t="shared" si="648"/>
        <v>0</v>
      </c>
      <c r="FA161" s="266"/>
      <c r="FB161" s="263">
        <v>0</v>
      </c>
      <c r="FC161" s="264">
        <v>0</v>
      </c>
      <c r="FD161" s="265">
        <v>0</v>
      </c>
      <c r="FE161" s="265">
        <v>0</v>
      </c>
      <c r="FF161" s="265">
        <v>0</v>
      </c>
      <c r="FG161" s="265">
        <v>0</v>
      </c>
      <c r="FH161" s="265">
        <v>0</v>
      </c>
      <c r="FI161" s="265">
        <v>0</v>
      </c>
      <c r="FJ161" s="265">
        <v>0</v>
      </c>
      <c r="FK161" s="265">
        <v>0</v>
      </c>
      <c r="FL161" s="265">
        <v>0</v>
      </c>
      <c r="FM161" s="265">
        <v>0</v>
      </c>
      <c r="FN161" s="230">
        <f t="shared" si="649"/>
        <v>0</v>
      </c>
      <c r="FO161" s="266"/>
      <c r="FP161" s="263">
        <v>0</v>
      </c>
      <c r="FQ161" s="264">
        <v>0</v>
      </c>
      <c r="FR161" s="265">
        <v>0</v>
      </c>
      <c r="FS161" s="265">
        <v>0</v>
      </c>
      <c r="FT161" s="265">
        <v>0</v>
      </c>
      <c r="FU161" s="265">
        <v>0</v>
      </c>
      <c r="FV161" s="265">
        <v>0</v>
      </c>
      <c r="FW161" s="265">
        <v>0</v>
      </c>
      <c r="FX161" s="265">
        <v>0</v>
      </c>
      <c r="FY161" s="265">
        <v>0</v>
      </c>
      <c r="FZ161" s="265">
        <v>0</v>
      </c>
      <c r="GA161" s="265">
        <v>0</v>
      </c>
      <c r="GB161" s="230">
        <f t="shared" si="650"/>
        <v>0</v>
      </c>
      <c r="GC161" s="266"/>
      <c r="GD161" s="263">
        <v>0</v>
      </c>
      <c r="GE161" s="264">
        <v>0</v>
      </c>
      <c r="GF161" s="265">
        <v>0</v>
      </c>
      <c r="GG161" s="265">
        <v>0</v>
      </c>
      <c r="GH161" s="265">
        <v>0</v>
      </c>
      <c r="GI161" s="265">
        <v>0</v>
      </c>
      <c r="GJ161" s="265">
        <v>0</v>
      </c>
      <c r="GK161" s="265">
        <v>0</v>
      </c>
      <c r="GL161" s="265">
        <v>0</v>
      </c>
      <c r="GM161" s="265">
        <v>0</v>
      </c>
      <c r="GN161" s="265">
        <v>0</v>
      </c>
      <c r="GO161" s="265">
        <v>0</v>
      </c>
      <c r="GP161" s="230">
        <f t="shared" si="651"/>
        <v>0</v>
      </c>
      <c r="GQ161" s="266"/>
      <c r="GR161" s="263">
        <v>0</v>
      </c>
      <c r="GS161" s="264">
        <v>0</v>
      </c>
      <c r="GT161" s="265">
        <v>0</v>
      </c>
      <c r="GU161" s="265">
        <v>0</v>
      </c>
      <c r="GV161" s="265">
        <v>0</v>
      </c>
      <c r="GW161" s="265">
        <v>0</v>
      </c>
      <c r="GX161" s="265">
        <v>0</v>
      </c>
      <c r="GY161" s="265">
        <v>0</v>
      </c>
      <c r="GZ161" s="265">
        <v>0</v>
      </c>
      <c r="HA161" s="265">
        <v>0</v>
      </c>
      <c r="HB161" s="265">
        <v>0</v>
      </c>
      <c r="HC161" s="265">
        <v>0</v>
      </c>
      <c r="HD161" s="230">
        <f t="shared" si="652"/>
        <v>0</v>
      </c>
      <c r="HE161" s="266"/>
      <c r="HF161" s="263">
        <v>0</v>
      </c>
      <c r="HG161" s="264">
        <v>0</v>
      </c>
      <c r="HH161" s="265">
        <v>0</v>
      </c>
      <c r="HI161" s="265">
        <v>0</v>
      </c>
      <c r="HJ161" s="265">
        <v>0</v>
      </c>
      <c r="HK161" s="265">
        <v>0</v>
      </c>
      <c r="HL161" s="265">
        <v>0</v>
      </c>
      <c r="HM161" s="265">
        <v>0</v>
      </c>
      <c r="HN161" s="265">
        <v>0</v>
      </c>
      <c r="HO161" s="265">
        <v>0</v>
      </c>
      <c r="HP161" s="265">
        <v>0</v>
      </c>
      <c r="HQ161" s="265">
        <v>0</v>
      </c>
      <c r="HR161" s="230">
        <f>+SUBTOTAL(9,HF161:HQ161)</f>
        <v>0</v>
      </c>
      <c r="HS161" s="266"/>
      <c r="HT161" s="263">
        <v>0</v>
      </c>
      <c r="HU161" s="264">
        <v>0</v>
      </c>
      <c r="HV161" s="265">
        <v>0</v>
      </c>
      <c r="HW161" s="265">
        <v>0</v>
      </c>
      <c r="HX161" s="265">
        <v>0</v>
      </c>
      <c r="HY161" s="265">
        <v>0</v>
      </c>
      <c r="HZ161" s="265">
        <v>0</v>
      </c>
      <c r="IA161" s="265">
        <v>0</v>
      </c>
      <c r="IB161" s="265">
        <v>0</v>
      </c>
      <c r="IC161" s="265">
        <v>0</v>
      </c>
      <c r="ID161" s="265">
        <v>0</v>
      </c>
      <c r="IE161" s="265">
        <v>0</v>
      </c>
      <c r="IF161" s="230">
        <f t="shared" si="654"/>
        <v>0</v>
      </c>
      <c r="IG161" s="266"/>
      <c r="IH161" s="263">
        <v>0</v>
      </c>
      <c r="II161" s="264">
        <v>0</v>
      </c>
      <c r="IJ161" s="265">
        <v>0</v>
      </c>
      <c r="IK161" s="265">
        <v>0</v>
      </c>
      <c r="IL161" s="265">
        <v>0</v>
      </c>
      <c r="IM161" s="265">
        <v>0</v>
      </c>
      <c r="IN161" s="265">
        <v>0</v>
      </c>
      <c r="IO161" s="265">
        <v>0</v>
      </c>
      <c r="IP161" s="265">
        <v>0</v>
      </c>
      <c r="IQ161" s="265">
        <v>0</v>
      </c>
      <c r="IR161" s="265">
        <v>0</v>
      </c>
      <c r="IS161" s="265">
        <v>0</v>
      </c>
      <c r="IT161" s="230">
        <f t="shared" si="655"/>
        <v>0</v>
      </c>
      <c r="IU161" s="266"/>
      <c r="IV161" s="263">
        <v>0</v>
      </c>
      <c r="IW161" s="264">
        <v>0</v>
      </c>
      <c r="IX161" s="265">
        <v>0</v>
      </c>
      <c r="IY161" s="265">
        <v>0</v>
      </c>
      <c r="IZ161" s="265">
        <v>0</v>
      </c>
      <c r="JA161" s="265">
        <v>0</v>
      </c>
      <c r="JB161" s="265">
        <v>0</v>
      </c>
      <c r="JC161" s="265">
        <v>0</v>
      </c>
      <c r="JD161" s="265">
        <v>0</v>
      </c>
      <c r="JE161" s="265">
        <v>0</v>
      </c>
      <c r="JF161" s="265">
        <v>0</v>
      </c>
      <c r="JG161" s="265">
        <v>0</v>
      </c>
      <c r="JH161" s="230">
        <f t="shared" si="656"/>
        <v>0</v>
      </c>
      <c r="JI161" s="266"/>
      <c r="JJ161" s="263">
        <v>0</v>
      </c>
      <c r="JK161" s="264">
        <v>0</v>
      </c>
      <c r="JL161" s="265">
        <v>0</v>
      </c>
      <c r="JM161" s="265">
        <v>0</v>
      </c>
      <c r="JN161" s="265">
        <v>0</v>
      </c>
      <c r="JO161" s="265">
        <v>0</v>
      </c>
      <c r="JP161" s="265">
        <v>0</v>
      </c>
      <c r="JQ161" s="265">
        <v>0</v>
      </c>
      <c r="JR161" s="265">
        <v>0</v>
      </c>
      <c r="JS161" s="265">
        <v>0</v>
      </c>
      <c r="JT161" s="265">
        <v>0</v>
      </c>
      <c r="JU161" s="265">
        <v>0</v>
      </c>
      <c r="JV161" s="230">
        <f t="shared" si="657"/>
        <v>0</v>
      </c>
      <c r="JW161" s="266"/>
      <c r="JX161" s="263">
        <v>0</v>
      </c>
      <c r="JY161" s="264">
        <v>0</v>
      </c>
      <c r="JZ161" s="265">
        <v>0</v>
      </c>
      <c r="KA161" s="265">
        <v>0</v>
      </c>
      <c r="KB161" s="265">
        <v>0</v>
      </c>
      <c r="KC161" s="265">
        <v>0</v>
      </c>
      <c r="KD161" s="265">
        <v>0</v>
      </c>
      <c r="KE161" s="265">
        <v>0</v>
      </c>
      <c r="KF161" s="265">
        <v>0</v>
      </c>
      <c r="KG161" s="265">
        <v>0</v>
      </c>
      <c r="KH161" s="265">
        <v>0</v>
      </c>
      <c r="KI161" s="265">
        <v>0</v>
      </c>
      <c r="KJ161" s="230">
        <f t="shared" si="658"/>
        <v>0</v>
      </c>
      <c r="KK161" s="266"/>
      <c r="KL161" s="263">
        <v>0</v>
      </c>
      <c r="KM161" s="264">
        <v>0</v>
      </c>
      <c r="KN161" s="265">
        <v>0</v>
      </c>
      <c r="KO161" s="265">
        <v>0</v>
      </c>
      <c r="KP161" s="265">
        <v>0</v>
      </c>
      <c r="KQ161" s="265">
        <v>0</v>
      </c>
      <c r="KR161" s="265">
        <v>0</v>
      </c>
      <c r="KS161" s="265">
        <v>0</v>
      </c>
      <c r="KT161" s="265">
        <v>0</v>
      </c>
      <c r="KU161" s="265">
        <v>0</v>
      </c>
      <c r="KV161" s="265">
        <v>0</v>
      </c>
      <c r="KW161" s="265">
        <v>0</v>
      </c>
      <c r="KX161" s="230">
        <f t="shared" si="659"/>
        <v>0</v>
      </c>
      <c r="KY161" s="266"/>
      <c r="KZ161" s="263">
        <v>0</v>
      </c>
      <c r="LA161" s="264">
        <v>0</v>
      </c>
      <c r="LB161" s="265">
        <v>0</v>
      </c>
      <c r="LC161" s="265">
        <v>0</v>
      </c>
      <c r="LD161" s="265">
        <v>0</v>
      </c>
      <c r="LE161" s="265">
        <v>0</v>
      </c>
      <c r="LF161" s="265">
        <v>0</v>
      </c>
      <c r="LG161" s="265">
        <v>0</v>
      </c>
      <c r="LH161" s="265">
        <v>0</v>
      </c>
      <c r="LI161" s="265">
        <v>0</v>
      </c>
      <c r="LJ161" s="265">
        <v>0</v>
      </c>
      <c r="LK161" s="265">
        <v>0</v>
      </c>
      <c r="LL161" s="230">
        <f t="shared" si="660"/>
        <v>0</v>
      </c>
      <c r="LM161" s="266"/>
      <c r="LN161" s="263">
        <v>0</v>
      </c>
      <c r="LO161" s="264">
        <v>0</v>
      </c>
      <c r="LP161" s="265">
        <v>0</v>
      </c>
      <c r="LQ161" s="265">
        <v>0</v>
      </c>
      <c r="LR161" s="265">
        <v>0</v>
      </c>
      <c r="LS161" s="265">
        <v>0</v>
      </c>
      <c r="LT161" s="265">
        <v>0</v>
      </c>
      <c r="LU161" s="265">
        <v>0</v>
      </c>
      <c r="LV161" s="265">
        <v>0</v>
      </c>
      <c r="LW161" s="265">
        <v>0</v>
      </c>
      <c r="LX161" s="265">
        <v>0</v>
      </c>
      <c r="LY161" s="265">
        <v>0</v>
      </c>
      <c r="LZ161" s="230">
        <f t="shared" si="661"/>
        <v>0</v>
      </c>
      <c r="MA161" s="266"/>
      <c r="MB161" s="230">
        <f t="shared" si="662"/>
        <v>0</v>
      </c>
      <c r="MC161" s="230">
        <f t="shared" si="662"/>
        <v>0</v>
      </c>
      <c r="MD161" s="230">
        <f t="shared" si="662"/>
        <v>0</v>
      </c>
      <c r="ME161" s="230">
        <f t="shared" si="662"/>
        <v>0</v>
      </c>
      <c r="MF161" s="230">
        <f t="shared" si="662"/>
        <v>0</v>
      </c>
      <c r="MG161" s="230">
        <f t="shared" si="662"/>
        <v>0</v>
      </c>
      <c r="MH161" s="230">
        <f t="shared" si="662"/>
        <v>0</v>
      </c>
      <c r="MI161" s="230">
        <f t="shared" si="662"/>
        <v>0</v>
      </c>
      <c r="MJ161" s="230">
        <f t="shared" si="662"/>
        <v>0</v>
      </c>
      <c r="MK161" s="230">
        <f t="shared" si="662"/>
        <v>0</v>
      </c>
      <c r="ML161" s="230">
        <f t="shared" si="662"/>
        <v>0</v>
      </c>
      <c r="MM161" s="230">
        <f t="shared" si="662"/>
        <v>0</v>
      </c>
      <c r="MN161" s="230">
        <f t="shared" si="663"/>
        <v>0</v>
      </c>
    </row>
    <row r="162" spans="1:352" hidden="1" x14ac:dyDescent="0.25">
      <c r="A162" s="262"/>
      <c r="B162" s="182" t="s">
        <v>201</v>
      </c>
      <c r="C162" s="98"/>
      <c r="D162" s="263">
        <v>0</v>
      </c>
      <c r="E162" s="264">
        <v>0</v>
      </c>
      <c r="F162" s="264">
        <v>0</v>
      </c>
      <c r="G162" s="264">
        <v>0</v>
      </c>
      <c r="H162" s="264">
        <v>0</v>
      </c>
      <c r="I162" s="264">
        <v>0</v>
      </c>
      <c r="J162" s="264">
        <v>0</v>
      </c>
      <c r="K162" s="264">
        <v>0</v>
      </c>
      <c r="L162" s="264">
        <v>0</v>
      </c>
      <c r="M162" s="264">
        <v>0</v>
      </c>
      <c r="N162" s="264">
        <v>0</v>
      </c>
      <c r="O162" s="264">
        <v>0</v>
      </c>
      <c r="P162" s="230">
        <f t="shared" si="639"/>
        <v>0</v>
      </c>
      <c r="Q162" s="266"/>
      <c r="R162" s="263">
        <v>0</v>
      </c>
      <c r="S162" s="264">
        <v>0</v>
      </c>
      <c r="T162" s="264">
        <v>0</v>
      </c>
      <c r="U162" s="264">
        <v>0</v>
      </c>
      <c r="V162" s="264">
        <v>0</v>
      </c>
      <c r="W162" s="264">
        <v>0</v>
      </c>
      <c r="X162" s="264">
        <v>0</v>
      </c>
      <c r="Y162" s="264">
        <v>0</v>
      </c>
      <c r="Z162" s="264">
        <v>0</v>
      </c>
      <c r="AA162" s="264">
        <v>0</v>
      </c>
      <c r="AB162" s="264">
        <v>0</v>
      </c>
      <c r="AC162" s="264">
        <v>0</v>
      </c>
      <c r="AD162" s="230">
        <f t="shared" si="640"/>
        <v>0</v>
      </c>
      <c r="AE162" s="266"/>
      <c r="AF162" s="263">
        <v>0</v>
      </c>
      <c r="AG162" s="264">
        <v>0</v>
      </c>
      <c r="AH162" s="264">
        <v>0</v>
      </c>
      <c r="AI162" s="264">
        <v>0</v>
      </c>
      <c r="AJ162" s="264">
        <v>0</v>
      </c>
      <c r="AK162" s="264">
        <v>0</v>
      </c>
      <c r="AL162" s="264">
        <v>0</v>
      </c>
      <c r="AM162" s="264">
        <v>0</v>
      </c>
      <c r="AN162" s="264">
        <v>0</v>
      </c>
      <c r="AO162" s="264">
        <v>0</v>
      </c>
      <c r="AP162" s="264">
        <v>0</v>
      </c>
      <c r="AQ162" s="264">
        <v>0</v>
      </c>
      <c r="AR162" s="230">
        <f t="shared" si="641"/>
        <v>0</v>
      </c>
      <c r="AS162" s="266"/>
      <c r="AT162" s="263">
        <v>0</v>
      </c>
      <c r="AU162" s="264">
        <v>0</v>
      </c>
      <c r="AV162" s="264">
        <v>0</v>
      </c>
      <c r="AW162" s="264">
        <v>0</v>
      </c>
      <c r="AX162" s="264">
        <v>0</v>
      </c>
      <c r="AY162" s="264">
        <v>0</v>
      </c>
      <c r="AZ162" s="264">
        <v>0</v>
      </c>
      <c r="BA162" s="264">
        <v>0</v>
      </c>
      <c r="BB162" s="265">
        <v>0</v>
      </c>
      <c r="BC162" s="265">
        <v>0</v>
      </c>
      <c r="BD162" s="265">
        <v>0</v>
      </c>
      <c r="BE162" s="265">
        <v>0</v>
      </c>
      <c r="BF162" s="230">
        <f t="shared" si="642"/>
        <v>0</v>
      </c>
      <c r="BG162" s="266"/>
      <c r="BH162" s="263">
        <v>0</v>
      </c>
      <c r="BI162" s="264">
        <v>0</v>
      </c>
      <c r="BJ162" s="265">
        <v>0</v>
      </c>
      <c r="BK162" s="265">
        <v>0</v>
      </c>
      <c r="BL162" s="265">
        <v>0</v>
      </c>
      <c r="BM162" s="265">
        <v>0</v>
      </c>
      <c r="BN162" s="265">
        <v>0</v>
      </c>
      <c r="BO162" s="265">
        <v>0</v>
      </c>
      <c r="BP162" s="265">
        <v>0</v>
      </c>
      <c r="BQ162" s="265">
        <v>0</v>
      </c>
      <c r="BR162" s="265">
        <v>0</v>
      </c>
      <c r="BS162" s="265">
        <v>0</v>
      </c>
      <c r="BT162" s="230">
        <f t="shared" si="643"/>
        <v>0</v>
      </c>
      <c r="BU162" s="266"/>
      <c r="BV162" s="263">
        <v>0</v>
      </c>
      <c r="BW162" s="264">
        <v>0</v>
      </c>
      <c r="BX162" s="265">
        <v>0</v>
      </c>
      <c r="BY162" s="265">
        <v>0</v>
      </c>
      <c r="BZ162" s="265">
        <v>0</v>
      </c>
      <c r="CA162" s="265">
        <v>0</v>
      </c>
      <c r="CB162" s="265">
        <v>0</v>
      </c>
      <c r="CC162" s="265">
        <v>0</v>
      </c>
      <c r="CD162" s="265">
        <v>0</v>
      </c>
      <c r="CE162" s="265">
        <v>0</v>
      </c>
      <c r="CF162" s="265">
        <v>0</v>
      </c>
      <c r="CG162" s="265">
        <v>0</v>
      </c>
      <c r="CH162" s="230">
        <f t="shared" si="666"/>
        <v>0</v>
      </c>
      <c r="CI162" s="266"/>
      <c r="CJ162" s="263">
        <v>0</v>
      </c>
      <c r="CK162" s="264">
        <v>0</v>
      </c>
      <c r="CL162" s="265">
        <v>0</v>
      </c>
      <c r="CM162" s="265">
        <v>0</v>
      </c>
      <c r="CN162" s="265">
        <v>0</v>
      </c>
      <c r="CO162" s="265">
        <v>0</v>
      </c>
      <c r="CP162" s="265">
        <v>0</v>
      </c>
      <c r="CQ162" s="265">
        <v>0</v>
      </c>
      <c r="CR162" s="265">
        <v>0</v>
      </c>
      <c r="CS162" s="265">
        <v>0</v>
      </c>
      <c r="CT162" s="265">
        <v>0</v>
      </c>
      <c r="CU162" s="265">
        <v>0</v>
      </c>
      <c r="CV162" s="230">
        <f>+SUBTOTAL(9,CJ162:CU162)</f>
        <v>0</v>
      </c>
      <c r="CW162" s="266"/>
      <c r="CX162" s="263">
        <v>0</v>
      </c>
      <c r="CY162" s="264">
        <v>0</v>
      </c>
      <c r="CZ162" s="265">
        <v>0</v>
      </c>
      <c r="DA162" s="265">
        <v>0</v>
      </c>
      <c r="DB162" s="265">
        <v>0</v>
      </c>
      <c r="DC162" s="265">
        <v>0</v>
      </c>
      <c r="DD162" s="265">
        <v>0</v>
      </c>
      <c r="DE162" s="265">
        <v>0</v>
      </c>
      <c r="DF162" s="265">
        <v>0</v>
      </c>
      <c r="DG162" s="265">
        <v>0</v>
      </c>
      <c r="DH162" s="265">
        <v>0</v>
      </c>
      <c r="DI162" s="265">
        <v>0</v>
      </c>
      <c r="DJ162" s="230">
        <f t="shared" si="665"/>
        <v>0</v>
      </c>
      <c r="DK162" s="266"/>
      <c r="DL162" s="263">
        <v>0</v>
      </c>
      <c r="DM162" s="264">
        <v>0</v>
      </c>
      <c r="DN162" s="265">
        <v>0</v>
      </c>
      <c r="DO162" s="265">
        <v>0</v>
      </c>
      <c r="DP162" s="265">
        <v>0</v>
      </c>
      <c r="DQ162" s="265">
        <v>0</v>
      </c>
      <c r="DR162" s="265">
        <v>0</v>
      </c>
      <c r="DS162" s="265">
        <v>0</v>
      </c>
      <c r="DT162" s="265">
        <v>0</v>
      </c>
      <c r="DU162" s="265">
        <v>0</v>
      </c>
      <c r="DV162" s="265">
        <v>0</v>
      </c>
      <c r="DW162" s="265">
        <v>0</v>
      </c>
      <c r="DX162" s="230">
        <f t="shared" si="664"/>
        <v>0</v>
      </c>
      <c r="DY162" s="266"/>
      <c r="DZ162" s="263">
        <v>0</v>
      </c>
      <c r="EA162" s="264">
        <v>0</v>
      </c>
      <c r="EB162" s="265">
        <v>0</v>
      </c>
      <c r="EC162" s="265">
        <v>0</v>
      </c>
      <c r="ED162" s="265">
        <v>0</v>
      </c>
      <c r="EE162" s="265">
        <v>0</v>
      </c>
      <c r="EF162" s="265">
        <v>0</v>
      </c>
      <c r="EG162" s="265">
        <v>0</v>
      </c>
      <c r="EH162" s="265">
        <v>0</v>
      </c>
      <c r="EI162" s="265">
        <v>0</v>
      </c>
      <c r="EJ162" s="265">
        <v>0</v>
      </c>
      <c r="EK162" s="265">
        <v>0</v>
      </c>
      <c r="EL162" s="230">
        <f>+SUBTOTAL(9,DZ162:EK162)</f>
        <v>0</v>
      </c>
      <c r="EM162" s="266"/>
      <c r="EN162" s="263">
        <v>0</v>
      </c>
      <c r="EO162" s="264">
        <v>0</v>
      </c>
      <c r="EP162" s="265">
        <v>0</v>
      </c>
      <c r="EQ162" s="265">
        <v>0</v>
      </c>
      <c r="ER162" s="265">
        <v>0</v>
      </c>
      <c r="ES162" s="265">
        <v>0</v>
      </c>
      <c r="ET162" s="265">
        <v>0</v>
      </c>
      <c r="EU162" s="265">
        <v>0</v>
      </c>
      <c r="EV162" s="265">
        <v>0</v>
      </c>
      <c r="EW162" s="265">
        <v>0</v>
      </c>
      <c r="EX162" s="265">
        <v>0</v>
      </c>
      <c r="EY162" s="265">
        <v>0</v>
      </c>
      <c r="EZ162" s="230">
        <f t="shared" si="648"/>
        <v>0</v>
      </c>
      <c r="FA162" s="266"/>
      <c r="FB162" s="263">
        <v>0</v>
      </c>
      <c r="FC162" s="264">
        <v>0</v>
      </c>
      <c r="FD162" s="265">
        <v>0</v>
      </c>
      <c r="FE162" s="265">
        <v>0</v>
      </c>
      <c r="FF162" s="265">
        <v>0</v>
      </c>
      <c r="FG162" s="265">
        <v>0</v>
      </c>
      <c r="FH162" s="265">
        <v>0</v>
      </c>
      <c r="FI162" s="265">
        <v>0</v>
      </c>
      <c r="FJ162" s="265">
        <v>0</v>
      </c>
      <c r="FK162" s="265">
        <v>0</v>
      </c>
      <c r="FL162" s="265">
        <v>0</v>
      </c>
      <c r="FM162" s="265">
        <v>0</v>
      </c>
      <c r="FN162" s="230">
        <f>+SUBTOTAL(9,FB162:FM162)</f>
        <v>0</v>
      </c>
      <c r="FO162" s="266"/>
      <c r="FP162" s="263">
        <v>0</v>
      </c>
      <c r="FQ162" s="264">
        <v>0</v>
      </c>
      <c r="FR162" s="265">
        <v>0</v>
      </c>
      <c r="FS162" s="265">
        <v>0</v>
      </c>
      <c r="FT162" s="265">
        <v>0</v>
      </c>
      <c r="FU162" s="265">
        <v>0</v>
      </c>
      <c r="FV162" s="265">
        <v>0</v>
      </c>
      <c r="FW162" s="265">
        <v>0</v>
      </c>
      <c r="FX162" s="265">
        <v>0</v>
      </c>
      <c r="FY162" s="265">
        <v>0</v>
      </c>
      <c r="FZ162" s="265">
        <v>0</v>
      </c>
      <c r="GA162" s="265">
        <v>0</v>
      </c>
      <c r="GB162" s="230">
        <f>+SUBTOTAL(9,FP162:GA162)</f>
        <v>0</v>
      </c>
      <c r="GC162" s="266"/>
      <c r="GD162" s="263">
        <v>0</v>
      </c>
      <c r="GE162" s="264">
        <v>0</v>
      </c>
      <c r="GF162" s="265">
        <v>0</v>
      </c>
      <c r="GG162" s="265">
        <v>0</v>
      </c>
      <c r="GH162" s="265">
        <v>0</v>
      </c>
      <c r="GI162" s="265">
        <v>0</v>
      </c>
      <c r="GJ162" s="265">
        <v>0</v>
      </c>
      <c r="GK162" s="265">
        <v>0</v>
      </c>
      <c r="GL162" s="265">
        <v>0</v>
      </c>
      <c r="GM162" s="265">
        <v>0</v>
      </c>
      <c r="GN162" s="265">
        <v>0</v>
      </c>
      <c r="GO162" s="265">
        <v>0</v>
      </c>
      <c r="GP162" s="230">
        <f t="shared" si="651"/>
        <v>0</v>
      </c>
      <c r="GQ162" s="266"/>
      <c r="GR162" s="263">
        <v>0</v>
      </c>
      <c r="GS162" s="264">
        <v>0</v>
      </c>
      <c r="GT162" s="265">
        <v>0</v>
      </c>
      <c r="GU162" s="265">
        <v>0</v>
      </c>
      <c r="GV162" s="265">
        <v>0</v>
      </c>
      <c r="GW162" s="265">
        <v>0</v>
      </c>
      <c r="GX162" s="265">
        <v>0</v>
      </c>
      <c r="GY162" s="265">
        <v>0</v>
      </c>
      <c r="GZ162" s="265">
        <v>0</v>
      </c>
      <c r="HA162" s="265">
        <v>0</v>
      </c>
      <c r="HB162" s="265">
        <v>0</v>
      </c>
      <c r="HC162" s="265">
        <v>0</v>
      </c>
      <c r="HD162" s="230">
        <f t="shared" si="652"/>
        <v>0</v>
      </c>
      <c r="HE162" s="266"/>
      <c r="HF162" s="263">
        <v>0</v>
      </c>
      <c r="HG162" s="264">
        <v>0</v>
      </c>
      <c r="HH162" s="265">
        <v>0</v>
      </c>
      <c r="HI162" s="265">
        <v>0</v>
      </c>
      <c r="HJ162" s="265">
        <v>0</v>
      </c>
      <c r="HK162" s="265">
        <v>0</v>
      </c>
      <c r="HL162" s="265">
        <v>0</v>
      </c>
      <c r="HM162" s="265">
        <v>0</v>
      </c>
      <c r="HN162" s="265">
        <v>0</v>
      </c>
      <c r="HO162" s="265">
        <v>0</v>
      </c>
      <c r="HP162" s="265">
        <v>0</v>
      </c>
      <c r="HQ162" s="265">
        <v>0</v>
      </c>
      <c r="HR162" s="230">
        <f t="shared" ref="HR162:HR166" si="667">+SUBTOTAL(9,HF162:HQ162)</f>
        <v>0</v>
      </c>
      <c r="HS162" s="266"/>
      <c r="HT162" s="263">
        <v>0</v>
      </c>
      <c r="HU162" s="264">
        <v>0</v>
      </c>
      <c r="HV162" s="265">
        <v>0</v>
      </c>
      <c r="HW162" s="265">
        <v>0</v>
      </c>
      <c r="HX162" s="265">
        <v>0</v>
      </c>
      <c r="HY162" s="265">
        <v>0</v>
      </c>
      <c r="HZ162" s="265">
        <v>0</v>
      </c>
      <c r="IA162" s="265">
        <v>0</v>
      </c>
      <c r="IB162" s="265">
        <v>0</v>
      </c>
      <c r="IC162" s="265">
        <v>0</v>
      </c>
      <c r="ID162" s="265">
        <v>0</v>
      </c>
      <c r="IE162" s="265">
        <v>0</v>
      </c>
      <c r="IF162" s="230">
        <f t="shared" si="654"/>
        <v>0</v>
      </c>
      <c r="IG162" s="266"/>
      <c r="IH162" s="263">
        <v>0</v>
      </c>
      <c r="II162" s="264">
        <v>0</v>
      </c>
      <c r="IJ162" s="265">
        <v>0</v>
      </c>
      <c r="IK162" s="265">
        <v>0</v>
      </c>
      <c r="IL162" s="265">
        <v>0</v>
      </c>
      <c r="IM162" s="265">
        <v>0</v>
      </c>
      <c r="IN162" s="265">
        <v>0</v>
      </c>
      <c r="IO162" s="265">
        <v>0</v>
      </c>
      <c r="IP162" s="265">
        <v>0</v>
      </c>
      <c r="IQ162" s="265">
        <v>0</v>
      </c>
      <c r="IR162" s="265">
        <v>0</v>
      </c>
      <c r="IS162" s="265">
        <v>0</v>
      </c>
      <c r="IT162" s="230">
        <f t="shared" si="655"/>
        <v>0</v>
      </c>
      <c r="IU162" s="266"/>
      <c r="IV162" s="263">
        <v>0</v>
      </c>
      <c r="IW162" s="264">
        <v>0</v>
      </c>
      <c r="IX162" s="265">
        <v>0</v>
      </c>
      <c r="IY162" s="265">
        <v>0</v>
      </c>
      <c r="IZ162" s="265">
        <v>0</v>
      </c>
      <c r="JA162" s="265">
        <v>0</v>
      </c>
      <c r="JB162" s="265">
        <v>0</v>
      </c>
      <c r="JC162" s="265">
        <v>0</v>
      </c>
      <c r="JD162" s="265">
        <v>0</v>
      </c>
      <c r="JE162" s="265">
        <v>0</v>
      </c>
      <c r="JF162" s="265">
        <v>0</v>
      </c>
      <c r="JG162" s="265">
        <v>0</v>
      </c>
      <c r="JH162" s="230">
        <f t="shared" si="656"/>
        <v>0</v>
      </c>
      <c r="JI162" s="266"/>
      <c r="JJ162" s="263">
        <v>0</v>
      </c>
      <c r="JK162" s="264">
        <v>0</v>
      </c>
      <c r="JL162" s="265">
        <v>0</v>
      </c>
      <c r="JM162" s="265">
        <v>0</v>
      </c>
      <c r="JN162" s="265">
        <v>0</v>
      </c>
      <c r="JO162" s="265">
        <v>0</v>
      </c>
      <c r="JP162" s="265">
        <v>0</v>
      </c>
      <c r="JQ162" s="265">
        <v>0</v>
      </c>
      <c r="JR162" s="265">
        <v>0</v>
      </c>
      <c r="JS162" s="265">
        <v>0</v>
      </c>
      <c r="JT162" s="265">
        <v>0</v>
      </c>
      <c r="JU162" s="265">
        <v>0</v>
      </c>
      <c r="JV162" s="230">
        <f t="shared" si="657"/>
        <v>0</v>
      </c>
      <c r="JW162" s="266"/>
      <c r="JX162" s="263">
        <v>0</v>
      </c>
      <c r="JY162" s="264">
        <v>0</v>
      </c>
      <c r="JZ162" s="265">
        <v>0</v>
      </c>
      <c r="KA162" s="265">
        <v>0</v>
      </c>
      <c r="KB162" s="265">
        <v>0</v>
      </c>
      <c r="KC162" s="265">
        <v>0</v>
      </c>
      <c r="KD162" s="265">
        <v>0</v>
      </c>
      <c r="KE162" s="265">
        <v>0</v>
      </c>
      <c r="KF162" s="265">
        <v>0</v>
      </c>
      <c r="KG162" s="265">
        <v>0</v>
      </c>
      <c r="KH162" s="265">
        <v>0</v>
      </c>
      <c r="KI162" s="265">
        <v>0</v>
      </c>
      <c r="KJ162" s="230">
        <f t="shared" si="658"/>
        <v>0</v>
      </c>
      <c r="KK162" s="266"/>
      <c r="KL162" s="263">
        <v>0</v>
      </c>
      <c r="KM162" s="264">
        <v>0</v>
      </c>
      <c r="KN162" s="265">
        <v>0</v>
      </c>
      <c r="KO162" s="265">
        <v>0</v>
      </c>
      <c r="KP162" s="265">
        <v>0</v>
      </c>
      <c r="KQ162" s="265">
        <v>0</v>
      </c>
      <c r="KR162" s="265">
        <v>0</v>
      </c>
      <c r="KS162" s="265">
        <v>0</v>
      </c>
      <c r="KT162" s="265">
        <v>0</v>
      </c>
      <c r="KU162" s="265">
        <v>0</v>
      </c>
      <c r="KV162" s="265">
        <v>0</v>
      </c>
      <c r="KW162" s="265">
        <v>0</v>
      </c>
      <c r="KX162" s="230">
        <f t="shared" si="659"/>
        <v>0</v>
      </c>
      <c r="KY162" s="266"/>
      <c r="KZ162" s="263">
        <v>0</v>
      </c>
      <c r="LA162" s="264">
        <v>0</v>
      </c>
      <c r="LB162" s="265">
        <v>0</v>
      </c>
      <c r="LC162" s="265">
        <v>0</v>
      </c>
      <c r="LD162" s="265">
        <v>0</v>
      </c>
      <c r="LE162" s="265">
        <v>0</v>
      </c>
      <c r="LF162" s="265">
        <v>0</v>
      </c>
      <c r="LG162" s="265">
        <v>0</v>
      </c>
      <c r="LH162" s="265">
        <v>0</v>
      </c>
      <c r="LI162" s="265">
        <v>0</v>
      </c>
      <c r="LJ162" s="265">
        <v>0</v>
      </c>
      <c r="LK162" s="265">
        <v>0</v>
      </c>
      <c r="LL162" s="230">
        <f t="shared" si="660"/>
        <v>0</v>
      </c>
      <c r="LM162" s="266"/>
      <c r="LN162" s="263">
        <v>0</v>
      </c>
      <c r="LO162" s="264">
        <v>0</v>
      </c>
      <c r="LP162" s="265">
        <v>0</v>
      </c>
      <c r="LQ162" s="265">
        <v>0</v>
      </c>
      <c r="LR162" s="265">
        <v>0</v>
      </c>
      <c r="LS162" s="265">
        <v>0</v>
      </c>
      <c r="LT162" s="265">
        <v>0</v>
      </c>
      <c r="LU162" s="265">
        <v>0</v>
      </c>
      <c r="LV162" s="265">
        <v>0</v>
      </c>
      <c r="LW162" s="265">
        <v>0</v>
      </c>
      <c r="LX162" s="265">
        <v>0</v>
      </c>
      <c r="LY162" s="265">
        <v>0</v>
      </c>
      <c r="LZ162" s="230">
        <f t="shared" si="661"/>
        <v>0</v>
      </c>
      <c r="MA162" s="266"/>
      <c r="MB162" s="230">
        <f t="shared" si="662"/>
        <v>0</v>
      </c>
      <c r="MC162" s="230">
        <f t="shared" si="662"/>
        <v>0</v>
      </c>
      <c r="MD162" s="230">
        <f t="shared" si="662"/>
        <v>0</v>
      </c>
      <c r="ME162" s="230">
        <f t="shared" si="662"/>
        <v>0</v>
      </c>
      <c r="MF162" s="230">
        <f t="shared" si="662"/>
        <v>0</v>
      </c>
      <c r="MG162" s="230">
        <f t="shared" si="662"/>
        <v>0</v>
      </c>
      <c r="MH162" s="230">
        <f t="shared" si="662"/>
        <v>0</v>
      </c>
      <c r="MI162" s="230">
        <f t="shared" si="662"/>
        <v>0</v>
      </c>
      <c r="MJ162" s="230">
        <f t="shared" si="662"/>
        <v>0</v>
      </c>
      <c r="MK162" s="230">
        <f t="shared" si="662"/>
        <v>0</v>
      </c>
      <c r="ML162" s="230">
        <f t="shared" si="662"/>
        <v>0</v>
      </c>
      <c r="MM162" s="230">
        <f t="shared" si="662"/>
        <v>0</v>
      </c>
      <c r="MN162" s="230">
        <f t="shared" si="663"/>
        <v>0</v>
      </c>
    </row>
    <row r="163" spans="1:352" hidden="1" x14ac:dyDescent="0.25">
      <c r="A163" s="262"/>
      <c r="B163" s="182" t="s">
        <v>202</v>
      </c>
      <c r="C163" s="98"/>
      <c r="D163" s="263">
        <v>0</v>
      </c>
      <c r="E163" s="264">
        <v>0</v>
      </c>
      <c r="F163" s="264">
        <v>0</v>
      </c>
      <c r="G163" s="264">
        <v>0</v>
      </c>
      <c r="H163" s="264">
        <v>0</v>
      </c>
      <c r="I163" s="264">
        <v>0</v>
      </c>
      <c r="J163" s="264">
        <v>0</v>
      </c>
      <c r="K163" s="264">
        <v>0</v>
      </c>
      <c r="L163" s="264">
        <v>0</v>
      </c>
      <c r="M163" s="264">
        <v>0</v>
      </c>
      <c r="N163" s="264">
        <v>0</v>
      </c>
      <c r="O163" s="264">
        <v>0</v>
      </c>
      <c r="P163" s="230">
        <f t="shared" si="639"/>
        <v>0</v>
      </c>
      <c r="Q163" s="266"/>
      <c r="R163" s="263">
        <v>0</v>
      </c>
      <c r="S163" s="264">
        <v>0</v>
      </c>
      <c r="T163" s="264">
        <v>0</v>
      </c>
      <c r="U163" s="264">
        <v>0</v>
      </c>
      <c r="V163" s="264">
        <v>0</v>
      </c>
      <c r="W163" s="264">
        <v>0</v>
      </c>
      <c r="X163" s="264">
        <v>0</v>
      </c>
      <c r="Y163" s="264">
        <v>0</v>
      </c>
      <c r="Z163" s="264">
        <v>0</v>
      </c>
      <c r="AA163" s="264">
        <v>0</v>
      </c>
      <c r="AB163" s="264">
        <v>0</v>
      </c>
      <c r="AC163" s="264">
        <v>0</v>
      </c>
      <c r="AD163" s="230">
        <f t="shared" si="640"/>
        <v>0</v>
      </c>
      <c r="AE163" s="266"/>
      <c r="AF163" s="263">
        <v>0</v>
      </c>
      <c r="AG163" s="264">
        <v>0</v>
      </c>
      <c r="AH163" s="264">
        <v>0</v>
      </c>
      <c r="AI163" s="264">
        <v>0</v>
      </c>
      <c r="AJ163" s="264">
        <v>0</v>
      </c>
      <c r="AK163" s="264">
        <v>0</v>
      </c>
      <c r="AL163" s="264">
        <v>0</v>
      </c>
      <c r="AM163" s="264">
        <v>0</v>
      </c>
      <c r="AN163" s="264">
        <v>0</v>
      </c>
      <c r="AO163" s="264">
        <v>0</v>
      </c>
      <c r="AP163" s="264">
        <v>0</v>
      </c>
      <c r="AQ163" s="264">
        <v>0</v>
      </c>
      <c r="AR163" s="230">
        <f t="shared" si="641"/>
        <v>0</v>
      </c>
      <c r="AS163" s="266"/>
      <c r="AT163" s="263">
        <v>0</v>
      </c>
      <c r="AU163" s="264">
        <v>0</v>
      </c>
      <c r="AV163" s="264">
        <v>0</v>
      </c>
      <c r="AW163" s="264">
        <v>0</v>
      </c>
      <c r="AX163" s="264">
        <v>0</v>
      </c>
      <c r="AY163" s="264">
        <v>0</v>
      </c>
      <c r="AZ163" s="264">
        <v>0</v>
      </c>
      <c r="BA163" s="264">
        <v>0</v>
      </c>
      <c r="BB163" s="265">
        <v>0</v>
      </c>
      <c r="BC163" s="265">
        <v>0</v>
      </c>
      <c r="BD163" s="265">
        <v>0</v>
      </c>
      <c r="BE163" s="265">
        <v>0</v>
      </c>
      <c r="BF163" s="230">
        <f t="shared" si="642"/>
        <v>0</v>
      </c>
      <c r="BG163" s="266"/>
      <c r="BH163" s="263">
        <v>0</v>
      </c>
      <c r="BI163" s="264">
        <v>0</v>
      </c>
      <c r="BJ163" s="265">
        <v>0</v>
      </c>
      <c r="BK163" s="265">
        <v>0</v>
      </c>
      <c r="BL163" s="265">
        <v>0</v>
      </c>
      <c r="BM163" s="265">
        <v>0</v>
      </c>
      <c r="BN163" s="265">
        <v>0</v>
      </c>
      <c r="BO163" s="265">
        <v>0</v>
      </c>
      <c r="BP163" s="265">
        <v>0</v>
      </c>
      <c r="BQ163" s="265">
        <v>0</v>
      </c>
      <c r="BR163" s="265">
        <v>0</v>
      </c>
      <c r="BS163" s="265">
        <v>0</v>
      </c>
      <c r="BT163" s="230">
        <f t="shared" si="643"/>
        <v>0</v>
      </c>
      <c r="BU163" s="266"/>
      <c r="BV163" s="263">
        <v>0</v>
      </c>
      <c r="BW163" s="264">
        <v>0</v>
      </c>
      <c r="BX163" s="265">
        <v>0</v>
      </c>
      <c r="BY163" s="265">
        <v>0</v>
      </c>
      <c r="BZ163" s="265">
        <v>0</v>
      </c>
      <c r="CA163" s="265">
        <v>0</v>
      </c>
      <c r="CB163" s="265">
        <v>0</v>
      </c>
      <c r="CC163" s="265">
        <v>0</v>
      </c>
      <c r="CD163" s="265">
        <v>0</v>
      </c>
      <c r="CE163" s="265">
        <v>0</v>
      </c>
      <c r="CF163" s="265">
        <v>0</v>
      </c>
      <c r="CG163" s="265">
        <v>0</v>
      </c>
      <c r="CH163" s="230">
        <f t="shared" si="666"/>
        <v>0</v>
      </c>
      <c r="CI163" s="266"/>
      <c r="CJ163" s="263">
        <v>0</v>
      </c>
      <c r="CK163" s="264">
        <v>0</v>
      </c>
      <c r="CL163" s="265">
        <v>0</v>
      </c>
      <c r="CM163" s="265">
        <v>0</v>
      </c>
      <c r="CN163" s="265">
        <v>0</v>
      </c>
      <c r="CO163" s="265">
        <v>0</v>
      </c>
      <c r="CP163" s="265">
        <v>0</v>
      </c>
      <c r="CQ163" s="265">
        <v>0</v>
      </c>
      <c r="CR163" s="265">
        <v>0</v>
      </c>
      <c r="CS163" s="265">
        <v>0</v>
      </c>
      <c r="CT163" s="265">
        <v>0</v>
      </c>
      <c r="CU163" s="265">
        <v>0</v>
      </c>
      <c r="CV163" s="230">
        <f t="shared" ref="CV163:CV166" si="668">+SUBTOTAL(9,CJ163:CU163)</f>
        <v>0</v>
      </c>
      <c r="CW163" s="266"/>
      <c r="CX163" s="263">
        <v>0</v>
      </c>
      <c r="CY163" s="264">
        <v>0</v>
      </c>
      <c r="CZ163" s="265">
        <v>0</v>
      </c>
      <c r="DA163" s="265">
        <v>0</v>
      </c>
      <c r="DB163" s="265">
        <v>0</v>
      </c>
      <c r="DC163" s="265">
        <v>0</v>
      </c>
      <c r="DD163" s="265">
        <v>0</v>
      </c>
      <c r="DE163" s="265">
        <v>0</v>
      </c>
      <c r="DF163" s="265">
        <v>0</v>
      </c>
      <c r="DG163" s="265">
        <v>0</v>
      </c>
      <c r="DH163" s="265">
        <v>0</v>
      </c>
      <c r="DI163" s="265">
        <v>0</v>
      </c>
      <c r="DJ163" s="230">
        <f t="shared" si="665"/>
        <v>0</v>
      </c>
      <c r="DK163" s="266"/>
      <c r="DL163" s="263">
        <v>0</v>
      </c>
      <c r="DM163" s="264">
        <v>0</v>
      </c>
      <c r="DN163" s="265">
        <v>0</v>
      </c>
      <c r="DO163" s="265">
        <v>0</v>
      </c>
      <c r="DP163" s="265">
        <v>0</v>
      </c>
      <c r="DQ163" s="265">
        <v>0</v>
      </c>
      <c r="DR163" s="265">
        <v>0</v>
      </c>
      <c r="DS163" s="265">
        <v>0</v>
      </c>
      <c r="DT163" s="265">
        <v>0</v>
      </c>
      <c r="DU163" s="265">
        <v>0</v>
      </c>
      <c r="DV163" s="265">
        <v>0</v>
      </c>
      <c r="DW163" s="265">
        <v>0</v>
      </c>
      <c r="DX163" s="230">
        <f t="shared" si="664"/>
        <v>0</v>
      </c>
      <c r="DY163" s="266"/>
      <c r="DZ163" s="263">
        <v>0</v>
      </c>
      <c r="EA163" s="264">
        <v>0</v>
      </c>
      <c r="EB163" s="265">
        <v>0</v>
      </c>
      <c r="EC163" s="265">
        <v>0</v>
      </c>
      <c r="ED163" s="265">
        <v>0</v>
      </c>
      <c r="EE163" s="265">
        <v>0</v>
      </c>
      <c r="EF163" s="265">
        <v>0</v>
      </c>
      <c r="EG163" s="265">
        <v>0</v>
      </c>
      <c r="EH163" s="265">
        <v>0</v>
      </c>
      <c r="EI163" s="265">
        <v>0</v>
      </c>
      <c r="EJ163" s="265">
        <v>0</v>
      </c>
      <c r="EK163" s="265">
        <v>0</v>
      </c>
      <c r="EL163" s="230">
        <f t="shared" ref="EL163:EL166" si="669">+SUBTOTAL(9,DZ163:EK163)</f>
        <v>0</v>
      </c>
      <c r="EM163" s="266"/>
      <c r="EN163" s="263">
        <v>0</v>
      </c>
      <c r="EO163" s="264">
        <v>0</v>
      </c>
      <c r="EP163" s="265">
        <v>0</v>
      </c>
      <c r="EQ163" s="265">
        <v>0</v>
      </c>
      <c r="ER163" s="265">
        <v>0</v>
      </c>
      <c r="ES163" s="265">
        <v>0</v>
      </c>
      <c r="ET163" s="265">
        <v>0</v>
      </c>
      <c r="EU163" s="265">
        <v>0</v>
      </c>
      <c r="EV163" s="265">
        <v>0</v>
      </c>
      <c r="EW163" s="265">
        <v>0</v>
      </c>
      <c r="EX163" s="265">
        <v>0</v>
      </c>
      <c r="EY163" s="265">
        <v>0</v>
      </c>
      <c r="EZ163" s="230">
        <f>+SUBTOTAL(9,EN163:EY163)</f>
        <v>0</v>
      </c>
      <c r="FA163" s="266"/>
      <c r="FB163" s="263">
        <v>0</v>
      </c>
      <c r="FC163" s="264">
        <v>0</v>
      </c>
      <c r="FD163" s="265">
        <v>0</v>
      </c>
      <c r="FE163" s="265">
        <v>0</v>
      </c>
      <c r="FF163" s="265">
        <v>0</v>
      </c>
      <c r="FG163" s="265">
        <v>0</v>
      </c>
      <c r="FH163" s="265">
        <v>0</v>
      </c>
      <c r="FI163" s="265">
        <v>0</v>
      </c>
      <c r="FJ163" s="265">
        <v>0</v>
      </c>
      <c r="FK163" s="265">
        <v>0</v>
      </c>
      <c r="FL163" s="265">
        <v>0</v>
      </c>
      <c r="FM163" s="265">
        <v>0</v>
      </c>
      <c r="FN163" s="230">
        <f t="shared" ref="FN163:FN166" si="670">+SUBTOTAL(9,FB163:FM163)</f>
        <v>0</v>
      </c>
      <c r="FO163" s="266"/>
      <c r="FP163" s="263">
        <v>0</v>
      </c>
      <c r="FQ163" s="264">
        <v>0</v>
      </c>
      <c r="FR163" s="265">
        <v>0</v>
      </c>
      <c r="FS163" s="265">
        <v>0</v>
      </c>
      <c r="FT163" s="265">
        <v>0</v>
      </c>
      <c r="FU163" s="265">
        <v>0</v>
      </c>
      <c r="FV163" s="265">
        <v>0</v>
      </c>
      <c r="FW163" s="265">
        <v>0</v>
      </c>
      <c r="FX163" s="265">
        <v>0</v>
      </c>
      <c r="FY163" s="265">
        <v>0</v>
      </c>
      <c r="FZ163" s="265">
        <v>0</v>
      </c>
      <c r="GA163" s="265">
        <v>0</v>
      </c>
      <c r="GB163" s="230">
        <f t="shared" ref="GB163:GB166" si="671">+SUBTOTAL(9,FP163:GA163)</f>
        <v>0</v>
      </c>
      <c r="GC163" s="266"/>
      <c r="GD163" s="263">
        <v>0</v>
      </c>
      <c r="GE163" s="264">
        <v>0</v>
      </c>
      <c r="GF163" s="265">
        <v>0</v>
      </c>
      <c r="GG163" s="265">
        <v>0</v>
      </c>
      <c r="GH163" s="265">
        <v>0</v>
      </c>
      <c r="GI163" s="265">
        <v>0</v>
      </c>
      <c r="GJ163" s="265">
        <v>0</v>
      </c>
      <c r="GK163" s="265">
        <v>0</v>
      </c>
      <c r="GL163" s="265">
        <v>0</v>
      </c>
      <c r="GM163" s="265">
        <v>0</v>
      </c>
      <c r="GN163" s="265">
        <v>0</v>
      </c>
      <c r="GO163" s="265">
        <v>0</v>
      </c>
      <c r="GP163" s="230">
        <f t="shared" si="651"/>
        <v>0</v>
      </c>
      <c r="GQ163" s="266"/>
      <c r="GR163" s="263">
        <v>0</v>
      </c>
      <c r="GS163" s="264">
        <v>0</v>
      </c>
      <c r="GT163" s="265">
        <v>0</v>
      </c>
      <c r="GU163" s="265">
        <v>0</v>
      </c>
      <c r="GV163" s="265">
        <v>0</v>
      </c>
      <c r="GW163" s="265">
        <v>0</v>
      </c>
      <c r="GX163" s="265">
        <v>0</v>
      </c>
      <c r="GY163" s="265">
        <v>0</v>
      </c>
      <c r="GZ163" s="265">
        <v>0</v>
      </c>
      <c r="HA163" s="265">
        <v>0</v>
      </c>
      <c r="HB163" s="265">
        <v>0</v>
      </c>
      <c r="HC163" s="265">
        <v>0</v>
      </c>
      <c r="HD163" s="230">
        <f t="shared" si="652"/>
        <v>0</v>
      </c>
      <c r="HE163" s="266"/>
      <c r="HF163" s="263">
        <v>0</v>
      </c>
      <c r="HG163" s="264">
        <v>0</v>
      </c>
      <c r="HH163" s="265">
        <v>0</v>
      </c>
      <c r="HI163" s="265">
        <v>0</v>
      </c>
      <c r="HJ163" s="265">
        <v>0</v>
      </c>
      <c r="HK163" s="265">
        <v>0</v>
      </c>
      <c r="HL163" s="265">
        <v>0</v>
      </c>
      <c r="HM163" s="265">
        <v>0</v>
      </c>
      <c r="HN163" s="265">
        <v>0</v>
      </c>
      <c r="HO163" s="265">
        <v>0</v>
      </c>
      <c r="HP163" s="265">
        <v>0</v>
      </c>
      <c r="HQ163" s="265">
        <v>0</v>
      </c>
      <c r="HR163" s="230">
        <f t="shared" si="667"/>
        <v>0</v>
      </c>
      <c r="HS163" s="266"/>
      <c r="HT163" s="263">
        <v>0</v>
      </c>
      <c r="HU163" s="264">
        <v>0</v>
      </c>
      <c r="HV163" s="265">
        <v>0</v>
      </c>
      <c r="HW163" s="265">
        <v>0</v>
      </c>
      <c r="HX163" s="265">
        <v>0</v>
      </c>
      <c r="HY163" s="265">
        <v>0</v>
      </c>
      <c r="HZ163" s="265">
        <v>0</v>
      </c>
      <c r="IA163" s="265">
        <v>0</v>
      </c>
      <c r="IB163" s="265">
        <v>0</v>
      </c>
      <c r="IC163" s="265">
        <v>0</v>
      </c>
      <c r="ID163" s="265">
        <v>0</v>
      </c>
      <c r="IE163" s="265">
        <v>0</v>
      </c>
      <c r="IF163" s="230">
        <f t="shared" si="654"/>
        <v>0</v>
      </c>
      <c r="IG163" s="266"/>
      <c r="IH163" s="263">
        <v>0</v>
      </c>
      <c r="II163" s="264">
        <v>0</v>
      </c>
      <c r="IJ163" s="265">
        <v>0</v>
      </c>
      <c r="IK163" s="265">
        <v>0</v>
      </c>
      <c r="IL163" s="265">
        <v>0</v>
      </c>
      <c r="IM163" s="265">
        <v>0</v>
      </c>
      <c r="IN163" s="265">
        <v>0</v>
      </c>
      <c r="IO163" s="265">
        <v>0</v>
      </c>
      <c r="IP163" s="265">
        <v>0</v>
      </c>
      <c r="IQ163" s="265">
        <v>0</v>
      </c>
      <c r="IR163" s="265">
        <v>0</v>
      </c>
      <c r="IS163" s="265">
        <v>0</v>
      </c>
      <c r="IT163" s="230">
        <f t="shared" si="655"/>
        <v>0</v>
      </c>
      <c r="IU163" s="266"/>
      <c r="IV163" s="263">
        <v>0</v>
      </c>
      <c r="IW163" s="264">
        <v>0</v>
      </c>
      <c r="IX163" s="265">
        <v>0</v>
      </c>
      <c r="IY163" s="265">
        <v>0</v>
      </c>
      <c r="IZ163" s="265">
        <v>0</v>
      </c>
      <c r="JA163" s="265">
        <v>0</v>
      </c>
      <c r="JB163" s="265">
        <v>0</v>
      </c>
      <c r="JC163" s="265">
        <v>0</v>
      </c>
      <c r="JD163" s="265">
        <v>0</v>
      </c>
      <c r="JE163" s="265">
        <v>0</v>
      </c>
      <c r="JF163" s="265">
        <v>0</v>
      </c>
      <c r="JG163" s="265">
        <v>0</v>
      </c>
      <c r="JH163" s="230">
        <f t="shared" si="656"/>
        <v>0</v>
      </c>
      <c r="JI163" s="266"/>
      <c r="JJ163" s="263">
        <v>0</v>
      </c>
      <c r="JK163" s="264">
        <v>0</v>
      </c>
      <c r="JL163" s="265">
        <v>0</v>
      </c>
      <c r="JM163" s="265">
        <v>0</v>
      </c>
      <c r="JN163" s="265">
        <v>0</v>
      </c>
      <c r="JO163" s="265">
        <v>0</v>
      </c>
      <c r="JP163" s="265">
        <v>0</v>
      </c>
      <c r="JQ163" s="265">
        <v>0</v>
      </c>
      <c r="JR163" s="265">
        <v>0</v>
      </c>
      <c r="JS163" s="265">
        <v>0</v>
      </c>
      <c r="JT163" s="265">
        <v>0</v>
      </c>
      <c r="JU163" s="265">
        <v>0</v>
      </c>
      <c r="JV163" s="230">
        <f t="shared" si="657"/>
        <v>0</v>
      </c>
      <c r="JW163" s="266"/>
      <c r="JX163" s="263">
        <v>0</v>
      </c>
      <c r="JY163" s="264">
        <v>0</v>
      </c>
      <c r="JZ163" s="265">
        <v>0</v>
      </c>
      <c r="KA163" s="265">
        <v>0</v>
      </c>
      <c r="KB163" s="265">
        <v>0</v>
      </c>
      <c r="KC163" s="265">
        <v>0</v>
      </c>
      <c r="KD163" s="265">
        <v>0</v>
      </c>
      <c r="KE163" s="265">
        <v>0</v>
      </c>
      <c r="KF163" s="265">
        <v>0</v>
      </c>
      <c r="KG163" s="265">
        <v>0</v>
      </c>
      <c r="KH163" s="265">
        <v>0</v>
      </c>
      <c r="KI163" s="265">
        <v>0</v>
      </c>
      <c r="KJ163" s="230">
        <f t="shared" si="658"/>
        <v>0</v>
      </c>
      <c r="KK163" s="266"/>
      <c r="KL163" s="263">
        <v>0</v>
      </c>
      <c r="KM163" s="264">
        <v>0</v>
      </c>
      <c r="KN163" s="265">
        <v>0</v>
      </c>
      <c r="KO163" s="265">
        <v>0</v>
      </c>
      <c r="KP163" s="265">
        <v>0</v>
      </c>
      <c r="KQ163" s="265">
        <v>0</v>
      </c>
      <c r="KR163" s="265">
        <v>0</v>
      </c>
      <c r="KS163" s="265">
        <v>0</v>
      </c>
      <c r="KT163" s="265">
        <v>0</v>
      </c>
      <c r="KU163" s="265">
        <v>0</v>
      </c>
      <c r="KV163" s="265">
        <v>0</v>
      </c>
      <c r="KW163" s="265">
        <v>0</v>
      </c>
      <c r="KX163" s="230">
        <f t="shared" si="659"/>
        <v>0</v>
      </c>
      <c r="KY163" s="266"/>
      <c r="KZ163" s="263">
        <v>0</v>
      </c>
      <c r="LA163" s="264">
        <v>0</v>
      </c>
      <c r="LB163" s="265">
        <v>0</v>
      </c>
      <c r="LC163" s="265">
        <v>0</v>
      </c>
      <c r="LD163" s="265">
        <v>0</v>
      </c>
      <c r="LE163" s="265">
        <v>0</v>
      </c>
      <c r="LF163" s="265">
        <v>0</v>
      </c>
      <c r="LG163" s="265">
        <v>0</v>
      </c>
      <c r="LH163" s="265">
        <v>0</v>
      </c>
      <c r="LI163" s="265">
        <v>0</v>
      </c>
      <c r="LJ163" s="265">
        <v>0</v>
      </c>
      <c r="LK163" s="265">
        <v>0</v>
      </c>
      <c r="LL163" s="230">
        <f t="shared" si="660"/>
        <v>0</v>
      </c>
      <c r="LM163" s="266"/>
      <c r="LN163" s="263">
        <v>0</v>
      </c>
      <c r="LO163" s="264">
        <v>0</v>
      </c>
      <c r="LP163" s="265">
        <v>0</v>
      </c>
      <c r="LQ163" s="265">
        <v>0</v>
      </c>
      <c r="LR163" s="265">
        <v>0</v>
      </c>
      <c r="LS163" s="265">
        <v>0</v>
      </c>
      <c r="LT163" s="265">
        <v>0</v>
      </c>
      <c r="LU163" s="265">
        <v>0</v>
      </c>
      <c r="LV163" s="265">
        <v>0</v>
      </c>
      <c r="LW163" s="265">
        <v>0</v>
      </c>
      <c r="LX163" s="265">
        <v>0</v>
      </c>
      <c r="LY163" s="265">
        <v>0</v>
      </c>
      <c r="LZ163" s="230">
        <f t="shared" si="661"/>
        <v>0</v>
      </c>
      <c r="MA163" s="266"/>
      <c r="MB163" s="230">
        <f t="shared" si="662"/>
        <v>0</v>
      </c>
      <c r="MC163" s="230">
        <f t="shared" si="662"/>
        <v>0</v>
      </c>
      <c r="MD163" s="230">
        <f t="shared" si="662"/>
        <v>0</v>
      </c>
      <c r="ME163" s="230">
        <f t="shared" si="662"/>
        <v>0</v>
      </c>
      <c r="MF163" s="230">
        <f t="shared" si="662"/>
        <v>0</v>
      </c>
      <c r="MG163" s="230">
        <f t="shared" si="662"/>
        <v>0</v>
      </c>
      <c r="MH163" s="230">
        <f t="shared" si="662"/>
        <v>0</v>
      </c>
      <c r="MI163" s="230">
        <f t="shared" si="662"/>
        <v>0</v>
      </c>
      <c r="MJ163" s="230">
        <f t="shared" si="662"/>
        <v>0</v>
      </c>
      <c r="MK163" s="230">
        <f t="shared" si="662"/>
        <v>0</v>
      </c>
      <c r="ML163" s="230">
        <f t="shared" si="662"/>
        <v>0</v>
      </c>
      <c r="MM163" s="230">
        <f t="shared" si="662"/>
        <v>0</v>
      </c>
      <c r="MN163" s="230">
        <f t="shared" si="663"/>
        <v>0</v>
      </c>
    </row>
    <row r="164" spans="1:352" hidden="1" x14ac:dyDescent="0.25">
      <c r="A164" s="262"/>
      <c r="B164" s="64" t="s">
        <v>203</v>
      </c>
      <c r="D164" s="263">
        <v>0</v>
      </c>
      <c r="E164" s="273">
        <v>0</v>
      </c>
      <c r="F164" s="273">
        <v>0</v>
      </c>
      <c r="G164" s="273">
        <v>0</v>
      </c>
      <c r="H164" s="273">
        <v>0</v>
      </c>
      <c r="I164" s="273">
        <v>0</v>
      </c>
      <c r="J164" s="273">
        <v>0</v>
      </c>
      <c r="K164" s="273">
        <v>0</v>
      </c>
      <c r="L164" s="273">
        <v>0</v>
      </c>
      <c r="M164" s="273">
        <v>0</v>
      </c>
      <c r="N164" s="273">
        <v>0</v>
      </c>
      <c r="O164" s="273">
        <v>0</v>
      </c>
      <c r="P164" s="230">
        <f t="shared" si="639"/>
        <v>0</v>
      </c>
      <c r="Q164" s="266"/>
      <c r="R164" s="263">
        <v>0</v>
      </c>
      <c r="S164" s="273">
        <v>0</v>
      </c>
      <c r="T164" s="273">
        <v>0</v>
      </c>
      <c r="U164" s="273">
        <v>0</v>
      </c>
      <c r="V164" s="273">
        <v>0</v>
      </c>
      <c r="W164" s="273">
        <v>0</v>
      </c>
      <c r="X164" s="273">
        <v>0</v>
      </c>
      <c r="Y164" s="273">
        <v>0</v>
      </c>
      <c r="Z164" s="273">
        <v>0</v>
      </c>
      <c r="AA164" s="273">
        <v>0</v>
      </c>
      <c r="AB164" s="273">
        <v>0</v>
      </c>
      <c r="AC164" s="273">
        <v>0</v>
      </c>
      <c r="AD164" s="230">
        <f t="shared" si="640"/>
        <v>0</v>
      </c>
      <c r="AE164" s="266"/>
      <c r="AF164" s="263">
        <v>0</v>
      </c>
      <c r="AG164" s="273">
        <v>0</v>
      </c>
      <c r="AH164" s="273">
        <v>0</v>
      </c>
      <c r="AI164" s="273">
        <v>0</v>
      </c>
      <c r="AJ164" s="273">
        <v>0</v>
      </c>
      <c r="AK164" s="273">
        <v>0</v>
      </c>
      <c r="AL164" s="273">
        <v>0</v>
      </c>
      <c r="AM164" s="273">
        <v>0</v>
      </c>
      <c r="AN164" s="273">
        <v>0</v>
      </c>
      <c r="AO164" s="273">
        <v>0</v>
      </c>
      <c r="AP164" s="273">
        <v>0</v>
      </c>
      <c r="AQ164" s="273">
        <v>0</v>
      </c>
      <c r="AR164" s="230">
        <f t="shared" si="641"/>
        <v>0</v>
      </c>
      <c r="AS164" s="266"/>
      <c r="AT164" s="263">
        <v>0</v>
      </c>
      <c r="AU164" s="273">
        <v>0</v>
      </c>
      <c r="AV164" s="273">
        <v>0</v>
      </c>
      <c r="AW164" s="273">
        <v>0</v>
      </c>
      <c r="AX164" s="273">
        <v>0</v>
      </c>
      <c r="AY164" s="273">
        <v>0</v>
      </c>
      <c r="AZ164" s="273">
        <v>0</v>
      </c>
      <c r="BA164" s="273">
        <v>0</v>
      </c>
      <c r="BB164" s="265">
        <v>0</v>
      </c>
      <c r="BC164" s="265">
        <v>0</v>
      </c>
      <c r="BD164" s="265">
        <v>0</v>
      </c>
      <c r="BE164" s="265">
        <v>0</v>
      </c>
      <c r="BF164" s="230">
        <f t="shared" si="642"/>
        <v>0</v>
      </c>
      <c r="BG164" s="266"/>
      <c r="BH164" s="263">
        <v>0</v>
      </c>
      <c r="BI164" s="264">
        <v>0</v>
      </c>
      <c r="BJ164" s="265">
        <v>0</v>
      </c>
      <c r="BK164" s="265">
        <v>0</v>
      </c>
      <c r="BL164" s="265">
        <v>0</v>
      </c>
      <c r="BM164" s="265">
        <v>0</v>
      </c>
      <c r="BN164" s="265">
        <v>0</v>
      </c>
      <c r="BO164" s="265">
        <v>0</v>
      </c>
      <c r="BP164" s="265">
        <v>0</v>
      </c>
      <c r="BQ164" s="265">
        <v>0</v>
      </c>
      <c r="BR164" s="265">
        <v>0</v>
      </c>
      <c r="BS164" s="265">
        <v>0</v>
      </c>
      <c r="BT164" s="230">
        <f t="shared" si="643"/>
        <v>0</v>
      </c>
      <c r="BU164" s="266"/>
      <c r="BV164" s="263">
        <v>0</v>
      </c>
      <c r="BW164" s="264">
        <v>0</v>
      </c>
      <c r="BX164" s="265">
        <v>0</v>
      </c>
      <c r="BY164" s="265">
        <v>0</v>
      </c>
      <c r="BZ164" s="265">
        <v>0</v>
      </c>
      <c r="CA164" s="265">
        <v>0</v>
      </c>
      <c r="CB164" s="265">
        <v>0</v>
      </c>
      <c r="CC164" s="265">
        <v>0</v>
      </c>
      <c r="CD164" s="265">
        <v>0</v>
      </c>
      <c r="CE164" s="265">
        <v>0</v>
      </c>
      <c r="CF164" s="265">
        <v>0</v>
      </c>
      <c r="CG164" s="265">
        <v>0</v>
      </c>
      <c r="CH164" s="230">
        <f t="shared" si="666"/>
        <v>0</v>
      </c>
      <c r="CI164" s="266"/>
      <c r="CJ164" s="263">
        <v>0</v>
      </c>
      <c r="CK164" s="264">
        <v>0</v>
      </c>
      <c r="CL164" s="265">
        <v>0</v>
      </c>
      <c r="CM164" s="265">
        <v>0</v>
      </c>
      <c r="CN164" s="265">
        <v>0</v>
      </c>
      <c r="CO164" s="265">
        <v>0</v>
      </c>
      <c r="CP164" s="265">
        <v>0</v>
      </c>
      <c r="CQ164" s="265">
        <v>0</v>
      </c>
      <c r="CR164" s="265">
        <v>0</v>
      </c>
      <c r="CS164" s="265">
        <v>0</v>
      </c>
      <c r="CT164" s="265">
        <v>0</v>
      </c>
      <c r="CU164" s="265">
        <v>0</v>
      </c>
      <c r="CV164" s="230">
        <f t="shared" si="668"/>
        <v>0</v>
      </c>
      <c r="CW164" s="266"/>
      <c r="CX164" s="263">
        <v>0</v>
      </c>
      <c r="CY164" s="264">
        <v>0</v>
      </c>
      <c r="CZ164" s="265">
        <v>0</v>
      </c>
      <c r="DA164" s="265">
        <v>0</v>
      </c>
      <c r="DB164" s="265">
        <v>0</v>
      </c>
      <c r="DC164" s="265">
        <v>0</v>
      </c>
      <c r="DD164" s="265">
        <v>0</v>
      </c>
      <c r="DE164" s="265">
        <v>0</v>
      </c>
      <c r="DF164" s="265">
        <v>0</v>
      </c>
      <c r="DG164" s="265">
        <v>0</v>
      </c>
      <c r="DH164" s="265">
        <v>0</v>
      </c>
      <c r="DI164" s="265">
        <v>0</v>
      </c>
      <c r="DJ164" s="230">
        <f t="shared" si="665"/>
        <v>0</v>
      </c>
      <c r="DK164" s="266"/>
      <c r="DL164" s="263">
        <v>0</v>
      </c>
      <c r="DM164" s="264">
        <v>0</v>
      </c>
      <c r="DN164" s="265">
        <v>0</v>
      </c>
      <c r="DO164" s="265">
        <v>0</v>
      </c>
      <c r="DP164" s="265">
        <v>0</v>
      </c>
      <c r="DQ164" s="265">
        <v>0</v>
      </c>
      <c r="DR164" s="265">
        <v>0</v>
      </c>
      <c r="DS164" s="265">
        <v>0</v>
      </c>
      <c r="DT164" s="265">
        <v>0</v>
      </c>
      <c r="DU164" s="265">
        <v>0</v>
      </c>
      <c r="DV164" s="265">
        <v>0</v>
      </c>
      <c r="DW164" s="265">
        <v>0</v>
      </c>
      <c r="DX164" s="230">
        <f t="shared" si="664"/>
        <v>0</v>
      </c>
      <c r="DY164" s="266"/>
      <c r="DZ164" s="263">
        <v>0</v>
      </c>
      <c r="EA164" s="264">
        <v>0</v>
      </c>
      <c r="EB164" s="265">
        <v>0</v>
      </c>
      <c r="EC164" s="265">
        <v>0</v>
      </c>
      <c r="ED164" s="265">
        <v>0</v>
      </c>
      <c r="EE164" s="265">
        <v>0</v>
      </c>
      <c r="EF164" s="265">
        <v>0</v>
      </c>
      <c r="EG164" s="265">
        <v>0</v>
      </c>
      <c r="EH164" s="265">
        <v>0</v>
      </c>
      <c r="EI164" s="265">
        <v>0</v>
      </c>
      <c r="EJ164" s="265">
        <v>0</v>
      </c>
      <c r="EK164" s="265">
        <v>0</v>
      </c>
      <c r="EL164" s="230">
        <f t="shared" si="669"/>
        <v>0</v>
      </c>
      <c r="EM164" s="266"/>
      <c r="EN164" s="263">
        <v>0</v>
      </c>
      <c r="EO164" s="264">
        <v>0</v>
      </c>
      <c r="EP164" s="265">
        <v>0</v>
      </c>
      <c r="EQ164" s="265">
        <v>0</v>
      </c>
      <c r="ER164" s="265">
        <v>0</v>
      </c>
      <c r="ES164" s="265">
        <v>0</v>
      </c>
      <c r="ET164" s="265">
        <v>0</v>
      </c>
      <c r="EU164" s="265">
        <v>0</v>
      </c>
      <c r="EV164" s="265">
        <v>0</v>
      </c>
      <c r="EW164" s="265">
        <v>0</v>
      </c>
      <c r="EX164" s="265">
        <v>0</v>
      </c>
      <c r="EY164" s="265">
        <v>0</v>
      </c>
      <c r="EZ164" s="230">
        <f t="shared" ref="EZ164:EZ166" si="672">+SUBTOTAL(9,EN164:EY164)</f>
        <v>0</v>
      </c>
      <c r="FA164" s="266"/>
      <c r="FB164" s="263">
        <v>0</v>
      </c>
      <c r="FC164" s="264">
        <v>0</v>
      </c>
      <c r="FD164" s="265">
        <v>0</v>
      </c>
      <c r="FE164" s="265">
        <v>0</v>
      </c>
      <c r="FF164" s="265">
        <v>0</v>
      </c>
      <c r="FG164" s="265">
        <v>0</v>
      </c>
      <c r="FH164" s="265">
        <v>0</v>
      </c>
      <c r="FI164" s="265">
        <v>0</v>
      </c>
      <c r="FJ164" s="265">
        <v>0</v>
      </c>
      <c r="FK164" s="265">
        <v>0</v>
      </c>
      <c r="FL164" s="265">
        <v>0</v>
      </c>
      <c r="FM164" s="265">
        <v>0</v>
      </c>
      <c r="FN164" s="230">
        <f t="shared" si="670"/>
        <v>0</v>
      </c>
      <c r="FO164" s="266"/>
      <c r="FP164" s="263">
        <v>0</v>
      </c>
      <c r="FQ164" s="264">
        <v>0</v>
      </c>
      <c r="FR164" s="265">
        <v>0</v>
      </c>
      <c r="FS164" s="265">
        <v>0</v>
      </c>
      <c r="FT164" s="265">
        <v>0</v>
      </c>
      <c r="FU164" s="265">
        <v>0</v>
      </c>
      <c r="FV164" s="265">
        <v>0</v>
      </c>
      <c r="FW164" s="265">
        <v>0</v>
      </c>
      <c r="FX164" s="265">
        <v>0</v>
      </c>
      <c r="FY164" s="265">
        <v>0</v>
      </c>
      <c r="FZ164" s="265">
        <v>0</v>
      </c>
      <c r="GA164" s="265">
        <v>0</v>
      </c>
      <c r="GB164" s="230">
        <f t="shared" si="671"/>
        <v>0</v>
      </c>
      <c r="GC164" s="266"/>
      <c r="GD164" s="263">
        <v>0</v>
      </c>
      <c r="GE164" s="264">
        <v>0</v>
      </c>
      <c r="GF164" s="265">
        <v>0</v>
      </c>
      <c r="GG164" s="265">
        <v>0</v>
      </c>
      <c r="GH164" s="265">
        <v>0</v>
      </c>
      <c r="GI164" s="265">
        <v>0</v>
      </c>
      <c r="GJ164" s="265">
        <v>0</v>
      </c>
      <c r="GK164" s="265">
        <v>0</v>
      </c>
      <c r="GL164" s="265">
        <v>0</v>
      </c>
      <c r="GM164" s="265">
        <v>0</v>
      </c>
      <c r="GN164" s="265">
        <v>0</v>
      </c>
      <c r="GO164" s="265">
        <v>0</v>
      </c>
      <c r="GP164" s="230">
        <f t="shared" si="651"/>
        <v>0</v>
      </c>
      <c r="GQ164" s="266"/>
      <c r="GR164" s="263">
        <v>0</v>
      </c>
      <c r="GS164" s="264">
        <v>0</v>
      </c>
      <c r="GT164" s="265">
        <v>0</v>
      </c>
      <c r="GU164" s="265">
        <v>0</v>
      </c>
      <c r="GV164" s="265">
        <v>0</v>
      </c>
      <c r="GW164" s="265">
        <v>0</v>
      </c>
      <c r="GX164" s="265">
        <v>0</v>
      </c>
      <c r="GY164" s="265">
        <v>0</v>
      </c>
      <c r="GZ164" s="265">
        <v>0</v>
      </c>
      <c r="HA164" s="265">
        <v>0</v>
      </c>
      <c r="HB164" s="265">
        <v>0</v>
      </c>
      <c r="HC164" s="265">
        <v>0</v>
      </c>
      <c r="HD164" s="230">
        <f t="shared" si="652"/>
        <v>0</v>
      </c>
      <c r="HE164" s="266"/>
      <c r="HF164" s="263">
        <v>0</v>
      </c>
      <c r="HG164" s="264">
        <v>0</v>
      </c>
      <c r="HH164" s="265">
        <v>0</v>
      </c>
      <c r="HI164" s="265">
        <v>0</v>
      </c>
      <c r="HJ164" s="265">
        <v>0</v>
      </c>
      <c r="HK164" s="265">
        <v>0</v>
      </c>
      <c r="HL164" s="265">
        <v>0</v>
      </c>
      <c r="HM164" s="265">
        <v>0</v>
      </c>
      <c r="HN164" s="265">
        <v>0</v>
      </c>
      <c r="HO164" s="265">
        <v>0</v>
      </c>
      <c r="HP164" s="265">
        <v>0</v>
      </c>
      <c r="HQ164" s="265">
        <v>0</v>
      </c>
      <c r="HR164" s="230">
        <f t="shared" si="667"/>
        <v>0</v>
      </c>
      <c r="HS164" s="266"/>
      <c r="HT164" s="263">
        <v>0</v>
      </c>
      <c r="HU164" s="264">
        <v>0</v>
      </c>
      <c r="HV164" s="265">
        <v>0</v>
      </c>
      <c r="HW164" s="265">
        <v>0</v>
      </c>
      <c r="HX164" s="265">
        <v>0</v>
      </c>
      <c r="HY164" s="265">
        <v>0</v>
      </c>
      <c r="HZ164" s="265">
        <v>0</v>
      </c>
      <c r="IA164" s="265">
        <v>0</v>
      </c>
      <c r="IB164" s="265">
        <v>0</v>
      </c>
      <c r="IC164" s="265">
        <v>0</v>
      </c>
      <c r="ID164" s="265">
        <v>0</v>
      </c>
      <c r="IE164" s="265">
        <v>0</v>
      </c>
      <c r="IF164" s="230">
        <f t="shared" si="654"/>
        <v>0</v>
      </c>
      <c r="IG164" s="266"/>
      <c r="IH164" s="263">
        <v>0</v>
      </c>
      <c r="II164" s="264">
        <v>0</v>
      </c>
      <c r="IJ164" s="265">
        <v>0</v>
      </c>
      <c r="IK164" s="265">
        <v>0</v>
      </c>
      <c r="IL164" s="265">
        <v>0</v>
      </c>
      <c r="IM164" s="265">
        <v>0</v>
      </c>
      <c r="IN164" s="265">
        <v>0</v>
      </c>
      <c r="IO164" s="265">
        <v>0</v>
      </c>
      <c r="IP164" s="265">
        <v>0</v>
      </c>
      <c r="IQ164" s="265">
        <v>0</v>
      </c>
      <c r="IR164" s="265">
        <v>0</v>
      </c>
      <c r="IS164" s="265">
        <v>0</v>
      </c>
      <c r="IT164" s="230">
        <f t="shared" si="655"/>
        <v>0</v>
      </c>
      <c r="IU164" s="266"/>
      <c r="IV164" s="263">
        <v>0</v>
      </c>
      <c r="IW164" s="264">
        <v>0</v>
      </c>
      <c r="IX164" s="265">
        <v>0</v>
      </c>
      <c r="IY164" s="265">
        <v>0</v>
      </c>
      <c r="IZ164" s="265">
        <v>0</v>
      </c>
      <c r="JA164" s="265">
        <v>0</v>
      </c>
      <c r="JB164" s="265">
        <v>0</v>
      </c>
      <c r="JC164" s="265">
        <v>0</v>
      </c>
      <c r="JD164" s="265">
        <v>0</v>
      </c>
      <c r="JE164" s="265">
        <v>0</v>
      </c>
      <c r="JF164" s="265">
        <v>0</v>
      </c>
      <c r="JG164" s="265">
        <v>0</v>
      </c>
      <c r="JH164" s="230">
        <f t="shared" si="656"/>
        <v>0</v>
      </c>
      <c r="JI164" s="266"/>
      <c r="JJ164" s="263">
        <v>0</v>
      </c>
      <c r="JK164" s="264">
        <v>0</v>
      </c>
      <c r="JL164" s="265">
        <v>0</v>
      </c>
      <c r="JM164" s="265">
        <v>0</v>
      </c>
      <c r="JN164" s="265">
        <v>0</v>
      </c>
      <c r="JO164" s="265">
        <v>0</v>
      </c>
      <c r="JP164" s="265">
        <v>0</v>
      </c>
      <c r="JQ164" s="265">
        <v>0</v>
      </c>
      <c r="JR164" s="265">
        <v>0</v>
      </c>
      <c r="JS164" s="265">
        <v>0</v>
      </c>
      <c r="JT164" s="265">
        <v>0</v>
      </c>
      <c r="JU164" s="265">
        <v>0</v>
      </c>
      <c r="JV164" s="230">
        <f t="shared" si="657"/>
        <v>0</v>
      </c>
      <c r="JW164" s="266"/>
      <c r="JX164" s="263">
        <v>0</v>
      </c>
      <c r="JY164" s="264">
        <v>0</v>
      </c>
      <c r="JZ164" s="265">
        <v>0</v>
      </c>
      <c r="KA164" s="265">
        <v>0</v>
      </c>
      <c r="KB164" s="265">
        <v>0</v>
      </c>
      <c r="KC164" s="265">
        <v>0</v>
      </c>
      <c r="KD164" s="265">
        <v>0</v>
      </c>
      <c r="KE164" s="265">
        <v>0</v>
      </c>
      <c r="KF164" s="265">
        <v>0</v>
      </c>
      <c r="KG164" s="265">
        <v>0</v>
      </c>
      <c r="KH164" s="265">
        <v>0</v>
      </c>
      <c r="KI164" s="265">
        <v>0</v>
      </c>
      <c r="KJ164" s="230">
        <f t="shared" si="658"/>
        <v>0</v>
      </c>
      <c r="KK164" s="266"/>
      <c r="KL164" s="263">
        <v>0</v>
      </c>
      <c r="KM164" s="264">
        <v>0</v>
      </c>
      <c r="KN164" s="265">
        <v>0</v>
      </c>
      <c r="KO164" s="265">
        <v>0</v>
      </c>
      <c r="KP164" s="265">
        <v>0</v>
      </c>
      <c r="KQ164" s="265">
        <v>0</v>
      </c>
      <c r="KR164" s="265">
        <v>0</v>
      </c>
      <c r="KS164" s="265">
        <v>0</v>
      </c>
      <c r="KT164" s="265">
        <v>0</v>
      </c>
      <c r="KU164" s="265">
        <v>0</v>
      </c>
      <c r="KV164" s="265">
        <v>0</v>
      </c>
      <c r="KW164" s="265">
        <v>0</v>
      </c>
      <c r="KX164" s="230">
        <f t="shared" si="659"/>
        <v>0</v>
      </c>
      <c r="KY164" s="266"/>
      <c r="KZ164" s="263">
        <v>0</v>
      </c>
      <c r="LA164" s="264">
        <v>0</v>
      </c>
      <c r="LB164" s="265">
        <v>0</v>
      </c>
      <c r="LC164" s="265">
        <v>0</v>
      </c>
      <c r="LD164" s="265">
        <v>0</v>
      </c>
      <c r="LE164" s="265">
        <v>0</v>
      </c>
      <c r="LF164" s="265">
        <v>0</v>
      </c>
      <c r="LG164" s="265">
        <v>0</v>
      </c>
      <c r="LH164" s="265">
        <v>0</v>
      </c>
      <c r="LI164" s="265">
        <v>0</v>
      </c>
      <c r="LJ164" s="265">
        <v>0</v>
      </c>
      <c r="LK164" s="265">
        <v>0</v>
      </c>
      <c r="LL164" s="230">
        <f t="shared" si="660"/>
        <v>0</v>
      </c>
      <c r="LM164" s="266"/>
      <c r="LN164" s="263">
        <v>0</v>
      </c>
      <c r="LO164" s="264">
        <v>0</v>
      </c>
      <c r="LP164" s="265">
        <v>0</v>
      </c>
      <c r="LQ164" s="265">
        <v>0</v>
      </c>
      <c r="LR164" s="265">
        <v>0</v>
      </c>
      <c r="LS164" s="265">
        <v>0</v>
      </c>
      <c r="LT164" s="265">
        <v>0</v>
      </c>
      <c r="LU164" s="265">
        <v>0</v>
      </c>
      <c r="LV164" s="265">
        <v>0</v>
      </c>
      <c r="LW164" s="265">
        <v>0</v>
      </c>
      <c r="LX164" s="265">
        <v>0</v>
      </c>
      <c r="LY164" s="265">
        <v>0</v>
      </c>
      <c r="LZ164" s="230">
        <f t="shared" si="661"/>
        <v>0</v>
      </c>
      <c r="MA164" s="266"/>
      <c r="MB164" s="230">
        <f t="shared" si="662"/>
        <v>0</v>
      </c>
      <c r="MC164" s="230">
        <f t="shared" si="662"/>
        <v>0</v>
      </c>
      <c r="MD164" s="230">
        <f t="shared" si="662"/>
        <v>0</v>
      </c>
      <c r="ME164" s="230">
        <f t="shared" si="662"/>
        <v>0</v>
      </c>
      <c r="MF164" s="230">
        <f t="shared" si="662"/>
        <v>0</v>
      </c>
      <c r="MG164" s="230">
        <f t="shared" si="662"/>
        <v>0</v>
      </c>
      <c r="MH164" s="230">
        <f t="shared" si="662"/>
        <v>0</v>
      </c>
      <c r="MI164" s="230">
        <f t="shared" si="662"/>
        <v>0</v>
      </c>
      <c r="MJ164" s="230">
        <f t="shared" si="662"/>
        <v>0</v>
      </c>
      <c r="MK164" s="230">
        <f t="shared" si="662"/>
        <v>0</v>
      </c>
      <c r="ML164" s="230">
        <f t="shared" si="662"/>
        <v>0</v>
      </c>
      <c r="MM164" s="230">
        <f t="shared" si="662"/>
        <v>0</v>
      </c>
      <c r="MN164" s="230">
        <f t="shared" si="663"/>
        <v>0</v>
      </c>
    </row>
    <row r="165" spans="1:352" hidden="1" x14ac:dyDescent="0.25">
      <c r="A165" s="262"/>
      <c r="B165" s="183"/>
      <c r="C165" s="98"/>
      <c r="D165" s="275"/>
      <c r="E165" s="276"/>
      <c r="F165" s="276"/>
      <c r="G165" s="276"/>
      <c r="H165" s="276"/>
      <c r="I165" s="276"/>
      <c r="J165" s="276"/>
      <c r="K165" s="276"/>
      <c r="L165" s="276"/>
      <c r="M165" s="276"/>
      <c r="N165" s="276"/>
      <c r="O165" s="276"/>
      <c r="P165" s="230">
        <f t="shared" si="639"/>
        <v>0</v>
      </c>
      <c r="Q165" s="266"/>
      <c r="R165" s="275"/>
      <c r="S165" s="276"/>
      <c r="T165" s="276"/>
      <c r="U165" s="276"/>
      <c r="V165" s="276"/>
      <c r="W165" s="276"/>
      <c r="X165" s="276"/>
      <c r="Y165" s="276"/>
      <c r="Z165" s="276"/>
      <c r="AA165" s="276"/>
      <c r="AB165" s="276"/>
      <c r="AC165" s="276"/>
      <c r="AD165" s="230">
        <f t="shared" si="640"/>
        <v>0</v>
      </c>
      <c r="AE165" s="266"/>
      <c r="AF165" s="275"/>
      <c r="AG165" s="276"/>
      <c r="AH165" s="276"/>
      <c r="AI165" s="276"/>
      <c r="AJ165" s="276"/>
      <c r="AK165" s="276"/>
      <c r="AL165" s="276"/>
      <c r="AM165" s="276"/>
      <c r="AN165" s="276"/>
      <c r="AO165" s="276"/>
      <c r="AP165" s="276"/>
      <c r="AQ165" s="276"/>
      <c r="AR165" s="230">
        <f t="shared" si="641"/>
        <v>0</v>
      </c>
      <c r="AS165" s="266"/>
      <c r="AT165" s="275"/>
      <c r="AU165" s="276"/>
      <c r="AV165" s="276"/>
      <c r="AW165" s="276"/>
      <c r="AX165" s="276"/>
      <c r="AY165" s="276"/>
      <c r="AZ165" s="276"/>
      <c r="BA165" s="276"/>
      <c r="BB165" s="276"/>
      <c r="BC165" s="276"/>
      <c r="BD165" s="276"/>
      <c r="BE165" s="276"/>
      <c r="BF165" s="230">
        <f t="shared" si="642"/>
        <v>0</v>
      </c>
      <c r="BG165" s="266"/>
      <c r="BH165" s="275"/>
      <c r="BI165" s="276"/>
      <c r="BJ165" s="276"/>
      <c r="BK165" s="276"/>
      <c r="BL165" s="276"/>
      <c r="BM165" s="276"/>
      <c r="BN165" s="276"/>
      <c r="BO165" s="276"/>
      <c r="BP165" s="276"/>
      <c r="BQ165" s="276"/>
      <c r="BR165" s="276"/>
      <c r="BS165" s="276"/>
      <c r="BT165" s="230">
        <f t="shared" si="643"/>
        <v>0</v>
      </c>
      <c r="BU165" s="266"/>
      <c r="BV165" s="275"/>
      <c r="BW165" s="276"/>
      <c r="BX165" s="276"/>
      <c r="BY165" s="276"/>
      <c r="BZ165" s="276"/>
      <c r="CA165" s="276"/>
      <c r="CB165" s="276"/>
      <c r="CC165" s="276"/>
      <c r="CD165" s="276"/>
      <c r="CE165" s="276"/>
      <c r="CF165" s="276"/>
      <c r="CG165" s="276"/>
      <c r="CH165" s="230">
        <f t="shared" si="666"/>
        <v>0</v>
      </c>
      <c r="CI165" s="266"/>
      <c r="CJ165" s="275"/>
      <c r="CK165" s="276"/>
      <c r="CL165" s="276"/>
      <c r="CM165" s="276"/>
      <c r="CN165" s="276"/>
      <c r="CO165" s="276"/>
      <c r="CP165" s="276"/>
      <c r="CQ165" s="276"/>
      <c r="CR165" s="276"/>
      <c r="CS165" s="276"/>
      <c r="CT165" s="276"/>
      <c r="CU165" s="276"/>
      <c r="CV165" s="230">
        <f t="shared" si="668"/>
        <v>0</v>
      </c>
      <c r="CW165" s="266"/>
      <c r="CX165" s="275"/>
      <c r="CY165" s="276"/>
      <c r="CZ165" s="276"/>
      <c r="DA165" s="276"/>
      <c r="DB165" s="276"/>
      <c r="DC165" s="276"/>
      <c r="DD165" s="276"/>
      <c r="DE165" s="276"/>
      <c r="DF165" s="276"/>
      <c r="DG165" s="276"/>
      <c r="DH165" s="276"/>
      <c r="DI165" s="276"/>
      <c r="DJ165" s="230">
        <f t="shared" si="665"/>
        <v>0</v>
      </c>
      <c r="DK165" s="266"/>
      <c r="DL165" s="275"/>
      <c r="DM165" s="276"/>
      <c r="DN165" s="276"/>
      <c r="DO165" s="276"/>
      <c r="DP165" s="276"/>
      <c r="DQ165" s="276"/>
      <c r="DR165" s="276"/>
      <c r="DS165" s="276"/>
      <c r="DT165" s="276"/>
      <c r="DU165" s="276"/>
      <c r="DV165" s="276"/>
      <c r="DW165" s="276"/>
      <c r="DX165" s="230">
        <f t="shared" si="664"/>
        <v>0</v>
      </c>
      <c r="DY165" s="266"/>
      <c r="DZ165" s="275"/>
      <c r="EA165" s="276"/>
      <c r="EB165" s="276"/>
      <c r="EC165" s="276"/>
      <c r="ED165" s="276"/>
      <c r="EE165" s="276"/>
      <c r="EF165" s="276"/>
      <c r="EG165" s="276"/>
      <c r="EH165" s="276"/>
      <c r="EI165" s="276"/>
      <c r="EJ165" s="276"/>
      <c r="EK165" s="276"/>
      <c r="EL165" s="230">
        <f t="shared" si="669"/>
        <v>0</v>
      </c>
      <c r="EM165" s="266"/>
      <c r="EN165" s="275"/>
      <c r="EO165" s="276"/>
      <c r="EP165" s="276"/>
      <c r="EQ165" s="276"/>
      <c r="ER165" s="276"/>
      <c r="ES165" s="276"/>
      <c r="ET165" s="276"/>
      <c r="EU165" s="276"/>
      <c r="EV165" s="276"/>
      <c r="EW165" s="276"/>
      <c r="EX165" s="276"/>
      <c r="EY165" s="276"/>
      <c r="EZ165" s="230">
        <f t="shared" si="672"/>
        <v>0</v>
      </c>
      <c r="FA165" s="266"/>
      <c r="FB165" s="275"/>
      <c r="FC165" s="276"/>
      <c r="FD165" s="276"/>
      <c r="FE165" s="276"/>
      <c r="FF165" s="276"/>
      <c r="FG165" s="276"/>
      <c r="FH165" s="276"/>
      <c r="FI165" s="276"/>
      <c r="FJ165" s="276"/>
      <c r="FK165" s="276"/>
      <c r="FL165" s="276"/>
      <c r="FM165" s="276"/>
      <c r="FN165" s="230">
        <f t="shared" si="670"/>
        <v>0</v>
      </c>
      <c r="FO165" s="266"/>
      <c r="FP165" s="275"/>
      <c r="FQ165" s="276"/>
      <c r="FR165" s="276"/>
      <c r="FS165" s="276"/>
      <c r="FT165" s="276"/>
      <c r="FU165" s="276"/>
      <c r="FV165" s="276"/>
      <c r="FW165" s="276"/>
      <c r="FX165" s="276"/>
      <c r="FY165" s="276"/>
      <c r="FZ165" s="276"/>
      <c r="GA165" s="276"/>
      <c r="GB165" s="230">
        <f t="shared" si="671"/>
        <v>0</v>
      </c>
      <c r="GC165" s="266"/>
      <c r="GD165" s="275"/>
      <c r="GE165" s="276"/>
      <c r="GF165" s="276"/>
      <c r="GG165" s="276"/>
      <c r="GH165" s="276"/>
      <c r="GI165" s="276"/>
      <c r="GJ165" s="276"/>
      <c r="GK165" s="276"/>
      <c r="GL165" s="276"/>
      <c r="GM165" s="276"/>
      <c r="GN165" s="276"/>
      <c r="GO165" s="276"/>
      <c r="GP165" s="230">
        <f t="shared" si="651"/>
        <v>0</v>
      </c>
      <c r="GQ165" s="266"/>
      <c r="GR165" s="275"/>
      <c r="GS165" s="276"/>
      <c r="GT165" s="276"/>
      <c r="GU165" s="276"/>
      <c r="GV165" s="276"/>
      <c r="GW165" s="276"/>
      <c r="GX165" s="276"/>
      <c r="GY165" s="276"/>
      <c r="GZ165" s="276"/>
      <c r="HA165" s="276"/>
      <c r="HB165" s="276"/>
      <c r="HC165" s="276"/>
      <c r="HD165" s="230">
        <f t="shared" si="652"/>
        <v>0</v>
      </c>
      <c r="HE165" s="266"/>
      <c r="HF165" s="275"/>
      <c r="HG165" s="276"/>
      <c r="HH165" s="276"/>
      <c r="HI165" s="276"/>
      <c r="HJ165" s="276"/>
      <c r="HK165" s="276"/>
      <c r="HL165" s="276"/>
      <c r="HM165" s="276"/>
      <c r="HN165" s="276"/>
      <c r="HO165" s="276"/>
      <c r="HP165" s="276"/>
      <c r="HQ165" s="276"/>
      <c r="HR165" s="230">
        <f t="shared" si="667"/>
        <v>0</v>
      </c>
      <c r="HS165" s="266"/>
      <c r="HT165" s="275"/>
      <c r="HU165" s="276"/>
      <c r="HV165" s="276"/>
      <c r="HW165" s="276"/>
      <c r="HX165" s="276"/>
      <c r="HY165" s="276"/>
      <c r="HZ165" s="276"/>
      <c r="IA165" s="276"/>
      <c r="IB165" s="276"/>
      <c r="IC165" s="276"/>
      <c r="ID165" s="276"/>
      <c r="IE165" s="276"/>
      <c r="IF165" s="230">
        <f t="shared" si="654"/>
        <v>0</v>
      </c>
      <c r="IG165" s="266"/>
      <c r="IH165" s="275"/>
      <c r="II165" s="276"/>
      <c r="IJ165" s="276"/>
      <c r="IK165" s="276"/>
      <c r="IL165" s="276"/>
      <c r="IM165" s="276"/>
      <c r="IN165" s="276"/>
      <c r="IO165" s="276"/>
      <c r="IP165" s="276"/>
      <c r="IQ165" s="276"/>
      <c r="IR165" s="276"/>
      <c r="IS165" s="276"/>
      <c r="IT165" s="230">
        <f t="shared" si="655"/>
        <v>0</v>
      </c>
      <c r="IU165" s="266"/>
      <c r="IV165" s="275"/>
      <c r="IW165" s="276"/>
      <c r="IX165" s="276"/>
      <c r="IY165" s="276"/>
      <c r="IZ165" s="276"/>
      <c r="JA165" s="276"/>
      <c r="JB165" s="276"/>
      <c r="JC165" s="276"/>
      <c r="JD165" s="276"/>
      <c r="JE165" s="276"/>
      <c r="JF165" s="276"/>
      <c r="JG165" s="276"/>
      <c r="JH165" s="230">
        <f t="shared" si="656"/>
        <v>0</v>
      </c>
      <c r="JI165" s="266"/>
      <c r="JJ165" s="275"/>
      <c r="JK165" s="276"/>
      <c r="JL165" s="276"/>
      <c r="JM165" s="276"/>
      <c r="JN165" s="276"/>
      <c r="JO165" s="276"/>
      <c r="JP165" s="276"/>
      <c r="JQ165" s="276"/>
      <c r="JR165" s="276"/>
      <c r="JS165" s="276"/>
      <c r="JT165" s="276"/>
      <c r="JU165" s="276"/>
      <c r="JV165" s="230">
        <f t="shared" si="657"/>
        <v>0</v>
      </c>
      <c r="JW165" s="266"/>
      <c r="JX165" s="275"/>
      <c r="JY165" s="276"/>
      <c r="JZ165" s="276"/>
      <c r="KA165" s="276"/>
      <c r="KB165" s="276"/>
      <c r="KC165" s="276"/>
      <c r="KD165" s="276"/>
      <c r="KE165" s="276"/>
      <c r="KF165" s="276"/>
      <c r="KG165" s="276"/>
      <c r="KH165" s="276"/>
      <c r="KI165" s="276"/>
      <c r="KJ165" s="230">
        <f t="shared" si="658"/>
        <v>0</v>
      </c>
      <c r="KK165" s="266"/>
      <c r="KL165" s="275"/>
      <c r="KM165" s="276"/>
      <c r="KN165" s="276"/>
      <c r="KO165" s="276"/>
      <c r="KP165" s="276"/>
      <c r="KQ165" s="276"/>
      <c r="KR165" s="276"/>
      <c r="KS165" s="276"/>
      <c r="KT165" s="276"/>
      <c r="KU165" s="276"/>
      <c r="KV165" s="276"/>
      <c r="KW165" s="276"/>
      <c r="KX165" s="230">
        <f t="shared" si="659"/>
        <v>0</v>
      </c>
      <c r="KY165" s="266"/>
      <c r="KZ165" s="275"/>
      <c r="LA165" s="276"/>
      <c r="LB165" s="276"/>
      <c r="LC165" s="276"/>
      <c r="LD165" s="276"/>
      <c r="LE165" s="276"/>
      <c r="LF165" s="276"/>
      <c r="LG165" s="276"/>
      <c r="LH165" s="276"/>
      <c r="LI165" s="276"/>
      <c r="LJ165" s="276"/>
      <c r="LK165" s="276"/>
      <c r="LL165" s="230">
        <f t="shared" si="660"/>
        <v>0</v>
      </c>
      <c r="LM165" s="266"/>
      <c r="LN165" s="275"/>
      <c r="LO165" s="276"/>
      <c r="LP165" s="276"/>
      <c r="LQ165" s="276"/>
      <c r="LR165" s="276"/>
      <c r="LS165" s="276"/>
      <c r="LT165" s="276"/>
      <c r="LU165" s="276"/>
      <c r="LV165" s="276"/>
      <c r="LW165" s="276"/>
      <c r="LX165" s="276"/>
      <c r="LY165" s="276"/>
      <c r="LZ165" s="230">
        <f t="shared" si="661"/>
        <v>0</v>
      </c>
      <c r="MA165" s="266"/>
      <c r="MB165" s="230"/>
      <c r="MC165" s="230"/>
      <c r="MD165" s="230"/>
      <c r="ME165" s="230"/>
      <c r="MF165" s="230"/>
      <c r="MG165" s="230"/>
      <c r="MH165" s="230"/>
      <c r="MI165" s="230"/>
      <c r="MJ165" s="230"/>
      <c r="MK165" s="230"/>
      <c r="ML165" s="230"/>
      <c r="MM165" s="230"/>
      <c r="MN165" s="230"/>
    </row>
    <row r="166" spans="1:352" hidden="1" x14ac:dyDescent="0.3">
      <c r="A166" s="262"/>
      <c r="B166" s="187" t="s">
        <v>204</v>
      </c>
      <c r="C166" s="188"/>
      <c r="D166" s="277">
        <f>SUM(D158:D165)</f>
        <v>0</v>
      </c>
      <c r="E166" s="278">
        <f t="shared" ref="E166:O166" si="673">SUM(E158:E165)</f>
        <v>0</v>
      </c>
      <c r="F166" s="278">
        <f t="shared" si="673"/>
        <v>0</v>
      </c>
      <c r="G166" s="278">
        <f t="shared" si="673"/>
        <v>0</v>
      </c>
      <c r="H166" s="278">
        <f t="shared" si="673"/>
        <v>0</v>
      </c>
      <c r="I166" s="278">
        <f t="shared" si="673"/>
        <v>0</v>
      </c>
      <c r="J166" s="278">
        <f t="shared" si="673"/>
        <v>0</v>
      </c>
      <c r="K166" s="278">
        <f t="shared" si="673"/>
        <v>0</v>
      </c>
      <c r="L166" s="278">
        <f t="shared" si="673"/>
        <v>0</v>
      </c>
      <c r="M166" s="278">
        <f t="shared" si="673"/>
        <v>0</v>
      </c>
      <c r="N166" s="278">
        <f t="shared" si="673"/>
        <v>0</v>
      </c>
      <c r="O166" s="278">
        <f t="shared" si="673"/>
        <v>0</v>
      </c>
      <c r="P166" s="271">
        <f t="shared" si="639"/>
        <v>0</v>
      </c>
      <c r="Q166" s="266"/>
      <c r="R166" s="277">
        <f>SUM(R158:R165)</f>
        <v>0</v>
      </c>
      <c r="S166" s="278">
        <f t="shared" ref="S166:AC166" si="674">SUM(S158:S165)</f>
        <v>0</v>
      </c>
      <c r="T166" s="278">
        <f t="shared" si="674"/>
        <v>0</v>
      </c>
      <c r="U166" s="278">
        <f t="shared" si="674"/>
        <v>0</v>
      </c>
      <c r="V166" s="278">
        <f t="shared" si="674"/>
        <v>0</v>
      </c>
      <c r="W166" s="278">
        <f t="shared" si="674"/>
        <v>0</v>
      </c>
      <c r="X166" s="278">
        <f t="shared" si="674"/>
        <v>0</v>
      </c>
      <c r="Y166" s="278">
        <f t="shared" si="674"/>
        <v>0</v>
      </c>
      <c r="Z166" s="278">
        <f t="shared" si="674"/>
        <v>0</v>
      </c>
      <c r="AA166" s="278">
        <f t="shared" si="674"/>
        <v>0</v>
      </c>
      <c r="AB166" s="278">
        <f t="shared" si="674"/>
        <v>0</v>
      </c>
      <c r="AC166" s="278">
        <f t="shared" si="674"/>
        <v>0</v>
      </c>
      <c r="AD166" s="271">
        <f t="shared" si="640"/>
        <v>0</v>
      </c>
      <c r="AE166" s="266"/>
      <c r="AF166" s="277">
        <f>SUM(AF158:AF165)</f>
        <v>0</v>
      </c>
      <c r="AG166" s="278">
        <f t="shared" ref="AG166:AQ166" si="675">SUM(AG158:AG165)</f>
        <v>0</v>
      </c>
      <c r="AH166" s="278">
        <f t="shared" si="675"/>
        <v>0</v>
      </c>
      <c r="AI166" s="278">
        <f t="shared" si="675"/>
        <v>0</v>
      </c>
      <c r="AJ166" s="278">
        <f t="shared" si="675"/>
        <v>0</v>
      </c>
      <c r="AK166" s="278">
        <f t="shared" si="675"/>
        <v>0</v>
      </c>
      <c r="AL166" s="278">
        <f t="shared" si="675"/>
        <v>0</v>
      </c>
      <c r="AM166" s="278">
        <f t="shared" si="675"/>
        <v>0</v>
      </c>
      <c r="AN166" s="278">
        <f t="shared" si="675"/>
        <v>0</v>
      </c>
      <c r="AO166" s="278">
        <f t="shared" si="675"/>
        <v>0</v>
      </c>
      <c r="AP166" s="278">
        <f t="shared" si="675"/>
        <v>0</v>
      </c>
      <c r="AQ166" s="278">
        <f t="shared" si="675"/>
        <v>0</v>
      </c>
      <c r="AR166" s="271">
        <f t="shared" si="641"/>
        <v>0</v>
      </c>
      <c r="AS166" s="266"/>
      <c r="AT166" s="277">
        <f>SUM(AT158:AT165)</f>
        <v>0</v>
      </c>
      <c r="AU166" s="278">
        <f t="shared" ref="AU166:BE166" si="676">SUM(AU158:AU165)</f>
        <v>0</v>
      </c>
      <c r="AV166" s="278">
        <f t="shared" si="676"/>
        <v>0</v>
      </c>
      <c r="AW166" s="278">
        <f t="shared" si="676"/>
        <v>0</v>
      </c>
      <c r="AX166" s="278">
        <f t="shared" si="676"/>
        <v>0</v>
      </c>
      <c r="AY166" s="278">
        <f t="shared" si="676"/>
        <v>0</v>
      </c>
      <c r="AZ166" s="278">
        <f t="shared" si="676"/>
        <v>0</v>
      </c>
      <c r="BA166" s="278">
        <f t="shared" si="676"/>
        <v>0</v>
      </c>
      <c r="BB166" s="278">
        <f t="shared" si="676"/>
        <v>0</v>
      </c>
      <c r="BC166" s="278">
        <f t="shared" si="676"/>
        <v>0</v>
      </c>
      <c r="BD166" s="278">
        <f t="shared" si="676"/>
        <v>0</v>
      </c>
      <c r="BE166" s="278">
        <f t="shared" si="676"/>
        <v>0</v>
      </c>
      <c r="BF166" s="271">
        <f t="shared" si="642"/>
        <v>0</v>
      </c>
      <c r="BG166" s="266"/>
      <c r="BH166" s="277">
        <f>SUM(BH158:BH165)</f>
        <v>0</v>
      </c>
      <c r="BI166" s="278">
        <f t="shared" ref="BI166:BS166" si="677">SUM(BI158:BI165)</f>
        <v>0</v>
      </c>
      <c r="BJ166" s="278">
        <f t="shared" si="677"/>
        <v>0</v>
      </c>
      <c r="BK166" s="278">
        <f t="shared" si="677"/>
        <v>0</v>
      </c>
      <c r="BL166" s="278">
        <f t="shared" si="677"/>
        <v>0</v>
      </c>
      <c r="BM166" s="278">
        <f t="shared" si="677"/>
        <v>0</v>
      </c>
      <c r="BN166" s="278">
        <f t="shared" si="677"/>
        <v>0</v>
      </c>
      <c r="BO166" s="278">
        <f t="shared" si="677"/>
        <v>0</v>
      </c>
      <c r="BP166" s="278">
        <f t="shared" si="677"/>
        <v>0</v>
      </c>
      <c r="BQ166" s="278">
        <f t="shared" si="677"/>
        <v>0</v>
      </c>
      <c r="BR166" s="278">
        <f t="shared" si="677"/>
        <v>0</v>
      </c>
      <c r="BS166" s="278">
        <f t="shared" si="677"/>
        <v>0</v>
      </c>
      <c r="BT166" s="271">
        <f t="shared" si="643"/>
        <v>0</v>
      </c>
      <c r="BU166" s="266"/>
      <c r="BV166" s="277">
        <f>SUM(BV158:BV165)</f>
        <v>0</v>
      </c>
      <c r="BW166" s="278">
        <f t="shared" ref="BW166:CG166" si="678">SUM(BW158:BW165)</f>
        <v>0</v>
      </c>
      <c r="BX166" s="278">
        <f t="shared" si="678"/>
        <v>0</v>
      </c>
      <c r="BY166" s="278">
        <f t="shared" si="678"/>
        <v>0</v>
      </c>
      <c r="BZ166" s="278">
        <f t="shared" si="678"/>
        <v>0</v>
      </c>
      <c r="CA166" s="278">
        <f t="shared" si="678"/>
        <v>0</v>
      </c>
      <c r="CB166" s="278">
        <f t="shared" si="678"/>
        <v>0</v>
      </c>
      <c r="CC166" s="278">
        <f t="shared" si="678"/>
        <v>0</v>
      </c>
      <c r="CD166" s="278">
        <f t="shared" si="678"/>
        <v>0</v>
      </c>
      <c r="CE166" s="278">
        <f t="shared" si="678"/>
        <v>0</v>
      </c>
      <c r="CF166" s="278">
        <f t="shared" si="678"/>
        <v>0</v>
      </c>
      <c r="CG166" s="278">
        <f t="shared" si="678"/>
        <v>0</v>
      </c>
      <c r="CH166" s="271">
        <f t="shared" si="666"/>
        <v>0</v>
      </c>
      <c r="CI166" s="266"/>
      <c r="CJ166" s="277">
        <f>SUM(CJ158:CJ165)</f>
        <v>0</v>
      </c>
      <c r="CK166" s="278">
        <f t="shared" ref="CK166:CU166" si="679">SUM(CK158:CK165)</f>
        <v>0</v>
      </c>
      <c r="CL166" s="278">
        <f t="shared" si="679"/>
        <v>0</v>
      </c>
      <c r="CM166" s="278">
        <f t="shared" si="679"/>
        <v>0</v>
      </c>
      <c r="CN166" s="278">
        <f t="shared" si="679"/>
        <v>0</v>
      </c>
      <c r="CO166" s="278">
        <f t="shared" si="679"/>
        <v>0</v>
      </c>
      <c r="CP166" s="278">
        <f t="shared" si="679"/>
        <v>0</v>
      </c>
      <c r="CQ166" s="278">
        <f t="shared" si="679"/>
        <v>0</v>
      </c>
      <c r="CR166" s="278">
        <f t="shared" si="679"/>
        <v>0</v>
      </c>
      <c r="CS166" s="278">
        <f t="shared" si="679"/>
        <v>0</v>
      </c>
      <c r="CT166" s="278">
        <f t="shared" si="679"/>
        <v>0</v>
      </c>
      <c r="CU166" s="278">
        <f t="shared" si="679"/>
        <v>0</v>
      </c>
      <c r="CV166" s="271">
        <f t="shared" si="668"/>
        <v>0</v>
      </c>
      <c r="CW166" s="266"/>
      <c r="CX166" s="277">
        <f>SUM(CX158:CX165)</f>
        <v>0</v>
      </c>
      <c r="CY166" s="278">
        <f t="shared" ref="CY166:DI166" si="680">SUM(CY158:CY165)</f>
        <v>0</v>
      </c>
      <c r="CZ166" s="278">
        <f t="shared" si="680"/>
        <v>0</v>
      </c>
      <c r="DA166" s="278">
        <f t="shared" si="680"/>
        <v>0</v>
      </c>
      <c r="DB166" s="278">
        <f t="shared" si="680"/>
        <v>0</v>
      </c>
      <c r="DC166" s="278">
        <f t="shared" si="680"/>
        <v>0</v>
      </c>
      <c r="DD166" s="278">
        <f t="shared" si="680"/>
        <v>0</v>
      </c>
      <c r="DE166" s="278">
        <f t="shared" si="680"/>
        <v>0</v>
      </c>
      <c r="DF166" s="278">
        <f t="shared" si="680"/>
        <v>0</v>
      </c>
      <c r="DG166" s="278">
        <f t="shared" si="680"/>
        <v>0</v>
      </c>
      <c r="DH166" s="278">
        <f t="shared" si="680"/>
        <v>0</v>
      </c>
      <c r="DI166" s="278">
        <f t="shared" si="680"/>
        <v>0</v>
      </c>
      <c r="DJ166" s="271">
        <f t="shared" si="665"/>
        <v>0</v>
      </c>
      <c r="DK166" s="266"/>
      <c r="DL166" s="277">
        <f>SUM(DL158:DL165)</f>
        <v>0</v>
      </c>
      <c r="DM166" s="278">
        <f t="shared" ref="DM166:DW166" si="681">SUM(DM158:DM165)</f>
        <v>0</v>
      </c>
      <c r="DN166" s="278">
        <f t="shared" si="681"/>
        <v>0</v>
      </c>
      <c r="DO166" s="278">
        <f t="shared" si="681"/>
        <v>0</v>
      </c>
      <c r="DP166" s="278">
        <f t="shared" si="681"/>
        <v>0</v>
      </c>
      <c r="DQ166" s="278">
        <f t="shared" si="681"/>
        <v>0</v>
      </c>
      <c r="DR166" s="278">
        <f t="shared" si="681"/>
        <v>0</v>
      </c>
      <c r="DS166" s="278">
        <f t="shared" si="681"/>
        <v>0</v>
      </c>
      <c r="DT166" s="278">
        <f t="shared" si="681"/>
        <v>0</v>
      </c>
      <c r="DU166" s="278">
        <f t="shared" si="681"/>
        <v>0</v>
      </c>
      <c r="DV166" s="278">
        <f t="shared" si="681"/>
        <v>0</v>
      </c>
      <c r="DW166" s="278">
        <f t="shared" si="681"/>
        <v>0</v>
      </c>
      <c r="DX166" s="271">
        <f t="shared" si="664"/>
        <v>0</v>
      </c>
      <c r="DY166" s="266"/>
      <c r="DZ166" s="277">
        <f>SUM(DZ158:DZ165)</f>
        <v>0</v>
      </c>
      <c r="EA166" s="278">
        <f t="shared" ref="EA166:EK166" si="682">SUM(EA158:EA165)</f>
        <v>0</v>
      </c>
      <c r="EB166" s="278">
        <f t="shared" si="682"/>
        <v>0</v>
      </c>
      <c r="EC166" s="278">
        <f t="shared" si="682"/>
        <v>0</v>
      </c>
      <c r="ED166" s="278">
        <f t="shared" si="682"/>
        <v>0</v>
      </c>
      <c r="EE166" s="278">
        <f t="shared" si="682"/>
        <v>0</v>
      </c>
      <c r="EF166" s="278">
        <f t="shared" si="682"/>
        <v>0</v>
      </c>
      <c r="EG166" s="278">
        <f t="shared" si="682"/>
        <v>0</v>
      </c>
      <c r="EH166" s="278">
        <f t="shared" si="682"/>
        <v>0</v>
      </c>
      <c r="EI166" s="278">
        <f t="shared" si="682"/>
        <v>0</v>
      </c>
      <c r="EJ166" s="278">
        <f t="shared" si="682"/>
        <v>0</v>
      </c>
      <c r="EK166" s="278">
        <f t="shared" si="682"/>
        <v>0</v>
      </c>
      <c r="EL166" s="271">
        <f t="shared" si="669"/>
        <v>0</v>
      </c>
      <c r="EM166" s="266"/>
      <c r="EN166" s="277">
        <f>SUM(EN158:EN165)</f>
        <v>0</v>
      </c>
      <c r="EO166" s="278">
        <f t="shared" ref="EO166:EY166" si="683">SUM(EO158:EO165)</f>
        <v>0</v>
      </c>
      <c r="EP166" s="278">
        <f t="shared" si="683"/>
        <v>0</v>
      </c>
      <c r="EQ166" s="278">
        <f t="shared" si="683"/>
        <v>0</v>
      </c>
      <c r="ER166" s="278">
        <f t="shared" si="683"/>
        <v>0</v>
      </c>
      <c r="ES166" s="278">
        <f t="shared" si="683"/>
        <v>0</v>
      </c>
      <c r="ET166" s="278">
        <f t="shared" si="683"/>
        <v>0</v>
      </c>
      <c r="EU166" s="278">
        <f t="shared" si="683"/>
        <v>0</v>
      </c>
      <c r="EV166" s="278">
        <f t="shared" si="683"/>
        <v>0</v>
      </c>
      <c r="EW166" s="278">
        <f t="shared" si="683"/>
        <v>0</v>
      </c>
      <c r="EX166" s="278">
        <f t="shared" si="683"/>
        <v>0</v>
      </c>
      <c r="EY166" s="278">
        <f t="shared" si="683"/>
        <v>0</v>
      </c>
      <c r="EZ166" s="271">
        <f t="shared" si="672"/>
        <v>0</v>
      </c>
      <c r="FA166" s="266"/>
      <c r="FB166" s="277">
        <f>SUM(FB158:FB165)</f>
        <v>0</v>
      </c>
      <c r="FC166" s="278">
        <f t="shared" ref="FC166:FM166" si="684">SUM(FC158:FC165)</f>
        <v>0</v>
      </c>
      <c r="FD166" s="278">
        <f t="shared" si="684"/>
        <v>0</v>
      </c>
      <c r="FE166" s="278">
        <f t="shared" si="684"/>
        <v>0</v>
      </c>
      <c r="FF166" s="278">
        <f t="shared" si="684"/>
        <v>0</v>
      </c>
      <c r="FG166" s="278">
        <f t="shared" si="684"/>
        <v>0</v>
      </c>
      <c r="FH166" s="278">
        <f t="shared" si="684"/>
        <v>0</v>
      </c>
      <c r="FI166" s="278">
        <f t="shared" si="684"/>
        <v>0</v>
      </c>
      <c r="FJ166" s="278">
        <f t="shared" si="684"/>
        <v>0</v>
      </c>
      <c r="FK166" s="278">
        <f t="shared" si="684"/>
        <v>0</v>
      </c>
      <c r="FL166" s="278">
        <f t="shared" si="684"/>
        <v>0</v>
      </c>
      <c r="FM166" s="278">
        <f t="shared" si="684"/>
        <v>0</v>
      </c>
      <c r="FN166" s="271">
        <f t="shared" si="670"/>
        <v>0</v>
      </c>
      <c r="FO166" s="266"/>
      <c r="FP166" s="277">
        <f>SUM(FP158:FP165)</f>
        <v>0</v>
      </c>
      <c r="FQ166" s="278">
        <f t="shared" ref="FQ166:GA166" si="685">SUM(FQ158:FQ165)</f>
        <v>0</v>
      </c>
      <c r="FR166" s="278">
        <f t="shared" si="685"/>
        <v>0</v>
      </c>
      <c r="FS166" s="278">
        <f t="shared" si="685"/>
        <v>0</v>
      </c>
      <c r="FT166" s="278">
        <f t="shared" si="685"/>
        <v>0</v>
      </c>
      <c r="FU166" s="278">
        <f t="shared" si="685"/>
        <v>0</v>
      </c>
      <c r="FV166" s="278">
        <f t="shared" si="685"/>
        <v>0</v>
      </c>
      <c r="FW166" s="278">
        <f t="shared" si="685"/>
        <v>0</v>
      </c>
      <c r="FX166" s="278">
        <f t="shared" si="685"/>
        <v>0</v>
      </c>
      <c r="FY166" s="278">
        <f t="shared" si="685"/>
        <v>0</v>
      </c>
      <c r="FZ166" s="278">
        <f t="shared" si="685"/>
        <v>0</v>
      </c>
      <c r="GA166" s="278">
        <f t="shared" si="685"/>
        <v>0</v>
      </c>
      <c r="GB166" s="271">
        <f t="shared" si="671"/>
        <v>0</v>
      </c>
      <c r="GC166" s="266"/>
      <c r="GD166" s="277">
        <f>SUM(GD158:GD165)</f>
        <v>0</v>
      </c>
      <c r="GE166" s="278">
        <f t="shared" ref="GE166:GO166" si="686">SUM(GE158:GE165)</f>
        <v>0</v>
      </c>
      <c r="GF166" s="278">
        <f t="shared" si="686"/>
        <v>0</v>
      </c>
      <c r="GG166" s="278">
        <f t="shared" si="686"/>
        <v>0</v>
      </c>
      <c r="GH166" s="278">
        <f t="shared" si="686"/>
        <v>0</v>
      </c>
      <c r="GI166" s="278">
        <f t="shared" si="686"/>
        <v>0</v>
      </c>
      <c r="GJ166" s="278">
        <f t="shared" si="686"/>
        <v>0</v>
      </c>
      <c r="GK166" s="278">
        <f t="shared" si="686"/>
        <v>0</v>
      </c>
      <c r="GL166" s="278">
        <f t="shared" si="686"/>
        <v>0</v>
      </c>
      <c r="GM166" s="278">
        <f t="shared" si="686"/>
        <v>0</v>
      </c>
      <c r="GN166" s="278">
        <f t="shared" si="686"/>
        <v>0</v>
      </c>
      <c r="GO166" s="278">
        <f t="shared" si="686"/>
        <v>0</v>
      </c>
      <c r="GP166" s="271">
        <f t="shared" si="651"/>
        <v>0</v>
      </c>
      <c r="GQ166" s="266"/>
      <c r="GR166" s="277">
        <f>SUM(GR158:GR165)</f>
        <v>0</v>
      </c>
      <c r="GS166" s="278">
        <f t="shared" ref="GS166:HC166" si="687">SUM(GS158:GS165)</f>
        <v>0</v>
      </c>
      <c r="GT166" s="278">
        <f t="shared" si="687"/>
        <v>0</v>
      </c>
      <c r="GU166" s="278">
        <f t="shared" si="687"/>
        <v>0</v>
      </c>
      <c r="GV166" s="278">
        <f t="shared" si="687"/>
        <v>0</v>
      </c>
      <c r="GW166" s="278">
        <f t="shared" si="687"/>
        <v>0</v>
      </c>
      <c r="GX166" s="278">
        <f t="shared" si="687"/>
        <v>0</v>
      </c>
      <c r="GY166" s="278">
        <f t="shared" si="687"/>
        <v>0</v>
      </c>
      <c r="GZ166" s="278">
        <f t="shared" si="687"/>
        <v>0</v>
      </c>
      <c r="HA166" s="278">
        <f t="shared" si="687"/>
        <v>0</v>
      </c>
      <c r="HB166" s="278">
        <f t="shared" si="687"/>
        <v>0</v>
      </c>
      <c r="HC166" s="278">
        <f t="shared" si="687"/>
        <v>0</v>
      </c>
      <c r="HD166" s="271">
        <f t="shared" si="652"/>
        <v>0</v>
      </c>
      <c r="HE166" s="266"/>
      <c r="HF166" s="277">
        <f>SUM(HF158:HF165)</f>
        <v>0</v>
      </c>
      <c r="HG166" s="278">
        <f t="shared" ref="HG166:HQ166" si="688">SUM(HG158:HG165)</f>
        <v>0</v>
      </c>
      <c r="HH166" s="278">
        <f t="shared" si="688"/>
        <v>0</v>
      </c>
      <c r="HI166" s="278">
        <f t="shared" si="688"/>
        <v>0</v>
      </c>
      <c r="HJ166" s="278">
        <f t="shared" si="688"/>
        <v>0</v>
      </c>
      <c r="HK166" s="278">
        <f t="shared" si="688"/>
        <v>0</v>
      </c>
      <c r="HL166" s="278">
        <f t="shared" si="688"/>
        <v>0</v>
      </c>
      <c r="HM166" s="278">
        <f t="shared" si="688"/>
        <v>0</v>
      </c>
      <c r="HN166" s="278">
        <f t="shared" si="688"/>
        <v>0</v>
      </c>
      <c r="HO166" s="278">
        <f t="shared" si="688"/>
        <v>0</v>
      </c>
      <c r="HP166" s="278">
        <f t="shared" si="688"/>
        <v>0</v>
      </c>
      <c r="HQ166" s="278">
        <f t="shared" si="688"/>
        <v>0</v>
      </c>
      <c r="HR166" s="271">
        <f t="shared" si="667"/>
        <v>0</v>
      </c>
      <c r="HS166" s="266"/>
      <c r="HT166" s="277">
        <f>SUM(HT158:HT165)</f>
        <v>0</v>
      </c>
      <c r="HU166" s="278">
        <f t="shared" ref="HU166:IE166" si="689">SUM(HU158:HU165)</f>
        <v>0</v>
      </c>
      <c r="HV166" s="278">
        <f t="shared" si="689"/>
        <v>0</v>
      </c>
      <c r="HW166" s="278">
        <f t="shared" si="689"/>
        <v>0</v>
      </c>
      <c r="HX166" s="278">
        <f t="shared" si="689"/>
        <v>0</v>
      </c>
      <c r="HY166" s="278">
        <f t="shared" si="689"/>
        <v>0</v>
      </c>
      <c r="HZ166" s="278">
        <f t="shared" si="689"/>
        <v>0</v>
      </c>
      <c r="IA166" s="278">
        <f t="shared" si="689"/>
        <v>0</v>
      </c>
      <c r="IB166" s="278">
        <f t="shared" si="689"/>
        <v>0</v>
      </c>
      <c r="IC166" s="278">
        <f t="shared" si="689"/>
        <v>0</v>
      </c>
      <c r="ID166" s="278">
        <f t="shared" si="689"/>
        <v>0</v>
      </c>
      <c r="IE166" s="278">
        <f t="shared" si="689"/>
        <v>0</v>
      </c>
      <c r="IF166" s="271">
        <f t="shared" si="654"/>
        <v>0</v>
      </c>
      <c r="IG166" s="266"/>
      <c r="IH166" s="277">
        <f>SUM(IH158:IH165)</f>
        <v>0</v>
      </c>
      <c r="II166" s="278">
        <f t="shared" ref="II166:IS166" si="690">SUM(II158:II165)</f>
        <v>0</v>
      </c>
      <c r="IJ166" s="278">
        <f t="shared" si="690"/>
        <v>0</v>
      </c>
      <c r="IK166" s="278">
        <f t="shared" si="690"/>
        <v>0</v>
      </c>
      <c r="IL166" s="278">
        <f t="shared" si="690"/>
        <v>0</v>
      </c>
      <c r="IM166" s="278">
        <f t="shared" si="690"/>
        <v>0</v>
      </c>
      <c r="IN166" s="278">
        <f t="shared" si="690"/>
        <v>0</v>
      </c>
      <c r="IO166" s="278">
        <f t="shared" si="690"/>
        <v>0</v>
      </c>
      <c r="IP166" s="278">
        <f t="shared" si="690"/>
        <v>0</v>
      </c>
      <c r="IQ166" s="278">
        <f t="shared" si="690"/>
        <v>0</v>
      </c>
      <c r="IR166" s="278">
        <f t="shared" si="690"/>
        <v>0</v>
      </c>
      <c r="IS166" s="278">
        <f t="shared" si="690"/>
        <v>0</v>
      </c>
      <c r="IT166" s="271">
        <f t="shared" si="655"/>
        <v>0</v>
      </c>
      <c r="IU166" s="266"/>
      <c r="IV166" s="277">
        <f>SUM(IV158:IV165)</f>
        <v>0</v>
      </c>
      <c r="IW166" s="278">
        <f t="shared" ref="IW166:JG166" si="691">SUM(IW158:IW165)</f>
        <v>0</v>
      </c>
      <c r="IX166" s="278">
        <f t="shared" si="691"/>
        <v>0</v>
      </c>
      <c r="IY166" s="278">
        <f t="shared" si="691"/>
        <v>0</v>
      </c>
      <c r="IZ166" s="278">
        <f t="shared" si="691"/>
        <v>0</v>
      </c>
      <c r="JA166" s="278">
        <f t="shared" si="691"/>
        <v>0</v>
      </c>
      <c r="JB166" s="278">
        <f t="shared" si="691"/>
        <v>0</v>
      </c>
      <c r="JC166" s="278">
        <f t="shared" si="691"/>
        <v>0</v>
      </c>
      <c r="JD166" s="278">
        <f t="shared" si="691"/>
        <v>0</v>
      </c>
      <c r="JE166" s="278">
        <f t="shared" si="691"/>
        <v>0</v>
      </c>
      <c r="JF166" s="278">
        <f t="shared" si="691"/>
        <v>0</v>
      </c>
      <c r="JG166" s="278">
        <f t="shared" si="691"/>
        <v>0</v>
      </c>
      <c r="JH166" s="271">
        <f t="shared" si="656"/>
        <v>0</v>
      </c>
      <c r="JI166" s="266"/>
      <c r="JJ166" s="277">
        <f>SUM(JJ158:JJ165)</f>
        <v>0</v>
      </c>
      <c r="JK166" s="278">
        <f t="shared" ref="JK166:JU166" si="692">SUM(JK158:JK165)</f>
        <v>0</v>
      </c>
      <c r="JL166" s="278">
        <f t="shared" si="692"/>
        <v>0</v>
      </c>
      <c r="JM166" s="278">
        <f t="shared" si="692"/>
        <v>0</v>
      </c>
      <c r="JN166" s="278">
        <f t="shared" si="692"/>
        <v>0</v>
      </c>
      <c r="JO166" s="278">
        <f t="shared" si="692"/>
        <v>0</v>
      </c>
      <c r="JP166" s="278">
        <f t="shared" si="692"/>
        <v>0</v>
      </c>
      <c r="JQ166" s="278">
        <f t="shared" si="692"/>
        <v>0</v>
      </c>
      <c r="JR166" s="278">
        <f t="shared" si="692"/>
        <v>0</v>
      </c>
      <c r="JS166" s="278">
        <f t="shared" si="692"/>
        <v>0</v>
      </c>
      <c r="JT166" s="278">
        <f t="shared" si="692"/>
        <v>0</v>
      </c>
      <c r="JU166" s="278">
        <f t="shared" si="692"/>
        <v>0</v>
      </c>
      <c r="JV166" s="271">
        <f t="shared" si="657"/>
        <v>0</v>
      </c>
      <c r="JW166" s="266"/>
      <c r="JX166" s="277">
        <f>SUM(JX158:JX165)</f>
        <v>0</v>
      </c>
      <c r="JY166" s="278">
        <f t="shared" ref="JY166:KI166" si="693">SUM(JY158:JY165)</f>
        <v>0</v>
      </c>
      <c r="JZ166" s="278">
        <f t="shared" si="693"/>
        <v>0</v>
      </c>
      <c r="KA166" s="278">
        <f t="shared" si="693"/>
        <v>0</v>
      </c>
      <c r="KB166" s="278">
        <f t="shared" si="693"/>
        <v>0</v>
      </c>
      <c r="KC166" s="278">
        <f t="shared" si="693"/>
        <v>0</v>
      </c>
      <c r="KD166" s="278">
        <f t="shared" si="693"/>
        <v>0</v>
      </c>
      <c r="KE166" s="278">
        <f t="shared" si="693"/>
        <v>0</v>
      </c>
      <c r="KF166" s="278">
        <f t="shared" si="693"/>
        <v>0</v>
      </c>
      <c r="KG166" s="278">
        <f t="shared" si="693"/>
        <v>0</v>
      </c>
      <c r="KH166" s="278">
        <f t="shared" si="693"/>
        <v>0</v>
      </c>
      <c r="KI166" s="278">
        <f t="shared" si="693"/>
        <v>0</v>
      </c>
      <c r="KJ166" s="271">
        <f t="shared" si="658"/>
        <v>0</v>
      </c>
      <c r="KK166" s="266"/>
      <c r="KL166" s="277">
        <f>SUM(KL158:KL165)</f>
        <v>0</v>
      </c>
      <c r="KM166" s="278">
        <f t="shared" ref="KM166:KW166" si="694">SUM(KM158:KM165)</f>
        <v>0</v>
      </c>
      <c r="KN166" s="278">
        <f t="shared" si="694"/>
        <v>0</v>
      </c>
      <c r="KO166" s="278">
        <f t="shared" si="694"/>
        <v>0</v>
      </c>
      <c r="KP166" s="278">
        <f t="shared" si="694"/>
        <v>0</v>
      </c>
      <c r="KQ166" s="278">
        <f t="shared" si="694"/>
        <v>0</v>
      </c>
      <c r="KR166" s="278">
        <f t="shared" si="694"/>
        <v>0</v>
      </c>
      <c r="KS166" s="278">
        <f t="shared" si="694"/>
        <v>0</v>
      </c>
      <c r="KT166" s="278">
        <f t="shared" si="694"/>
        <v>0</v>
      </c>
      <c r="KU166" s="278">
        <f t="shared" si="694"/>
        <v>0</v>
      </c>
      <c r="KV166" s="278">
        <f t="shared" si="694"/>
        <v>0</v>
      </c>
      <c r="KW166" s="278">
        <f t="shared" si="694"/>
        <v>0</v>
      </c>
      <c r="KX166" s="271">
        <f t="shared" si="659"/>
        <v>0</v>
      </c>
      <c r="KY166" s="266"/>
      <c r="KZ166" s="277">
        <f>SUM(KZ158:KZ165)</f>
        <v>0</v>
      </c>
      <c r="LA166" s="278">
        <f t="shared" ref="LA166:LK166" si="695">SUM(LA158:LA165)</f>
        <v>0</v>
      </c>
      <c r="LB166" s="278">
        <f t="shared" si="695"/>
        <v>0</v>
      </c>
      <c r="LC166" s="278">
        <f t="shared" si="695"/>
        <v>0</v>
      </c>
      <c r="LD166" s="278">
        <f t="shared" si="695"/>
        <v>0</v>
      </c>
      <c r="LE166" s="278">
        <f t="shared" si="695"/>
        <v>0</v>
      </c>
      <c r="LF166" s="278">
        <f t="shared" si="695"/>
        <v>0</v>
      </c>
      <c r="LG166" s="278">
        <f t="shared" si="695"/>
        <v>0</v>
      </c>
      <c r="LH166" s="278">
        <f t="shared" si="695"/>
        <v>0</v>
      </c>
      <c r="LI166" s="278">
        <f t="shared" si="695"/>
        <v>0</v>
      </c>
      <c r="LJ166" s="278">
        <f t="shared" si="695"/>
        <v>0</v>
      </c>
      <c r="LK166" s="278">
        <f t="shared" si="695"/>
        <v>0</v>
      </c>
      <c r="LL166" s="271">
        <f t="shared" si="660"/>
        <v>0</v>
      </c>
      <c r="LM166" s="266"/>
      <c r="LN166" s="277">
        <f>SUM(LN158:LN165)</f>
        <v>0</v>
      </c>
      <c r="LO166" s="278">
        <f t="shared" ref="LO166:LY166" si="696">SUM(LO158:LO165)</f>
        <v>0</v>
      </c>
      <c r="LP166" s="278">
        <f t="shared" si="696"/>
        <v>0</v>
      </c>
      <c r="LQ166" s="278">
        <f t="shared" si="696"/>
        <v>0</v>
      </c>
      <c r="LR166" s="278">
        <f t="shared" si="696"/>
        <v>0</v>
      </c>
      <c r="LS166" s="278">
        <f t="shared" si="696"/>
        <v>0</v>
      </c>
      <c r="LT166" s="278">
        <f t="shared" si="696"/>
        <v>0</v>
      </c>
      <c r="LU166" s="278">
        <f t="shared" si="696"/>
        <v>0</v>
      </c>
      <c r="LV166" s="278">
        <f t="shared" si="696"/>
        <v>0</v>
      </c>
      <c r="LW166" s="278">
        <f t="shared" si="696"/>
        <v>0</v>
      </c>
      <c r="LX166" s="278">
        <f t="shared" si="696"/>
        <v>0</v>
      </c>
      <c r="LY166" s="278">
        <f t="shared" si="696"/>
        <v>0</v>
      </c>
      <c r="LZ166" s="271">
        <f t="shared" si="661"/>
        <v>0</v>
      </c>
      <c r="MA166" s="266"/>
      <c r="MB166" s="271">
        <f t="shared" ref="MB166:MN166" si="697">SUM(MB158:MB165)</f>
        <v>0</v>
      </c>
      <c r="MC166" s="271">
        <f t="shared" si="697"/>
        <v>0</v>
      </c>
      <c r="MD166" s="271">
        <f t="shared" si="697"/>
        <v>0</v>
      </c>
      <c r="ME166" s="271">
        <f t="shared" si="697"/>
        <v>0</v>
      </c>
      <c r="MF166" s="271">
        <f t="shared" si="697"/>
        <v>0</v>
      </c>
      <c r="MG166" s="271">
        <f t="shared" si="697"/>
        <v>0</v>
      </c>
      <c r="MH166" s="271">
        <f t="shared" si="697"/>
        <v>0</v>
      </c>
      <c r="MI166" s="271">
        <f t="shared" si="697"/>
        <v>0</v>
      </c>
      <c r="MJ166" s="271">
        <f t="shared" si="697"/>
        <v>0</v>
      </c>
      <c r="MK166" s="271">
        <f t="shared" si="697"/>
        <v>0</v>
      </c>
      <c r="ML166" s="271">
        <f t="shared" si="697"/>
        <v>0</v>
      </c>
      <c r="MM166" s="271">
        <f t="shared" si="697"/>
        <v>0</v>
      </c>
      <c r="MN166" s="271">
        <f t="shared" si="697"/>
        <v>0</v>
      </c>
    </row>
    <row r="167" spans="1:352" ht="12.5" hidden="1" x14ac:dyDescent="0.25">
      <c r="A167" s="262"/>
      <c r="B167" s="183"/>
      <c r="C167" s="98"/>
      <c r="D167" s="279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80"/>
      <c r="Q167" s="281"/>
      <c r="R167" s="279"/>
      <c r="S167" s="274"/>
      <c r="T167" s="274"/>
      <c r="U167" s="274"/>
      <c r="V167" s="274"/>
      <c r="W167" s="274"/>
      <c r="X167" s="274"/>
      <c r="Y167" s="274"/>
      <c r="Z167" s="274"/>
      <c r="AA167" s="274"/>
      <c r="AB167" s="274"/>
      <c r="AC167" s="274"/>
      <c r="AD167" s="280"/>
      <c r="AE167" s="281"/>
      <c r="AF167" s="279"/>
      <c r="AG167" s="274"/>
      <c r="AH167" s="274"/>
      <c r="AI167" s="274"/>
      <c r="AJ167" s="274"/>
      <c r="AK167" s="274"/>
      <c r="AL167" s="274"/>
      <c r="AM167" s="274"/>
      <c r="AN167" s="274"/>
      <c r="AO167" s="274"/>
      <c r="AP167" s="274"/>
      <c r="AQ167" s="274"/>
      <c r="AR167" s="280"/>
      <c r="AS167" s="281"/>
      <c r="AT167" s="279"/>
      <c r="AU167" s="274"/>
      <c r="AV167" s="274"/>
      <c r="AW167" s="274"/>
      <c r="AX167" s="274"/>
      <c r="AY167" s="274"/>
      <c r="AZ167" s="274"/>
      <c r="BA167" s="274"/>
      <c r="BB167" s="274"/>
      <c r="BC167" s="274"/>
      <c r="BD167" s="274"/>
      <c r="BE167" s="274"/>
      <c r="BF167" s="280"/>
      <c r="BG167" s="281"/>
      <c r="BH167" s="279"/>
      <c r="BI167" s="274"/>
      <c r="BJ167" s="274"/>
      <c r="BK167" s="274"/>
      <c r="BL167" s="274"/>
      <c r="BM167" s="274"/>
      <c r="BN167" s="274"/>
      <c r="BO167" s="274"/>
      <c r="BP167" s="274"/>
      <c r="BQ167" s="274"/>
      <c r="BR167" s="274"/>
      <c r="BS167" s="274"/>
      <c r="BT167" s="280"/>
      <c r="BU167" s="281"/>
      <c r="BV167" s="279"/>
      <c r="BW167" s="274"/>
      <c r="BX167" s="274"/>
      <c r="BY167" s="274"/>
      <c r="BZ167" s="274"/>
      <c r="CA167" s="274"/>
      <c r="CB167" s="274"/>
      <c r="CC167" s="274"/>
      <c r="CD167" s="274"/>
      <c r="CE167" s="274"/>
      <c r="CF167" s="274"/>
      <c r="CG167" s="274"/>
      <c r="CH167" s="280"/>
      <c r="CI167" s="281"/>
      <c r="CJ167" s="279"/>
      <c r="CK167" s="274"/>
      <c r="CL167" s="274"/>
      <c r="CM167" s="274"/>
      <c r="CN167" s="274"/>
      <c r="CO167" s="274"/>
      <c r="CP167" s="274"/>
      <c r="CQ167" s="274"/>
      <c r="CR167" s="274"/>
      <c r="CS167" s="274"/>
      <c r="CT167" s="274"/>
      <c r="CU167" s="274"/>
      <c r="CV167" s="280"/>
      <c r="CW167" s="281"/>
      <c r="CX167" s="279"/>
      <c r="CY167" s="274"/>
      <c r="CZ167" s="274"/>
      <c r="DA167" s="274"/>
      <c r="DB167" s="274"/>
      <c r="DC167" s="274"/>
      <c r="DD167" s="274"/>
      <c r="DE167" s="274"/>
      <c r="DF167" s="274"/>
      <c r="DG167" s="274"/>
      <c r="DH167" s="274"/>
      <c r="DI167" s="274"/>
      <c r="DJ167" s="280"/>
      <c r="DK167" s="281"/>
      <c r="DL167" s="279"/>
      <c r="DM167" s="274"/>
      <c r="DN167" s="274"/>
      <c r="DO167" s="274"/>
      <c r="DP167" s="274"/>
      <c r="DQ167" s="274"/>
      <c r="DR167" s="274"/>
      <c r="DS167" s="274"/>
      <c r="DT167" s="274"/>
      <c r="DU167" s="274"/>
      <c r="DV167" s="274"/>
      <c r="DW167" s="274"/>
      <c r="DX167" s="280"/>
      <c r="DY167" s="281"/>
      <c r="DZ167" s="279"/>
      <c r="EA167" s="274"/>
      <c r="EB167" s="274"/>
      <c r="EC167" s="274"/>
      <c r="ED167" s="274"/>
      <c r="EE167" s="274"/>
      <c r="EF167" s="274"/>
      <c r="EG167" s="274"/>
      <c r="EH167" s="274"/>
      <c r="EI167" s="274"/>
      <c r="EJ167" s="274"/>
      <c r="EK167" s="274"/>
      <c r="EL167" s="280"/>
      <c r="EM167" s="281"/>
      <c r="EN167" s="279"/>
      <c r="EO167" s="274"/>
      <c r="EP167" s="274"/>
      <c r="EQ167" s="274"/>
      <c r="ER167" s="274"/>
      <c r="ES167" s="274"/>
      <c r="ET167" s="274"/>
      <c r="EU167" s="274"/>
      <c r="EV167" s="274"/>
      <c r="EW167" s="274"/>
      <c r="EX167" s="274"/>
      <c r="EY167" s="274"/>
      <c r="EZ167" s="280"/>
      <c r="FA167" s="281"/>
      <c r="FB167" s="279"/>
      <c r="FC167" s="274"/>
      <c r="FD167" s="274"/>
      <c r="FE167" s="274"/>
      <c r="FF167" s="274"/>
      <c r="FG167" s="274"/>
      <c r="FH167" s="274"/>
      <c r="FI167" s="274"/>
      <c r="FJ167" s="274"/>
      <c r="FK167" s="274"/>
      <c r="FL167" s="274"/>
      <c r="FM167" s="274"/>
      <c r="FN167" s="280"/>
      <c r="FO167" s="281"/>
      <c r="FP167" s="279"/>
      <c r="FQ167" s="274"/>
      <c r="FR167" s="274"/>
      <c r="FS167" s="274"/>
      <c r="FT167" s="274"/>
      <c r="FU167" s="274"/>
      <c r="FV167" s="274"/>
      <c r="FW167" s="274"/>
      <c r="FX167" s="274"/>
      <c r="FY167" s="274"/>
      <c r="FZ167" s="274"/>
      <c r="GA167" s="274"/>
      <c r="GB167" s="280"/>
      <c r="GC167" s="281"/>
      <c r="GD167" s="279"/>
      <c r="GE167" s="274"/>
      <c r="GF167" s="274"/>
      <c r="GG167" s="274"/>
      <c r="GH167" s="274"/>
      <c r="GI167" s="274"/>
      <c r="GJ167" s="274"/>
      <c r="GK167" s="274"/>
      <c r="GL167" s="274"/>
      <c r="GM167" s="274"/>
      <c r="GN167" s="274"/>
      <c r="GO167" s="274"/>
      <c r="GP167" s="280"/>
      <c r="GQ167" s="281"/>
      <c r="GR167" s="279"/>
      <c r="GS167" s="274"/>
      <c r="GT167" s="274"/>
      <c r="GU167" s="274"/>
      <c r="GV167" s="274"/>
      <c r="GW167" s="274"/>
      <c r="GX167" s="274"/>
      <c r="GY167" s="274"/>
      <c r="GZ167" s="274"/>
      <c r="HA167" s="274"/>
      <c r="HB167" s="274"/>
      <c r="HC167" s="274"/>
      <c r="HD167" s="280"/>
      <c r="HE167" s="281"/>
      <c r="HF167" s="279"/>
      <c r="HG167" s="274"/>
      <c r="HH167" s="274"/>
      <c r="HI167" s="274"/>
      <c r="HJ167" s="274"/>
      <c r="HK167" s="274"/>
      <c r="HL167" s="274"/>
      <c r="HM167" s="274"/>
      <c r="HN167" s="274"/>
      <c r="HO167" s="274"/>
      <c r="HP167" s="274"/>
      <c r="HQ167" s="274"/>
      <c r="HR167" s="280"/>
      <c r="HS167" s="281"/>
      <c r="HT167" s="279"/>
      <c r="HU167" s="274"/>
      <c r="HV167" s="274"/>
      <c r="HW167" s="274"/>
      <c r="HX167" s="274"/>
      <c r="HY167" s="274"/>
      <c r="HZ167" s="274"/>
      <c r="IA167" s="274"/>
      <c r="IB167" s="274"/>
      <c r="IC167" s="274"/>
      <c r="ID167" s="274"/>
      <c r="IE167" s="274"/>
      <c r="IF167" s="280"/>
      <c r="IG167" s="281"/>
      <c r="IH167" s="279"/>
      <c r="II167" s="274"/>
      <c r="IJ167" s="274"/>
      <c r="IK167" s="274"/>
      <c r="IL167" s="274"/>
      <c r="IM167" s="274"/>
      <c r="IN167" s="274"/>
      <c r="IO167" s="274"/>
      <c r="IP167" s="274"/>
      <c r="IQ167" s="274"/>
      <c r="IR167" s="274"/>
      <c r="IS167" s="274"/>
      <c r="IT167" s="280"/>
      <c r="IU167" s="281"/>
      <c r="IV167" s="279"/>
      <c r="IW167" s="274"/>
      <c r="IX167" s="274"/>
      <c r="IY167" s="274"/>
      <c r="IZ167" s="274"/>
      <c r="JA167" s="274"/>
      <c r="JB167" s="274"/>
      <c r="JC167" s="274"/>
      <c r="JD167" s="274"/>
      <c r="JE167" s="274"/>
      <c r="JF167" s="274"/>
      <c r="JG167" s="274"/>
      <c r="JH167" s="280"/>
      <c r="JI167" s="281"/>
      <c r="JJ167" s="279"/>
      <c r="JK167" s="274"/>
      <c r="JL167" s="274"/>
      <c r="JM167" s="274"/>
      <c r="JN167" s="274"/>
      <c r="JO167" s="274"/>
      <c r="JP167" s="274"/>
      <c r="JQ167" s="274"/>
      <c r="JR167" s="274"/>
      <c r="JS167" s="274"/>
      <c r="JT167" s="274"/>
      <c r="JU167" s="274"/>
      <c r="JV167" s="280"/>
      <c r="JW167" s="281"/>
      <c r="JX167" s="279"/>
      <c r="JY167" s="274"/>
      <c r="JZ167" s="274"/>
      <c r="KA167" s="274"/>
      <c r="KB167" s="274"/>
      <c r="KC167" s="274"/>
      <c r="KD167" s="274"/>
      <c r="KE167" s="274"/>
      <c r="KF167" s="274"/>
      <c r="KG167" s="274"/>
      <c r="KH167" s="274"/>
      <c r="KI167" s="274"/>
      <c r="KJ167" s="280"/>
      <c r="KK167" s="281"/>
      <c r="KL167" s="279"/>
      <c r="KM167" s="274"/>
      <c r="KN167" s="274"/>
      <c r="KO167" s="274"/>
      <c r="KP167" s="274"/>
      <c r="KQ167" s="274"/>
      <c r="KR167" s="274"/>
      <c r="KS167" s="274"/>
      <c r="KT167" s="274"/>
      <c r="KU167" s="274"/>
      <c r="KV167" s="274"/>
      <c r="KW167" s="274"/>
      <c r="KX167" s="280"/>
      <c r="KY167" s="281"/>
      <c r="KZ167" s="279"/>
      <c r="LA167" s="274"/>
      <c r="LB167" s="274"/>
      <c r="LC167" s="274"/>
      <c r="LD167" s="274"/>
      <c r="LE167" s="274"/>
      <c r="LF167" s="274"/>
      <c r="LG167" s="274"/>
      <c r="LH167" s="274"/>
      <c r="LI167" s="274"/>
      <c r="LJ167" s="274"/>
      <c r="LK167" s="274"/>
      <c r="LL167" s="280"/>
      <c r="LM167" s="281"/>
      <c r="LN167" s="279"/>
      <c r="LO167" s="274"/>
      <c r="LP167" s="274"/>
      <c r="LQ167" s="274"/>
      <c r="LR167" s="274"/>
      <c r="LS167" s="274"/>
      <c r="LT167" s="274"/>
      <c r="LU167" s="274"/>
      <c r="LV167" s="274"/>
      <c r="LW167" s="274"/>
      <c r="LX167" s="274"/>
      <c r="LY167" s="274"/>
      <c r="LZ167" s="280"/>
      <c r="MA167" s="281"/>
      <c r="MB167" s="280"/>
      <c r="MC167" s="280"/>
      <c r="MD167" s="280"/>
      <c r="ME167" s="280"/>
      <c r="MF167" s="280"/>
      <c r="MG167" s="280"/>
      <c r="MH167" s="280"/>
      <c r="MI167" s="280"/>
      <c r="MJ167" s="280"/>
      <c r="MK167" s="280"/>
      <c r="ML167" s="280"/>
      <c r="MM167" s="280"/>
      <c r="MN167" s="280"/>
    </row>
    <row r="168" spans="1:352" hidden="1" x14ac:dyDescent="0.3">
      <c r="A168" s="262"/>
      <c r="B168" s="152" t="s">
        <v>205</v>
      </c>
      <c r="C168" s="98"/>
      <c r="D168" s="279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80"/>
      <c r="Q168" s="281"/>
      <c r="R168" s="279"/>
      <c r="S168" s="274"/>
      <c r="T168" s="274"/>
      <c r="U168" s="274"/>
      <c r="V168" s="274"/>
      <c r="W168" s="274"/>
      <c r="X168" s="274"/>
      <c r="Y168" s="274"/>
      <c r="Z168" s="274"/>
      <c r="AA168" s="274"/>
      <c r="AB168" s="274"/>
      <c r="AC168" s="274"/>
      <c r="AD168" s="280"/>
      <c r="AE168" s="281"/>
      <c r="AF168" s="279"/>
      <c r="AG168" s="274"/>
      <c r="AH168" s="274"/>
      <c r="AI168" s="274"/>
      <c r="AJ168" s="274"/>
      <c r="AK168" s="274"/>
      <c r="AL168" s="274"/>
      <c r="AM168" s="274"/>
      <c r="AN168" s="274"/>
      <c r="AO168" s="274"/>
      <c r="AP168" s="274"/>
      <c r="AQ168" s="274"/>
      <c r="AR168" s="280"/>
      <c r="AS168" s="281"/>
      <c r="AT168" s="279"/>
      <c r="AU168" s="274"/>
      <c r="AV168" s="274"/>
      <c r="AW168" s="274"/>
      <c r="AX168" s="274"/>
      <c r="AY168" s="274"/>
      <c r="AZ168" s="274"/>
      <c r="BA168" s="274"/>
      <c r="BB168" s="274"/>
      <c r="BC168" s="274"/>
      <c r="BD168" s="274"/>
      <c r="BE168" s="274"/>
      <c r="BF168" s="280"/>
      <c r="BG168" s="281"/>
      <c r="BH168" s="279"/>
      <c r="BI168" s="274"/>
      <c r="BJ168" s="274"/>
      <c r="BK168" s="274"/>
      <c r="BL168" s="274"/>
      <c r="BM168" s="274"/>
      <c r="BN168" s="274"/>
      <c r="BO168" s="274"/>
      <c r="BP168" s="274"/>
      <c r="BQ168" s="274"/>
      <c r="BR168" s="274"/>
      <c r="BS168" s="274"/>
      <c r="BT168" s="280"/>
      <c r="BU168" s="281"/>
      <c r="BV168" s="279"/>
      <c r="BW168" s="274"/>
      <c r="BX168" s="274"/>
      <c r="BY168" s="274"/>
      <c r="BZ168" s="274"/>
      <c r="CA168" s="274"/>
      <c r="CB168" s="274"/>
      <c r="CC168" s="274"/>
      <c r="CD168" s="274"/>
      <c r="CE168" s="274"/>
      <c r="CF168" s="274"/>
      <c r="CG168" s="274"/>
      <c r="CH168" s="280"/>
      <c r="CI168" s="281"/>
      <c r="CJ168" s="279"/>
      <c r="CK168" s="274"/>
      <c r="CL168" s="274"/>
      <c r="CM168" s="274"/>
      <c r="CN168" s="274"/>
      <c r="CO168" s="274"/>
      <c r="CP168" s="274"/>
      <c r="CQ168" s="274"/>
      <c r="CR168" s="274"/>
      <c r="CS168" s="274"/>
      <c r="CT168" s="274"/>
      <c r="CU168" s="274"/>
      <c r="CV168" s="280"/>
      <c r="CW168" s="281"/>
      <c r="CX168" s="279"/>
      <c r="CY168" s="274"/>
      <c r="CZ168" s="274"/>
      <c r="DA168" s="274"/>
      <c r="DB168" s="274"/>
      <c r="DC168" s="274"/>
      <c r="DD168" s="274"/>
      <c r="DE168" s="274"/>
      <c r="DF168" s="274"/>
      <c r="DG168" s="274"/>
      <c r="DH168" s="274"/>
      <c r="DI168" s="274"/>
      <c r="DJ168" s="280"/>
      <c r="DK168" s="281"/>
      <c r="DL168" s="279"/>
      <c r="DM168" s="274"/>
      <c r="DN168" s="274"/>
      <c r="DO168" s="274"/>
      <c r="DP168" s="274"/>
      <c r="DQ168" s="274"/>
      <c r="DR168" s="274"/>
      <c r="DS168" s="274"/>
      <c r="DT168" s="274"/>
      <c r="DU168" s="274"/>
      <c r="DV168" s="274"/>
      <c r="DW168" s="274"/>
      <c r="DX168" s="280"/>
      <c r="DY168" s="281"/>
      <c r="DZ168" s="279"/>
      <c r="EA168" s="274"/>
      <c r="EB168" s="274"/>
      <c r="EC168" s="274"/>
      <c r="ED168" s="274"/>
      <c r="EE168" s="274"/>
      <c r="EF168" s="274"/>
      <c r="EG168" s="274"/>
      <c r="EH168" s="274"/>
      <c r="EI168" s="274"/>
      <c r="EJ168" s="274"/>
      <c r="EK168" s="274"/>
      <c r="EL168" s="280"/>
      <c r="EM168" s="281"/>
      <c r="EN168" s="279"/>
      <c r="EO168" s="274"/>
      <c r="EP168" s="274"/>
      <c r="EQ168" s="274"/>
      <c r="ER168" s="274"/>
      <c r="ES168" s="274"/>
      <c r="ET168" s="274"/>
      <c r="EU168" s="274"/>
      <c r="EV168" s="274"/>
      <c r="EW168" s="274"/>
      <c r="EX168" s="274"/>
      <c r="EY168" s="274"/>
      <c r="EZ168" s="280"/>
      <c r="FA168" s="281"/>
      <c r="FB168" s="279"/>
      <c r="FC168" s="274"/>
      <c r="FD168" s="274"/>
      <c r="FE168" s="274"/>
      <c r="FF168" s="274"/>
      <c r="FG168" s="274"/>
      <c r="FH168" s="274"/>
      <c r="FI168" s="274"/>
      <c r="FJ168" s="274"/>
      <c r="FK168" s="274"/>
      <c r="FL168" s="274"/>
      <c r="FM168" s="274"/>
      <c r="FN168" s="280"/>
      <c r="FO168" s="281"/>
      <c r="FP168" s="279"/>
      <c r="FQ168" s="274"/>
      <c r="FR168" s="274"/>
      <c r="FS168" s="274"/>
      <c r="FT168" s="274"/>
      <c r="FU168" s="274"/>
      <c r="FV168" s="274"/>
      <c r="FW168" s="274"/>
      <c r="FX168" s="274"/>
      <c r="FY168" s="274"/>
      <c r="FZ168" s="274"/>
      <c r="GA168" s="274"/>
      <c r="GB168" s="280"/>
      <c r="GC168" s="281"/>
      <c r="GD168" s="263"/>
      <c r="GE168" s="264"/>
      <c r="GF168" s="265"/>
      <c r="GG168" s="265"/>
      <c r="GH168" s="265"/>
      <c r="GI168" s="265"/>
      <c r="GJ168" s="265"/>
      <c r="GK168" s="265"/>
      <c r="GL168" s="265"/>
      <c r="GM168" s="265"/>
      <c r="GN168" s="265"/>
      <c r="GO168" s="265"/>
      <c r="GP168" s="280"/>
      <c r="GQ168" s="281"/>
      <c r="GR168" s="263"/>
      <c r="GS168" s="264"/>
      <c r="GT168" s="265"/>
      <c r="GU168" s="265"/>
      <c r="GV168" s="265"/>
      <c r="GW168" s="265"/>
      <c r="GX168" s="265"/>
      <c r="GY168" s="265"/>
      <c r="GZ168" s="265"/>
      <c r="HA168" s="265"/>
      <c r="HB168" s="265"/>
      <c r="HC168" s="265"/>
      <c r="HD168" s="280"/>
      <c r="HE168" s="281"/>
      <c r="HF168" s="263"/>
      <c r="HG168" s="264"/>
      <c r="HH168" s="265"/>
      <c r="HI168" s="265"/>
      <c r="HJ168" s="265"/>
      <c r="HK168" s="265"/>
      <c r="HL168" s="265"/>
      <c r="HM168" s="265"/>
      <c r="HN168" s="265"/>
      <c r="HO168" s="265"/>
      <c r="HP168" s="265"/>
      <c r="HQ168" s="265"/>
      <c r="HR168" s="280"/>
      <c r="HS168" s="281"/>
      <c r="HT168" s="263"/>
      <c r="HU168" s="264"/>
      <c r="HV168" s="265"/>
      <c r="HW168" s="265"/>
      <c r="HX168" s="265"/>
      <c r="HY168" s="265"/>
      <c r="HZ168" s="265"/>
      <c r="IA168" s="265"/>
      <c r="IB168" s="265"/>
      <c r="IC168" s="265"/>
      <c r="ID168" s="265"/>
      <c r="IE168" s="265"/>
      <c r="IF168" s="280"/>
      <c r="IG168" s="281"/>
      <c r="IH168" s="263"/>
      <c r="II168" s="264"/>
      <c r="IJ168" s="265"/>
      <c r="IK168" s="265"/>
      <c r="IL168" s="265"/>
      <c r="IM168" s="265"/>
      <c r="IN168" s="265"/>
      <c r="IO168" s="265"/>
      <c r="IP168" s="265"/>
      <c r="IQ168" s="265"/>
      <c r="IR168" s="265"/>
      <c r="IS168" s="265"/>
      <c r="IT168" s="280"/>
      <c r="IU168" s="281"/>
      <c r="IV168" s="263"/>
      <c r="IW168" s="264"/>
      <c r="IX168" s="265"/>
      <c r="IY168" s="265"/>
      <c r="IZ168" s="265"/>
      <c r="JA168" s="265"/>
      <c r="JB168" s="265"/>
      <c r="JC168" s="265"/>
      <c r="JD168" s="265"/>
      <c r="JE168" s="265"/>
      <c r="JF168" s="265"/>
      <c r="JG168" s="265"/>
      <c r="JH168" s="280"/>
      <c r="JI168" s="281"/>
      <c r="JJ168" s="263"/>
      <c r="JK168" s="264"/>
      <c r="JL168" s="265"/>
      <c r="JM168" s="265"/>
      <c r="JN168" s="265"/>
      <c r="JO168" s="265"/>
      <c r="JP168" s="265"/>
      <c r="JQ168" s="265"/>
      <c r="JR168" s="265"/>
      <c r="JS168" s="265"/>
      <c r="JT168" s="265"/>
      <c r="JU168" s="265"/>
      <c r="JV168" s="280"/>
      <c r="JW168" s="281"/>
      <c r="JX168" s="263"/>
      <c r="JY168" s="264"/>
      <c r="JZ168" s="265"/>
      <c r="KA168" s="265"/>
      <c r="KB168" s="265"/>
      <c r="KC168" s="265"/>
      <c r="KD168" s="265"/>
      <c r="KE168" s="265"/>
      <c r="KF168" s="265"/>
      <c r="KG168" s="265"/>
      <c r="KH168" s="265"/>
      <c r="KI168" s="265"/>
      <c r="KJ168" s="280"/>
      <c r="KK168" s="281"/>
      <c r="KL168" s="263"/>
      <c r="KM168" s="264"/>
      <c r="KN168" s="265"/>
      <c r="KO168" s="265"/>
      <c r="KP168" s="265"/>
      <c r="KQ168" s="265"/>
      <c r="KR168" s="265"/>
      <c r="KS168" s="265"/>
      <c r="KT168" s="265"/>
      <c r="KU168" s="265"/>
      <c r="KV168" s="265"/>
      <c r="KW168" s="265"/>
      <c r="KX168" s="280"/>
      <c r="KY168" s="281"/>
      <c r="KZ168" s="263"/>
      <c r="LA168" s="264"/>
      <c r="LB168" s="265"/>
      <c r="LC168" s="265"/>
      <c r="LD168" s="265"/>
      <c r="LE168" s="265"/>
      <c r="LF168" s="265"/>
      <c r="LG168" s="265"/>
      <c r="LH168" s="265"/>
      <c r="LI168" s="265"/>
      <c r="LJ168" s="265"/>
      <c r="LK168" s="265"/>
      <c r="LL168" s="280"/>
      <c r="LM168" s="281"/>
      <c r="LN168" s="263"/>
      <c r="LO168" s="264"/>
      <c r="LP168" s="265"/>
      <c r="LQ168" s="265"/>
      <c r="LR168" s="265"/>
      <c r="LS168" s="265"/>
      <c r="LT168" s="265"/>
      <c r="LU168" s="265"/>
      <c r="LV168" s="265"/>
      <c r="LW168" s="265"/>
      <c r="LX168" s="265"/>
      <c r="LY168" s="265"/>
      <c r="LZ168" s="280"/>
      <c r="MA168" s="281"/>
      <c r="MB168" s="280"/>
      <c r="MC168" s="280"/>
      <c r="MD168" s="280"/>
      <c r="ME168" s="280"/>
      <c r="MF168" s="280"/>
      <c r="MG168" s="280"/>
      <c r="MH168" s="280"/>
      <c r="MI168" s="280"/>
      <c r="MJ168" s="280"/>
      <c r="MK168" s="280"/>
      <c r="ML168" s="280"/>
      <c r="MM168" s="280"/>
      <c r="MN168" s="280"/>
    </row>
    <row r="169" spans="1:352" hidden="1" x14ac:dyDescent="0.25">
      <c r="A169" s="262"/>
      <c r="B169" s="64" t="s">
        <v>206</v>
      </c>
      <c r="C169" s="98"/>
      <c r="D169" s="263">
        <v>0</v>
      </c>
      <c r="E169" s="274">
        <v>0</v>
      </c>
      <c r="F169" s="274">
        <v>0</v>
      </c>
      <c r="G169" s="274">
        <v>0</v>
      </c>
      <c r="H169" s="274">
        <v>0</v>
      </c>
      <c r="I169" s="274">
        <v>0</v>
      </c>
      <c r="J169" s="274">
        <v>0</v>
      </c>
      <c r="K169" s="274">
        <v>0</v>
      </c>
      <c r="L169" s="274">
        <v>0</v>
      </c>
      <c r="M169" s="274">
        <v>0</v>
      </c>
      <c r="N169" s="274">
        <v>0</v>
      </c>
      <c r="O169" s="274">
        <v>0</v>
      </c>
      <c r="P169" s="230">
        <f>+SUBTOTAL(9,D169:O169)</f>
        <v>0</v>
      </c>
      <c r="Q169" s="266"/>
      <c r="R169" s="263">
        <v>0</v>
      </c>
      <c r="S169" s="274">
        <v>0</v>
      </c>
      <c r="T169" s="274">
        <v>0</v>
      </c>
      <c r="U169" s="274">
        <v>0</v>
      </c>
      <c r="V169" s="274">
        <v>0</v>
      </c>
      <c r="W169" s="274">
        <v>0</v>
      </c>
      <c r="X169" s="274">
        <v>0</v>
      </c>
      <c r="Y169" s="274">
        <v>0</v>
      </c>
      <c r="Z169" s="274">
        <v>0</v>
      </c>
      <c r="AA169" s="274">
        <v>0</v>
      </c>
      <c r="AB169" s="274">
        <v>0</v>
      </c>
      <c r="AC169" s="274">
        <v>0</v>
      </c>
      <c r="AD169" s="230">
        <f>+SUBTOTAL(9,R169:AC169)</f>
        <v>0</v>
      </c>
      <c r="AE169" s="266"/>
      <c r="AF169" s="263">
        <v>0</v>
      </c>
      <c r="AG169" s="274">
        <v>0</v>
      </c>
      <c r="AH169" s="274">
        <v>0</v>
      </c>
      <c r="AI169" s="274">
        <v>0</v>
      </c>
      <c r="AJ169" s="274">
        <v>0</v>
      </c>
      <c r="AK169" s="274">
        <v>0</v>
      </c>
      <c r="AL169" s="274">
        <v>0</v>
      </c>
      <c r="AM169" s="274">
        <v>0</v>
      </c>
      <c r="AN169" s="274">
        <v>0</v>
      </c>
      <c r="AO169" s="274">
        <v>0</v>
      </c>
      <c r="AP169" s="274">
        <v>0</v>
      </c>
      <c r="AQ169" s="274">
        <v>0</v>
      </c>
      <c r="AR169" s="230">
        <f>+SUBTOTAL(9,AF169:AQ169)</f>
        <v>0</v>
      </c>
      <c r="AS169" s="266"/>
      <c r="AT169" s="263">
        <v>0</v>
      </c>
      <c r="AU169" s="274">
        <v>0</v>
      </c>
      <c r="AV169" s="274">
        <v>0</v>
      </c>
      <c r="AW169" s="274">
        <v>0</v>
      </c>
      <c r="AX169" s="274">
        <v>0</v>
      </c>
      <c r="AY169" s="274">
        <v>0</v>
      </c>
      <c r="AZ169" s="274">
        <v>0</v>
      </c>
      <c r="BA169" s="274">
        <v>0</v>
      </c>
      <c r="BB169" s="265">
        <v>0</v>
      </c>
      <c r="BC169" s="265">
        <v>0</v>
      </c>
      <c r="BD169" s="265">
        <v>0</v>
      </c>
      <c r="BE169" s="265">
        <v>0</v>
      </c>
      <c r="BF169" s="230">
        <f>+SUBTOTAL(9,AT169:BE169)</f>
        <v>0</v>
      </c>
      <c r="BG169" s="266"/>
      <c r="BH169" s="263">
        <v>0</v>
      </c>
      <c r="BI169" s="264">
        <v>0</v>
      </c>
      <c r="BJ169" s="265">
        <v>0</v>
      </c>
      <c r="BK169" s="265">
        <v>0</v>
      </c>
      <c r="BL169" s="265">
        <v>0</v>
      </c>
      <c r="BM169" s="265">
        <v>0</v>
      </c>
      <c r="BN169" s="265">
        <v>0</v>
      </c>
      <c r="BO169" s="265">
        <v>0</v>
      </c>
      <c r="BP169" s="265">
        <v>0</v>
      </c>
      <c r="BQ169" s="265">
        <v>0</v>
      </c>
      <c r="BR169" s="265">
        <v>0</v>
      </c>
      <c r="BS169" s="265">
        <v>0</v>
      </c>
      <c r="BT169" s="230">
        <f>+SUBTOTAL(9,BH169:BS169)</f>
        <v>0</v>
      </c>
      <c r="BU169" s="266"/>
      <c r="BV169" s="263">
        <v>0</v>
      </c>
      <c r="BW169" s="264">
        <v>0</v>
      </c>
      <c r="BX169" s="265">
        <v>0</v>
      </c>
      <c r="BY169" s="265">
        <v>0</v>
      </c>
      <c r="BZ169" s="265">
        <v>0</v>
      </c>
      <c r="CA169" s="265">
        <v>0</v>
      </c>
      <c r="CB169" s="265">
        <v>0</v>
      </c>
      <c r="CC169" s="265">
        <v>0</v>
      </c>
      <c r="CD169" s="265">
        <v>0</v>
      </c>
      <c r="CE169" s="265">
        <v>0</v>
      </c>
      <c r="CF169" s="265">
        <v>0</v>
      </c>
      <c r="CG169" s="265">
        <v>0</v>
      </c>
      <c r="CH169" s="230">
        <f>+SUBTOTAL(9,BV169:CG169)</f>
        <v>0</v>
      </c>
      <c r="CI169" s="266"/>
      <c r="CJ169" s="263">
        <v>0</v>
      </c>
      <c r="CK169" s="264">
        <v>0</v>
      </c>
      <c r="CL169" s="265">
        <v>0</v>
      </c>
      <c r="CM169" s="265">
        <v>0</v>
      </c>
      <c r="CN169" s="265">
        <v>0</v>
      </c>
      <c r="CO169" s="265">
        <v>0</v>
      </c>
      <c r="CP169" s="265">
        <v>0</v>
      </c>
      <c r="CQ169" s="265">
        <v>0</v>
      </c>
      <c r="CR169" s="265">
        <v>0</v>
      </c>
      <c r="CS169" s="265">
        <v>0</v>
      </c>
      <c r="CT169" s="265">
        <v>0</v>
      </c>
      <c r="CU169" s="265">
        <v>0</v>
      </c>
      <c r="CV169" s="230">
        <f>+SUBTOTAL(9,CJ169:CU169)</f>
        <v>0</v>
      </c>
      <c r="CW169" s="266"/>
      <c r="CX169" s="263">
        <v>0</v>
      </c>
      <c r="CY169" s="264">
        <v>0</v>
      </c>
      <c r="CZ169" s="265">
        <v>0</v>
      </c>
      <c r="DA169" s="265">
        <v>0</v>
      </c>
      <c r="DB169" s="265">
        <v>0</v>
      </c>
      <c r="DC169" s="265">
        <v>0</v>
      </c>
      <c r="DD169" s="265">
        <v>0</v>
      </c>
      <c r="DE169" s="265">
        <v>0</v>
      </c>
      <c r="DF169" s="265">
        <v>0</v>
      </c>
      <c r="DG169" s="265">
        <v>0</v>
      </c>
      <c r="DH169" s="265">
        <v>0</v>
      </c>
      <c r="DI169" s="265">
        <v>0</v>
      </c>
      <c r="DJ169" s="230">
        <f>+SUBTOTAL(9,CX169:DI169)</f>
        <v>0</v>
      </c>
      <c r="DK169" s="266"/>
      <c r="DL169" s="263">
        <v>0</v>
      </c>
      <c r="DM169" s="264">
        <v>0</v>
      </c>
      <c r="DN169" s="265">
        <v>0</v>
      </c>
      <c r="DO169" s="265">
        <v>0</v>
      </c>
      <c r="DP169" s="265">
        <v>0</v>
      </c>
      <c r="DQ169" s="265">
        <v>0</v>
      </c>
      <c r="DR169" s="265">
        <v>0</v>
      </c>
      <c r="DS169" s="265">
        <v>0</v>
      </c>
      <c r="DT169" s="265">
        <v>0</v>
      </c>
      <c r="DU169" s="265">
        <v>0</v>
      </c>
      <c r="DV169" s="265">
        <v>0</v>
      </c>
      <c r="DW169" s="265">
        <v>0</v>
      </c>
      <c r="DX169" s="230">
        <f>+SUBTOTAL(9,DL169:DW169)</f>
        <v>0</v>
      </c>
      <c r="DY169" s="266"/>
      <c r="DZ169" s="263">
        <v>0</v>
      </c>
      <c r="EA169" s="264">
        <v>0</v>
      </c>
      <c r="EB169" s="265">
        <v>0</v>
      </c>
      <c r="EC169" s="265">
        <v>0</v>
      </c>
      <c r="ED169" s="265">
        <v>0</v>
      </c>
      <c r="EE169" s="265">
        <v>0</v>
      </c>
      <c r="EF169" s="265">
        <v>0</v>
      </c>
      <c r="EG169" s="265">
        <v>0</v>
      </c>
      <c r="EH169" s="265">
        <v>0</v>
      </c>
      <c r="EI169" s="265">
        <v>0</v>
      </c>
      <c r="EJ169" s="265">
        <v>0</v>
      </c>
      <c r="EK169" s="265">
        <v>0</v>
      </c>
      <c r="EL169" s="230">
        <f>+SUBTOTAL(9,DZ169:EK169)</f>
        <v>0</v>
      </c>
      <c r="EM169" s="266"/>
      <c r="EN169" s="263">
        <v>0</v>
      </c>
      <c r="EO169" s="264">
        <v>0</v>
      </c>
      <c r="EP169" s="265">
        <v>0</v>
      </c>
      <c r="EQ169" s="265">
        <v>0</v>
      </c>
      <c r="ER169" s="265">
        <v>0</v>
      </c>
      <c r="ES169" s="265">
        <v>0</v>
      </c>
      <c r="ET169" s="265">
        <v>0</v>
      </c>
      <c r="EU169" s="265">
        <v>0</v>
      </c>
      <c r="EV169" s="265">
        <v>0</v>
      </c>
      <c r="EW169" s="265">
        <v>0</v>
      </c>
      <c r="EX169" s="265">
        <v>0</v>
      </c>
      <c r="EY169" s="265">
        <v>0</v>
      </c>
      <c r="EZ169" s="230">
        <f>+SUBTOTAL(9,EN169:EY169)</f>
        <v>0</v>
      </c>
      <c r="FA169" s="266"/>
      <c r="FB169" s="263">
        <v>0</v>
      </c>
      <c r="FC169" s="264">
        <v>0</v>
      </c>
      <c r="FD169" s="265">
        <v>0</v>
      </c>
      <c r="FE169" s="265">
        <v>0</v>
      </c>
      <c r="FF169" s="265">
        <v>0</v>
      </c>
      <c r="FG169" s="265">
        <v>0</v>
      </c>
      <c r="FH169" s="265">
        <v>0</v>
      </c>
      <c r="FI169" s="265">
        <v>0</v>
      </c>
      <c r="FJ169" s="265">
        <v>0</v>
      </c>
      <c r="FK169" s="265">
        <v>0</v>
      </c>
      <c r="FL169" s="265">
        <v>0</v>
      </c>
      <c r="FM169" s="265">
        <v>0</v>
      </c>
      <c r="FN169" s="230">
        <f>+SUBTOTAL(9,FB169:FM169)</f>
        <v>0</v>
      </c>
      <c r="FO169" s="266"/>
      <c r="FP169" s="263">
        <v>0</v>
      </c>
      <c r="FQ169" s="264">
        <v>0</v>
      </c>
      <c r="FR169" s="265">
        <v>0</v>
      </c>
      <c r="FS169" s="265">
        <v>0</v>
      </c>
      <c r="FT169" s="265">
        <v>0</v>
      </c>
      <c r="FU169" s="265">
        <v>0</v>
      </c>
      <c r="FV169" s="265">
        <v>0</v>
      </c>
      <c r="FW169" s="265">
        <v>0</v>
      </c>
      <c r="FX169" s="265">
        <v>0</v>
      </c>
      <c r="FY169" s="265">
        <v>0</v>
      </c>
      <c r="FZ169" s="265">
        <v>0</v>
      </c>
      <c r="GA169" s="265">
        <v>0</v>
      </c>
      <c r="GB169" s="230">
        <f>+SUBTOTAL(9,FP169:GA169)</f>
        <v>0</v>
      </c>
      <c r="GC169" s="266"/>
      <c r="GD169" s="263">
        <v>0</v>
      </c>
      <c r="GE169" s="264">
        <v>0</v>
      </c>
      <c r="GF169" s="265">
        <v>0</v>
      </c>
      <c r="GG169" s="265">
        <v>0</v>
      </c>
      <c r="GH169" s="265">
        <v>0</v>
      </c>
      <c r="GI169" s="265">
        <v>0</v>
      </c>
      <c r="GJ169" s="265">
        <v>0</v>
      </c>
      <c r="GK169" s="265">
        <v>0</v>
      </c>
      <c r="GL169" s="265">
        <v>0</v>
      </c>
      <c r="GM169" s="265">
        <v>0</v>
      </c>
      <c r="GN169" s="265">
        <v>0</v>
      </c>
      <c r="GO169" s="265">
        <v>0</v>
      </c>
      <c r="GP169" s="230">
        <f>+SUBTOTAL(9,GD169:GO169)</f>
        <v>0</v>
      </c>
      <c r="GQ169" s="266"/>
      <c r="GR169" s="263">
        <v>0</v>
      </c>
      <c r="GS169" s="264">
        <v>0</v>
      </c>
      <c r="GT169" s="265">
        <v>0</v>
      </c>
      <c r="GU169" s="265">
        <v>0</v>
      </c>
      <c r="GV169" s="265">
        <v>0</v>
      </c>
      <c r="GW169" s="265">
        <v>0</v>
      </c>
      <c r="GX169" s="265">
        <v>0</v>
      </c>
      <c r="GY169" s="265">
        <v>0</v>
      </c>
      <c r="GZ169" s="265">
        <v>0</v>
      </c>
      <c r="HA169" s="265">
        <v>0</v>
      </c>
      <c r="HB169" s="265">
        <v>0</v>
      </c>
      <c r="HC169" s="265">
        <v>0</v>
      </c>
      <c r="HD169" s="230">
        <f>+SUBTOTAL(9,GR169:HC169)</f>
        <v>0</v>
      </c>
      <c r="HE169" s="266"/>
      <c r="HF169" s="263">
        <v>0</v>
      </c>
      <c r="HG169" s="264">
        <v>0</v>
      </c>
      <c r="HH169" s="265">
        <v>0</v>
      </c>
      <c r="HI169" s="265">
        <v>0</v>
      </c>
      <c r="HJ169" s="265">
        <v>0</v>
      </c>
      <c r="HK169" s="265">
        <v>0</v>
      </c>
      <c r="HL169" s="265">
        <v>0</v>
      </c>
      <c r="HM169" s="265">
        <v>0</v>
      </c>
      <c r="HN169" s="265">
        <v>0</v>
      </c>
      <c r="HO169" s="265">
        <v>0</v>
      </c>
      <c r="HP169" s="265">
        <v>0</v>
      </c>
      <c r="HQ169" s="265">
        <v>0</v>
      </c>
      <c r="HR169" s="230">
        <f>+SUBTOTAL(9,HF169:HQ169)</f>
        <v>0</v>
      </c>
      <c r="HS169" s="266"/>
      <c r="HT169" s="263">
        <v>0</v>
      </c>
      <c r="HU169" s="264">
        <v>0</v>
      </c>
      <c r="HV169" s="265">
        <v>0</v>
      </c>
      <c r="HW169" s="265">
        <v>0</v>
      </c>
      <c r="HX169" s="265">
        <v>0</v>
      </c>
      <c r="HY169" s="265">
        <v>0</v>
      </c>
      <c r="HZ169" s="265">
        <v>0</v>
      </c>
      <c r="IA169" s="265">
        <v>0</v>
      </c>
      <c r="IB169" s="265">
        <v>0</v>
      </c>
      <c r="IC169" s="265">
        <v>0</v>
      </c>
      <c r="ID169" s="265">
        <v>0</v>
      </c>
      <c r="IE169" s="265">
        <v>0</v>
      </c>
      <c r="IF169" s="230">
        <f>+SUBTOTAL(9,HT169:IE169)</f>
        <v>0</v>
      </c>
      <c r="IG169" s="266"/>
      <c r="IH169" s="263">
        <v>0</v>
      </c>
      <c r="II169" s="264">
        <v>0</v>
      </c>
      <c r="IJ169" s="265">
        <v>0</v>
      </c>
      <c r="IK169" s="265">
        <v>0</v>
      </c>
      <c r="IL169" s="265">
        <v>0</v>
      </c>
      <c r="IM169" s="265">
        <v>0</v>
      </c>
      <c r="IN169" s="265">
        <v>0</v>
      </c>
      <c r="IO169" s="265">
        <v>0</v>
      </c>
      <c r="IP169" s="265">
        <v>0</v>
      </c>
      <c r="IQ169" s="265">
        <v>0</v>
      </c>
      <c r="IR169" s="265">
        <v>0</v>
      </c>
      <c r="IS169" s="265">
        <v>0</v>
      </c>
      <c r="IT169" s="230">
        <f>+SUBTOTAL(9,IH169:IS169)</f>
        <v>0</v>
      </c>
      <c r="IU169" s="266"/>
      <c r="IV169" s="263">
        <v>0</v>
      </c>
      <c r="IW169" s="264">
        <v>0</v>
      </c>
      <c r="IX169" s="265">
        <v>0</v>
      </c>
      <c r="IY169" s="265">
        <v>0</v>
      </c>
      <c r="IZ169" s="265">
        <v>0</v>
      </c>
      <c r="JA169" s="265">
        <v>0</v>
      </c>
      <c r="JB169" s="265">
        <v>0</v>
      </c>
      <c r="JC169" s="265">
        <v>0</v>
      </c>
      <c r="JD169" s="265">
        <v>0</v>
      </c>
      <c r="JE169" s="265">
        <v>0</v>
      </c>
      <c r="JF169" s="265">
        <v>0</v>
      </c>
      <c r="JG169" s="265">
        <v>0</v>
      </c>
      <c r="JH169" s="230">
        <f>+SUBTOTAL(9,IV169:JG169)</f>
        <v>0</v>
      </c>
      <c r="JI169" s="266"/>
      <c r="JJ169" s="263">
        <v>0</v>
      </c>
      <c r="JK169" s="264">
        <v>0</v>
      </c>
      <c r="JL169" s="265">
        <v>0</v>
      </c>
      <c r="JM169" s="265">
        <v>0</v>
      </c>
      <c r="JN169" s="265">
        <v>0</v>
      </c>
      <c r="JO169" s="265">
        <v>0</v>
      </c>
      <c r="JP169" s="265">
        <v>0</v>
      </c>
      <c r="JQ169" s="265">
        <v>0</v>
      </c>
      <c r="JR169" s="265">
        <v>0</v>
      </c>
      <c r="JS169" s="265">
        <v>0</v>
      </c>
      <c r="JT169" s="265">
        <v>0</v>
      </c>
      <c r="JU169" s="265">
        <v>0</v>
      </c>
      <c r="JV169" s="230">
        <f>+SUBTOTAL(9,JJ169:JU169)</f>
        <v>0</v>
      </c>
      <c r="JW169" s="266"/>
      <c r="JX169" s="263">
        <v>0</v>
      </c>
      <c r="JY169" s="264">
        <v>0</v>
      </c>
      <c r="JZ169" s="265">
        <v>0</v>
      </c>
      <c r="KA169" s="265">
        <v>0</v>
      </c>
      <c r="KB169" s="265">
        <v>0</v>
      </c>
      <c r="KC169" s="265">
        <v>0</v>
      </c>
      <c r="KD169" s="265">
        <v>0</v>
      </c>
      <c r="KE169" s="265">
        <v>0</v>
      </c>
      <c r="KF169" s="265">
        <v>0</v>
      </c>
      <c r="KG169" s="265">
        <v>0</v>
      </c>
      <c r="KH169" s="265">
        <v>0</v>
      </c>
      <c r="KI169" s="265">
        <v>0</v>
      </c>
      <c r="KJ169" s="230">
        <f>+SUBTOTAL(9,JX169:KI169)</f>
        <v>0</v>
      </c>
      <c r="KK169" s="266"/>
      <c r="KL169" s="263">
        <v>0</v>
      </c>
      <c r="KM169" s="264">
        <v>0</v>
      </c>
      <c r="KN169" s="265">
        <v>0</v>
      </c>
      <c r="KO169" s="265">
        <v>0</v>
      </c>
      <c r="KP169" s="265">
        <v>0</v>
      </c>
      <c r="KQ169" s="265">
        <v>0</v>
      </c>
      <c r="KR169" s="265">
        <v>0</v>
      </c>
      <c r="KS169" s="265">
        <v>0</v>
      </c>
      <c r="KT169" s="265">
        <v>0</v>
      </c>
      <c r="KU169" s="265">
        <v>0</v>
      </c>
      <c r="KV169" s="265">
        <v>0</v>
      </c>
      <c r="KW169" s="265">
        <v>0</v>
      </c>
      <c r="KX169" s="230">
        <f>+SUBTOTAL(9,KL169:KW169)</f>
        <v>0</v>
      </c>
      <c r="KY169" s="266"/>
      <c r="KZ169" s="263">
        <v>0</v>
      </c>
      <c r="LA169" s="264">
        <v>0</v>
      </c>
      <c r="LB169" s="265">
        <v>0</v>
      </c>
      <c r="LC169" s="265">
        <v>0</v>
      </c>
      <c r="LD169" s="265">
        <v>0</v>
      </c>
      <c r="LE169" s="265">
        <v>0</v>
      </c>
      <c r="LF169" s="265">
        <v>0</v>
      </c>
      <c r="LG169" s="265">
        <v>0</v>
      </c>
      <c r="LH169" s="265">
        <v>0</v>
      </c>
      <c r="LI169" s="265">
        <v>0</v>
      </c>
      <c r="LJ169" s="265">
        <v>0</v>
      </c>
      <c r="LK169" s="265">
        <v>0</v>
      </c>
      <c r="LL169" s="230">
        <f>+SUBTOTAL(9,KZ169:LK169)</f>
        <v>0</v>
      </c>
      <c r="LM169" s="266"/>
      <c r="LN169" s="263">
        <v>0</v>
      </c>
      <c r="LO169" s="264">
        <v>0</v>
      </c>
      <c r="LP169" s="265">
        <v>0</v>
      </c>
      <c r="LQ169" s="265">
        <v>0</v>
      </c>
      <c r="LR169" s="265">
        <v>0</v>
      </c>
      <c r="LS169" s="265">
        <v>0</v>
      </c>
      <c r="LT169" s="265">
        <v>0</v>
      </c>
      <c r="LU169" s="265">
        <v>0</v>
      </c>
      <c r="LV169" s="265">
        <v>0</v>
      </c>
      <c r="LW169" s="265">
        <v>0</v>
      </c>
      <c r="LX169" s="265">
        <v>0</v>
      </c>
      <c r="LY169" s="265">
        <v>0</v>
      </c>
      <c r="LZ169" s="230">
        <f>+SUBTOTAL(9,LN169:LY169)</f>
        <v>0</v>
      </c>
      <c r="MA169" s="266"/>
      <c r="MB169" s="230">
        <f t="shared" ref="MB169:MM170" si="698">SUMIF($D$6:$LY$6,MB$3,$D169:$LY169)</f>
        <v>0</v>
      </c>
      <c r="MC169" s="230">
        <f t="shared" si="698"/>
        <v>0</v>
      </c>
      <c r="MD169" s="230">
        <f t="shared" si="698"/>
        <v>0</v>
      </c>
      <c r="ME169" s="230">
        <f t="shared" si="698"/>
        <v>0</v>
      </c>
      <c r="MF169" s="230">
        <f t="shared" si="698"/>
        <v>0</v>
      </c>
      <c r="MG169" s="230">
        <f t="shared" si="698"/>
        <v>0</v>
      </c>
      <c r="MH169" s="230">
        <f t="shared" si="698"/>
        <v>0</v>
      </c>
      <c r="MI169" s="230">
        <f t="shared" si="698"/>
        <v>0</v>
      </c>
      <c r="MJ169" s="230">
        <f t="shared" si="698"/>
        <v>0</v>
      </c>
      <c r="MK169" s="230">
        <f t="shared" si="698"/>
        <v>0</v>
      </c>
      <c r="ML169" s="230">
        <f t="shared" si="698"/>
        <v>0</v>
      </c>
      <c r="MM169" s="230">
        <f t="shared" si="698"/>
        <v>0</v>
      </c>
      <c r="MN169" s="230">
        <f t="shared" ref="MN169:MN170" si="699">SUM(MB169:MM169)</f>
        <v>0</v>
      </c>
    </row>
    <row r="170" spans="1:352" hidden="1" x14ac:dyDescent="0.25">
      <c r="A170" s="262"/>
      <c r="B170" s="64" t="s">
        <v>207</v>
      </c>
      <c r="C170" s="98"/>
      <c r="D170" s="263">
        <v>0</v>
      </c>
      <c r="E170" s="274">
        <v>0</v>
      </c>
      <c r="F170" s="274">
        <v>0</v>
      </c>
      <c r="G170" s="274">
        <v>0</v>
      </c>
      <c r="H170" s="274">
        <v>0</v>
      </c>
      <c r="I170" s="274">
        <v>0</v>
      </c>
      <c r="J170" s="274">
        <v>0</v>
      </c>
      <c r="K170" s="274">
        <v>0</v>
      </c>
      <c r="L170" s="274">
        <v>0</v>
      </c>
      <c r="M170" s="274">
        <v>0</v>
      </c>
      <c r="N170" s="274">
        <v>0</v>
      </c>
      <c r="O170" s="274">
        <v>0</v>
      </c>
      <c r="P170" s="230">
        <f>+SUBTOTAL(9,D170:O170)</f>
        <v>0</v>
      </c>
      <c r="Q170" s="266"/>
      <c r="R170" s="263">
        <v>0</v>
      </c>
      <c r="S170" s="274">
        <v>0</v>
      </c>
      <c r="T170" s="274">
        <v>0</v>
      </c>
      <c r="U170" s="274">
        <v>0</v>
      </c>
      <c r="V170" s="274">
        <v>0</v>
      </c>
      <c r="W170" s="274">
        <v>0</v>
      </c>
      <c r="X170" s="274">
        <v>0</v>
      </c>
      <c r="Y170" s="274">
        <v>0</v>
      </c>
      <c r="Z170" s="274">
        <v>0</v>
      </c>
      <c r="AA170" s="274">
        <v>0</v>
      </c>
      <c r="AB170" s="274">
        <v>0</v>
      </c>
      <c r="AC170" s="274">
        <v>0</v>
      </c>
      <c r="AD170" s="230">
        <f>+SUBTOTAL(9,R170:AC170)</f>
        <v>0</v>
      </c>
      <c r="AE170" s="266"/>
      <c r="AF170" s="263">
        <v>0</v>
      </c>
      <c r="AG170" s="274">
        <v>0</v>
      </c>
      <c r="AH170" s="274">
        <v>0</v>
      </c>
      <c r="AI170" s="274">
        <v>0</v>
      </c>
      <c r="AJ170" s="274">
        <v>0</v>
      </c>
      <c r="AK170" s="274">
        <v>0</v>
      </c>
      <c r="AL170" s="274">
        <v>0</v>
      </c>
      <c r="AM170" s="274">
        <v>0</v>
      </c>
      <c r="AN170" s="274">
        <v>0</v>
      </c>
      <c r="AO170" s="274">
        <v>0</v>
      </c>
      <c r="AP170" s="274">
        <v>0</v>
      </c>
      <c r="AQ170" s="274">
        <v>0</v>
      </c>
      <c r="AR170" s="230">
        <f>+SUBTOTAL(9,AF170:AQ170)</f>
        <v>0</v>
      </c>
      <c r="AS170" s="266"/>
      <c r="AT170" s="263">
        <v>0</v>
      </c>
      <c r="AU170" s="274">
        <v>0</v>
      </c>
      <c r="AV170" s="274">
        <v>0</v>
      </c>
      <c r="AW170" s="274">
        <v>0</v>
      </c>
      <c r="AX170" s="274">
        <v>0</v>
      </c>
      <c r="AY170" s="274">
        <v>0</v>
      </c>
      <c r="AZ170" s="274">
        <v>0</v>
      </c>
      <c r="BA170" s="274">
        <v>0</v>
      </c>
      <c r="BB170" s="265">
        <v>0</v>
      </c>
      <c r="BC170" s="265">
        <v>0</v>
      </c>
      <c r="BD170" s="265">
        <v>0</v>
      </c>
      <c r="BE170" s="265">
        <v>0</v>
      </c>
      <c r="BF170" s="230">
        <f>+SUBTOTAL(9,AT170:BE170)</f>
        <v>0</v>
      </c>
      <c r="BG170" s="266"/>
      <c r="BH170" s="263">
        <v>0</v>
      </c>
      <c r="BI170" s="264">
        <v>0</v>
      </c>
      <c r="BJ170" s="265">
        <v>0</v>
      </c>
      <c r="BK170" s="265">
        <v>0</v>
      </c>
      <c r="BL170" s="265">
        <v>0</v>
      </c>
      <c r="BM170" s="265">
        <v>0</v>
      </c>
      <c r="BN170" s="265">
        <v>0</v>
      </c>
      <c r="BO170" s="265">
        <v>0</v>
      </c>
      <c r="BP170" s="265">
        <v>0</v>
      </c>
      <c r="BQ170" s="265">
        <v>0</v>
      </c>
      <c r="BR170" s="265">
        <v>0</v>
      </c>
      <c r="BS170" s="265">
        <v>0</v>
      </c>
      <c r="BT170" s="230">
        <f>+SUBTOTAL(9,BH170:BS170)</f>
        <v>0</v>
      </c>
      <c r="BU170" s="266"/>
      <c r="BV170" s="263">
        <v>0</v>
      </c>
      <c r="BW170" s="264">
        <v>0</v>
      </c>
      <c r="BX170" s="265">
        <v>0</v>
      </c>
      <c r="BY170" s="265">
        <v>0</v>
      </c>
      <c r="BZ170" s="265">
        <v>0</v>
      </c>
      <c r="CA170" s="265">
        <v>0</v>
      </c>
      <c r="CB170" s="265">
        <v>0</v>
      </c>
      <c r="CC170" s="265">
        <v>0</v>
      </c>
      <c r="CD170" s="265">
        <v>0</v>
      </c>
      <c r="CE170" s="265">
        <v>0</v>
      </c>
      <c r="CF170" s="265">
        <v>0</v>
      </c>
      <c r="CG170" s="265">
        <v>0</v>
      </c>
      <c r="CH170" s="230">
        <f>+SUBTOTAL(9,BV170:CG170)</f>
        <v>0</v>
      </c>
      <c r="CI170" s="266"/>
      <c r="CJ170" s="263">
        <v>0</v>
      </c>
      <c r="CK170" s="264">
        <v>0</v>
      </c>
      <c r="CL170" s="265">
        <v>0</v>
      </c>
      <c r="CM170" s="265">
        <v>0</v>
      </c>
      <c r="CN170" s="265">
        <v>0</v>
      </c>
      <c r="CO170" s="265">
        <v>0</v>
      </c>
      <c r="CP170" s="265">
        <v>0</v>
      </c>
      <c r="CQ170" s="265">
        <v>0</v>
      </c>
      <c r="CR170" s="265">
        <v>0</v>
      </c>
      <c r="CS170" s="265">
        <v>0</v>
      </c>
      <c r="CT170" s="265">
        <v>0</v>
      </c>
      <c r="CU170" s="265">
        <v>0</v>
      </c>
      <c r="CV170" s="230">
        <f>+SUBTOTAL(9,CJ170:CU170)</f>
        <v>0</v>
      </c>
      <c r="CW170" s="266"/>
      <c r="CX170" s="263">
        <v>0</v>
      </c>
      <c r="CY170" s="264">
        <v>0</v>
      </c>
      <c r="CZ170" s="265">
        <v>0</v>
      </c>
      <c r="DA170" s="265">
        <v>0</v>
      </c>
      <c r="DB170" s="265">
        <v>0</v>
      </c>
      <c r="DC170" s="265">
        <v>0</v>
      </c>
      <c r="DD170" s="265">
        <v>0</v>
      </c>
      <c r="DE170" s="265">
        <v>0</v>
      </c>
      <c r="DF170" s="265">
        <v>0</v>
      </c>
      <c r="DG170" s="265">
        <v>0</v>
      </c>
      <c r="DH170" s="265">
        <v>0</v>
      </c>
      <c r="DI170" s="265">
        <v>0</v>
      </c>
      <c r="DJ170" s="230">
        <f>+SUBTOTAL(9,CX170:DI170)</f>
        <v>0</v>
      </c>
      <c r="DK170" s="266"/>
      <c r="DL170" s="263">
        <v>0</v>
      </c>
      <c r="DM170" s="264">
        <v>0</v>
      </c>
      <c r="DN170" s="265">
        <v>0</v>
      </c>
      <c r="DO170" s="265">
        <v>0</v>
      </c>
      <c r="DP170" s="265">
        <v>0</v>
      </c>
      <c r="DQ170" s="265">
        <v>0</v>
      </c>
      <c r="DR170" s="265">
        <v>0</v>
      </c>
      <c r="DS170" s="265">
        <v>0</v>
      </c>
      <c r="DT170" s="265">
        <v>0</v>
      </c>
      <c r="DU170" s="265">
        <v>0</v>
      </c>
      <c r="DV170" s="265">
        <v>0</v>
      </c>
      <c r="DW170" s="265">
        <v>0</v>
      </c>
      <c r="DX170" s="230">
        <f>+SUBTOTAL(9,DL170:DW170)</f>
        <v>0</v>
      </c>
      <c r="DY170" s="266"/>
      <c r="DZ170" s="263">
        <v>0</v>
      </c>
      <c r="EA170" s="264">
        <v>0</v>
      </c>
      <c r="EB170" s="265">
        <v>0</v>
      </c>
      <c r="EC170" s="265">
        <v>0</v>
      </c>
      <c r="ED170" s="265">
        <v>0</v>
      </c>
      <c r="EE170" s="265">
        <v>0</v>
      </c>
      <c r="EF170" s="265">
        <v>0</v>
      </c>
      <c r="EG170" s="265">
        <v>0</v>
      </c>
      <c r="EH170" s="265">
        <v>0</v>
      </c>
      <c r="EI170" s="265">
        <v>0</v>
      </c>
      <c r="EJ170" s="265">
        <v>0</v>
      </c>
      <c r="EK170" s="265">
        <v>0</v>
      </c>
      <c r="EL170" s="230">
        <f>+SUBTOTAL(9,DZ170:EK170)</f>
        <v>0</v>
      </c>
      <c r="EM170" s="266"/>
      <c r="EN170" s="263">
        <v>0</v>
      </c>
      <c r="EO170" s="264">
        <v>0</v>
      </c>
      <c r="EP170" s="265">
        <v>0</v>
      </c>
      <c r="EQ170" s="265">
        <v>0</v>
      </c>
      <c r="ER170" s="265">
        <v>0</v>
      </c>
      <c r="ES170" s="265">
        <v>0</v>
      </c>
      <c r="ET170" s="265">
        <v>0</v>
      </c>
      <c r="EU170" s="265">
        <v>0</v>
      </c>
      <c r="EV170" s="265">
        <v>0</v>
      </c>
      <c r="EW170" s="265">
        <v>0</v>
      </c>
      <c r="EX170" s="265">
        <v>0</v>
      </c>
      <c r="EY170" s="265">
        <v>0</v>
      </c>
      <c r="EZ170" s="230">
        <f>+SUBTOTAL(9,EN170:EY170)</f>
        <v>0</v>
      </c>
      <c r="FA170" s="266"/>
      <c r="FB170" s="263">
        <v>0</v>
      </c>
      <c r="FC170" s="264">
        <v>0</v>
      </c>
      <c r="FD170" s="265">
        <v>0</v>
      </c>
      <c r="FE170" s="265">
        <v>0</v>
      </c>
      <c r="FF170" s="265">
        <v>0</v>
      </c>
      <c r="FG170" s="265">
        <v>0</v>
      </c>
      <c r="FH170" s="265">
        <v>0</v>
      </c>
      <c r="FI170" s="265">
        <v>0</v>
      </c>
      <c r="FJ170" s="265">
        <v>0</v>
      </c>
      <c r="FK170" s="265">
        <v>0</v>
      </c>
      <c r="FL170" s="265">
        <v>0</v>
      </c>
      <c r="FM170" s="265">
        <v>0</v>
      </c>
      <c r="FN170" s="230">
        <f>+SUBTOTAL(9,FB170:FM170)</f>
        <v>0</v>
      </c>
      <c r="FO170" s="266"/>
      <c r="FP170" s="263">
        <v>0</v>
      </c>
      <c r="FQ170" s="264">
        <v>0</v>
      </c>
      <c r="FR170" s="265">
        <v>0</v>
      </c>
      <c r="FS170" s="265">
        <v>0</v>
      </c>
      <c r="FT170" s="265">
        <v>0</v>
      </c>
      <c r="FU170" s="265">
        <v>0</v>
      </c>
      <c r="FV170" s="265">
        <v>0</v>
      </c>
      <c r="FW170" s="265">
        <v>0</v>
      </c>
      <c r="FX170" s="265">
        <v>0</v>
      </c>
      <c r="FY170" s="265">
        <v>0</v>
      </c>
      <c r="FZ170" s="265">
        <v>0</v>
      </c>
      <c r="GA170" s="265">
        <v>0</v>
      </c>
      <c r="GB170" s="230">
        <f>+SUBTOTAL(9,FP170:GA170)</f>
        <v>0</v>
      </c>
      <c r="GC170" s="266"/>
      <c r="GD170" s="263">
        <v>0</v>
      </c>
      <c r="GE170" s="264">
        <v>0</v>
      </c>
      <c r="GF170" s="265">
        <v>0</v>
      </c>
      <c r="GG170" s="265">
        <v>0</v>
      </c>
      <c r="GH170" s="265">
        <v>0</v>
      </c>
      <c r="GI170" s="265">
        <v>0</v>
      </c>
      <c r="GJ170" s="265">
        <v>0</v>
      </c>
      <c r="GK170" s="265">
        <v>0</v>
      </c>
      <c r="GL170" s="265">
        <v>0</v>
      </c>
      <c r="GM170" s="265">
        <v>0</v>
      </c>
      <c r="GN170" s="265">
        <v>0</v>
      </c>
      <c r="GO170" s="265">
        <v>0</v>
      </c>
      <c r="GP170" s="230">
        <f>+SUBTOTAL(9,GD170:GO170)</f>
        <v>0</v>
      </c>
      <c r="GQ170" s="266"/>
      <c r="GR170" s="263">
        <v>0</v>
      </c>
      <c r="GS170" s="264">
        <v>0</v>
      </c>
      <c r="GT170" s="265">
        <v>0</v>
      </c>
      <c r="GU170" s="265">
        <v>0</v>
      </c>
      <c r="GV170" s="265">
        <v>0</v>
      </c>
      <c r="GW170" s="265">
        <v>0</v>
      </c>
      <c r="GX170" s="265">
        <v>0</v>
      </c>
      <c r="GY170" s="265">
        <v>0</v>
      </c>
      <c r="GZ170" s="265">
        <v>0</v>
      </c>
      <c r="HA170" s="265">
        <v>0</v>
      </c>
      <c r="HB170" s="265">
        <v>0</v>
      </c>
      <c r="HC170" s="265">
        <v>0</v>
      </c>
      <c r="HD170" s="230">
        <f>+SUBTOTAL(9,GR170:HC170)</f>
        <v>0</v>
      </c>
      <c r="HE170" s="266"/>
      <c r="HF170" s="263">
        <v>0</v>
      </c>
      <c r="HG170" s="264">
        <v>0</v>
      </c>
      <c r="HH170" s="265">
        <v>0</v>
      </c>
      <c r="HI170" s="265">
        <v>0</v>
      </c>
      <c r="HJ170" s="265">
        <v>0</v>
      </c>
      <c r="HK170" s="265">
        <v>0</v>
      </c>
      <c r="HL170" s="265">
        <v>0</v>
      </c>
      <c r="HM170" s="265">
        <v>0</v>
      </c>
      <c r="HN170" s="265">
        <v>0</v>
      </c>
      <c r="HO170" s="265">
        <v>0</v>
      </c>
      <c r="HP170" s="265">
        <v>0</v>
      </c>
      <c r="HQ170" s="265">
        <v>0</v>
      </c>
      <c r="HR170" s="230">
        <f>+SUBTOTAL(9,HF170:HQ170)</f>
        <v>0</v>
      </c>
      <c r="HS170" s="266"/>
      <c r="HT170" s="263">
        <v>0</v>
      </c>
      <c r="HU170" s="264">
        <v>0</v>
      </c>
      <c r="HV170" s="265">
        <v>0</v>
      </c>
      <c r="HW170" s="265">
        <v>0</v>
      </c>
      <c r="HX170" s="265">
        <v>0</v>
      </c>
      <c r="HY170" s="265">
        <v>0</v>
      </c>
      <c r="HZ170" s="265">
        <v>0</v>
      </c>
      <c r="IA170" s="265">
        <v>0</v>
      </c>
      <c r="IB170" s="265">
        <v>0</v>
      </c>
      <c r="IC170" s="265">
        <v>0</v>
      </c>
      <c r="ID170" s="265">
        <v>0</v>
      </c>
      <c r="IE170" s="265">
        <v>0</v>
      </c>
      <c r="IF170" s="230">
        <f>+SUBTOTAL(9,HT170:IE170)</f>
        <v>0</v>
      </c>
      <c r="IG170" s="266"/>
      <c r="IH170" s="263">
        <v>0</v>
      </c>
      <c r="II170" s="264">
        <v>0</v>
      </c>
      <c r="IJ170" s="265">
        <v>0</v>
      </c>
      <c r="IK170" s="265">
        <v>0</v>
      </c>
      <c r="IL170" s="265">
        <v>0</v>
      </c>
      <c r="IM170" s="265">
        <v>0</v>
      </c>
      <c r="IN170" s="265">
        <v>0</v>
      </c>
      <c r="IO170" s="265">
        <v>0</v>
      </c>
      <c r="IP170" s="265">
        <v>0</v>
      </c>
      <c r="IQ170" s="265">
        <v>0</v>
      </c>
      <c r="IR170" s="265">
        <v>0</v>
      </c>
      <c r="IS170" s="265">
        <v>0</v>
      </c>
      <c r="IT170" s="230">
        <f>+SUBTOTAL(9,IH170:IS170)</f>
        <v>0</v>
      </c>
      <c r="IU170" s="266"/>
      <c r="IV170" s="263">
        <v>0</v>
      </c>
      <c r="IW170" s="264">
        <v>0</v>
      </c>
      <c r="IX170" s="265">
        <v>0</v>
      </c>
      <c r="IY170" s="265">
        <v>0</v>
      </c>
      <c r="IZ170" s="265">
        <v>0</v>
      </c>
      <c r="JA170" s="265">
        <v>0</v>
      </c>
      <c r="JB170" s="265">
        <v>0</v>
      </c>
      <c r="JC170" s="265">
        <v>0</v>
      </c>
      <c r="JD170" s="265">
        <v>0</v>
      </c>
      <c r="JE170" s="265">
        <v>0</v>
      </c>
      <c r="JF170" s="265">
        <v>0</v>
      </c>
      <c r="JG170" s="265">
        <v>0</v>
      </c>
      <c r="JH170" s="230">
        <f>+SUBTOTAL(9,IV170:JG170)</f>
        <v>0</v>
      </c>
      <c r="JI170" s="266"/>
      <c r="JJ170" s="263">
        <v>0</v>
      </c>
      <c r="JK170" s="264">
        <v>0</v>
      </c>
      <c r="JL170" s="265">
        <v>0</v>
      </c>
      <c r="JM170" s="265">
        <v>0</v>
      </c>
      <c r="JN170" s="265">
        <v>0</v>
      </c>
      <c r="JO170" s="265">
        <v>0</v>
      </c>
      <c r="JP170" s="265">
        <v>0</v>
      </c>
      <c r="JQ170" s="265">
        <v>0</v>
      </c>
      <c r="JR170" s="265">
        <v>0</v>
      </c>
      <c r="JS170" s="265">
        <v>0</v>
      </c>
      <c r="JT170" s="265">
        <v>0</v>
      </c>
      <c r="JU170" s="265">
        <v>0</v>
      </c>
      <c r="JV170" s="230">
        <f>+SUBTOTAL(9,JJ170:JU170)</f>
        <v>0</v>
      </c>
      <c r="JW170" s="266"/>
      <c r="JX170" s="263">
        <v>0</v>
      </c>
      <c r="JY170" s="264">
        <v>0</v>
      </c>
      <c r="JZ170" s="265">
        <v>0</v>
      </c>
      <c r="KA170" s="265">
        <v>0</v>
      </c>
      <c r="KB170" s="265">
        <v>0</v>
      </c>
      <c r="KC170" s="265">
        <v>0</v>
      </c>
      <c r="KD170" s="265">
        <v>0</v>
      </c>
      <c r="KE170" s="265">
        <v>0</v>
      </c>
      <c r="KF170" s="265">
        <v>0</v>
      </c>
      <c r="KG170" s="265">
        <v>0</v>
      </c>
      <c r="KH170" s="265">
        <v>0</v>
      </c>
      <c r="KI170" s="265">
        <v>0</v>
      </c>
      <c r="KJ170" s="230">
        <f>+SUBTOTAL(9,JX170:KI170)</f>
        <v>0</v>
      </c>
      <c r="KK170" s="266"/>
      <c r="KL170" s="263">
        <v>0</v>
      </c>
      <c r="KM170" s="264">
        <v>0</v>
      </c>
      <c r="KN170" s="265">
        <v>0</v>
      </c>
      <c r="KO170" s="265">
        <v>0</v>
      </c>
      <c r="KP170" s="265">
        <v>0</v>
      </c>
      <c r="KQ170" s="265">
        <v>0</v>
      </c>
      <c r="KR170" s="265">
        <v>0</v>
      </c>
      <c r="KS170" s="265">
        <v>0</v>
      </c>
      <c r="KT170" s="265">
        <v>0</v>
      </c>
      <c r="KU170" s="265">
        <v>0</v>
      </c>
      <c r="KV170" s="265">
        <v>0</v>
      </c>
      <c r="KW170" s="265">
        <v>0</v>
      </c>
      <c r="KX170" s="230">
        <f>+SUBTOTAL(9,KL170:KW170)</f>
        <v>0</v>
      </c>
      <c r="KY170" s="266"/>
      <c r="KZ170" s="263">
        <v>0</v>
      </c>
      <c r="LA170" s="264">
        <v>0</v>
      </c>
      <c r="LB170" s="265">
        <v>0</v>
      </c>
      <c r="LC170" s="265">
        <v>0</v>
      </c>
      <c r="LD170" s="265">
        <v>0</v>
      </c>
      <c r="LE170" s="265">
        <v>0</v>
      </c>
      <c r="LF170" s="265">
        <v>0</v>
      </c>
      <c r="LG170" s="265">
        <v>0</v>
      </c>
      <c r="LH170" s="265">
        <v>0</v>
      </c>
      <c r="LI170" s="265">
        <v>0</v>
      </c>
      <c r="LJ170" s="265">
        <v>0</v>
      </c>
      <c r="LK170" s="265">
        <v>0</v>
      </c>
      <c r="LL170" s="230">
        <f>+SUBTOTAL(9,KZ170:LK170)</f>
        <v>0</v>
      </c>
      <c r="LM170" s="266"/>
      <c r="LN170" s="263">
        <v>0</v>
      </c>
      <c r="LO170" s="264">
        <v>0</v>
      </c>
      <c r="LP170" s="265">
        <v>0</v>
      </c>
      <c r="LQ170" s="265">
        <v>0</v>
      </c>
      <c r="LR170" s="265">
        <v>0</v>
      </c>
      <c r="LS170" s="265">
        <v>0</v>
      </c>
      <c r="LT170" s="265">
        <v>0</v>
      </c>
      <c r="LU170" s="265">
        <v>0</v>
      </c>
      <c r="LV170" s="265">
        <v>0</v>
      </c>
      <c r="LW170" s="265">
        <v>0</v>
      </c>
      <c r="LX170" s="265">
        <v>0</v>
      </c>
      <c r="LY170" s="265">
        <v>0</v>
      </c>
      <c r="LZ170" s="230">
        <f>+SUBTOTAL(9,LN170:LY170)</f>
        <v>0</v>
      </c>
      <c r="MA170" s="266"/>
      <c r="MB170" s="230">
        <f t="shared" si="698"/>
        <v>0</v>
      </c>
      <c r="MC170" s="230">
        <f t="shared" si="698"/>
        <v>0</v>
      </c>
      <c r="MD170" s="230">
        <f t="shared" si="698"/>
        <v>0</v>
      </c>
      <c r="ME170" s="230">
        <f t="shared" si="698"/>
        <v>0</v>
      </c>
      <c r="MF170" s="230">
        <f t="shared" si="698"/>
        <v>0</v>
      </c>
      <c r="MG170" s="230">
        <f t="shared" si="698"/>
        <v>0</v>
      </c>
      <c r="MH170" s="230">
        <f t="shared" si="698"/>
        <v>0</v>
      </c>
      <c r="MI170" s="230">
        <f t="shared" si="698"/>
        <v>0</v>
      </c>
      <c r="MJ170" s="230">
        <f t="shared" si="698"/>
        <v>0</v>
      </c>
      <c r="MK170" s="230">
        <f t="shared" si="698"/>
        <v>0</v>
      </c>
      <c r="ML170" s="230">
        <f t="shared" si="698"/>
        <v>0</v>
      </c>
      <c r="MM170" s="230">
        <f t="shared" si="698"/>
        <v>0</v>
      </c>
      <c r="MN170" s="230">
        <f t="shared" si="699"/>
        <v>0</v>
      </c>
    </row>
    <row r="171" spans="1:352" hidden="1" x14ac:dyDescent="0.25">
      <c r="A171" s="262"/>
      <c r="B171" s="183"/>
      <c r="C171" s="98"/>
      <c r="D171" s="279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30"/>
      <c r="Q171" s="266"/>
      <c r="R171" s="279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30"/>
      <c r="AE171" s="266"/>
      <c r="AF171" s="279"/>
      <c r="AG171" s="274"/>
      <c r="AH171" s="274"/>
      <c r="AI171" s="274"/>
      <c r="AJ171" s="274"/>
      <c r="AK171" s="274"/>
      <c r="AL171" s="274"/>
      <c r="AM171" s="274"/>
      <c r="AN171" s="274"/>
      <c r="AO171" s="274"/>
      <c r="AP171" s="274"/>
      <c r="AQ171" s="274"/>
      <c r="AR171" s="230"/>
      <c r="AS171" s="266"/>
      <c r="AT171" s="279"/>
      <c r="AU171" s="274"/>
      <c r="AV171" s="274"/>
      <c r="AW171" s="274"/>
      <c r="AX171" s="274"/>
      <c r="AY171" s="274"/>
      <c r="AZ171" s="274"/>
      <c r="BA171" s="274"/>
      <c r="BB171" s="274"/>
      <c r="BC171" s="274"/>
      <c r="BD171" s="274"/>
      <c r="BE171" s="274"/>
      <c r="BF171" s="230"/>
      <c r="BG171" s="266"/>
      <c r="BH171" s="279"/>
      <c r="BI171" s="274"/>
      <c r="BJ171" s="274"/>
      <c r="BK171" s="274"/>
      <c r="BL171" s="274"/>
      <c r="BM171" s="274"/>
      <c r="BN171" s="274"/>
      <c r="BO171" s="274"/>
      <c r="BP171" s="274"/>
      <c r="BQ171" s="274"/>
      <c r="BR171" s="274"/>
      <c r="BS171" s="274"/>
      <c r="BT171" s="230"/>
      <c r="BU171" s="266"/>
      <c r="BV171" s="279"/>
      <c r="BW171" s="274"/>
      <c r="BX171" s="274"/>
      <c r="BY171" s="274"/>
      <c r="BZ171" s="274"/>
      <c r="CA171" s="274"/>
      <c r="CB171" s="274"/>
      <c r="CC171" s="274"/>
      <c r="CD171" s="274"/>
      <c r="CE171" s="274"/>
      <c r="CF171" s="274"/>
      <c r="CG171" s="274"/>
      <c r="CH171" s="230"/>
      <c r="CI171" s="266"/>
      <c r="CJ171" s="279"/>
      <c r="CK171" s="274"/>
      <c r="CL171" s="274"/>
      <c r="CM171" s="274"/>
      <c r="CN171" s="274"/>
      <c r="CO171" s="274"/>
      <c r="CP171" s="274"/>
      <c r="CQ171" s="274"/>
      <c r="CR171" s="274"/>
      <c r="CS171" s="274"/>
      <c r="CT171" s="274"/>
      <c r="CU171" s="274"/>
      <c r="CV171" s="230"/>
      <c r="CW171" s="266"/>
      <c r="CX171" s="279"/>
      <c r="CY171" s="274"/>
      <c r="CZ171" s="274"/>
      <c r="DA171" s="274"/>
      <c r="DB171" s="274"/>
      <c r="DC171" s="274"/>
      <c r="DD171" s="274"/>
      <c r="DE171" s="274"/>
      <c r="DF171" s="274"/>
      <c r="DG171" s="274"/>
      <c r="DH171" s="274"/>
      <c r="DI171" s="274"/>
      <c r="DJ171" s="230"/>
      <c r="DK171" s="266"/>
      <c r="DL171" s="279"/>
      <c r="DM171" s="274"/>
      <c r="DN171" s="274"/>
      <c r="DO171" s="274"/>
      <c r="DP171" s="274"/>
      <c r="DQ171" s="274"/>
      <c r="DR171" s="274"/>
      <c r="DS171" s="274"/>
      <c r="DT171" s="274"/>
      <c r="DU171" s="274"/>
      <c r="DV171" s="274"/>
      <c r="DW171" s="274"/>
      <c r="DX171" s="230"/>
      <c r="DY171" s="266"/>
      <c r="DZ171" s="279"/>
      <c r="EA171" s="274"/>
      <c r="EB171" s="274"/>
      <c r="EC171" s="274"/>
      <c r="ED171" s="274"/>
      <c r="EE171" s="274"/>
      <c r="EF171" s="274"/>
      <c r="EG171" s="274"/>
      <c r="EH171" s="274"/>
      <c r="EI171" s="274"/>
      <c r="EJ171" s="274"/>
      <c r="EK171" s="274"/>
      <c r="EL171" s="230"/>
      <c r="EM171" s="266"/>
      <c r="EN171" s="279"/>
      <c r="EO171" s="274"/>
      <c r="EP171" s="274"/>
      <c r="EQ171" s="274"/>
      <c r="ER171" s="274"/>
      <c r="ES171" s="274"/>
      <c r="ET171" s="274"/>
      <c r="EU171" s="274"/>
      <c r="EV171" s="274"/>
      <c r="EW171" s="274"/>
      <c r="EX171" s="274"/>
      <c r="EY171" s="274"/>
      <c r="EZ171" s="230"/>
      <c r="FA171" s="266"/>
      <c r="FB171" s="279"/>
      <c r="FC171" s="274"/>
      <c r="FD171" s="274"/>
      <c r="FE171" s="274"/>
      <c r="FF171" s="274"/>
      <c r="FG171" s="274"/>
      <c r="FH171" s="274"/>
      <c r="FI171" s="274"/>
      <c r="FJ171" s="274"/>
      <c r="FK171" s="274"/>
      <c r="FL171" s="274"/>
      <c r="FM171" s="274"/>
      <c r="FN171" s="230"/>
      <c r="FO171" s="266"/>
      <c r="FP171" s="279"/>
      <c r="FQ171" s="274"/>
      <c r="FR171" s="274"/>
      <c r="FS171" s="274"/>
      <c r="FT171" s="274"/>
      <c r="FU171" s="274"/>
      <c r="FV171" s="274"/>
      <c r="FW171" s="274"/>
      <c r="FX171" s="274"/>
      <c r="FY171" s="274"/>
      <c r="FZ171" s="274"/>
      <c r="GA171" s="274"/>
      <c r="GB171" s="230"/>
      <c r="GC171" s="266"/>
      <c r="GD171" s="279"/>
      <c r="GE171" s="274"/>
      <c r="GF171" s="274"/>
      <c r="GG171" s="274"/>
      <c r="GH171" s="274"/>
      <c r="GI171" s="274"/>
      <c r="GJ171" s="274"/>
      <c r="GK171" s="274"/>
      <c r="GL171" s="274"/>
      <c r="GM171" s="274"/>
      <c r="GN171" s="274"/>
      <c r="GO171" s="274"/>
      <c r="GP171" s="230"/>
      <c r="GQ171" s="266"/>
      <c r="GR171" s="279"/>
      <c r="GS171" s="274"/>
      <c r="GT171" s="274"/>
      <c r="GU171" s="274"/>
      <c r="GV171" s="274"/>
      <c r="GW171" s="274"/>
      <c r="GX171" s="274"/>
      <c r="GY171" s="274"/>
      <c r="GZ171" s="274"/>
      <c r="HA171" s="274"/>
      <c r="HB171" s="274"/>
      <c r="HC171" s="274"/>
      <c r="HD171" s="230"/>
      <c r="HE171" s="266"/>
      <c r="HF171" s="279"/>
      <c r="HG171" s="274"/>
      <c r="HH171" s="274"/>
      <c r="HI171" s="274"/>
      <c r="HJ171" s="274"/>
      <c r="HK171" s="274"/>
      <c r="HL171" s="274"/>
      <c r="HM171" s="274"/>
      <c r="HN171" s="274"/>
      <c r="HO171" s="274"/>
      <c r="HP171" s="274"/>
      <c r="HQ171" s="274"/>
      <c r="HR171" s="230"/>
      <c r="HS171" s="266"/>
      <c r="HT171" s="279"/>
      <c r="HU171" s="274"/>
      <c r="HV171" s="274"/>
      <c r="HW171" s="274"/>
      <c r="HX171" s="274"/>
      <c r="HY171" s="274"/>
      <c r="HZ171" s="274"/>
      <c r="IA171" s="274"/>
      <c r="IB171" s="274"/>
      <c r="IC171" s="274"/>
      <c r="ID171" s="274"/>
      <c r="IE171" s="274"/>
      <c r="IF171" s="230"/>
      <c r="IG171" s="266"/>
      <c r="IH171" s="279"/>
      <c r="II171" s="274"/>
      <c r="IJ171" s="274"/>
      <c r="IK171" s="274"/>
      <c r="IL171" s="274"/>
      <c r="IM171" s="274"/>
      <c r="IN171" s="274"/>
      <c r="IO171" s="274"/>
      <c r="IP171" s="274"/>
      <c r="IQ171" s="274"/>
      <c r="IR171" s="274"/>
      <c r="IS171" s="274"/>
      <c r="IT171" s="230"/>
      <c r="IU171" s="266"/>
      <c r="IV171" s="279"/>
      <c r="IW171" s="274"/>
      <c r="IX171" s="274"/>
      <c r="IY171" s="274"/>
      <c r="IZ171" s="274"/>
      <c r="JA171" s="274"/>
      <c r="JB171" s="274"/>
      <c r="JC171" s="274"/>
      <c r="JD171" s="274"/>
      <c r="JE171" s="274"/>
      <c r="JF171" s="274"/>
      <c r="JG171" s="274"/>
      <c r="JH171" s="230"/>
      <c r="JI171" s="266"/>
      <c r="JJ171" s="279"/>
      <c r="JK171" s="274"/>
      <c r="JL171" s="274"/>
      <c r="JM171" s="274"/>
      <c r="JN171" s="274"/>
      <c r="JO171" s="274"/>
      <c r="JP171" s="274"/>
      <c r="JQ171" s="274"/>
      <c r="JR171" s="274"/>
      <c r="JS171" s="274"/>
      <c r="JT171" s="274"/>
      <c r="JU171" s="274"/>
      <c r="JV171" s="230"/>
      <c r="JW171" s="266"/>
      <c r="JX171" s="279"/>
      <c r="JY171" s="274"/>
      <c r="JZ171" s="274"/>
      <c r="KA171" s="274"/>
      <c r="KB171" s="274"/>
      <c r="KC171" s="274"/>
      <c r="KD171" s="274"/>
      <c r="KE171" s="274"/>
      <c r="KF171" s="274"/>
      <c r="KG171" s="274"/>
      <c r="KH171" s="274"/>
      <c r="KI171" s="274"/>
      <c r="KJ171" s="230"/>
      <c r="KK171" s="266"/>
      <c r="KL171" s="279"/>
      <c r="KM171" s="274"/>
      <c r="KN171" s="274"/>
      <c r="KO171" s="274"/>
      <c r="KP171" s="274"/>
      <c r="KQ171" s="274"/>
      <c r="KR171" s="274"/>
      <c r="KS171" s="274"/>
      <c r="KT171" s="274"/>
      <c r="KU171" s="274"/>
      <c r="KV171" s="274"/>
      <c r="KW171" s="274"/>
      <c r="KX171" s="230"/>
      <c r="KY171" s="266"/>
      <c r="KZ171" s="279"/>
      <c r="LA171" s="274"/>
      <c r="LB171" s="274"/>
      <c r="LC171" s="274"/>
      <c r="LD171" s="274"/>
      <c r="LE171" s="274"/>
      <c r="LF171" s="274"/>
      <c r="LG171" s="274"/>
      <c r="LH171" s="274"/>
      <c r="LI171" s="274"/>
      <c r="LJ171" s="274"/>
      <c r="LK171" s="274"/>
      <c r="LL171" s="230"/>
      <c r="LM171" s="266"/>
      <c r="LN171" s="279"/>
      <c r="LO171" s="274"/>
      <c r="LP171" s="274"/>
      <c r="LQ171" s="274"/>
      <c r="LR171" s="274"/>
      <c r="LS171" s="274"/>
      <c r="LT171" s="274"/>
      <c r="LU171" s="274"/>
      <c r="LV171" s="274"/>
      <c r="LW171" s="274"/>
      <c r="LX171" s="274"/>
      <c r="LY171" s="274"/>
      <c r="LZ171" s="230"/>
      <c r="MA171" s="266"/>
      <c r="MB171" s="230"/>
      <c r="MC171" s="230"/>
      <c r="MD171" s="230"/>
      <c r="ME171" s="230"/>
      <c r="MF171" s="230"/>
      <c r="MG171" s="230"/>
      <c r="MH171" s="230"/>
      <c r="MI171" s="230"/>
      <c r="MJ171" s="230"/>
      <c r="MK171" s="230"/>
      <c r="ML171" s="230"/>
      <c r="MM171" s="230"/>
      <c r="MN171" s="230"/>
    </row>
    <row r="172" spans="1:352" hidden="1" x14ac:dyDescent="0.3">
      <c r="A172" s="262"/>
      <c r="B172" s="187" t="s">
        <v>208</v>
      </c>
      <c r="C172" s="186"/>
      <c r="D172" s="277">
        <f>SUM(D169:D171)</f>
        <v>0</v>
      </c>
      <c r="E172" s="278">
        <f t="shared" ref="E172:O172" si="700">SUM(E169:E171)</f>
        <v>0</v>
      </c>
      <c r="F172" s="278">
        <f t="shared" si="700"/>
        <v>0</v>
      </c>
      <c r="G172" s="278">
        <f t="shared" si="700"/>
        <v>0</v>
      </c>
      <c r="H172" s="278">
        <f t="shared" si="700"/>
        <v>0</v>
      </c>
      <c r="I172" s="278">
        <f t="shared" si="700"/>
        <v>0</v>
      </c>
      <c r="J172" s="278">
        <f t="shared" si="700"/>
        <v>0</v>
      </c>
      <c r="K172" s="278">
        <f t="shared" si="700"/>
        <v>0</v>
      </c>
      <c r="L172" s="278">
        <f t="shared" si="700"/>
        <v>0</v>
      </c>
      <c r="M172" s="278">
        <f t="shared" si="700"/>
        <v>0</v>
      </c>
      <c r="N172" s="278">
        <f t="shared" si="700"/>
        <v>0</v>
      </c>
      <c r="O172" s="278">
        <f t="shared" si="700"/>
        <v>0</v>
      </c>
      <c r="P172" s="271">
        <f>+SUBTOTAL(9,D172:O172)</f>
        <v>0</v>
      </c>
      <c r="Q172" s="266"/>
      <c r="R172" s="277">
        <f>SUM(R169:R171)</f>
        <v>0</v>
      </c>
      <c r="S172" s="278">
        <f t="shared" ref="S172:AC172" si="701">SUM(S169:S171)</f>
        <v>0</v>
      </c>
      <c r="T172" s="278">
        <f t="shared" si="701"/>
        <v>0</v>
      </c>
      <c r="U172" s="278">
        <f t="shared" si="701"/>
        <v>0</v>
      </c>
      <c r="V172" s="278">
        <f t="shared" si="701"/>
        <v>0</v>
      </c>
      <c r="W172" s="278">
        <f t="shared" si="701"/>
        <v>0</v>
      </c>
      <c r="X172" s="278">
        <f t="shared" si="701"/>
        <v>0</v>
      </c>
      <c r="Y172" s="278">
        <f t="shared" si="701"/>
        <v>0</v>
      </c>
      <c r="Z172" s="278">
        <f t="shared" si="701"/>
        <v>0</v>
      </c>
      <c r="AA172" s="278">
        <f t="shared" si="701"/>
        <v>0</v>
      </c>
      <c r="AB172" s="278">
        <f t="shared" si="701"/>
        <v>0</v>
      </c>
      <c r="AC172" s="278">
        <f t="shared" si="701"/>
        <v>0</v>
      </c>
      <c r="AD172" s="271">
        <f>+SUBTOTAL(9,R172:AC172)</f>
        <v>0</v>
      </c>
      <c r="AE172" s="266"/>
      <c r="AF172" s="277">
        <f>SUM(AF169:AF171)</f>
        <v>0</v>
      </c>
      <c r="AG172" s="278">
        <f t="shared" ref="AG172:AQ172" si="702">SUM(AG169:AG171)</f>
        <v>0</v>
      </c>
      <c r="AH172" s="278">
        <f t="shared" si="702"/>
        <v>0</v>
      </c>
      <c r="AI172" s="278">
        <f t="shared" si="702"/>
        <v>0</v>
      </c>
      <c r="AJ172" s="278">
        <f t="shared" si="702"/>
        <v>0</v>
      </c>
      <c r="AK172" s="278">
        <f t="shared" si="702"/>
        <v>0</v>
      </c>
      <c r="AL172" s="278">
        <f t="shared" si="702"/>
        <v>0</v>
      </c>
      <c r="AM172" s="278">
        <f t="shared" si="702"/>
        <v>0</v>
      </c>
      <c r="AN172" s="278">
        <f t="shared" si="702"/>
        <v>0</v>
      </c>
      <c r="AO172" s="278">
        <f t="shared" si="702"/>
        <v>0</v>
      </c>
      <c r="AP172" s="278">
        <f t="shared" si="702"/>
        <v>0</v>
      </c>
      <c r="AQ172" s="278">
        <f t="shared" si="702"/>
        <v>0</v>
      </c>
      <c r="AR172" s="271">
        <f>+SUBTOTAL(9,AF172:AQ172)</f>
        <v>0</v>
      </c>
      <c r="AS172" s="266"/>
      <c r="AT172" s="277">
        <f>SUM(AT169:AT171)</f>
        <v>0</v>
      </c>
      <c r="AU172" s="278">
        <f t="shared" ref="AU172:BE172" si="703">SUM(AU169:AU171)</f>
        <v>0</v>
      </c>
      <c r="AV172" s="278">
        <f t="shared" si="703"/>
        <v>0</v>
      </c>
      <c r="AW172" s="278">
        <f t="shared" si="703"/>
        <v>0</v>
      </c>
      <c r="AX172" s="278">
        <f t="shared" si="703"/>
        <v>0</v>
      </c>
      <c r="AY172" s="278">
        <f t="shared" si="703"/>
        <v>0</v>
      </c>
      <c r="AZ172" s="278">
        <f t="shared" si="703"/>
        <v>0</v>
      </c>
      <c r="BA172" s="278">
        <f t="shared" si="703"/>
        <v>0</v>
      </c>
      <c r="BB172" s="278">
        <f t="shared" si="703"/>
        <v>0</v>
      </c>
      <c r="BC172" s="278">
        <f t="shared" si="703"/>
        <v>0</v>
      </c>
      <c r="BD172" s="278">
        <f t="shared" si="703"/>
        <v>0</v>
      </c>
      <c r="BE172" s="278">
        <f t="shared" si="703"/>
        <v>0</v>
      </c>
      <c r="BF172" s="271">
        <f>+SUBTOTAL(9,AT172:BE172)</f>
        <v>0</v>
      </c>
      <c r="BG172" s="266"/>
      <c r="BH172" s="277">
        <f>SUM(BH169:BH171)</f>
        <v>0</v>
      </c>
      <c r="BI172" s="278">
        <f t="shared" ref="BI172:BS172" si="704">SUM(BI169:BI171)</f>
        <v>0</v>
      </c>
      <c r="BJ172" s="278">
        <f t="shared" si="704"/>
        <v>0</v>
      </c>
      <c r="BK172" s="278">
        <f t="shared" si="704"/>
        <v>0</v>
      </c>
      <c r="BL172" s="278">
        <f t="shared" si="704"/>
        <v>0</v>
      </c>
      <c r="BM172" s="278">
        <f t="shared" si="704"/>
        <v>0</v>
      </c>
      <c r="BN172" s="278">
        <f t="shared" si="704"/>
        <v>0</v>
      </c>
      <c r="BO172" s="278">
        <f t="shared" si="704"/>
        <v>0</v>
      </c>
      <c r="BP172" s="278">
        <f t="shared" si="704"/>
        <v>0</v>
      </c>
      <c r="BQ172" s="278">
        <f t="shared" si="704"/>
        <v>0</v>
      </c>
      <c r="BR172" s="278">
        <f t="shared" si="704"/>
        <v>0</v>
      </c>
      <c r="BS172" s="278">
        <f t="shared" si="704"/>
        <v>0</v>
      </c>
      <c r="BT172" s="271">
        <f>+SUBTOTAL(9,BH172:BS172)</f>
        <v>0</v>
      </c>
      <c r="BU172" s="266"/>
      <c r="BV172" s="277">
        <f>SUM(BV169:BV171)</f>
        <v>0</v>
      </c>
      <c r="BW172" s="278">
        <f t="shared" ref="BW172:CG172" si="705">SUM(BW169:BW171)</f>
        <v>0</v>
      </c>
      <c r="BX172" s="278">
        <f t="shared" si="705"/>
        <v>0</v>
      </c>
      <c r="BY172" s="278">
        <f t="shared" si="705"/>
        <v>0</v>
      </c>
      <c r="BZ172" s="278">
        <f t="shared" si="705"/>
        <v>0</v>
      </c>
      <c r="CA172" s="278">
        <f t="shared" si="705"/>
        <v>0</v>
      </c>
      <c r="CB172" s="278">
        <f t="shared" si="705"/>
        <v>0</v>
      </c>
      <c r="CC172" s="278">
        <f t="shared" si="705"/>
        <v>0</v>
      </c>
      <c r="CD172" s="278">
        <f t="shared" si="705"/>
        <v>0</v>
      </c>
      <c r="CE172" s="278">
        <f t="shared" si="705"/>
        <v>0</v>
      </c>
      <c r="CF172" s="278">
        <f t="shared" si="705"/>
        <v>0</v>
      </c>
      <c r="CG172" s="278">
        <f t="shared" si="705"/>
        <v>0</v>
      </c>
      <c r="CH172" s="271">
        <f>+SUBTOTAL(9,BV172:CG172)</f>
        <v>0</v>
      </c>
      <c r="CI172" s="266"/>
      <c r="CJ172" s="277">
        <f>SUM(CJ169:CJ171)</f>
        <v>0</v>
      </c>
      <c r="CK172" s="278">
        <f t="shared" ref="CK172:CU172" si="706">SUM(CK169:CK171)</f>
        <v>0</v>
      </c>
      <c r="CL172" s="278">
        <f t="shared" si="706"/>
        <v>0</v>
      </c>
      <c r="CM172" s="278">
        <f t="shared" si="706"/>
        <v>0</v>
      </c>
      <c r="CN172" s="278">
        <f t="shared" si="706"/>
        <v>0</v>
      </c>
      <c r="CO172" s="278">
        <f t="shared" si="706"/>
        <v>0</v>
      </c>
      <c r="CP172" s="278">
        <f t="shared" si="706"/>
        <v>0</v>
      </c>
      <c r="CQ172" s="278">
        <f t="shared" si="706"/>
        <v>0</v>
      </c>
      <c r="CR172" s="278">
        <f t="shared" si="706"/>
        <v>0</v>
      </c>
      <c r="CS172" s="278">
        <f t="shared" si="706"/>
        <v>0</v>
      </c>
      <c r="CT172" s="278">
        <f t="shared" si="706"/>
        <v>0</v>
      </c>
      <c r="CU172" s="278">
        <f t="shared" si="706"/>
        <v>0</v>
      </c>
      <c r="CV172" s="271">
        <f>+SUBTOTAL(9,CJ172:CU172)</f>
        <v>0</v>
      </c>
      <c r="CW172" s="266"/>
      <c r="CX172" s="277">
        <f>SUM(CX169:CX171)</f>
        <v>0</v>
      </c>
      <c r="CY172" s="278">
        <f t="shared" ref="CY172:DI172" si="707">SUM(CY169:CY171)</f>
        <v>0</v>
      </c>
      <c r="CZ172" s="278">
        <f t="shared" si="707"/>
        <v>0</v>
      </c>
      <c r="DA172" s="278">
        <f t="shared" si="707"/>
        <v>0</v>
      </c>
      <c r="DB172" s="278">
        <f t="shared" si="707"/>
        <v>0</v>
      </c>
      <c r="DC172" s="278">
        <f t="shared" si="707"/>
        <v>0</v>
      </c>
      <c r="DD172" s="278">
        <f t="shared" si="707"/>
        <v>0</v>
      </c>
      <c r="DE172" s="278">
        <f t="shared" si="707"/>
        <v>0</v>
      </c>
      <c r="DF172" s="278">
        <f t="shared" si="707"/>
        <v>0</v>
      </c>
      <c r="DG172" s="278">
        <f t="shared" si="707"/>
        <v>0</v>
      </c>
      <c r="DH172" s="278">
        <f t="shared" si="707"/>
        <v>0</v>
      </c>
      <c r="DI172" s="278">
        <f t="shared" si="707"/>
        <v>0</v>
      </c>
      <c r="DJ172" s="271">
        <f>+SUBTOTAL(9,CX172:DI172)</f>
        <v>0</v>
      </c>
      <c r="DK172" s="266"/>
      <c r="DL172" s="277">
        <f>SUM(DL169:DL171)</f>
        <v>0</v>
      </c>
      <c r="DM172" s="278">
        <f t="shared" ref="DM172:DW172" si="708">SUM(DM169:DM171)</f>
        <v>0</v>
      </c>
      <c r="DN172" s="278">
        <f t="shared" si="708"/>
        <v>0</v>
      </c>
      <c r="DO172" s="278">
        <f t="shared" si="708"/>
        <v>0</v>
      </c>
      <c r="DP172" s="278">
        <f t="shared" si="708"/>
        <v>0</v>
      </c>
      <c r="DQ172" s="278">
        <f t="shared" si="708"/>
        <v>0</v>
      </c>
      <c r="DR172" s="278">
        <f t="shared" si="708"/>
        <v>0</v>
      </c>
      <c r="DS172" s="278">
        <f t="shared" si="708"/>
        <v>0</v>
      </c>
      <c r="DT172" s="278">
        <f t="shared" si="708"/>
        <v>0</v>
      </c>
      <c r="DU172" s="278">
        <f t="shared" si="708"/>
        <v>0</v>
      </c>
      <c r="DV172" s="278">
        <f t="shared" si="708"/>
        <v>0</v>
      </c>
      <c r="DW172" s="278">
        <f t="shared" si="708"/>
        <v>0</v>
      </c>
      <c r="DX172" s="271">
        <f>+SUBTOTAL(9,DL172:DW172)</f>
        <v>0</v>
      </c>
      <c r="DY172" s="266"/>
      <c r="DZ172" s="277">
        <f>SUM(DZ169:DZ171)</f>
        <v>0</v>
      </c>
      <c r="EA172" s="278">
        <f t="shared" ref="EA172:EK172" si="709">SUM(EA169:EA171)</f>
        <v>0</v>
      </c>
      <c r="EB172" s="278">
        <f t="shared" si="709"/>
        <v>0</v>
      </c>
      <c r="EC172" s="278">
        <f t="shared" si="709"/>
        <v>0</v>
      </c>
      <c r="ED172" s="278">
        <f t="shared" si="709"/>
        <v>0</v>
      </c>
      <c r="EE172" s="278">
        <f t="shared" si="709"/>
        <v>0</v>
      </c>
      <c r="EF172" s="278">
        <f t="shared" si="709"/>
        <v>0</v>
      </c>
      <c r="EG172" s="278">
        <f t="shared" si="709"/>
        <v>0</v>
      </c>
      <c r="EH172" s="278">
        <f t="shared" si="709"/>
        <v>0</v>
      </c>
      <c r="EI172" s="278">
        <f t="shared" si="709"/>
        <v>0</v>
      </c>
      <c r="EJ172" s="278">
        <f t="shared" si="709"/>
        <v>0</v>
      </c>
      <c r="EK172" s="278">
        <f t="shared" si="709"/>
        <v>0</v>
      </c>
      <c r="EL172" s="271">
        <f>+SUBTOTAL(9,DZ172:EK172)</f>
        <v>0</v>
      </c>
      <c r="EM172" s="266"/>
      <c r="EN172" s="277">
        <f>SUM(EN169:EN171)</f>
        <v>0</v>
      </c>
      <c r="EO172" s="278">
        <f t="shared" ref="EO172:EY172" si="710">SUM(EO169:EO171)</f>
        <v>0</v>
      </c>
      <c r="EP172" s="278">
        <f t="shared" si="710"/>
        <v>0</v>
      </c>
      <c r="EQ172" s="278">
        <f t="shared" si="710"/>
        <v>0</v>
      </c>
      <c r="ER172" s="278">
        <f t="shared" si="710"/>
        <v>0</v>
      </c>
      <c r="ES172" s="278">
        <f t="shared" si="710"/>
        <v>0</v>
      </c>
      <c r="ET172" s="278">
        <f t="shared" si="710"/>
        <v>0</v>
      </c>
      <c r="EU172" s="278">
        <f t="shared" si="710"/>
        <v>0</v>
      </c>
      <c r="EV172" s="278">
        <f t="shared" si="710"/>
        <v>0</v>
      </c>
      <c r="EW172" s="278">
        <f t="shared" si="710"/>
        <v>0</v>
      </c>
      <c r="EX172" s="278">
        <f t="shared" si="710"/>
        <v>0</v>
      </c>
      <c r="EY172" s="278">
        <f t="shared" si="710"/>
        <v>0</v>
      </c>
      <c r="EZ172" s="271">
        <f>+SUBTOTAL(9,EN172:EY172)</f>
        <v>0</v>
      </c>
      <c r="FA172" s="266"/>
      <c r="FB172" s="277">
        <f>SUM(FB169:FB171)</f>
        <v>0</v>
      </c>
      <c r="FC172" s="278">
        <f t="shared" ref="FC172:FM172" si="711">SUM(FC169:FC171)</f>
        <v>0</v>
      </c>
      <c r="FD172" s="278">
        <f t="shared" si="711"/>
        <v>0</v>
      </c>
      <c r="FE172" s="278">
        <f t="shared" si="711"/>
        <v>0</v>
      </c>
      <c r="FF172" s="278">
        <f t="shared" si="711"/>
        <v>0</v>
      </c>
      <c r="FG172" s="278">
        <f t="shared" si="711"/>
        <v>0</v>
      </c>
      <c r="FH172" s="278">
        <f t="shared" si="711"/>
        <v>0</v>
      </c>
      <c r="FI172" s="278">
        <f t="shared" si="711"/>
        <v>0</v>
      </c>
      <c r="FJ172" s="278">
        <f t="shared" si="711"/>
        <v>0</v>
      </c>
      <c r="FK172" s="278">
        <f t="shared" si="711"/>
        <v>0</v>
      </c>
      <c r="FL172" s="278">
        <f t="shared" si="711"/>
        <v>0</v>
      </c>
      <c r="FM172" s="278">
        <f t="shared" si="711"/>
        <v>0</v>
      </c>
      <c r="FN172" s="271">
        <f>+SUBTOTAL(9,FB172:FM172)</f>
        <v>0</v>
      </c>
      <c r="FO172" s="266"/>
      <c r="FP172" s="277">
        <f>SUM(FP169:FP171)</f>
        <v>0</v>
      </c>
      <c r="FQ172" s="278">
        <f t="shared" ref="FQ172:GA172" si="712">SUM(FQ169:FQ171)</f>
        <v>0</v>
      </c>
      <c r="FR172" s="278">
        <f t="shared" si="712"/>
        <v>0</v>
      </c>
      <c r="FS172" s="278">
        <f t="shared" si="712"/>
        <v>0</v>
      </c>
      <c r="FT172" s="278">
        <f t="shared" si="712"/>
        <v>0</v>
      </c>
      <c r="FU172" s="278">
        <f t="shared" si="712"/>
        <v>0</v>
      </c>
      <c r="FV172" s="278">
        <f t="shared" si="712"/>
        <v>0</v>
      </c>
      <c r="FW172" s="278">
        <f t="shared" si="712"/>
        <v>0</v>
      </c>
      <c r="FX172" s="278">
        <f t="shared" si="712"/>
        <v>0</v>
      </c>
      <c r="FY172" s="278">
        <f t="shared" si="712"/>
        <v>0</v>
      </c>
      <c r="FZ172" s="278">
        <f t="shared" si="712"/>
        <v>0</v>
      </c>
      <c r="GA172" s="278">
        <f t="shared" si="712"/>
        <v>0</v>
      </c>
      <c r="GB172" s="271">
        <f>+SUBTOTAL(9,FP172:GA172)</f>
        <v>0</v>
      </c>
      <c r="GC172" s="266"/>
      <c r="GD172" s="277">
        <f>SUM(GD169:GD171)</f>
        <v>0</v>
      </c>
      <c r="GE172" s="278">
        <f t="shared" ref="GE172:GO172" si="713">SUM(GE169:GE171)</f>
        <v>0</v>
      </c>
      <c r="GF172" s="278">
        <f t="shared" si="713"/>
        <v>0</v>
      </c>
      <c r="GG172" s="278">
        <f t="shared" si="713"/>
        <v>0</v>
      </c>
      <c r="GH172" s="278">
        <f t="shared" si="713"/>
        <v>0</v>
      </c>
      <c r="GI172" s="278">
        <f t="shared" si="713"/>
        <v>0</v>
      </c>
      <c r="GJ172" s="278">
        <f t="shared" si="713"/>
        <v>0</v>
      </c>
      <c r="GK172" s="278">
        <f t="shared" si="713"/>
        <v>0</v>
      </c>
      <c r="GL172" s="278">
        <f t="shared" si="713"/>
        <v>0</v>
      </c>
      <c r="GM172" s="278">
        <f t="shared" si="713"/>
        <v>0</v>
      </c>
      <c r="GN172" s="278">
        <f t="shared" si="713"/>
        <v>0</v>
      </c>
      <c r="GO172" s="278">
        <f t="shared" si="713"/>
        <v>0</v>
      </c>
      <c r="GP172" s="271">
        <f>+SUBTOTAL(9,GD172:GO172)</f>
        <v>0</v>
      </c>
      <c r="GQ172" s="266"/>
      <c r="GR172" s="277">
        <f>SUM(GR169:GR171)</f>
        <v>0</v>
      </c>
      <c r="GS172" s="278">
        <f t="shared" ref="GS172:HC172" si="714">SUM(GS169:GS171)</f>
        <v>0</v>
      </c>
      <c r="GT172" s="278">
        <f t="shared" si="714"/>
        <v>0</v>
      </c>
      <c r="GU172" s="278">
        <f t="shared" si="714"/>
        <v>0</v>
      </c>
      <c r="GV172" s="278">
        <f t="shared" si="714"/>
        <v>0</v>
      </c>
      <c r="GW172" s="278">
        <f t="shared" si="714"/>
        <v>0</v>
      </c>
      <c r="GX172" s="278">
        <f t="shared" si="714"/>
        <v>0</v>
      </c>
      <c r="GY172" s="278">
        <f t="shared" si="714"/>
        <v>0</v>
      </c>
      <c r="GZ172" s="278">
        <f t="shared" si="714"/>
        <v>0</v>
      </c>
      <c r="HA172" s="278">
        <f t="shared" si="714"/>
        <v>0</v>
      </c>
      <c r="HB172" s="278">
        <f t="shared" si="714"/>
        <v>0</v>
      </c>
      <c r="HC172" s="278">
        <f t="shared" si="714"/>
        <v>0</v>
      </c>
      <c r="HD172" s="271">
        <f>+SUBTOTAL(9,GR172:HC172)</f>
        <v>0</v>
      </c>
      <c r="HE172" s="266"/>
      <c r="HF172" s="277">
        <f>SUM(HF169:HF171)</f>
        <v>0</v>
      </c>
      <c r="HG172" s="278">
        <f t="shared" ref="HG172:HQ172" si="715">SUM(HG169:HG171)</f>
        <v>0</v>
      </c>
      <c r="HH172" s="278">
        <f t="shared" si="715"/>
        <v>0</v>
      </c>
      <c r="HI172" s="278">
        <f t="shared" si="715"/>
        <v>0</v>
      </c>
      <c r="HJ172" s="278">
        <f t="shared" si="715"/>
        <v>0</v>
      </c>
      <c r="HK172" s="278">
        <f t="shared" si="715"/>
        <v>0</v>
      </c>
      <c r="HL172" s="278">
        <f t="shared" si="715"/>
        <v>0</v>
      </c>
      <c r="HM172" s="278">
        <f t="shared" si="715"/>
        <v>0</v>
      </c>
      <c r="HN172" s="278">
        <f t="shared" si="715"/>
        <v>0</v>
      </c>
      <c r="HO172" s="278">
        <f t="shared" si="715"/>
        <v>0</v>
      </c>
      <c r="HP172" s="278">
        <f t="shared" si="715"/>
        <v>0</v>
      </c>
      <c r="HQ172" s="278">
        <f t="shared" si="715"/>
        <v>0</v>
      </c>
      <c r="HR172" s="271">
        <f>+SUBTOTAL(9,HF172:HQ172)</f>
        <v>0</v>
      </c>
      <c r="HS172" s="266"/>
      <c r="HT172" s="277">
        <f>SUM(HT169:HT171)</f>
        <v>0</v>
      </c>
      <c r="HU172" s="278">
        <f t="shared" ref="HU172:IE172" si="716">SUM(HU169:HU171)</f>
        <v>0</v>
      </c>
      <c r="HV172" s="278">
        <f t="shared" si="716"/>
        <v>0</v>
      </c>
      <c r="HW172" s="278">
        <f t="shared" si="716"/>
        <v>0</v>
      </c>
      <c r="HX172" s="278">
        <f t="shared" si="716"/>
        <v>0</v>
      </c>
      <c r="HY172" s="278">
        <f t="shared" si="716"/>
        <v>0</v>
      </c>
      <c r="HZ172" s="278">
        <f t="shared" si="716"/>
        <v>0</v>
      </c>
      <c r="IA172" s="278">
        <f t="shared" si="716"/>
        <v>0</v>
      </c>
      <c r="IB172" s="278">
        <f t="shared" si="716"/>
        <v>0</v>
      </c>
      <c r="IC172" s="278">
        <f t="shared" si="716"/>
        <v>0</v>
      </c>
      <c r="ID172" s="278">
        <f t="shared" si="716"/>
        <v>0</v>
      </c>
      <c r="IE172" s="278">
        <f t="shared" si="716"/>
        <v>0</v>
      </c>
      <c r="IF172" s="271">
        <f>+SUBTOTAL(9,HT172:IE172)</f>
        <v>0</v>
      </c>
      <c r="IG172" s="266"/>
      <c r="IH172" s="277">
        <f>SUM(IH169:IH171)</f>
        <v>0</v>
      </c>
      <c r="II172" s="278">
        <f t="shared" ref="II172:IS172" si="717">SUM(II169:II171)</f>
        <v>0</v>
      </c>
      <c r="IJ172" s="278">
        <f t="shared" si="717"/>
        <v>0</v>
      </c>
      <c r="IK172" s="278">
        <f t="shared" si="717"/>
        <v>0</v>
      </c>
      <c r="IL172" s="278">
        <f t="shared" si="717"/>
        <v>0</v>
      </c>
      <c r="IM172" s="278">
        <f t="shared" si="717"/>
        <v>0</v>
      </c>
      <c r="IN172" s="278">
        <f t="shared" si="717"/>
        <v>0</v>
      </c>
      <c r="IO172" s="278">
        <f t="shared" si="717"/>
        <v>0</v>
      </c>
      <c r="IP172" s="278">
        <f t="shared" si="717"/>
        <v>0</v>
      </c>
      <c r="IQ172" s="278">
        <f t="shared" si="717"/>
        <v>0</v>
      </c>
      <c r="IR172" s="278">
        <f t="shared" si="717"/>
        <v>0</v>
      </c>
      <c r="IS172" s="278">
        <f t="shared" si="717"/>
        <v>0</v>
      </c>
      <c r="IT172" s="271">
        <f>+SUBTOTAL(9,IH172:IS172)</f>
        <v>0</v>
      </c>
      <c r="IU172" s="266"/>
      <c r="IV172" s="277">
        <f>SUM(IV169:IV171)</f>
        <v>0</v>
      </c>
      <c r="IW172" s="278">
        <f t="shared" ref="IW172:JG172" si="718">SUM(IW169:IW171)</f>
        <v>0</v>
      </c>
      <c r="IX172" s="278">
        <f t="shared" si="718"/>
        <v>0</v>
      </c>
      <c r="IY172" s="278">
        <f t="shared" si="718"/>
        <v>0</v>
      </c>
      <c r="IZ172" s="278">
        <f t="shared" si="718"/>
        <v>0</v>
      </c>
      <c r="JA172" s="278">
        <f t="shared" si="718"/>
        <v>0</v>
      </c>
      <c r="JB172" s="278">
        <f t="shared" si="718"/>
        <v>0</v>
      </c>
      <c r="JC172" s="278">
        <f t="shared" si="718"/>
        <v>0</v>
      </c>
      <c r="JD172" s="278">
        <f t="shared" si="718"/>
        <v>0</v>
      </c>
      <c r="JE172" s="278">
        <f t="shared" si="718"/>
        <v>0</v>
      </c>
      <c r="JF172" s="278">
        <f t="shared" si="718"/>
        <v>0</v>
      </c>
      <c r="JG172" s="278">
        <f t="shared" si="718"/>
        <v>0</v>
      </c>
      <c r="JH172" s="271">
        <f>+SUBTOTAL(9,IV172:JG172)</f>
        <v>0</v>
      </c>
      <c r="JI172" s="266"/>
      <c r="JJ172" s="277">
        <f>SUM(JJ169:JJ171)</f>
        <v>0</v>
      </c>
      <c r="JK172" s="278">
        <f t="shared" ref="JK172:JU172" si="719">SUM(JK169:JK171)</f>
        <v>0</v>
      </c>
      <c r="JL172" s="278">
        <f t="shared" si="719"/>
        <v>0</v>
      </c>
      <c r="JM172" s="278">
        <f t="shared" si="719"/>
        <v>0</v>
      </c>
      <c r="JN172" s="278">
        <f t="shared" si="719"/>
        <v>0</v>
      </c>
      <c r="JO172" s="278">
        <f t="shared" si="719"/>
        <v>0</v>
      </c>
      <c r="JP172" s="278">
        <f t="shared" si="719"/>
        <v>0</v>
      </c>
      <c r="JQ172" s="278">
        <f t="shared" si="719"/>
        <v>0</v>
      </c>
      <c r="JR172" s="278">
        <f t="shared" si="719"/>
        <v>0</v>
      </c>
      <c r="JS172" s="278">
        <f t="shared" si="719"/>
        <v>0</v>
      </c>
      <c r="JT172" s="278">
        <f t="shared" si="719"/>
        <v>0</v>
      </c>
      <c r="JU172" s="278">
        <f t="shared" si="719"/>
        <v>0</v>
      </c>
      <c r="JV172" s="271">
        <f>+SUBTOTAL(9,JJ172:JU172)</f>
        <v>0</v>
      </c>
      <c r="JW172" s="266"/>
      <c r="JX172" s="277">
        <f>SUM(JX169:JX171)</f>
        <v>0</v>
      </c>
      <c r="JY172" s="278">
        <f t="shared" ref="JY172:KI172" si="720">SUM(JY169:JY171)</f>
        <v>0</v>
      </c>
      <c r="JZ172" s="278">
        <f t="shared" si="720"/>
        <v>0</v>
      </c>
      <c r="KA172" s="278">
        <f t="shared" si="720"/>
        <v>0</v>
      </c>
      <c r="KB172" s="278">
        <f t="shared" si="720"/>
        <v>0</v>
      </c>
      <c r="KC172" s="278">
        <f t="shared" si="720"/>
        <v>0</v>
      </c>
      <c r="KD172" s="278">
        <f t="shared" si="720"/>
        <v>0</v>
      </c>
      <c r="KE172" s="278">
        <f t="shared" si="720"/>
        <v>0</v>
      </c>
      <c r="KF172" s="278">
        <f t="shared" si="720"/>
        <v>0</v>
      </c>
      <c r="KG172" s="278">
        <f t="shared" si="720"/>
        <v>0</v>
      </c>
      <c r="KH172" s="278">
        <f t="shared" si="720"/>
        <v>0</v>
      </c>
      <c r="KI172" s="278">
        <f t="shared" si="720"/>
        <v>0</v>
      </c>
      <c r="KJ172" s="271">
        <f>+SUBTOTAL(9,JX172:KI172)</f>
        <v>0</v>
      </c>
      <c r="KK172" s="266"/>
      <c r="KL172" s="277">
        <f>SUM(KL169:KL171)</f>
        <v>0</v>
      </c>
      <c r="KM172" s="278">
        <f t="shared" ref="KM172:KW172" si="721">SUM(KM169:KM171)</f>
        <v>0</v>
      </c>
      <c r="KN172" s="278">
        <f t="shared" si="721"/>
        <v>0</v>
      </c>
      <c r="KO172" s="278">
        <f t="shared" si="721"/>
        <v>0</v>
      </c>
      <c r="KP172" s="278">
        <f t="shared" si="721"/>
        <v>0</v>
      </c>
      <c r="KQ172" s="278">
        <f t="shared" si="721"/>
        <v>0</v>
      </c>
      <c r="KR172" s="278">
        <f t="shared" si="721"/>
        <v>0</v>
      </c>
      <c r="KS172" s="278">
        <f t="shared" si="721"/>
        <v>0</v>
      </c>
      <c r="KT172" s="278">
        <f t="shared" si="721"/>
        <v>0</v>
      </c>
      <c r="KU172" s="278">
        <f t="shared" si="721"/>
        <v>0</v>
      </c>
      <c r="KV172" s="278">
        <f t="shared" si="721"/>
        <v>0</v>
      </c>
      <c r="KW172" s="278">
        <f t="shared" si="721"/>
        <v>0</v>
      </c>
      <c r="KX172" s="271">
        <f>+SUBTOTAL(9,KL172:KW172)</f>
        <v>0</v>
      </c>
      <c r="KY172" s="266"/>
      <c r="KZ172" s="277">
        <f>SUM(KZ169:KZ171)</f>
        <v>0</v>
      </c>
      <c r="LA172" s="278">
        <f t="shared" ref="LA172:LK172" si="722">SUM(LA169:LA171)</f>
        <v>0</v>
      </c>
      <c r="LB172" s="278">
        <f t="shared" si="722"/>
        <v>0</v>
      </c>
      <c r="LC172" s="278">
        <f t="shared" si="722"/>
        <v>0</v>
      </c>
      <c r="LD172" s="278">
        <f t="shared" si="722"/>
        <v>0</v>
      </c>
      <c r="LE172" s="278">
        <f t="shared" si="722"/>
        <v>0</v>
      </c>
      <c r="LF172" s="278">
        <f t="shared" si="722"/>
        <v>0</v>
      </c>
      <c r="LG172" s="278">
        <f t="shared" si="722"/>
        <v>0</v>
      </c>
      <c r="LH172" s="278">
        <f t="shared" si="722"/>
        <v>0</v>
      </c>
      <c r="LI172" s="278">
        <f t="shared" si="722"/>
        <v>0</v>
      </c>
      <c r="LJ172" s="278">
        <f t="shared" si="722"/>
        <v>0</v>
      </c>
      <c r="LK172" s="278">
        <f t="shared" si="722"/>
        <v>0</v>
      </c>
      <c r="LL172" s="271">
        <f>+SUBTOTAL(9,KZ172:LK172)</f>
        <v>0</v>
      </c>
      <c r="LM172" s="266"/>
      <c r="LN172" s="277">
        <f>SUM(LN169:LN171)</f>
        <v>0</v>
      </c>
      <c r="LO172" s="278">
        <f t="shared" ref="LO172:LY172" si="723">SUM(LO169:LO171)</f>
        <v>0</v>
      </c>
      <c r="LP172" s="278">
        <f t="shared" si="723"/>
        <v>0</v>
      </c>
      <c r="LQ172" s="278">
        <f t="shared" si="723"/>
        <v>0</v>
      </c>
      <c r="LR172" s="278">
        <f t="shared" si="723"/>
        <v>0</v>
      </c>
      <c r="LS172" s="278">
        <f t="shared" si="723"/>
        <v>0</v>
      </c>
      <c r="LT172" s="278">
        <f t="shared" si="723"/>
        <v>0</v>
      </c>
      <c r="LU172" s="278">
        <f t="shared" si="723"/>
        <v>0</v>
      </c>
      <c r="LV172" s="278">
        <f t="shared" si="723"/>
        <v>0</v>
      </c>
      <c r="LW172" s="278">
        <f t="shared" si="723"/>
        <v>0</v>
      </c>
      <c r="LX172" s="278">
        <f t="shared" si="723"/>
        <v>0</v>
      </c>
      <c r="LY172" s="278">
        <f t="shared" si="723"/>
        <v>0</v>
      </c>
      <c r="LZ172" s="271">
        <f>+SUBTOTAL(9,LN172:LY172)</f>
        <v>0</v>
      </c>
      <c r="MA172" s="266"/>
      <c r="MB172" s="271">
        <f t="shared" ref="MB172:MC172" si="724">SUM(MB169:MB171)</f>
        <v>0</v>
      </c>
      <c r="MC172" s="271">
        <f t="shared" si="724"/>
        <v>0</v>
      </c>
      <c r="MD172" s="271">
        <f t="shared" ref="MD172:MN172" si="725">SUM(MD169:MD171)</f>
        <v>0</v>
      </c>
      <c r="ME172" s="271">
        <f t="shared" si="725"/>
        <v>0</v>
      </c>
      <c r="MF172" s="271">
        <f t="shared" si="725"/>
        <v>0</v>
      </c>
      <c r="MG172" s="271">
        <f t="shared" si="725"/>
        <v>0</v>
      </c>
      <c r="MH172" s="271">
        <f t="shared" si="725"/>
        <v>0</v>
      </c>
      <c r="MI172" s="271">
        <f t="shared" si="725"/>
        <v>0</v>
      </c>
      <c r="MJ172" s="271">
        <f t="shared" si="725"/>
        <v>0</v>
      </c>
      <c r="MK172" s="271">
        <f t="shared" si="725"/>
        <v>0</v>
      </c>
      <c r="ML172" s="271">
        <f t="shared" si="725"/>
        <v>0</v>
      </c>
      <c r="MM172" s="271">
        <f t="shared" si="725"/>
        <v>0</v>
      </c>
      <c r="MN172" s="271">
        <f t="shared" si="725"/>
        <v>0</v>
      </c>
    </row>
    <row r="173" spans="1:352" ht="12.5" hidden="1" x14ac:dyDescent="0.25">
      <c r="A173" s="262"/>
      <c r="B173" s="183"/>
      <c r="C173" s="98"/>
      <c r="D173" s="192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93"/>
      <c r="Q173" s="194"/>
      <c r="R173" s="192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  <c r="AC173" s="179"/>
      <c r="AD173" s="193"/>
      <c r="AE173" s="194"/>
      <c r="AF173" s="192"/>
      <c r="AG173" s="179"/>
      <c r="AH173" s="179"/>
      <c r="AI173" s="179"/>
      <c r="AJ173" s="179"/>
      <c r="AK173" s="179"/>
      <c r="AL173" s="179"/>
      <c r="AM173" s="179"/>
      <c r="AN173" s="179"/>
      <c r="AO173" s="179"/>
      <c r="AP173" s="179"/>
      <c r="AQ173" s="179"/>
      <c r="AR173" s="193"/>
      <c r="AS173" s="194"/>
      <c r="AT173" s="192"/>
      <c r="AU173" s="179"/>
      <c r="AV173" s="179"/>
      <c r="AW173" s="179"/>
      <c r="AX173" s="179"/>
      <c r="AY173" s="179"/>
      <c r="AZ173" s="179"/>
      <c r="BA173" s="179"/>
      <c r="BB173" s="179"/>
      <c r="BC173" s="179"/>
      <c r="BD173" s="179"/>
      <c r="BE173" s="179"/>
      <c r="BF173" s="193"/>
      <c r="BG173" s="194"/>
      <c r="BH173" s="192"/>
      <c r="BI173" s="179"/>
      <c r="BJ173" s="179"/>
      <c r="BK173" s="179"/>
      <c r="BL173" s="179"/>
      <c r="BM173" s="179"/>
      <c r="BN173" s="179"/>
      <c r="BO173" s="179"/>
      <c r="BP173" s="179"/>
      <c r="BQ173" s="179"/>
      <c r="BR173" s="179"/>
      <c r="BS173" s="179"/>
      <c r="BT173" s="193"/>
      <c r="BU173" s="194"/>
      <c r="BV173" s="192"/>
      <c r="BW173" s="179"/>
      <c r="BX173" s="179"/>
      <c r="BY173" s="179"/>
      <c r="BZ173" s="179"/>
      <c r="CA173" s="179"/>
      <c r="CB173" s="179"/>
      <c r="CC173" s="179"/>
      <c r="CD173" s="179"/>
      <c r="CE173" s="179"/>
      <c r="CF173" s="179"/>
      <c r="CG173" s="179"/>
      <c r="CH173" s="193"/>
      <c r="CI173" s="194"/>
      <c r="CJ173" s="192"/>
      <c r="CK173" s="179"/>
      <c r="CL173" s="179"/>
      <c r="CM173" s="179"/>
      <c r="CN173" s="179"/>
      <c r="CO173" s="179"/>
      <c r="CP173" s="179"/>
      <c r="CQ173" s="179"/>
      <c r="CR173" s="179"/>
      <c r="CS173" s="179"/>
      <c r="CT173" s="179"/>
      <c r="CU173" s="179"/>
      <c r="CV173" s="193"/>
      <c r="CW173" s="194"/>
      <c r="CX173" s="192"/>
      <c r="CY173" s="179"/>
      <c r="CZ173" s="179"/>
      <c r="DA173" s="179"/>
      <c r="DB173" s="179"/>
      <c r="DC173" s="179"/>
      <c r="DD173" s="179"/>
      <c r="DE173" s="179"/>
      <c r="DF173" s="179"/>
      <c r="DG173" s="179"/>
      <c r="DH173" s="179"/>
      <c r="DI173" s="179"/>
      <c r="DJ173" s="193"/>
      <c r="DK173" s="194"/>
      <c r="DL173" s="192"/>
      <c r="DM173" s="179"/>
      <c r="DN173" s="179"/>
      <c r="DO173" s="179"/>
      <c r="DP173" s="179"/>
      <c r="DQ173" s="179"/>
      <c r="DR173" s="179"/>
      <c r="DS173" s="179"/>
      <c r="DT173" s="179"/>
      <c r="DU173" s="179"/>
      <c r="DV173" s="179"/>
      <c r="DW173" s="179"/>
      <c r="DX173" s="193"/>
      <c r="DY173" s="194"/>
      <c r="DZ173" s="192"/>
      <c r="EA173" s="179"/>
      <c r="EB173" s="179"/>
      <c r="EC173" s="179"/>
      <c r="ED173" s="179"/>
      <c r="EE173" s="179"/>
      <c r="EF173" s="179"/>
      <c r="EG173" s="179"/>
      <c r="EH173" s="179"/>
      <c r="EI173" s="179"/>
      <c r="EJ173" s="179"/>
      <c r="EK173" s="179"/>
      <c r="EL173" s="193"/>
      <c r="EM173" s="194"/>
      <c r="EN173" s="192"/>
      <c r="EO173" s="179"/>
      <c r="EP173" s="179"/>
      <c r="EQ173" s="179"/>
      <c r="ER173" s="179"/>
      <c r="ES173" s="179"/>
      <c r="ET173" s="179"/>
      <c r="EU173" s="179"/>
      <c r="EV173" s="179"/>
      <c r="EW173" s="179"/>
      <c r="EX173" s="179"/>
      <c r="EY173" s="179"/>
      <c r="EZ173" s="193"/>
      <c r="FA173" s="194"/>
      <c r="FB173" s="192"/>
      <c r="FC173" s="179"/>
      <c r="FD173" s="179"/>
      <c r="FE173" s="179"/>
      <c r="FF173" s="179"/>
      <c r="FG173" s="179"/>
      <c r="FH173" s="179"/>
      <c r="FI173" s="179"/>
      <c r="FJ173" s="179"/>
      <c r="FK173" s="179"/>
      <c r="FL173" s="179"/>
      <c r="FM173" s="179"/>
      <c r="FN173" s="193"/>
      <c r="FO173" s="194"/>
      <c r="FP173" s="192"/>
      <c r="FQ173" s="179"/>
      <c r="FR173" s="179"/>
      <c r="FS173" s="179"/>
      <c r="FT173" s="179"/>
      <c r="FU173" s="179"/>
      <c r="FV173" s="179"/>
      <c r="FW173" s="179"/>
      <c r="FX173" s="179"/>
      <c r="FY173" s="179"/>
      <c r="FZ173" s="179"/>
      <c r="GA173" s="179"/>
      <c r="GB173" s="193"/>
      <c r="GC173" s="194"/>
      <c r="GD173" s="192"/>
      <c r="GE173" s="179"/>
      <c r="GF173" s="179"/>
      <c r="GG173" s="179"/>
      <c r="GH173" s="179"/>
      <c r="GI173" s="179"/>
      <c r="GJ173" s="179"/>
      <c r="GK173" s="179"/>
      <c r="GL173" s="179"/>
      <c r="GM173" s="179"/>
      <c r="GN173" s="179"/>
      <c r="GO173" s="179"/>
      <c r="GP173" s="193"/>
      <c r="GQ173" s="194"/>
      <c r="GR173" s="192"/>
      <c r="GS173" s="179"/>
      <c r="GT173" s="179"/>
      <c r="GU173" s="179"/>
      <c r="GV173" s="179"/>
      <c r="GW173" s="179"/>
      <c r="GX173" s="179"/>
      <c r="GY173" s="179"/>
      <c r="GZ173" s="179"/>
      <c r="HA173" s="179"/>
      <c r="HB173" s="179"/>
      <c r="HC173" s="179"/>
      <c r="HD173" s="193"/>
      <c r="HE173" s="194"/>
      <c r="HF173" s="192"/>
      <c r="HG173" s="179"/>
      <c r="HH173" s="179"/>
      <c r="HI173" s="179"/>
      <c r="HJ173" s="179"/>
      <c r="HK173" s="179"/>
      <c r="HL173" s="179"/>
      <c r="HM173" s="179"/>
      <c r="HN173" s="179"/>
      <c r="HO173" s="179"/>
      <c r="HP173" s="179"/>
      <c r="HQ173" s="179"/>
      <c r="HR173" s="193"/>
      <c r="HS173" s="194"/>
      <c r="HT173" s="192"/>
      <c r="HU173" s="179"/>
      <c r="HV173" s="179"/>
      <c r="HW173" s="179"/>
      <c r="HX173" s="179"/>
      <c r="HY173" s="179"/>
      <c r="HZ173" s="179"/>
      <c r="IA173" s="179"/>
      <c r="IB173" s="179"/>
      <c r="IC173" s="179"/>
      <c r="ID173" s="179"/>
      <c r="IE173" s="179"/>
      <c r="IF173" s="193"/>
      <c r="IG173" s="194"/>
      <c r="IH173" s="192"/>
      <c r="II173" s="179"/>
      <c r="IJ173" s="179"/>
      <c r="IK173" s="179"/>
      <c r="IL173" s="179"/>
      <c r="IM173" s="179"/>
      <c r="IN173" s="179"/>
      <c r="IO173" s="179"/>
      <c r="IP173" s="179"/>
      <c r="IQ173" s="179"/>
      <c r="IR173" s="179"/>
      <c r="IS173" s="179"/>
      <c r="IT173" s="193"/>
      <c r="IU173" s="194"/>
      <c r="IV173" s="192"/>
      <c r="IW173" s="179"/>
      <c r="IX173" s="179"/>
      <c r="IY173" s="179"/>
      <c r="IZ173" s="179"/>
      <c r="JA173" s="179"/>
      <c r="JB173" s="179"/>
      <c r="JC173" s="179"/>
      <c r="JD173" s="179"/>
      <c r="JE173" s="179"/>
      <c r="JF173" s="179"/>
      <c r="JG173" s="179"/>
      <c r="JH173" s="193"/>
      <c r="JI173" s="194"/>
      <c r="JJ173" s="192"/>
      <c r="JK173" s="179"/>
      <c r="JL173" s="179"/>
      <c r="JM173" s="179"/>
      <c r="JN173" s="179"/>
      <c r="JO173" s="179"/>
      <c r="JP173" s="179"/>
      <c r="JQ173" s="179"/>
      <c r="JR173" s="179"/>
      <c r="JS173" s="179"/>
      <c r="JT173" s="179"/>
      <c r="JU173" s="179"/>
      <c r="JV173" s="193"/>
      <c r="JW173" s="194"/>
      <c r="JX173" s="192"/>
      <c r="JY173" s="179"/>
      <c r="JZ173" s="179"/>
      <c r="KA173" s="179"/>
      <c r="KB173" s="179"/>
      <c r="KC173" s="179"/>
      <c r="KD173" s="179"/>
      <c r="KE173" s="179"/>
      <c r="KF173" s="179"/>
      <c r="KG173" s="179"/>
      <c r="KH173" s="179"/>
      <c r="KI173" s="179"/>
      <c r="KJ173" s="193"/>
      <c r="KK173" s="194"/>
      <c r="KL173" s="192"/>
      <c r="KM173" s="179"/>
      <c r="KN173" s="179"/>
      <c r="KO173" s="179"/>
      <c r="KP173" s="179"/>
      <c r="KQ173" s="179"/>
      <c r="KR173" s="179"/>
      <c r="KS173" s="179"/>
      <c r="KT173" s="179"/>
      <c r="KU173" s="179"/>
      <c r="KV173" s="179"/>
      <c r="KW173" s="179"/>
      <c r="KX173" s="193"/>
      <c r="KY173" s="194"/>
      <c r="KZ173" s="192"/>
      <c r="LA173" s="179"/>
      <c r="LB173" s="179"/>
      <c r="LC173" s="179"/>
      <c r="LD173" s="179"/>
      <c r="LE173" s="179"/>
      <c r="LF173" s="179"/>
      <c r="LG173" s="179"/>
      <c r="LH173" s="179"/>
      <c r="LI173" s="179"/>
      <c r="LJ173" s="179"/>
      <c r="LK173" s="179"/>
      <c r="LL173" s="193"/>
      <c r="LM173" s="194"/>
      <c r="LN173" s="192"/>
      <c r="LO173" s="179"/>
      <c r="LP173" s="179"/>
      <c r="LQ173" s="179"/>
      <c r="LR173" s="179"/>
      <c r="LS173" s="179"/>
      <c r="LT173" s="179"/>
      <c r="LU173" s="179"/>
      <c r="LV173" s="179"/>
      <c r="LW173" s="179"/>
      <c r="LX173" s="179"/>
      <c r="LY173" s="179"/>
      <c r="LZ173" s="193"/>
      <c r="MA173" s="194"/>
      <c r="MB173" s="193"/>
      <c r="MC173" s="193"/>
      <c r="MD173" s="193"/>
      <c r="ME173" s="193"/>
      <c r="MF173" s="193"/>
      <c r="MG173" s="193"/>
      <c r="MH173" s="193"/>
      <c r="MI173" s="193"/>
      <c r="MJ173" s="193"/>
      <c r="MK173" s="193"/>
      <c r="ML173" s="193"/>
      <c r="MM173" s="193"/>
      <c r="MN173" s="193"/>
    </row>
    <row r="174" spans="1:352" ht="13" x14ac:dyDescent="0.3">
      <c r="A174" s="262"/>
      <c r="B174" s="195" t="s">
        <v>209</v>
      </c>
      <c r="C174" s="98"/>
      <c r="D174" s="192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93"/>
      <c r="Q174" s="194"/>
      <c r="R174" s="192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93"/>
      <c r="AE174" s="194"/>
      <c r="AF174" s="192"/>
      <c r="AG174" s="179"/>
      <c r="AH174" s="179"/>
      <c r="AI174" s="179"/>
      <c r="AJ174" s="179"/>
      <c r="AK174" s="179"/>
      <c r="AL174" s="179"/>
      <c r="AM174" s="179"/>
      <c r="AN174" s="179"/>
      <c r="AO174" s="179"/>
      <c r="AP174" s="179"/>
      <c r="AQ174" s="179"/>
      <c r="AR174" s="193"/>
      <c r="AS174" s="194"/>
      <c r="AT174" s="192"/>
      <c r="AU174" s="179"/>
      <c r="AV174" s="179"/>
      <c r="AW174" s="179"/>
      <c r="AX174" s="179"/>
      <c r="AY174" s="179"/>
      <c r="AZ174" s="179"/>
      <c r="BA174" s="179"/>
      <c r="BB174" s="179"/>
      <c r="BC174" s="179"/>
      <c r="BD174" s="179"/>
      <c r="BE174" s="179"/>
      <c r="BF174" s="193"/>
      <c r="BG174" s="194"/>
      <c r="BH174" s="192"/>
      <c r="BI174" s="179"/>
      <c r="BJ174" s="179"/>
      <c r="BK174" s="179"/>
      <c r="BL174" s="179"/>
      <c r="BM174" s="179"/>
      <c r="BN174" s="179"/>
      <c r="BO174" s="179"/>
      <c r="BP174" s="179"/>
      <c r="BQ174" s="179"/>
      <c r="BR174" s="179"/>
      <c r="BS174" s="179"/>
      <c r="BT174" s="193"/>
      <c r="BU174" s="194"/>
      <c r="BV174" s="192"/>
      <c r="BW174" s="179"/>
      <c r="BX174" s="179"/>
      <c r="BY174" s="179"/>
      <c r="BZ174" s="179"/>
      <c r="CA174" s="179"/>
      <c r="CB174" s="179"/>
      <c r="CC174" s="179"/>
      <c r="CD174" s="179"/>
      <c r="CE174" s="179"/>
      <c r="CF174" s="179"/>
      <c r="CG174" s="179"/>
      <c r="CH174" s="193"/>
      <c r="CI174" s="194"/>
      <c r="CJ174" s="192"/>
      <c r="CK174" s="179"/>
      <c r="CL174" s="179"/>
      <c r="CM174" s="179"/>
      <c r="CN174" s="179"/>
      <c r="CO174" s="179"/>
      <c r="CP174" s="179"/>
      <c r="CQ174" s="179"/>
      <c r="CR174" s="179"/>
      <c r="CS174" s="179"/>
      <c r="CT174" s="179"/>
      <c r="CU174" s="179"/>
      <c r="CV174" s="193"/>
      <c r="CW174" s="194"/>
      <c r="CX174" s="192"/>
      <c r="CY174" s="179"/>
      <c r="CZ174" s="179"/>
      <c r="DA174" s="179"/>
      <c r="DB174" s="179"/>
      <c r="DC174" s="179"/>
      <c r="DD174" s="179"/>
      <c r="DE174" s="179"/>
      <c r="DF174" s="179"/>
      <c r="DG174" s="179"/>
      <c r="DH174" s="179"/>
      <c r="DI174" s="179"/>
      <c r="DJ174" s="193"/>
      <c r="DK174" s="194"/>
      <c r="DL174" s="192"/>
      <c r="DM174" s="179"/>
      <c r="DN174" s="179"/>
      <c r="DO174" s="179"/>
      <c r="DP174" s="179"/>
      <c r="DQ174" s="179"/>
      <c r="DR174" s="179"/>
      <c r="DS174" s="179"/>
      <c r="DT174" s="179"/>
      <c r="DU174" s="179"/>
      <c r="DV174" s="179"/>
      <c r="DW174" s="179"/>
      <c r="DX174" s="193"/>
      <c r="DY174" s="194"/>
      <c r="DZ174" s="192"/>
      <c r="EA174" s="179"/>
      <c r="EB174" s="179"/>
      <c r="EC174" s="179"/>
      <c r="ED174" s="179"/>
      <c r="EE174" s="179"/>
      <c r="EF174" s="179"/>
      <c r="EG174" s="179"/>
      <c r="EH174" s="179"/>
      <c r="EI174" s="179"/>
      <c r="EJ174" s="179"/>
      <c r="EK174" s="179"/>
      <c r="EL174" s="193"/>
      <c r="EM174" s="194"/>
      <c r="EN174" s="192"/>
      <c r="EO174" s="179"/>
      <c r="EP174" s="179"/>
      <c r="EQ174" s="179"/>
      <c r="ER174" s="179"/>
      <c r="ES174" s="179"/>
      <c r="ET174" s="179"/>
      <c r="EU174" s="179"/>
      <c r="EV174" s="179"/>
      <c r="EW174" s="179"/>
      <c r="EX174" s="179"/>
      <c r="EY174" s="179"/>
      <c r="EZ174" s="193"/>
      <c r="FA174" s="194"/>
      <c r="FB174" s="192"/>
      <c r="FC174" s="179"/>
      <c r="FD174" s="179"/>
      <c r="FE174" s="179"/>
      <c r="FF174" s="179"/>
      <c r="FG174" s="179"/>
      <c r="FH174" s="179"/>
      <c r="FI174" s="179"/>
      <c r="FJ174" s="179"/>
      <c r="FK174" s="179"/>
      <c r="FL174" s="179"/>
      <c r="FM174" s="179"/>
      <c r="FN174" s="193"/>
      <c r="FO174" s="194"/>
      <c r="FP174" s="192"/>
      <c r="FQ174" s="179"/>
      <c r="FR174" s="179"/>
      <c r="FS174" s="179"/>
      <c r="FT174" s="179"/>
      <c r="FU174" s="179"/>
      <c r="FV174" s="179"/>
      <c r="FW174" s="179"/>
      <c r="FX174" s="179"/>
      <c r="FY174" s="179"/>
      <c r="FZ174" s="179"/>
      <c r="GA174" s="179"/>
      <c r="GB174" s="193"/>
      <c r="GC174" s="194"/>
      <c r="GD174" s="192"/>
      <c r="GE174" s="179"/>
      <c r="GF174" s="179"/>
      <c r="GG174" s="179"/>
      <c r="GH174" s="179"/>
      <c r="GI174" s="179"/>
      <c r="GJ174" s="179"/>
      <c r="GK174" s="179"/>
      <c r="GL174" s="179"/>
      <c r="GM174" s="179"/>
      <c r="GN174" s="179"/>
      <c r="GO174" s="179"/>
      <c r="GP174" s="193"/>
      <c r="GQ174" s="194"/>
      <c r="GR174" s="192"/>
      <c r="GS174" s="179"/>
      <c r="GT174" s="179"/>
      <c r="GU174" s="179"/>
      <c r="GV174" s="179"/>
      <c r="GW174" s="179"/>
      <c r="GX174" s="179"/>
      <c r="GY174" s="179"/>
      <c r="GZ174" s="179"/>
      <c r="HA174" s="179"/>
      <c r="HB174" s="179"/>
      <c r="HC174" s="179"/>
      <c r="HD174" s="193"/>
      <c r="HE174" s="194"/>
      <c r="HF174" s="192"/>
      <c r="HG174" s="179"/>
      <c r="HH174" s="179"/>
      <c r="HI174" s="179"/>
      <c r="HJ174" s="179"/>
      <c r="HK174" s="179"/>
      <c r="HL174" s="179"/>
      <c r="HM174" s="179"/>
      <c r="HN174" s="179"/>
      <c r="HO174" s="179"/>
      <c r="HP174" s="179"/>
      <c r="HQ174" s="179"/>
      <c r="HR174" s="193"/>
      <c r="HS174" s="194"/>
      <c r="HT174" s="192"/>
      <c r="HU174" s="179"/>
      <c r="HV174" s="179"/>
      <c r="HW174" s="179"/>
      <c r="HX174" s="179"/>
      <c r="HY174" s="179"/>
      <c r="HZ174" s="179"/>
      <c r="IA174" s="179"/>
      <c r="IB174" s="179"/>
      <c r="IC174" s="179"/>
      <c r="ID174" s="179"/>
      <c r="IE174" s="179"/>
      <c r="IF174" s="193"/>
      <c r="IG174" s="194"/>
      <c r="IH174" s="192"/>
      <c r="II174" s="179"/>
      <c r="IJ174" s="179"/>
      <c r="IK174" s="179"/>
      <c r="IL174" s="179"/>
      <c r="IM174" s="179"/>
      <c r="IN174" s="179"/>
      <c r="IO174" s="179"/>
      <c r="IP174" s="179"/>
      <c r="IQ174" s="179"/>
      <c r="IR174" s="179"/>
      <c r="IS174" s="179"/>
      <c r="IT174" s="193"/>
      <c r="IU174" s="194"/>
      <c r="IV174" s="192"/>
      <c r="IW174" s="179"/>
      <c r="IX174" s="179"/>
      <c r="IY174" s="179"/>
      <c r="IZ174" s="179"/>
      <c r="JA174" s="179"/>
      <c r="JB174" s="179"/>
      <c r="JC174" s="179"/>
      <c r="JD174" s="179"/>
      <c r="JE174" s="179"/>
      <c r="JF174" s="179"/>
      <c r="JG174" s="179"/>
      <c r="JH174" s="193"/>
      <c r="JI174" s="194"/>
      <c r="JJ174" s="192"/>
      <c r="JK174" s="179"/>
      <c r="JL174" s="179"/>
      <c r="JM174" s="179"/>
      <c r="JN174" s="179"/>
      <c r="JO174" s="179"/>
      <c r="JP174" s="179"/>
      <c r="JQ174" s="179"/>
      <c r="JR174" s="179"/>
      <c r="JS174" s="179"/>
      <c r="JT174" s="179"/>
      <c r="JU174" s="179"/>
      <c r="JV174" s="193"/>
      <c r="JW174" s="194"/>
      <c r="JX174" s="192"/>
      <c r="JY174" s="179"/>
      <c r="JZ174" s="179"/>
      <c r="KA174" s="179"/>
      <c r="KB174" s="179"/>
      <c r="KC174" s="179"/>
      <c r="KD174" s="179"/>
      <c r="KE174" s="179"/>
      <c r="KF174" s="179"/>
      <c r="KG174" s="179"/>
      <c r="KH174" s="179"/>
      <c r="KI174" s="179"/>
      <c r="KJ174" s="193"/>
      <c r="KK174" s="194"/>
      <c r="KL174" s="192"/>
      <c r="KM174" s="179"/>
      <c r="KN174" s="179"/>
      <c r="KO174" s="179"/>
      <c r="KP174" s="179"/>
      <c r="KQ174" s="179"/>
      <c r="KR174" s="179"/>
      <c r="KS174" s="179"/>
      <c r="KT174" s="179"/>
      <c r="KU174" s="179"/>
      <c r="KV174" s="179"/>
      <c r="KW174" s="179"/>
      <c r="KX174" s="193"/>
      <c r="KY174" s="194"/>
      <c r="KZ174" s="192"/>
      <c r="LA174" s="179"/>
      <c r="LB174" s="179"/>
      <c r="LC174" s="179"/>
      <c r="LD174" s="179"/>
      <c r="LE174" s="179"/>
      <c r="LF174" s="179"/>
      <c r="LG174" s="179"/>
      <c r="LH174" s="179"/>
      <c r="LI174" s="179"/>
      <c r="LJ174" s="179"/>
      <c r="LK174" s="179"/>
      <c r="LL174" s="193"/>
      <c r="LM174" s="194"/>
      <c r="LN174" s="192"/>
      <c r="LO174" s="179"/>
      <c r="LP174" s="179"/>
      <c r="LQ174" s="179"/>
      <c r="LR174" s="179"/>
      <c r="LS174" s="179"/>
      <c r="LT174" s="179"/>
      <c r="LU174" s="179"/>
      <c r="LV174" s="179"/>
      <c r="LW174" s="179"/>
      <c r="LX174" s="179"/>
      <c r="LY174" s="179"/>
      <c r="LZ174" s="193"/>
      <c r="MA174" s="194"/>
      <c r="MB174" s="193"/>
      <c r="MC174" s="193"/>
      <c r="MD174" s="193"/>
      <c r="ME174" s="193"/>
      <c r="MF174" s="193"/>
      <c r="MG174" s="193"/>
      <c r="MH174" s="193"/>
      <c r="MI174" s="193"/>
      <c r="MJ174" s="193"/>
      <c r="MK174" s="193"/>
      <c r="ML174" s="193"/>
      <c r="MM174" s="193"/>
      <c r="MN174" s="193"/>
    </row>
    <row r="175" spans="1:352" ht="13" x14ac:dyDescent="0.3">
      <c r="A175" s="262"/>
      <c r="B175" s="171" t="s">
        <v>49</v>
      </c>
      <c r="C175" s="196"/>
      <c r="D175" s="197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75"/>
      <c r="Q175" s="176"/>
      <c r="R175" s="197"/>
      <c r="S175" s="198"/>
      <c r="T175" s="198"/>
      <c r="U175" s="198"/>
      <c r="V175" s="198"/>
      <c r="W175" s="198"/>
      <c r="X175" s="198"/>
      <c r="Y175" s="198"/>
      <c r="Z175" s="198"/>
      <c r="AA175" s="198"/>
      <c r="AB175" s="198"/>
      <c r="AC175" s="198"/>
      <c r="AD175" s="175"/>
      <c r="AE175" s="176"/>
      <c r="AF175" s="197"/>
      <c r="AG175" s="198"/>
      <c r="AH175" s="198"/>
      <c r="AI175" s="198"/>
      <c r="AJ175" s="198"/>
      <c r="AK175" s="198"/>
      <c r="AL175" s="198"/>
      <c r="AM175" s="198"/>
      <c r="AN175" s="198"/>
      <c r="AO175" s="198"/>
      <c r="AP175" s="198"/>
      <c r="AQ175" s="198"/>
      <c r="AR175" s="175"/>
      <c r="AS175" s="176"/>
      <c r="AT175" s="197"/>
      <c r="AU175" s="198"/>
      <c r="AV175" s="198"/>
      <c r="AW175" s="198"/>
      <c r="AX175" s="198"/>
      <c r="AY175" s="198"/>
      <c r="AZ175" s="198"/>
      <c r="BA175" s="198"/>
      <c r="BB175" s="198"/>
      <c r="BC175" s="198"/>
      <c r="BD175" s="198"/>
      <c r="BE175" s="198"/>
      <c r="BF175" s="175"/>
      <c r="BH175" s="197"/>
      <c r="BI175" s="198"/>
      <c r="BJ175" s="198"/>
      <c r="BK175" s="198"/>
      <c r="BL175" s="198"/>
      <c r="BM175" s="198"/>
      <c r="BN175" s="198"/>
      <c r="BO175" s="198"/>
      <c r="BP175" s="198"/>
      <c r="BQ175" s="198"/>
      <c r="BR175" s="198"/>
      <c r="BS175" s="198"/>
      <c r="BT175" s="175"/>
      <c r="BU175" s="176"/>
      <c r="BV175" s="197"/>
      <c r="BW175" s="198"/>
      <c r="BX175" s="198"/>
      <c r="BY175" s="198"/>
      <c r="BZ175" s="198"/>
      <c r="CA175" s="198"/>
      <c r="CB175" s="198"/>
      <c r="CC175" s="198"/>
      <c r="CD175" s="198"/>
      <c r="CE175" s="198"/>
      <c r="CF175" s="198"/>
      <c r="CG175" s="198"/>
      <c r="CH175" s="175"/>
      <c r="CI175" s="176"/>
      <c r="CJ175" s="197"/>
      <c r="CK175" s="198"/>
      <c r="CL175" s="198"/>
      <c r="CM175" s="198"/>
      <c r="CN175" s="198"/>
      <c r="CO175" s="198"/>
      <c r="CP175" s="198"/>
      <c r="CQ175" s="198"/>
      <c r="CR175" s="198"/>
      <c r="CS175" s="198"/>
      <c r="CT175" s="198"/>
      <c r="CU175" s="198"/>
      <c r="CV175" s="175"/>
      <c r="CW175" s="176"/>
      <c r="CX175" s="197"/>
      <c r="CY175" s="198"/>
      <c r="CZ175" s="198"/>
      <c r="DA175" s="198"/>
      <c r="DB175" s="198"/>
      <c r="DC175" s="198"/>
      <c r="DD175" s="198"/>
      <c r="DE175" s="198"/>
      <c r="DF175" s="198"/>
      <c r="DG175" s="198"/>
      <c r="DH175" s="198"/>
      <c r="DI175" s="198"/>
      <c r="DJ175" s="175"/>
      <c r="DK175" s="176"/>
      <c r="DL175" s="197"/>
      <c r="DM175" s="198"/>
      <c r="DN175" s="198"/>
      <c r="DO175" s="198"/>
      <c r="DP175" s="198"/>
      <c r="DQ175" s="198"/>
      <c r="DR175" s="198"/>
      <c r="DS175" s="198"/>
      <c r="DT175" s="198"/>
      <c r="DU175" s="198"/>
      <c r="DV175" s="198"/>
      <c r="DW175" s="198"/>
      <c r="DX175" s="175"/>
      <c r="DY175" s="176"/>
      <c r="DZ175" s="197"/>
      <c r="EA175" s="198"/>
      <c r="EB175" s="198"/>
      <c r="EC175" s="198"/>
      <c r="ED175" s="198"/>
      <c r="EE175" s="198"/>
      <c r="EF175" s="198"/>
      <c r="EG175" s="198"/>
      <c r="EH175" s="198"/>
      <c r="EI175" s="198"/>
      <c r="EJ175" s="198"/>
      <c r="EK175" s="198"/>
      <c r="EL175" s="175"/>
      <c r="EM175" s="176"/>
      <c r="EN175" s="197"/>
      <c r="EO175" s="198"/>
      <c r="EP175" s="198"/>
      <c r="EQ175" s="198"/>
      <c r="ER175" s="198"/>
      <c r="ES175" s="198"/>
      <c r="ET175" s="198"/>
      <c r="EU175" s="198"/>
      <c r="EV175" s="198"/>
      <c r="EW175" s="198"/>
      <c r="EX175" s="198"/>
      <c r="EY175" s="198"/>
      <c r="EZ175" s="175"/>
      <c r="FA175" s="176"/>
      <c r="FB175" s="197"/>
      <c r="FC175" s="198"/>
      <c r="FD175" s="198"/>
      <c r="FE175" s="198"/>
      <c r="FF175" s="198"/>
      <c r="FG175" s="198"/>
      <c r="FH175" s="198"/>
      <c r="FI175" s="198"/>
      <c r="FJ175" s="198"/>
      <c r="FK175" s="198"/>
      <c r="FL175" s="198"/>
      <c r="FM175" s="198"/>
      <c r="FN175" s="175"/>
      <c r="FO175" s="176"/>
      <c r="FP175" s="197"/>
      <c r="FQ175" s="198"/>
      <c r="FR175" s="198"/>
      <c r="FS175" s="198"/>
      <c r="FT175" s="198"/>
      <c r="FU175" s="198"/>
      <c r="FV175" s="198"/>
      <c r="FW175" s="198"/>
      <c r="FX175" s="198"/>
      <c r="FY175" s="198"/>
      <c r="FZ175" s="198"/>
      <c r="GA175" s="198"/>
      <c r="GB175" s="175"/>
      <c r="GC175" s="176"/>
      <c r="GD175" s="197"/>
      <c r="GE175" s="198"/>
      <c r="GF175" s="198"/>
      <c r="GG175" s="198"/>
      <c r="GH175" s="198"/>
      <c r="GI175" s="198"/>
      <c r="GJ175" s="198"/>
      <c r="GK175" s="198"/>
      <c r="GL175" s="198"/>
      <c r="GM175" s="198"/>
      <c r="GN175" s="198"/>
      <c r="GO175" s="198"/>
      <c r="GP175" s="175"/>
      <c r="GQ175" s="176"/>
      <c r="GR175" s="197"/>
      <c r="GS175" s="198"/>
      <c r="GT175" s="198"/>
      <c r="GU175" s="198"/>
      <c r="GV175" s="198"/>
      <c r="GW175" s="198"/>
      <c r="GX175" s="198"/>
      <c r="GY175" s="198"/>
      <c r="GZ175" s="198"/>
      <c r="HA175" s="198"/>
      <c r="HB175" s="198"/>
      <c r="HC175" s="198"/>
      <c r="HD175" s="175"/>
      <c r="HE175" s="176"/>
      <c r="HF175" s="197"/>
      <c r="HG175" s="198"/>
      <c r="HH175" s="198"/>
      <c r="HI175" s="198"/>
      <c r="HJ175" s="198"/>
      <c r="HK175" s="198"/>
      <c r="HL175" s="198"/>
      <c r="HM175" s="198"/>
      <c r="HN175" s="198"/>
      <c r="HO175" s="198"/>
      <c r="HP175" s="198"/>
      <c r="HQ175" s="198"/>
      <c r="HR175" s="175"/>
      <c r="HS175" s="176"/>
      <c r="HT175" s="197"/>
      <c r="HU175" s="198"/>
      <c r="HV175" s="198"/>
      <c r="HW175" s="198"/>
      <c r="HX175" s="198"/>
      <c r="HY175" s="198"/>
      <c r="HZ175" s="198"/>
      <c r="IA175" s="198"/>
      <c r="IB175" s="198"/>
      <c r="IC175" s="198"/>
      <c r="ID175" s="198"/>
      <c r="IE175" s="198"/>
      <c r="IF175" s="175"/>
      <c r="IG175" s="176"/>
      <c r="IH175" s="197"/>
      <c r="II175" s="198"/>
      <c r="IJ175" s="198"/>
      <c r="IK175" s="198"/>
      <c r="IL175" s="198"/>
      <c r="IM175" s="198"/>
      <c r="IN175" s="198"/>
      <c r="IO175" s="198"/>
      <c r="IP175" s="198"/>
      <c r="IQ175" s="198"/>
      <c r="IR175" s="198"/>
      <c r="IS175" s="198"/>
      <c r="IT175" s="175"/>
      <c r="IU175" s="176"/>
      <c r="IV175" s="197"/>
      <c r="IW175" s="198"/>
      <c r="IX175" s="198"/>
      <c r="IY175" s="198"/>
      <c r="IZ175" s="198"/>
      <c r="JA175" s="198"/>
      <c r="JB175" s="198"/>
      <c r="JC175" s="198"/>
      <c r="JD175" s="198"/>
      <c r="JE175" s="198"/>
      <c r="JF175" s="198"/>
      <c r="JG175" s="198"/>
      <c r="JH175" s="175"/>
      <c r="JI175" s="176"/>
      <c r="JJ175" s="197"/>
      <c r="JK175" s="198"/>
      <c r="JL175" s="198"/>
      <c r="JM175" s="198"/>
      <c r="JN175" s="198"/>
      <c r="JO175" s="198"/>
      <c r="JP175" s="198"/>
      <c r="JQ175" s="198"/>
      <c r="JR175" s="198"/>
      <c r="JS175" s="198"/>
      <c r="JT175" s="198"/>
      <c r="JU175" s="198"/>
      <c r="JV175" s="175"/>
      <c r="JW175" s="176"/>
      <c r="JX175" s="197"/>
      <c r="JY175" s="198"/>
      <c r="JZ175" s="198"/>
      <c r="KA175" s="198"/>
      <c r="KB175" s="198"/>
      <c r="KC175" s="198"/>
      <c r="KD175" s="198"/>
      <c r="KE175" s="198"/>
      <c r="KF175" s="198"/>
      <c r="KG175" s="198"/>
      <c r="KH175" s="198"/>
      <c r="KI175" s="198"/>
      <c r="KJ175" s="175"/>
      <c r="KK175" s="176"/>
      <c r="KL175" s="197"/>
      <c r="KM175" s="198"/>
      <c r="KN175" s="198"/>
      <c r="KO175" s="198"/>
      <c r="KP175" s="198"/>
      <c r="KQ175" s="198"/>
      <c r="KR175" s="198"/>
      <c r="KS175" s="198"/>
      <c r="KT175" s="198"/>
      <c r="KU175" s="198"/>
      <c r="KV175" s="198"/>
      <c r="KW175" s="198"/>
      <c r="KX175" s="175"/>
      <c r="KY175" s="176"/>
      <c r="KZ175" s="197"/>
      <c r="LA175" s="198"/>
      <c r="LB175" s="198"/>
      <c r="LC175" s="198"/>
      <c r="LD175" s="198"/>
      <c r="LE175" s="198"/>
      <c r="LF175" s="198"/>
      <c r="LG175" s="198"/>
      <c r="LH175" s="198"/>
      <c r="LI175" s="198"/>
      <c r="LJ175" s="198"/>
      <c r="LK175" s="198"/>
      <c r="LL175" s="175"/>
      <c r="LM175" s="176"/>
      <c r="LN175" s="197"/>
      <c r="LO175" s="198"/>
      <c r="LP175" s="198"/>
      <c r="LQ175" s="198"/>
      <c r="LR175" s="198"/>
      <c r="LS175" s="198"/>
      <c r="LT175" s="198"/>
      <c r="LU175" s="198"/>
      <c r="LV175" s="198"/>
      <c r="LW175" s="198"/>
      <c r="LX175" s="198"/>
      <c r="LY175" s="198"/>
      <c r="LZ175" s="175"/>
      <c r="MA175" s="176"/>
      <c r="MB175" s="175"/>
      <c r="MC175" s="175"/>
      <c r="MD175" s="175"/>
      <c r="ME175" s="175"/>
      <c r="MF175" s="175"/>
      <c r="MG175" s="175"/>
      <c r="MH175" s="175"/>
      <c r="MI175" s="175"/>
      <c r="MJ175" s="175"/>
      <c r="MK175" s="175"/>
      <c r="ML175" s="175"/>
      <c r="MM175" s="175"/>
      <c r="MN175" s="175"/>
    </row>
    <row r="176" spans="1:352" x14ac:dyDescent="0.25">
      <c r="A176" s="262"/>
      <c r="B176" s="64" t="s">
        <v>50</v>
      </c>
      <c r="C176" s="98"/>
      <c r="D176" s="263">
        <f>+D33/$D$144</f>
        <v>31357.471401334602</v>
      </c>
      <c r="E176" s="263">
        <f t="shared" ref="E176:O186" si="726">+E33/$D$144</f>
        <v>31357.471401334602</v>
      </c>
      <c r="F176" s="263">
        <f t="shared" si="726"/>
        <v>31357.471401334602</v>
      </c>
      <c r="G176" s="263">
        <f t="shared" si="726"/>
        <v>31357.471401334602</v>
      </c>
      <c r="H176" s="263">
        <f t="shared" si="726"/>
        <v>31357.471401334602</v>
      </c>
      <c r="I176" s="263">
        <f t="shared" si="726"/>
        <v>31357.471401334602</v>
      </c>
      <c r="J176" s="263">
        <f t="shared" si="726"/>
        <v>31357.471401334602</v>
      </c>
      <c r="K176" s="263">
        <f t="shared" si="726"/>
        <v>31357.471401334602</v>
      </c>
      <c r="L176" s="263">
        <f t="shared" si="726"/>
        <v>31357.471401334602</v>
      </c>
      <c r="M176" s="263">
        <f t="shared" si="726"/>
        <v>31357.471401334602</v>
      </c>
      <c r="N176" s="263">
        <f t="shared" si="726"/>
        <v>31357.471401334602</v>
      </c>
      <c r="O176" s="263">
        <f t="shared" si="726"/>
        <v>31357.471401334602</v>
      </c>
      <c r="P176" s="282">
        <f t="shared" ref="P176:P186" si="727">+SUBTOTAL(9,D176:O176)</f>
        <v>376289.65681601525</v>
      </c>
      <c r="Q176" s="266"/>
      <c r="R176" s="263">
        <f>+R33/$D$144</f>
        <v>2538.0004766444231</v>
      </c>
      <c r="S176" s="263">
        <f t="shared" ref="S176:AC176" si="728">+S33/$D$144</f>
        <v>2538.0004766444231</v>
      </c>
      <c r="T176" s="263">
        <f t="shared" si="728"/>
        <v>2538.0004766444231</v>
      </c>
      <c r="U176" s="263">
        <f t="shared" si="728"/>
        <v>2538.0004766444231</v>
      </c>
      <c r="V176" s="263">
        <f t="shared" si="728"/>
        <v>2538.0004766444231</v>
      </c>
      <c r="W176" s="263">
        <f t="shared" si="728"/>
        <v>2538.0004766444231</v>
      </c>
      <c r="X176" s="263">
        <f t="shared" si="728"/>
        <v>2538.0004766444231</v>
      </c>
      <c r="Y176" s="263">
        <f t="shared" si="728"/>
        <v>2538.0004766444231</v>
      </c>
      <c r="Z176" s="263">
        <f t="shared" si="728"/>
        <v>2538.0004766444231</v>
      </c>
      <c r="AA176" s="263">
        <f t="shared" si="728"/>
        <v>2538.0004766444231</v>
      </c>
      <c r="AB176" s="263">
        <f t="shared" si="728"/>
        <v>2538.0004766444231</v>
      </c>
      <c r="AC176" s="263">
        <f t="shared" si="728"/>
        <v>2538.0004766444231</v>
      </c>
      <c r="AD176" s="282">
        <f t="shared" ref="AD176:AD186" si="729">+SUBTOTAL(9,R176:AC176)</f>
        <v>30456.005719733072</v>
      </c>
      <c r="AE176" s="266"/>
      <c r="AF176" s="263">
        <f>+AF33/$D$144</f>
        <v>2556.3274547187798</v>
      </c>
      <c r="AG176" s="263">
        <f t="shared" ref="AG176:AQ176" si="730">+AG33/$D$144</f>
        <v>2556.3274547187798</v>
      </c>
      <c r="AH176" s="263">
        <f t="shared" si="730"/>
        <v>2556.3274547187798</v>
      </c>
      <c r="AI176" s="263">
        <f t="shared" si="730"/>
        <v>2556.3274547187798</v>
      </c>
      <c r="AJ176" s="263">
        <f t="shared" si="730"/>
        <v>2556.3274547187798</v>
      </c>
      <c r="AK176" s="263">
        <f t="shared" si="730"/>
        <v>2556.3274547187798</v>
      </c>
      <c r="AL176" s="263">
        <f t="shared" si="730"/>
        <v>2556.3274547187798</v>
      </c>
      <c r="AM176" s="263">
        <f t="shared" si="730"/>
        <v>2556.3274547187798</v>
      </c>
      <c r="AN176" s="263">
        <f t="shared" si="730"/>
        <v>2556.3274547187798</v>
      </c>
      <c r="AO176" s="263">
        <f t="shared" si="730"/>
        <v>2556.3274547187798</v>
      </c>
      <c r="AP176" s="263">
        <f t="shared" si="730"/>
        <v>2556.3274547187798</v>
      </c>
      <c r="AQ176" s="263">
        <f t="shared" si="730"/>
        <v>2556.3274547187798</v>
      </c>
      <c r="AR176" s="282">
        <f t="shared" ref="AR176:AR186" si="731">+SUBTOTAL(9,AF176:AQ176)</f>
        <v>30675.929456625356</v>
      </c>
      <c r="AS176" s="266"/>
      <c r="AT176" s="263">
        <f>+AT33/$D$144</f>
        <v>7995.0071496663486</v>
      </c>
      <c r="AU176" s="263">
        <f t="shared" ref="AU176:BE176" si="732">+AU33/$D$144</f>
        <v>7995.0071496663486</v>
      </c>
      <c r="AV176" s="263">
        <f t="shared" si="732"/>
        <v>7995.0071496663486</v>
      </c>
      <c r="AW176" s="263">
        <f t="shared" si="732"/>
        <v>7995.0071496663486</v>
      </c>
      <c r="AX176" s="263">
        <f t="shared" si="732"/>
        <v>7995.0071496663486</v>
      </c>
      <c r="AY176" s="263">
        <f t="shared" si="732"/>
        <v>7995.0071496663486</v>
      </c>
      <c r="AZ176" s="263">
        <f t="shared" si="732"/>
        <v>7995.0071496663486</v>
      </c>
      <c r="BA176" s="263">
        <f t="shared" si="732"/>
        <v>7995.0071496663486</v>
      </c>
      <c r="BB176" s="263">
        <f t="shared" si="732"/>
        <v>7995.0071496663486</v>
      </c>
      <c r="BC176" s="263">
        <f t="shared" si="732"/>
        <v>7995.0071496663486</v>
      </c>
      <c r="BD176" s="263">
        <f t="shared" si="732"/>
        <v>7995.0071496663486</v>
      </c>
      <c r="BE176" s="263">
        <f t="shared" si="732"/>
        <v>7995.0071496663486</v>
      </c>
      <c r="BF176" s="282">
        <f t="shared" ref="BF176:BF186" si="733">+SUBTOTAL(9,AT176:BE176)</f>
        <v>95940.085795996172</v>
      </c>
      <c r="BG176" s="224"/>
      <c r="BH176" s="263">
        <f>+BH33/$D$144</f>
        <v>45878.098188751188</v>
      </c>
      <c r="BI176" s="263">
        <f t="shared" ref="BI176:BS176" si="734">+BI33/$D$144</f>
        <v>45878.098188751188</v>
      </c>
      <c r="BJ176" s="263">
        <f t="shared" si="734"/>
        <v>45878.098188751188</v>
      </c>
      <c r="BK176" s="263">
        <f t="shared" si="734"/>
        <v>45878.098188751188</v>
      </c>
      <c r="BL176" s="263">
        <f t="shared" si="734"/>
        <v>45878.098188751188</v>
      </c>
      <c r="BM176" s="263">
        <f t="shared" si="734"/>
        <v>45878.098188751188</v>
      </c>
      <c r="BN176" s="263">
        <f t="shared" si="734"/>
        <v>45878.098188751188</v>
      </c>
      <c r="BO176" s="263">
        <f t="shared" si="734"/>
        <v>45878.098188751188</v>
      </c>
      <c r="BP176" s="263">
        <f t="shared" si="734"/>
        <v>45878.098188751188</v>
      </c>
      <c r="BQ176" s="263">
        <f t="shared" si="734"/>
        <v>45878.098188751188</v>
      </c>
      <c r="BR176" s="263">
        <f t="shared" si="734"/>
        <v>45878.098188751188</v>
      </c>
      <c r="BS176" s="263">
        <f t="shared" si="734"/>
        <v>45878.098188751188</v>
      </c>
      <c r="BT176" s="282">
        <f t="shared" ref="BT176:BT186" si="735">+SUBTOTAL(9,BH176:BS176)</f>
        <v>550537.17826501431</v>
      </c>
      <c r="BU176" s="266"/>
      <c r="BV176" s="263">
        <f>+BV33/$D$144</f>
        <v>7153.7774070543373</v>
      </c>
      <c r="BW176" s="263">
        <f t="shared" ref="BW176:CG176" si="736">+BW33/$D$144</f>
        <v>7153.7774070543373</v>
      </c>
      <c r="BX176" s="263">
        <f t="shared" si="736"/>
        <v>7153.7774070543373</v>
      </c>
      <c r="BY176" s="263">
        <f t="shared" si="736"/>
        <v>7153.7774070543373</v>
      </c>
      <c r="BZ176" s="263">
        <f t="shared" si="736"/>
        <v>7153.7774070543373</v>
      </c>
      <c r="CA176" s="263">
        <f t="shared" si="736"/>
        <v>7153.7774070543373</v>
      </c>
      <c r="CB176" s="263">
        <f t="shared" si="736"/>
        <v>7153.7774070543373</v>
      </c>
      <c r="CC176" s="263">
        <f t="shared" si="736"/>
        <v>7153.7774070543373</v>
      </c>
      <c r="CD176" s="263">
        <f t="shared" si="736"/>
        <v>7153.7774070543373</v>
      </c>
      <c r="CE176" s="263">
        <f t="shared" si="736"/>
        <v>7153.7774070543373</v>
      </c>
      <c r="CF176" s="263">
        <f t="shared" si="736"/>
        <v>7153.7774070543373</v>
      </c>
      <c r="CG176" s="263">
        <f t="shared" si="736"/>
        <v>7153.7774070543373</v>
      </c>
      <c r="CH176" s="282">
        <f t="shared" ref="CH176:CH186" si="737">+SUBTOTAL(9,BV176:CG176)</f>
        <v>85845.328884652045</v>
      </c>
      <c r="CI176" s="266"/>
      <c r="CJ176" s="263">
        <f>+CJ33/$D$144</f>
        <v>18522.926596758818</v>
      </c>
      <c r="CK176" s="263">
        <f t="shared" ref="CK176:CU176" si="738">+CK33/$D$144</f>
        <v>18522.926596758818</v>
      </c>
      <c r="CL176" s="263">
        <f t="shared" si="738"/>
        <v>18522.926596758818</v>
      </c>
      <c r="CM176" s="263">
        <f t="shared" si="738"/>
        <v>18522.926596758818</v>
      </c>
      <c r="CN176" s="263">
        <f t="shared" si="738"/>
        <v>18522.926596758818</v>
      </c>
      <c r="CO176" s="263">
        <f t="shared" si="738"/>
        <v>18522.926596758818</v>
      </c>
      <c r="CP176" s="263">
        <f t="shared" si="738"/>
        <v>18522.926596758818</v>
      </c>
      <c r="CQ176" s="263">
        <f t="shared" si="738"/>
        <v>18522.926596758818</v>
      </c>
      <c r="CR176" s="263">
        <f t="shared" si="738"/>
        <v>18522.926596758818</v>
      </c>
      <c r="CS176" s="263">
        <f t="shared" si="738"/>
        <v>18522.926596758818</v>
      </c>
      <c r="CT176" s="263">
        <f t="shared" si="738"/>
        <v>18522.926596758818</v>
      </c>
      <c r="CU176" s="263">
        <f t="shared" si="738"/>
        <v>18522.926596758818</v>
      </c>
      <c r="CV176" s="282">
        <f t="shared" ref="CV176:CV186" si="739">+SUBTOTAL(9,CJ176:CU176)</f>
        <v>222275.11916110586</v>
      </c>
      <c r="CW176" s="266"/>
      <c r="CX176" s="263">
        <f>+CX33/$D$144</f>
        <v>41052.514299332695</v>
      </c>
      <c r="CY176" s="263">
        <f t="shared" ref="CY176:DI176" si="740">+CY33/$D$144</f>
        <v>41052.514299332695</v>
      </c>
      <c r="CZ176" s="263">
        <f t="shared" si="740"/>
        <v>41052.514299332695</v>
      </c>
      <c r="DA176" s="263">
        <f t="shared" si="740"/>
        <v>41052.514299332695</v>
      </c>
      <c r="DB176" s="263">
        <f t="shared" si="740"/>
        <v>41052.514299332695</v>
      </c>
      <c r="DC176" s="263">
        <f t="shared" si="740"/>
        <v>41052.514299332695</v>
      </c>
      <c r="DD176" s="263">
        <f t="shared" si="740"/>
        <v>41052.514299332695</v>
      </c>
      <c r="DE176" s="263">
        <f t="shared" si="740"/>
        <v>41052.514299332695</v>
      </c>
      <c r="DF176" s="263">
        <f t="shared" si="740"/>
        <v>41052.514299332695</v>
      </c>
      <c r="DG176" s="263">
        <f t="shared" si="740"/>
        <v>41052.514299332695</v>
      </c>
      <c r="DH176" s="263">
        <f t="shared" si="740"/>
        <v>41052.514299332695</v>
      </c>
      <c r="DI176" s="263">
        <f t="shared" si="740"/>
        <v>41052.514299332695</v>
      </c>
      <c r="DJ176" s="282">
        <f t="shared" ref="DJ176:DJ186" si="741">+SUBTOTAL(9,CX176:DI176)</f>
        <v>492630.17159199232</v>
      </c>
      <c r="DK176" s="266"/>
      <c r="DL176" s="263">
        <f>+DL33/$D$144</f>
        <v>23924.642516682554</v>
      </c>
      <c r="DM176" s="263">
        <f t="shared" ref="DM176:DW176" si="742">+DM33/$D$144</f>
        <v>23924.642516682554</v>
      </c>
      <c r="DN176" s="263">
        <f t="shared" si="742"/>
        <v>23924.642516682554</v>
      </c>
      <c r="DO176" s="263">
        <f t="shared" si="742"/>
        <v>23924.642516682554</v>
      </c>
      <c r="DP176" s="263">
        <f t="shared" si="742"/>
        <v>23924.642516682554</v>
      </c>
      <c r="DQ176" s="263">
        <f t="shared" si="742"/>
        <v>23924.642516682554</v>
      </c>
      <c r="DR176" s="263">
        <f t="shared" si="742"/>
        <v>23924.642516682554</v>
      </c>
      <c r="DS176" s="263">
        <f t="shared" si="742"/>
        <v>23924.642516682554</v>
      </c>
      <c r="DT176" s="263">
        <f t="shared" si="742"/>
        <v>23924.642516682554</v>
      </c>
      <c r="DU176" s="263">
        <f t="shared" si="742"/>
        <v>23924.642516682554</v>
      </c>
      <c r="DV176" s="263">
        <f t="shared" si="742"/>
        <v>23924.642516682554</v>
      </c>
      <c r="DW176" s="263">
        <f t="shared" si="742"/>
        <v>23924.642516682554</v>
      </c>
      <c r="DX176" s="282">
        <f t="shared" ref="DX176:DX186" si="743">+SUBTOTAL(9,DL176:DW176)</f>
        <v>287095.71020019072</v>
      </c>
      <c r="DY176" s="266"/>
      <c r="DZ176" s="263">
        <f>+DZ33/$D$144</f>
        <v>3877.573879885605</v>
      </c>
      <c r="EA176" s="263">
        <f t="shared" ref="EA176:EK176" si="744">+EA33/$D$144</f>
        <v>3877.573879885605</v>
      </c>
      <c r="EB176" s="263">
        <f t="shared" si="744"/>
        <v>3877.573879885605</v>
      </c>
      <c r="EC176" s="263">
        <f t="shared" si="744"/>
        <v>3877.573879885605</v>
      </c>
      <c r="ED176" s="263">
        <f t="shared" si="744"/>
        <v>3877.573879885605</v>
      </c>
      <c r="EE176" s="263">
        <f t="shared" si="744"/>
        <v>3877.573879885605</v>
      </c>
      <c r="EF176" s="263">
        <f t="shared" si="744"/>
        <v>3877.573879885605</v>
      </c>
      <c r="EG176" s="263">
        <f t="shared" si="744"/>
        <v>3877.573879885605</v>
      </c>
      <c r="EH176" s="263">
        <f t="shared" si="744"/>
        <v>3877.573879885605</v>
      </c>
      <c r="EI176" s="263">
        <f t="shared" si="744"/>
        <v>3877.573879885605</v>
      </c>
      <c r="EJ176" s="263">
        <f t="shared" si="744"/>
        <v>3877.573879885605</v>
      </c>
      <c r="EK176" s="263">
        <f t="shared" si="744"/>
        <v>3877.573879885605</v>
      </c>
      <c r="EL176" s="282">
        <f t="shared" ref="EL176:EL186" si="745">+SUBTOTAL(9,DZ176:EK176)</f>
        <v>46530.886558627251</v>
      </c>
      <c r="EM176" s="266"/>
      <c r="EN176" s="263">
        <f>+EN33/$D$144</f>
        <v>5512.6072449952335</v>
      </c>
      <c r="EO176" s="263">
        <f t="shared" ref="EO176:EY176" si="746">+EO33/$D$144</f>
        <v>5512.6072449952335</v>
      </c>
      <c r="EP176" s="263">
        <f t="shared" si="746"/>
        <v>5512.6072449952335</v>
      </c>
      <c r="EQ176" s="263">
        <f t="shared" si="746"/>
        <v>5512.6072449952335</v>
      </c>
      <c r="ER176" s="263">
        <f t="shared" si="746"/>
        <v>5512.6072449952335</v>
      </c>
      <c r="ES176" s="263">
        <f t="shared" si="746"/>
        <v>5512.6072449952335</v>
      </c>
      <c r="ET176" s="263">
        <f t="shared" si="746"/>
        <v>5512.6072449952335</v>
      </c>
      <c r="EU176" s="263">
        <f t="shared" si="746"/>
        <v>5512.6072449952335</v>
      </c>
      <c r="EV176" s="263">
        <f t="shared" si="746"/>
        <v>5512.6072449952335</v>
      </c>
      <c r="EW176" s="263">
        <f t="shared" si="746"/>
        <v>5512.6072449952335</v>
      </c>
      <c r="EX176" s="263">
        <f t="shared" si="746"/>
        <v>5512.6072449952335</v>
      </c>
      <c r="EY176" s="263">
        <f t="shared" si="746"/>
        <v>5512.6072449952335</v>
      </c>
      <c r="EZ176" s="282">
        <f t="shared" ref="EZ176:EZ186" si="747">+SUBTOTAL(9,EN176:EY176)</f>
        <v>66151.286939942802</v>
      </c>
      <c r="FA176" s="266"/>
      <c r="FB176" s="263">
        <f>+FB33/$D$144</f>
        <v>945.69828408007629</v>
      </c>
      <c r="FC176" s="263">
        <f t="shared" ref="FC176:FM176" si="748">+FC33/$D$144</f>
        <v>945.69828408007629</v>
      </c>
      <c r="FD176" s="263">
        <f t="shared" si="748"/>
        <v>945.69828408007629</v>
      </c>
      <c r="FE176" s="263">
        <f t="shared" si="748"/>
        <v>945.69828408007629</v>
      </c>
      <c r="FF176" s="263">
        <f t="shared" si="748"/>
        <v>945.69828408007629</v>
      </c>
      <c r="FG176" s="263">
        <f t="shared" si="748"/>
        <v>945.69828408007629</v>
      </c>
      <c r="FH176" s="263">
        <f t="shared" si="748"/>
        <v>945.69828408007629</v>
      </c>
      <c r="FI176" s="263">
        <f t="shared" si="748"/>
        <v>945.69828408007629</v>
      </c>
      <c r="FJ176" s="263">
        <f t="shared" si="748"/>
        <v>945.69828408007629</v>
      </c>
      <c r="FK176" s="263">
        <f t="shared" si="748"/>
        <v>945.69828408007629</v>
      </c>
      <c r="FL176" s="263">
        <f t="shared" si="748"/>
        <v>945.69828408007629</v>
      </c>
      <c r="FM176" s="263">
        <f t="shared" si="748"/>
        <v>945.69828408007629</v>
      </c>
      <c r="FN176" s="282">
        <f t="shared" ref="FN176:FN186" si="749">+SUBTOTAL(9,FB176:FM176)</f>
        <v>11348.379408960915</v>
      </c>
      <c r="FO176" s="266"/>
      <c r="FP176" s="263">
        <f>+FP33/$D$144</f>
        <v>16182.709723546233</v>
      </c>
      <c r="FQ176" s="263">
        <f t="shared" ref="FQ176:GA176" si="750">+FQ33/$D$144</f>
        <v>16182.709723546233</v>
      </c>
      <c r="FR176" s="263">
        <f t="shared" si="750"/>
        <v>16182.709723546233</v>
      </c>
      <c r="FS176" s="263">
        <f t="shared" si="750"/>
        <v>16182.709723546233</v>
      </c>
      <c r="FT176" s="263">
        <f t="shared" si="750"/>
        <v>16182.709723546233</v>
      </c>
      <c r="FU176" s="263">
        <f t="shared" si="750"/>
        <v>16182.709723546233</v>
      </c>
      <c r="FV176" s="263">
        <f t="shared" si="750"/>
        <v>16182.709723546233</v>
      </c>
      <c r="FW176" s="263">
        <f t="shared" si="750"/>
        <v>16182.709723546233</v>
      </c>
      <c r="FX176" s="263">
        <f t="shared" si="750"/>
        <v>16182.709723546233</v>
      </c>
      <c r="FY176" s="263">
        <f t="shared" si="750"/>
        <v>16182.709723546233</v>
      </c>
      <c r="FZ176" s="263">
        <f t="shared" si="750"/>
        <v>16182.709723546233</v>
      </c>
      <c r="GA176" s="263">
        <f t="shared" si="750"/>
        <v>16182.709723546233</v>
      </c>
      <c r="GB176" s="282">
        <f t="shared" ref="GB176:GB186" si="751">+SUBTOTAL(9,FP176:GA176)</f>
        <v>194192.51668255476</v>
      </c>
      <c r="GC176" s="266"/>
      <c r="GD176" s="263">
        <f>+GD33/$D$144</f>
        <v>8616.8374642516683</v>
      </c>
      <c r="GE176" s="263">
        <f t="shared" ref="GE176:GO176" si="752">+GE33/$D$144</f>
        <v>8616.8374642516683</v>
      </c>
      <c r="GF176" s="263">
        <f t="shared" si="752"/>
        <v>8616.8374642516683</v>
      </c>
      <c r="GG176" s="263">
        <f t="shared" si="752"/>
        <v>8616.8374642516683</v>
      </c>
      <c r="GH176" s="263">
        <f t="shared" si="752"/>
        <v>8616.8374642516683</v>
      </c>
      <c r="GI176" s="263">
        <f t="shared" si="752"/>
        <v>8616.8374642516683</v>
      </c>
      <c r="GJ176" s="263">
        <f t="shared" si="752"/>
        <v>8616.8374642516683</v>
      </c>
      <c r="GK176" s="263">
        <f t="shared" si="752"/>
        <v>8616.8374642516683</v>
      </c>
      <c r="GL176" s="263">
        <f t="shared" si="752"/>
        <v>8616.8374642516683</v>
      </c>
      <c r="GM176" s="263">
        <f t="shared" si="752"/>
        <v>8616.8374642516683</v>
      </c>
      <c r="GN176" s="263">
        <f t="shared" si="752"/>
        <v>8616.8374642516683</v>
      </c>
      <c r="GO176" s="263">
        <f t="shared" si="752"/>
        <v>8616.8374642516683</v>
      </c>
      <c r="GP176" s="282">
        <f t="shared" ref="GP176:GP186" si="753">+SUBTOTAL(9,GD176:GO176)</f>
        <v>103402.04957102005</v>
      </c>
      <c r="GQ176" s="266"/>
      <c r="GR176" s="263">
        <f>+GR33/$D$144</f>
        <v>-13069.5653876708</v>
      </c>
      <c r="GS176" s="263">
        <f t="shared" ref="GS176:HC176" si="754">+GS33/$D$144</f>
        <v>-13069.5653876708</v>
      </c>
      <c r="GT176" s="263">
        <f t="shared" si="754"/>
        <v>-13069.5653876708</v>
      </c>
      <c r="GU176" s="263">
        <f t="shared" si="754"/>
        <v>-13069.5653876708</v>
      </c>
      <c r="GV176" s="263">
        <f t="shared" si="754"/>
        <v>-13069.5653876708</v>
      </c>
      <c r="GW176" s="263">
        <f t="shared" si="754"/>
        <v>-13069.5653876708</v>
      </c>
      <c r="GX176" s="263">
        <f t="shared" si="754"/>
        <v>-13069.5653876708</v>
      </c>
      <c r="GY176" s="263">
        <f t="shared" si="754"/>
        <v>-13069.5653876708</v>
      </c>
      <c r="GZ176" s="263">
        <f t="shared" si="754"/>
        <v>-13069.5653876708</v>
      </c>
      <c r="HA176" s="263">
        <f t="shared" si="754"/>
        <v>-13069.5653876708</v>
      </c>
      <c r="HB176" s="263">
        <f t="shared" si="754"/>
        <v>-13069.5653876708</v>
      </c>
      <c r="HC176" s="263">
        <f t="shared" si="754"/>
        <v>-13069.5653876708</v>
      </c>
      <c r="HD176" s="282">
        <f>+SUBTOTAL(9,GR176:HC176)*0</f>
        <v>0</v>
      </c>
      <c r="HE176" s="266"/>
      <c r="HF176" s="263">
        <f>+HF33/$D$144</f>
        <v>7060.0571973307915</v>
      </c>
      <c r="HG176" s="263">
        <f t="shared" ref="HG176:HQ176" si="755">+HG33/$D$144</f>
        <v>7060.0571973307915</v>
      </c>
      <c r="HH176" s="263">
        <f t="shared" si="755"/>
        <v>7060.0571973307915</v>
      </c>
      <c r="HI176" s="263">
        <f t="shared" si="755"/>
        <v>7060.0571973307915</v>
      </c>
      <c r="HJ176" s="263">
        <f t="shared" si="755"/>
        <v>7060.0571973307915</v>
      </c>
      <c r="HK176" s="263">
        <f t="shared" si="755"/>
        <v>7060.0571973307915</v>
      </c>
      <c r="HL176" s="263">
        <f t="shared" si="755"/>
        <v>7060.0571973307915</v>
      </c>
      <c r="HM176" s="263">
        <f t="shared" si="755"/>
        <v>7060.0571973307915</v>
      </c>
      <c r="HN176" s="263">
        <f t="shared" si="755"/>
        <v>7060.0571973307915</v>
      </c>
      <c r="HO176" s="263">
        <f t="shared" si="755"/>
        <v>7060.0571973307915</v>
      </c>
      <c r="HP176" s="263">
        <f t="shared" si="755"/>
        <v>7060.0571973307915</v>
      </c>
      <c r="HQ176" s="263">
        <f t="shared" si="755"/>
        <v>7060.0571973307915</v>
      </c>
      <c r="HR176" s="282">
        <f t="shared" ref="HR176:HR186" si="756">+SUBTOTAL(9,HF176:HQ176)</f>
        <v>84720.686367969494</v>
      </c>
      <c r="HS176" s="266"/>
      <c r="HT176" s="263">
        <f>+HT33/$D$144</f>
        <v>1841.6587225929457</v>
      </c>
      <c r="HU176" s="263">
        <f t="shared" ref="HU176:IE176" si="757">+HU33/$D$144</f>
        <v>1841.6587225929457</v>
      </c>
      <c r="HV176" s="263">
        <f t="shared" si="757"/>
        <v>1841.6587225929457</v>
      </c>
      <c r="HW176" s="263">
        <f t="shared" si="757"/>
        <v>1841.6587225929457</v>
      </c>
      <c r="HX176" s="263">
        <f t="shared" si="757"/>
        <v>1841.6587225929457</v>
      </c>
      <c r="HY176" s="263">
        <f t="shared" si="757"/>
        <v>1841.6587225929457</v>
      </c>
      <c r="HZ176" s="263">
        <f t="shared" si="757"/>
        <v>1841.6587225929457</v>
      </c>
      <c r="IA176" s="263">
        <f t="shared" si="757"/>
        <v>1841.6587225929457</v>
      </c>
      <c r="IB176" s="263">
        <f t="shared" si="757"/>
        <v>1841.6587225929457</v>
      </c>
      <c r="IC176" s="263">
        <f t="shared" si="757"/>
        <v>1841.6587225929457</v>
      </c>
      <c r="ID176" s="263">
        <f t="shared" si="757"/>
        <v>1841.6587225929457</v>
      </c>
      <c r="IE176" s="263">
        <f t="shared" si="757"/>
        <v>1841.6587225929457</v>
      </c>
      <c r="IF176" s="282">
        <f t="shared" ref="IF176:IF186" si="758">+SUBTOTAL(9,HT176:IE176)</f>
        <v>22099.90467111535</v>
      </c>
      <c r="IG176" s="266"/>
      <c r="IH176" s="263">
        <f>+IH33/$D$144</f>
        <v>6165.0619637750233</v>
      </c>
      <c r="II176" s="263">
        <f t="shared" ref="II176:IS176" si="759">+II33/$D$144</f>
        <v>6165.0619637750233</v>
      </c>
      <c r="IJ176" s="263">
        <f t="shared" si="759"/>
        <v>6165.0619637750233</v>
      </c>
      <c r="IK176" s="263">
        <f t="shared" si="759"/>
        <v>6165.0619637750233</v>
      </c>
      <c r="IL176" s="263">
        <f t="shared" si="759"/>
        <v>6165.0619637750233</v>
      </c>
      <c r="IM176" s="263">
        <f t="shared" si="759"/>
        <v>6165.0619637750233</v>
      </c>
      <c r="IN176" s="263">
        <f t="shared" si="759"/>
        <v>6165.0619637750233</v>
      </c>
      <c r="IO176" s="263">
        <f t="shared" si="759"/>
        <v>6165.0619637750233</v>
      </c>
      <c r="IP176" s="263">
        <f t="shared" si="759"/>
        <v>6165.0619637750233</v>
      </c>
      <c r="IQ176" s="263">
        <f t="shared" si="759"/>
        <v>6165.0619637750233</v>
      </c>
      <c r="IR176" s="263">
        <f t="shared" si="759"/>
        <v>6165.0619637750233</v>
      </c>
      <c r="IS176" s="263">
        <f t="shared" si="759"/>
        <v>6165.0619637750233</v>
      </c>
      <c r="IT176" s="282">
        <f t="shared" ref="IT176:IT186" si="760">+SUBTOTAL(9,IH176:IS176)</f>
        <v>73980.743565300261</v>
      </c>
      <c r="IU176" s="266"/>
      <c r="IV176" s="263">
        <f>+IV33/$D$144</f>
        <v>17844.804575786464</v>
      </c>
      <c r="IW176" s="263">
        <f t="shared" ref="IW176:JG176" si="761">+IW33/$D$144</f>
        <v>17844.804575786464</v>
      </c>
      <c r="IX176" s="263">
        <f t="shared" si="761"/>
        <v>17844.804575786464</v>
      </c>
      <c r="IY176" s="263">
        <f t="shared" si="761"/>
        <v>17844.804575786464</v>
      </c>
      <c r="IZ176" s="263">
        <f t="shared" si="761"/>
        <v>17844.804575786464</v>
      </c>
      <c r="JA176" s="263">
        <f t="shared" si="761"/>
        <v>17844.804575786464</v>
      </c>
      <c r="JB176" s="263">
        <f t="shared" si="761"/>
        <v>17844.804575786464</v>
      </c>
      <c r="JC176" s="263">
        <f t="shared" si="761"/>
        <v>17844.804575786464</v>
      </c>
      <c r="JD176" s="263">
        <f t="shared" si="761"/>
        <v>17844.804575786464</v>
      </c>
      <c r="JE176" s="263">
        <f t="shared" si="761"/>
        <v>17844.804575786464</v>
      </c>
      <c r="JF176" s="263">
        <f t="shared" si="761"/>
        <v>17844.804575786464</v>
      </c>
      <c r="JG176" s="263">
        <f t="shared" si="761"/>
        <v>17844.804575786464</v>
      </c>
      <c r="JH176" s="282">
        <f t="shared" ref="JH176:JH186" si="762">+SUBTOTAL(9,IV176:JG176)</f>
        <v>214137.65490943755</v>
      </c>
      <c r="JI176" s="266"/>
      <c r="JJ176" s="263">
        <f>+JJ33/$D$144</f>
        <v>24087.321258341279</v>
      </c>
      <c r="JK176" s="263">
        <f t="shared" ref="JK176:JU176" si="763">+JK33/$D$144</f>
        <v>24087.321258341279</v>
      </c>
      <c r="JL176" s="263">
        <f t="shared" si="763"/>
        <v>24087.321258341279</v>
      </c>
      <c r="JM176" s="263">
        <f t="shared" si="763"/>
        <v>24087.321258341279</v>
      </c>
      <c r="JN176" s="263">
        <f t="shared" si="763"/>
        <v>24087.321258341279</v>
      </c>
      <c r="JO176" s="263">
        <f t="shared" si="763"/>
        <v>24087.321258341279</v>
      </c>
      <c r="JP176" s="263">
        <f t="shared" si="763"/>
        <v>24087.321258341279</v>
      </c>
      <c r="JQ176" s="263">
        <f t="shared" si="763"/>
        <v>24087.321258341279</v>
      </c>
      <c r="JR176" s="263">
        <f t="shared" si="763"/>
        <v>24087.321258341279</v>
      </c>
      <c r="JS176" s="263">
        <f t="shared" si="763"/>
        <v>24087.321258341279</v>
      </c>
      <c r="JT176" s="263">
        <f t="shared" si="763"/>
        <v>24087.321258341279</v>
      </c>
      <c r="JU176" s="263">
        <f t="shared" si="763"/>
        <v>24087.321258341279</v>
      </c>
      <c r="JV176" s="282">
        <f t="shared" ref="JV176:JV186" si="764">+SUBTOTAL(9,JJ176:JU176)</f>
        <v>289047.85510009533</v>
      </c>
      <c r="JW176" s="266"/>
      <c r="JX176" s="263">
        <f>+JX33/$D$144</f>
        <v>13011.427550047663</v>
      </c>
      <c r="JY176" s="263">
        <f t="shared" ref="JY176:KI176" si="765">+JY33/$D$144</f>
        <v>13011.427550047663</v>
      </c>
      <c r="JZ176" s="263">
        <f t="shared" si="765"/>
        <v>13011.427550047663</v>
      </c>
      <c r="KA176" s="263">
        <f t="shared" si="765"/>
        <v>13011.427550047663</v>
      </c>
      <c r="KB176" s="263">
        <f t="shared" si="765"/>
        <v>13011.427550047663</v>
      </c>
      <c r="KC176" s="263">
        <f t="shared" si="765"/>
        <v>13011.427550047663</v>
      </c>
      <c r="KD176" s="263">
        <f t="shared" si="765"/>
        <v>13011.427550047663</v>
      </c>
      <c r="KE176" s="263">
        <f t="shared" si="765"/>
        <v>13011.427550047663</v>
      </c>
      <c r="KF176" s="263">
        <f t="shared" si="765"/>
        <v>13011.427550047663</v>
      </c>
      <c r="KG176" s="263">
        <f t="shared" si="765"/>
        <v>13011.427550047663</v>
      </c>
      <c r="KH176" s="263">
        <f t="shared" si="765"/>
        <v>13011.427550047663</v>
      </c>
      <c r="KI176" s="263">
        <f t="shared" si="765"/>
        <v>13011.427550047663</v>
      </c>
      <c r="KJ176" s="282">
        <f t="shared" ref="KJ176:KJ186" si="766">+SUBTOTAL(9,JX176:KI176)</f>
        <v>156137.13060057195</v>
      </c>
      <c r="KK176" s="266"/>
      <c r="KL176" s="263">
        <f>+KL33/$D$144</f>
        <v>1790.395614871306</v>
      </c>
      <c r="KM176" s="263">
        <f t="shared" ref="KM176:KW176" si="767">+KM33/$D$144</f>
        <v>1790.395614871306</v>
      </c>
      <c r="KN176" s="263">
        <f t="shared" si="767"/>
        <v>1790.395614871306</v>
      </c>
      <c r="KO176" s="263">
        <f t="shared" si="767"/>
        <v>1790.395614871306</v>
      </c>
      <c r="KP176" s="263">
        <f t="shared" si="767"/>
        <v>1790.395614871306</v>
      </c>
      <c r="KQ176" s="263">
        <f t="shared" si="767"/>
        <v>1790.395614871306</v>
      </c>
      <c r="KR176" s="263">
        <f t="shared" si="767"/>
        <v>1790.395614871306</v>
      </c>
      <c r="KS176" s="263">
        <f t="shared" si="767"/>
        <v>1790.395614871306</v>
      </c>
      <c r="KT176" s="263">
        <f t="shared" si="767"/>
        <v>1790.395614871306</v>
      </c>
      <c r="KU176" s="263">
        <f t="shared" si="767"/>
        <v>1790.395614871306</v>
      </c>
      <c r="KV176" s="263">
        <f t="shared" si="767"/>
        <v>1790.395614871306</v>
      </c>
      <c r="KW176" s="263">
        <f t="shared" si="767"/>
        <v>1790.395614871306</v>
      </c>
      <c r="KX176" s="282">
        <f t="shared" ref="KX176:KX186" si="768">+SUBTOTAL(9,KL176:KW176)</f>
        <v>21484.747378455671</v>
      </c>
      <c r="KY176" s="266"/>
      <c r="KZ176" s="263">
        <f>+KZ33/$D$144</f>
        <v>1862.5</v>
      </c>
      <c r="LA176" s="263">
        <f t="shared" ref="LA176:LK176" si="769">+LA33/$D$144</f>
        <v>1862.5</v>
      </c>
      <c r="LB176" s="263">
        <f t="shared" si="769"/>
        <v>1862.5</v>
      </c>
      <c r="LC176" s="263">
        <f t="shared" si="769"/>
        <v>1862.5</v>
      </c>
      <c r="LD176" s="263">
        <f t="shared" si="769"/>
        <v>1862.5</v>
      </c>
      <c r="LE176" s="263">
        <f t="shared" si="769"/>
        <v>1862.5</v>
      </c>
      <c r="LF176" s="263">
        <f t="shared" si="769"/>
        <v>1862.5</v>
      </c>
      <c r="LG176" s="263">
        <f t="shared" si="769"/>
        <v>1862.5</v>
      </c>
      <c r="LH176" s="263">
        <f t="shared" si="769"/>
        <v>1862.5</v>
      </c>
      <c r="LI176" s="263">
        <f t="shared" si="769"/>
        <v>1862.5</v>
      </c>
      <c r="LJ176" s="263">
        <f t="shared" si="769"/>
        <v>1862.5</v>
      </c>
      <c r="LK176" s="263">
        <f t="shared" si="769"/>
        <v>1862.5</v>
      </c>
      <c r="LL176" s="282">
        <f t="shared" ref="LL176:LL186" si="770">+SUBTOTAL(9,KZ176:LK176)</f>
        <v>22350</v>
      </c>
      <c r="LM176" s="266"/>
      <c r="LN176" s="263">
        <v>0</v>
      </c>
      <c r="LO176" s="264">
        <v>0</v>
      </c>
      <c r="LP176" s="265">
        <v>0</v>
      </c>
      <c r="LQ176" s="265">
        <v>0</v>
      </c>
      <c r="LR176" s="265">
        <v>0</v>
      </c>
      <c r="LS176" s="265">
        <v>0</v>
      </c>
      <c r="LT176" s="265">
        <v>0</v>
      </c>
      <c r="LU176" s="265">
        <v>0</v>
      </c>
      <c r="LV176" s="265">
        <v>0</v>
      </c>
      <c r="LW176" s="265">
        <v>0</v>
      </c>
      <c r="LX176" s="265">
        <v>0</v>
      </c>
      <c r="LY176" s="265">
        <v>0</v>
      </c>
      <c r="LZ176" s="282">
        <f t="shared" ref="LZ176:LZ186" si="771">+SUBTOTAL(9,LN176:LY176)</f>
        <v>0</v>
      </c>
      <c r="MA176" s="266"/>
      <c r="MB176" s="282">
        <f t="shared" ref="MB176:MM186" si="772">SUMIF($D$6:$LY$6,MB$3,$D176:$LY176)</f>
        <v>276707.8535827772</v>
      </c>
      <c r="MC176" s="282">
        <f t="shared" si="772"/>
        <v>276707.8535827772</v>
      </c>
      <c r="MD176" s="282">
        <f t="shared" si="772"/>
        <v>276707.8535827772</v>
      </c>
      <c r="ME176" s="282">
        <f t="shared" si="772"/>
        <v>276707.8535827772</v>
      </c>
      <c r="MF176" s="282">
        <f t="shared" si="772"/>
        <v>276707.8535827772</v>
      </c>
      <c r="MG176" s="282">
        <f t="shared" si="772"/>
        <v>276707.8535827772</v>
      </c>
      <c r="MH176" s="282">
        <f t="shared" si="772"/>
        <v>276707.8535827772</v>
      </c>
      <c r="MI176" s="282">
        <f t="shared" si="772"/>
        <v>276707.8535827772</v>
      </c>
      <c r="MJ176" s="282">
        <f t="shared" si="772"/>
        <v>276707.8535827772</v>
      </c>
      <c r="MK176" s="282">
        <f t="shared" si="772"/>
        <v>276707.8535827772</v>
      </c>
      <c r="ML176" s="282">
        <f t="shared" si="772"/>
        <v>276707.8535827772</v>
      </c>
      <c r="MM176" s="282">
        <f t="shared" si="772"/>
        <v>276707.8535827772</v>
      </c>
      <c r="MN176" s="282">
        <f t="shared" ref="MN176:MN186" si="773">SUM(MB176:MM176)</f>
        <v>3320494.2429933255</v>
      </c>
    </row>
    <row r="177" spans="1:352" x14ac:dyDescent="0.25">
      <c r="A177" s="262"/>
      <c r="B177" s="64" t="s">
        <v>52</v>
      </c>
      <c r="C177" s="172"/>
      <c r="D177" s="263">
        <f t="shared" ref="D177:D186" si="774">+D34/$D$144</f>
        <v>2373.9990467111534</v>
      </c>
      <c r="E177" s="263">
        <f t="shared" si="726"/>
        <v>2373.9990467111534</v>
      </c>
      <c r="F177" s="263">
        <f t="shared" si="726"/>
        <v>2373.9990467111534</v>
      </c>
      <c r="G177" s="263">
        <f t="shared" si="726"/>
        <v>2373.9990467111534</v>
      </c>
      <c r="H177" s="263">
        <f t="shared" si="726"/>
        <v>2373.9990467111534</v>
      </c>
      <c r="I177" s="263">
        <f t="shared" si="726"/>
        <v>2373.9990467111534</v>
      </c>
      <c r="J177" s="263">
        <f t="shared" si="726"/>
        <v>2373.9990467111534</v>
      </c>
      <c r="K177" s="263">
        <f t="shared" si="726"/>
        <v>2373.9990467111534</v>
      </c>
      <c r="L177" s="263">
        <f t="shared" si="726"/>
        <v>2373.9990467111534</v>
      </c>
      <c r="M177" s="263">
        <f t="shared" si="726"/>
        <v>2373.9990467111534</v>
      </c>
      <c r="N177" s="263">
        <f t="shared" si="726"/>
        <v>2373.9990467111534</v>
      </c>
      <c r="O177" s="263">
        <f t="shared" si="726"/>
        <v>2373.9990467111534</v>
      </c>
      <c r="P177" s="282">
        <f t="shared" si="727"/>
        <v>28487.988560533839</v>
      </c>
      <c r="Q177" s="266"/>
      <c r="R177" s="263">
        <f t="shared" ref="R177:AC186" si="775">+R34/$D$144</f>
        <v>192.17111534795043</v>
      </c>
      <c r="S177" s="263">
        <f t="shared" si="775"/>
        <v>192.17111534795043</v>
      </c>
      <c r="T177" s="263">
        <f t="shared" si="775"/>
        <v>192.17111534795043</v>
      </c>
      <c r="U177" s="263">
        <f t="shared" si="775"/>
        <v>192.17111534795043</v>
      </c>
      <c r="V177" s="263">
        <f t="shared" si="775"/>
        <v>192.17111534795043</v>
      </c>
      <c r="W177" s="263">
        <f t="shared" si="775"/>
        <v>192.17111534795043</v>
      </c>
      <c r="X177" s="263">
        <f t="shared" si="775"/>
        <v>192.17111534795043</v>
      </c>
      <c r="Y177" s="263">
        <f t="shared" si="775"/>
        <v>192.17111534795043</v>
      </c>
      <c r="Z177" s="263">
        <f t="shared" si="775"/>
        <v>192.17111534795043</v>
      </c>
      <c r="AA177" s="263">
        <f t="shared" si="775"/>
        <v>192.17111534795043</v>
      </c>
      <c r="AB177" s="263">
        <f t="shared" si="775"/>
        <v>192.17111534795043</v>
      </c>
      <c r="AC177" s="263">
        <f t="shared" si="775"/>
        <v>192.17111534795043</v>
      </c>
      <c r="AD177" s="282">
        <f t="shared" si="729"/>
        <v>2306.0533841754054</v>
      </c>
      <c r="AE177" s="266"/>
      <c r="AF177" s="263">
        <f t="shared" ref="AF177:AQ186" si="776">+AF34/$D$144</f>
        <v>193.54146806482365</v>
      </c>
      <c r="AG177" s="263">
        <f t="shared" si="776"/>
        <v>193.54146806482365</v>
      </c>
      <c r="AH177" s="263">
        <f t="shared" si="776"/>
        <v>193.54146806482365</v>
      </c>
      <c r="AI177" s="263">
        <f t="shared" si="776"/>
        <v>193.54146806482365</v>
      </c>
      <c r="AJ177" s="263">
        <f t="shared" si="776"/>
        <v>193.54146806482365</v>
      </c>
      <c r="AK177" s="263">
        <f t="shared" si="776"/>
        <v>193.54146806482365</v>
      </c>
      <c r="AL177" s="263">
        <f t="shared" si="776"/>
        <v>193.54146806482365</v>
      </c>
      <c r="AM177" s="263">
        <f t="shared" si="776"/>
        <v>193.54146806482365</v>
      </c>
      <c r="AN177" s="263">
        <f t="shared" si="776"/>
        <v>193.54146806482365</v>
      </c>
      <c r="AO177" s="263">
        <f t="shared" si="776"/>
        <v>193.54146806482365</v>
      </c>
      <c r="AP177" s="263">
        <f t="shared" si="776"/>
        <v>193.54146806482365</v>
      </c>
      <c r="AQ177" s="263">
        <f t="shared" si="776"/>
        <v>193.54146806482365</v>
      </c>
      <c r="AR177" s="282">
        <f t="shared" si="731"/>
        <v>2322.4976167778836</v>
      </c>
      <c r="AS177" s="266"/>
      <c r="AT177" s="263">
        <f t="shared" ref="AT177:BE186" si="777">+AT34/$D$144</f>
        <v>605.26692087702577</v>
      </c>
      <c r="AU177" s="263">
        <f t="shared" si="777"/>
        <v>605.26692087702577</v>
      </c>
      <c r="AV177" s="263">
        <f t="shared" si="777"/>
        <v>605.26692087702577</v>
      </c>
      <c r="AW177" s="263">
        <f t="shared" si="777"/>
        <v>605.26692087702577</v>
      </c>
      <c r="AX177" s="263">
        <f t="shared" si="777"/>
        <v>605.26692087702577</v>
      </c>
      <c r="AY177" s="263">
        <f t="shared" si="777"/>
        <v>605.26692087702577</v>
      </c>
      <c r="AZ177" s="263">
        <f t="shared" si="777"/>
        <v>605.26692087702577</v>
      </c>
      <c r="BA177" s="263">
        <f t="shared" si="777"/>
        <v>605.26692087702577</v>
      </c>
      <c r="BB177" s="263">
        <f t="shared" si="777"/>
        <v>605.26692087702577</v>
      </c>
      <c r="BC177" s="263">
        <f t="shared" si="777"/>
        <v>605.26692087702577</v>
      </c>
      <c r="BD177" s="263">
        <f t="shared" si="777"/>
        <v>605.26692087702577</v>
      </c>
      <c r="BE177" s="263">
        <f t="shared" si="777"/>
        <v>605.26692087702577</v>
      </c>
      <c r="BF177" s="282">
        <f t="shared" si="733"/>
        <v>7263.2030505243092</v>
      </c>
      <c r="BG177" s="224"/>
      <c r="BH177" s="263">
        <f t="shared" ref="BH177:BS186" si="778">+BH34/$D$144</f>
        <v>3473.3079122974259</v>
      </c>
      <c r="BI177" s="263">
        <f t="shared" si="778"/>
        <v>3473.3079122974259</v>
      </c>
      <c r="BJ177" s="263">
        <f t="shared" si="778"/>
        <v>3473.3079122974259</v>
      </c>
      <c r="BK177" s="263">
        <f t="shared" si="778"/>
        <v>3473.3079122974259</v>
      </c>
      <c r="BL177" s="263">
        <f t="shared" si="778"/>
        <v>3473.3079122974259</v>
      </c>
      <c r="BM177" s="263">
        <f t="shared" si="778"/>
        <v>3473.3079122974259</v>
      </c>
      <c r="BN177" s="263">
        <f t="shared" si="778"/>
        <v>3473.3079122974259</v>
      </c>
      <c r="BO177" s="263">
        <f t="shared" si="778"/>
        <v>3473.3079122974259</v>
      </c>
      <c r="BP177" s="263">
        <f t="shared" si="778"/>
        <v>3473.3079122974259</v>
      </c>
      <c r="BQ177" s="263">
        <f t="shared" si="778"/>
        <v>3473.3079122974259</v>
      </c>
      <c r="BR177" s="263">
        <f t="shared" si="778"/>
        <v>3473.3079122974259</v>
      </c>
      <c r="BS177" s="263">
        <f t="shared" si="778"/>
        <v>3473.3079122974259</v>
      </c>
      <c r="BT177" s="282">
        <f t="shared" si="735"/>
        <v>41679.694947569107</v>
      </c>
      <c r="BU177" s="266"/>
      <c r="BV177" s="263">
        <f t="shared" ref="BV177:CG186" si="779">+BV34/$D$144</f>
        <v>541.59914204003815</v>
      </c>
      <c r="BW177" s="263">
        <f t="shared" si="779"/>
        <v>541.59914204003815</v>
      </c>
      <c r="BX177" s="263">
        <f t="shared" si="779"/>
        <v>541.59914204003815</v>
      </c>
      <c r="BY177" s="263">
        <f t="shared" si="779"/>
        <v>541.59914204003815</v>
      </c>
      <c r="BZ177" s="263">
        <f t="shared" si="779"/>
        <v>541.59914204003815</v>
      </c>
      <c r="CA177" s="263">
        <f t="shared" si="779"/>
        <v>541.59914204003815</v>
      </c>
      <c r="CB177" s="263">
        <f t="shared" si="779"/>
        <v>541.59914204003815</v>
      </c>
      <c r="CC177" s="263">
        <f t="shared" si="779"/>
        <v>541.59914204003815</v>
      </c>
      <c r="CD177" s="263">
        <f t="shared" si="779"/>
        <v>541.59914204003815</v>
      </c>
      <c r="CE177" s="263">
        <f t="shared" si="779"/>
        <v>541.59914204003815</v>
      </c>
      <c r="CF177" s="263">
        <f t="shared" si="779"/>
        <v>541.59914204003815</v>
      </c>
      <c r="CG177" s="263">
        <f t="shared" si="779"/>
        <v>541.59914204003815</v>
      </c>
      <c r="CH177" s="282">
        <f t="shared" si="737"/>
        <v>6499.1897044804564</v>
      </c>
      <c r="CI177" s="266"/>
      <c r="CJ177" s="263">
        <f t="shared" ref="CJ177:CU186" si="780">+CJ34/$D$144</f>
        <v>1402.3236415633937</v>
      </c>
      <c r="CK177" s="263">
        <f t="shared" si="780"/>
        <v>1402.3236415633937</v>
      </c>
      <c r="CL177" s="263">
        <f t="shared" si="780"/>
        <v>1402.3236415633937</v>
      </c>
      <c r="CM177" s="263">
        <f t="shared" si="780"/>
        <v>1402.3236415633937</v>
      </c>
      <c r="CN177" s="263">
        <f t="shared" si="780"/>
        <v>1402.3236415633937</v>
      </c>
      <c r="CO177" s="263">
        <f t="shared" si="780"/>
        <v>1402.3236415633937</v>
      </c>
      <c r="CP177" s="263">
        <f t="shared" si="780"/>
        <v>1402.3236415633937</v>
      </c>
      <c r="CQ177" s="263">
        <f t="shared" si="780"/>
        <v>1402.3236415633937</v>
      </c>
      <c r="CR177" s="263">
        <f t="shared" si="780"/>
        <v>1402.3236415633937</v>
      </c>
      <c r="CS177" s="263">
        <f t="shared" si="780"/>
        <v>1402.3236415633937</v>
      </c>
      <c r="CT177" s="263">
        <f t="shared" si="780"/>
        <v>1402.3236415633937</v>
      </c>
      <c r="CU177" s="263">
        <f t="shared" si="780"/>
        <v>1402.3236415633937</v>
      </c>
      <c r="CV177" s="282">
        <f t="shared" si="739"/>
        <v>16827.883698760728</v>
      </c>
      <c r="CW177" s="266"/>
      <c r="CX177" s="263">
        <f t="shared" ref="CX177:DI186" si="781">+CX34/$D$144</f>
        <v>3107.959961868446</v>
      </c>
      <c r="CY177" s="263">
        <f t="shared" si="781"/>
        <v>3107.959961868446</v>
      </c>
      <c r="CZ177" s="263">
        <f t="shared" si="781"/>
        <v>3107.959961868446</v>
      </c>
      <c r="DA177" s="263">
        <f t="shared" si="781"/>
        <v>3107.959961868446</v>
      </c>
      <c r="DB177" s="263">
        <f t="shared" si="781"/>
        <v>3107.959961868446</v>
      </c>
      <c r="DC177" s="263">
        <f t="shared" si="781"/>
        <v>3107.959961868446</v>
      </c>
      <c r="DD177" s="263">
        <f t="shared" si="781"/>
        <v>3107.959961868446</v>
      </c>
      <c r="DE177" s="263">
        <f t="shared" si="781"/>
        <v>3107.959961868446</v>
      </c>
      <c r="DF177" s="263">
        <f t="shared" si="781"/>
        <v>3107.959961868446</v>
      </c>
      <c r="DG177" s="263">
        <f t="shared" si="781"/>
        <v>3107.959961868446</v>
      </c>
      <c r="DH177" s="263">
        <f t="shared" si="781"/>
        <v>3107.959961868446</v>
      </c>
      <c r="DI177" s="263">
        <f t="shared" si="781"/>
        <v>3107.959961868446</v>
      </c>
      <c r="DJ177" s="282">
        <f t="shared" si="741"/>
        <v>37295.519542421345</v>
      </c>
      <c r="DK177" s="266"/>
      <c r="DL177" s="263">
        <f t="shared" ref="DL177:DW186" si="782">+DL34/$D$144</f>
        <v>1811.2726406101049</v>
      </c>
      <c r="DM177" s="263">
        <f t="shared" si="782"/>
        <v>1811.2726406101049</v>
      </c>
      <c r="DN177" s="263">
        <f t="shared" si="782"/>
        <v>1811.2726406101049</v>
      </c>
      <c r="DO177" s="263">
        <f t="shared" si="782"/>
        <v>1811.2726406101049</v>
      </c>
      <c r="DP177" s="263">
        <f t="shared" si="782"/>
        <v>1811.2726406101049</v>
      </c>
      <c r="DQ177" s="263">
        <f t="shared" si="782"/>
        <v>1811.2726406101049</v>
      </c>
      <c r="DR177" s="263">
        <f t="shared" si="782"/>
        <v>1811.2726406101049</v>
      </c>
      <c r="DS177" s="263">
        <f t="shared" si="782"/>
        <v>1811.2726406101049</v>
      </c>
      <c r="DT177" s="263">
        <f t="shared" si="782"/>
        <v>1811.2726406101049</v>
      </c>
      <c r="DU177" s="263">
        <f t="shared" si="782"/>
        <v>1811.2726406101049</v>
      </c>
      <c r="DV177" s="263">
        <f t="shared" si="782"/>
        <v>1811.2726406101049</v>
      </c>
      <c r="DW177" s="263">
        <f t="shared" si="782"/>
        <v>1811.2726406101049</v>
      </c>
      <c r="DX177" s="282">
        <f t="shared" si="743"/>
        <v>21735.271687321263</v>
      </c>
      <c r="DY177" s="266"/>
      <c r="DZ177" s="263">
        <f t="shared" ref="DZ177:EK186" si="783">+DZ34/$D$144</f>
        <v>293.57721639656813</v>
      </c>
      <c r="EA177" s="263">
        <f t="shared" si="783"/>
        <v>293.57721639656813</v>
      </c>
      <c r="EB177" s="263">
        <f t="shared" si="783"/>
        <v>293.57721639656813</v>
      </c>
      <c r="EC177" s="263">
        <f t="shared" si="783"/>
        <v>293.57721639656813</v>
      </c>
      <c r="ED177" s="263">
        <f t="shared" si="783"/>
        <v>293.57721639656813</v>
      </c>
      <c r="EE177" s="263">
        <f t="shared" si="783"/>
        <v>293.57721639656813</v>
      </c>
      <c r="EF177" s="263">
        <f t="shared" si="783"/>
        <v>293.57721639656813</v>
      </c>
      <c r="EG177" s="263">
        <f t="shared" si="783"/>
        <v>293.57721639656813</v>
      </c>
      <c r="EH177" s="263">
        <f t="shared" si="783"/>
        <v>293.57721639656813</v>
      </c>
      <c r="EI177" s="263">
        <f t="shared" si="783"/>
        <v>293.57721639656813</v>
      </c>
      <c r="EJ177" s="263">
        <f t="shared" si="783"/>
        <v>293.57721639656813</v>
      </c>
      <c r="EK177" s="263">
        <f t="shared" si="783"/>
        <v>293.57721639656813</v>
      </c>
      <c r="EL177" s="282">
        <f t="shared" si="745"/>
        <v>3522.9265967588167</v>
      </c>
      <c r="EM177" s="266"/>
      <c r="EN177" s="263">
        <f t="shared" ref="EN177:EY186" si="784">+EN34/$D$144</f>
        <v>417.33794089609148</v>
      </c>
      <c r="EO177" s="263">
        <f t="shared" si="784"/>
        <v>417.33794089609148</v>
      </c>
      <c r="EP177" s="263">
        <f t="shared" si="784"/>
        <v>417.33794089609148</v>
      </c>
      <c r="EQ177" s="263">
        <f t="shared" si="784"/>
        <v>417.33794089609148</v>
      </c>
      <c r="ER177" s="263">
        <f t="shared" si="784"/>
        <v>417.33794089609148</v>
      </c>
      <c r="ES177" s="263">
        <f t="shared" si="784"/>
        <v>417.33794089609148</v>
      </c>
      <c r="ET177" s="263">
        <f t="shared" si="784"/>
        <v>417.33794089609148</v>
      </c>
      <c r="EU177" s="263">
        <f t="shared" si="784"/>
        <v>417.33794089609148</v>
      </c>
      <c r="EV177" s="263">
        <f t="shared" si="784"/>
        <v>417.33794089609148</v>
      </c>
      <c r="EW177" s="263">
        <f t="shared" si="784"/>
        <v>417.33794089609148</v>
      </c>
      <c r="EX177" s="263">
        <f t="shared" si="784"/>
        <v>417.33794089609148</v>
      </c>
      <c r="EY177" s="263">
        <f t="shared" si="784"/>
        <v>417.33794089609148</v>
      </c>
      <c r="EZ177" s="282">
        <f t="shared" si="747"/>
        <v>5008.0552907530982</v>
      </c>
      <c r="FA177" s="266"/>
      <c r="FB177" s="263">
        <f t="shared" ref="FB177:FM186" si="785">+FB34/$D$144</f>
        <v>71.580076263107713</v>
      </c>
      <c r="FC177" s="263">
        <f t="shared" si="785"/>
        <v>71.580076263107713</v>
      </c>
      <c r="FD177" s="263">
        <f t="shared" si="785"/>
        <v>71.580076263107713</v>
      </c>
      <c r="FE177" s="263">
        <f t="shared" si="785"/>
        <v>71.580076263107713</v>
      </c>
      <c r="FF177" s="263">
        <f t="shared" si="785"/>
        <v>71.580076263107713</v>
      </c>
      <c r="FG177" s="263">
        <f t="shared" si="785"/>
        <v>71.580076263107713</v>
      </c>
      <c r="FH177" s="263">
        <f t="shared" si="785"/>
        <v>71.580076263107713</v>
      </c>
      <c r="FI177" s="263">
        <f t="shared" si="785"/>
        <v>71.580076263107713</v>
      </c>
      <c r="FJ177" s="263">
        <f t="shared" si="785"/>
        <v>71.580076263107713</v>
      </c>
      <c r="FK177" s="263">
        <f t="shared" si="785"/>
        <v>71.580076263107713</v>
      </c>
      <c r="FL177" s="263">
        <f t="shared" si="785"/>
        <v>71.580076263107713</v>
      </c>
      <c r="FM177" s="263">
        <f t="shared" si="785"/>
        <v>71.580076263107713</v>
      </c>
      <c r="FN177" s="282">
        <f t="shared" si="749"/>
        <v>858.96091515729233</v>
      </c>
      <c r="FO177" s="266"/>
      <c r="FP177" s="263">
        <f t="shared" ref="FP177:GA186" si="786">+FP34/$D$144</f>
        <v>1225.1549094375596</v>
      </c>
      <c r="FQ177" s="263">
        <f t="shared" si="786"/>
        <v>1225.1549094375596</v>
      </c>
      <c r="FR177" s="263">
        <f t="shared" si="786"/>
        <v>1225.1549094375596</v>
      </c>
      <c r="FS177" s="263">
        <f t="shared" si="786"/>
        <v>1225.1549094375596</v>
      </c>
      <c r="FT177" s="263">
        <f t="shared" si="786"/>
        <v>1225.1549094375596</v>
      </c>
      <c r="FU177" s="263">
        <f t="shared" si="786"/>
        <v>1225.1549094375596</v>
      </c>
      <c r="FV177" s="263">
        <f t="shared" si="786"/>
        <v>1225.1549094375596</v>
      </c>
      <c r="FW177" s="263">
        <f t="shared" si="786"/>
        <v>1225.1549094375596</v>
      </c>
      <c r="FX177" s="263">
        <f t="shared" si="786"/>
        <v>1225.1549094375596</v>
      </c>
      <c r="FY177" s="263">
        <f t="shared" si="786"/>
        <v>1225.1549094375596</v>
      </c>
      <c r="FZ177" s="263">
        <f t="shared" si="786"/>
        <v>1225.1549094375596</v>
      </c>
      <c r="GA177" s="263">
        <f t="shared" si="786"/>
        <v>1225.1549094375596</v>
      </c>
      <c r="GB177" s="282">
        <f t="shared" si="751"/>
        <v>14701.858913250711</v>
      </c>
      <c r="GC177" s="266"/>
      <c r="GD177" s="263">
        <f t="shared" ref="GD177:GO186" si="787">+GD34/$D$144</f>
        <v>652.35938989513818</v>
      </c>
      <c r="GE177" s="263">
        <f t="shared" si="787"/>
        <v>652.35938989513818</v>
      </c>
      <c r="GF177" s="263">
        <f t="shared" si="787"/>
        <v>652.35938989513818</v>
      </c>
      <c r="GG177" s="263">
        <f t="shared" si="787"/>
        <v>652.35938989513818</v>
      </c>
      <c r="GH177" s="263">
        <f t="shared" si="787"/>
        <v>652.35938989513818</v>
      </c>
      <c r="GI177" s="263">
        <f t="shared" si="787"/>
        <v>652.35938989513818</v>
      </c>
      <c r="GJ177" s="263">
        <f t="shared" si="787"/>
        <v>652.35938989513818</v>
      </c>
      <c r="GK177" s="263">
        <f t="shared" si="787"/>
        <v>652.35938989513818</v>
      </c>
      <c r="GL177" s="263">
        <f t="shared" si="787"/>
        <v>652.35938989513818</v>
      </c>
      <c r="GM177" s="263">
        <f t="shared" si="787"/>
        <v>652.35938989513818</v>
      </c>
      <c r="GN177" s="263">
        <f t="shared" si="787"/>
        <v>652.35938989513818</v>
      </c>
      <c r="GO177" s="263">
        <f t="shared" si="787"/>
        <v>652.35938989513818</v>
      </c>
      <c r="GP177" s="282">
        <f t="shared" si="753"/>
        <v>7828.3126787416595</v>
      </c>
      <c r="GQ177" s="266"/>
      <c r="GR177" s="263">
        <f t="shared" ref="GR177:HC186" si="788">+GR34/$D$144</f>
        <v>-643.71726449086111</v>
      </c>
      <c r="GS177" s="263">
        <f t="shared" si="788"/>
        <v>-643.71726449086111</v>
      </c>
      <c r="GT177" s="263">
        <f t="shared" si="788"/>
        <v>-643.71726449086111</v>
      </c>
      <c r="GU177" s="263">
        <f t="shared" si="788"/>
        <v>-643.71726449086111</v>
      </c>
      <c r="GV177" s="263">
        <f t="shared" si="788"/>
        <v>-643.71726449086111</v>
      </c>
      <c r="GW177" s="263">
        <f t="shared" si="788"/>
        <v>-643.71726449086111</v>
      </c>
      <c r="GX177" s="263">
        <f t="shared" si="788"/>
        <v>-643.71726449086111</v>
      </c>
      <c r="GY177" s="263">
        <f t="shared" si="788"/>
        <v>-643.71726449086111</v>
      </c>
      <c r="GZ177" s="263">
        <f t="shared" si="788"/>
        <v>-643.71726449086111</v>
      </c>
      <c r="HA177" s="263">
        <f t="shared" si="788"/>
        <v>-643.71726449086111</v>
      </c>
      <c r="HB177" s="263">
        <f t="shared" si="788"/>
        <v>-643.71726449086111</v>
      </c>
      <c r="HC177" s="263">
        <f t="shared" si="788"/>
        <v>-643.71726449086111</v>
      </c>
      <c r="HD177" s="282">
        <f t="shared" ref="HD177:HD186" si="789">+SUBTOTAL(9,GR177:HC177)*0</f>
        <v>0</v>
      </c>
      <c r="HE177" s="266"/>
      <c r="HF177" s="263">
        <f t="shared" ref="HF177:HQ186" si="790">+HF34/$D$144</f>
        <v>534.5209723546235</v>
      </c>
      <c r="HG177" s="263">
        <f t="shared" si="790"/>
        <v>534.5209723546235</v>
      </c>
      <c r="HH177" s="263">
        <f t="shared" si="790"/>
        <v>534.5209723546235</v>
      </c>
      <c r="HI177" s="263">
        <f t="shared" si="790"/>
        <v>534.5209723546235</v>
      </c>
      <c r="HJ177" s="263">
        <f t="shared" si="790"/>
        <v>534.5209723546235</v>
      </c>
      <c r="HK177" s="263">
        <f t="shared" si="790"/>
        <v>534.5209723546235</v>
      </c>
      <c r="HL177" s="263">
        <f t="shared" si="790"/>
        <v>534.5209723546235</v>
      </c>
      <c r="HM177" s="263">
        <f t="shared" si="790"/>
        <v>534.5209723546235</v>
      </c>
      <c r="HN177" s="263">
        <f t="shared" si="790"/>
        <v>534.5209723546235</v>
      </c>
      <c r="HO177" s="263">
        <f t="shared" si="790"/>
        <v>534.5209723546235</v>
      </c>
      <c r="HP177" s="263">
        <f t="shared" si="790"/>
        <v>534.5209723546235</v>
      </c>
      <c r="HQ177" s="263">
        <f t="shared" si="790"/>
        <v>534.5209723546235</v>
      </c>
      <c r="HR177" s="282">
        <f t="shared" si="756"/>
        <v>6414.2516682554806</v>
      </c>
      <c r="HS177" s="266"/>
      <c r="HT177" s="263">
        <f t="shared" ref="HT177:IE186" si="791">+HT34/$D$144</f>
        <v>139.41849380362248</v>
      </c>
      <c r="HU177" s="263">
        <f t="shared" si="791"/>
        <v>139.41849380362248</v>
      </c>
      <c r="HV177" s="263">
        <f t="shared" si="791"/>
        <v>139.41849380362248</v>
      </c>
      <c r="HW177" s="263">
        <f t="shared" si="791"/>
        <v>139.41849380362248</v>
      </c>
      <c r="HX177" s="263">
        <f t="shared" si="791"/>
        <v>139.41849380362248</v>
      </c>
      <c r="HY177" s="263">
        <f t="shared" si="791"/>
        <v>139.41849380362248</v>
      </c>
      <c r="HZ177" s="263">
        <f t="shared" si="791"/>
        <v>139.41849380362248</v>
      </c>
      <c r="IA177" s="263">
        <f t="shared" si="791"/>
        <v>139.41849380362248</v>
      </c>
      <c r="IB177" s="263">
        <f t="shared" si="791"/>
        <v>139.41849380362248</v>
      </c>
      <c r="IC177" s="263">
        <f t="shared" si="791"/>
        <v>139.41849380362248</v>
      </c>
      <c r="ID177" s="263">
        <f t="shared" si="791"/>
        <v>139.41849380362248</v>
      </c>
      <c r="IE177" s="263">
        <f t="shared" si="791"/>
        <v>139.41849380362248</v>
      </c>
      <c r="IF177" s="282">
        <f t="shared" si="758"/>
        <v>1673.0219256434693</v>
      </c>
      <c r="IG177" s="266"/>
      <c r="IH177" s="263">
        <f t="shared" ref="IH177:IS186" si="792">+IH34/$D$144</f>
        <v>466.73021925643468</v>
      </c>
      <c r="II177" s="263">
        <f t="shared" si="792"/>
        <v>466.73021925643468</v>
      </c>
      <c r="IJ177" s="263">
        <f t="shared" si="792"/>
        <v>466.73021925643468</v>
      </c>
      <c r="IK177" s="263">
        <f t="shared" si="792"/>
        <v>466.73021925643468</v>
      </c>
      <c r="IL177" s="263">
        <f t="shared" si="792"/>
        <v>466.73021925643468</v>
      </c>
      <c r="IM177" s="263">
        <f t="shared" si="792"/>
        <v>466.73021925643468</v>
      </c>
      <c r="IN177" s="263">
        <f t="shared" si="792"/>
        <v>466.73021925643468</v>
      </c>
      <c r="IO177" s="263">
        <f t="shared" si="792"/>
        <v>466.73021925643468</v>
      </c>
      <c r="IP177" s="263">
        <f t="shared" si="792"/>
        <v>466.73021925643468</v>
      </c>
      <c r="IQ177" s="263">
        <f t="shared" si="792"/>
        <v>466.73021925643468</v>
      </c>
      <c r="IR177" s="263">
        <f t="shared" si="792"/>
        <v>466.73021925643468</v>
      </c>
      <c r="IS177" s="263">
        <f t="shared" si="792"/>
        <v>466.73021925643468</v>
      </c>
      <c r="IT177" s="282">
        <f t="shared" si="760"/>
        <v>5600.7626310772166</v>
      </c>
      <c r="IU177" s="266"/>
      <c r="IV177" s="263">
        <f t="shared" ref="IV177:JG186" si="793">+IV34/$D$144</f>
        <v>1350.9652049571021</v>
      </c>
      <c r="IW177" s="263">
        <f t="shared" si="793"/>
        <v>1350.9652049571021</v>
      </c>
      <c r="IX177" s="263">
        <f t="shared" si="793"/>
        <v>1350.9652049571021</v>
      </c>
      <c r="IY177" s="263">
        <f t="shared" si="793"/>
        <v>1350.9652049571021</v>
      </c>
      <c r="IZ177" s="263">
        <f t="shared" si="793"/>
        <v>1350.9652049571021</v>
      </c>
      <c r="JA177" s="263">
        <f t="shared" si="793"/>
        <v>1350.9652049571021</v>
      </c>
      <c r="JB177" s="263">
        <f t="shared" si="793"/>
        <v>1350.9652049571021</v>
      </c>
      <c r="JC177" s="263">
        <f t="shared" si="793"/>
        <v>1350.9652049571021</v>
      </c>
      <c r="JD177" s="263">
        <f t="shared" si="793"/>
        <v>1350.9652049571021</v>
      </c>
      <c r="JE177" s="263">
        <f t="shared" si="793"/>
        <v>1350.9652049571021</v>
      </c>
      <c r="JF177" s="263">
        <f t="shared" si="793"/>
        <v>1350.9652049571021</v>
      </c>
      <c r="JG177" s="263">
        <f t="shared" si="793"/>
        <v>1350.9652049571021</v>
      </c>
      <c r="JH177" s="282">
        <f t="shared" si="762"/>
        <v>16211.582459485222</v>
      </c>
      <c r="JI177" s="266"/>
      <c r="JJ177" s="263">
        <f t="shared" ref="JJ177:JU186" si="794">+JJ34/$D$144</f>
        <v>1823.5819828408007</v>
      </c>
      <c r="JK177" s="263">
        <f t="shared" si="794"/>
        <v>1823.5819828408007</v>
      </c>
      <c r="JL177" s="263">
        <f t="shared" si="794"/>
        <v>1823.5819828408007</v>
      </c>
      <c r="JM177" s="263">
        <f t="shared" si="794"/>
        <v>1823.5819828408007</v>
      </c>
      <c r="JN177" s="263">
        <f t="shared" si="794"/>
        <v>1823.5819828408007</v>
      </c>
      <c r="JO177" s="263">
        <f t="shared" si="794"/>
        <v>1823.5819828408007</v>
      </c>
      <c r="JP177" s="263">
        <f t="shared" si="794"/>
        <v>1823.5819828408007</v>
      </c>
      <c r="JQ177" s="263">
        <f t="shared" si="794"/>
        <v>1823.5819828408007</v>
      </c>
      <c r="JR177" s="263">
        <f t="shared" si="794"/>
        <v>1823.5819828408007</v>
      </c>
      <c r="JS177" s="263">
        <f t="shared" si="794"/>
        <v>1823.5819828408007</v>
      </c>
      <c r="JT177" s="263">
        <f t="shared" si="794"/>
        <v>1823.5819828408007</v>
      </c>
      <c r="JU177" s="263">
        <f t="shared" si="794"/>
        <v>1823.5819828408007</v>
      </c>
      <c r="JV177" s="282">
        <f t="shared" si="764"/>
        <v>21882.98379408961</v>
      </c>
      <c r="JW177" s="266"/>
      <c r="JX177" s="263">
        <f t="shared" ref="JX177:KI186" si="795">+JX34/$D$144</f>
        <v>985.06911344137268</v>
      </c>
      <c r="JY177" s="263">
        <f t="shared" si="795"/>
        <v>985.06911344137268</v>
      </c>
      <c r="JZ177" s="263">
        <f t="shared" si="795"/>
        <v>985.06911344137268</v>
      </c>
      <c r="KA177" s="263">
        <f t="shared" si="795"/>
        <v>985.06911344137268</v>
      </c>
      <c r="KB177" s="263">
        <f t="shared" si="795"/>
        <v>985.06911344137268</v>
      </c>
      <c r="KC177" s="263">
        <f t="shared" si="795"/>
        <v>985.06911344137268</v>
      </c>
      <c r="KD177" s="263">
        <f t="shared" si="795"/>
        <v>985.06911344137268</v>
      </c>
      <c r="KE177" s="263">
        <f t="shared" si="795"/>
        <v>985.06911344137268</v>
      </c>
      <c r="KF177" s="263">
        <f t="shared" si="795"/>
        <v>985.06911344137268</v>
      </c>
      <c r="KG177" s="263">
        <f t="shared" si="795"/>
        <v>985.06911344137268</v>
      </c>
      <c r="KH177" s="263">
        <f t="shared" si="795"/>
        <v>985.06911344137268</v>
      </c>
      <c r="KI177" s="263">
        <f t="shared" si="795"/>
        <v>985.06911344137268</v>
      </c>
      <c r="KJ177" s="282">
        <f t="shared" si="766"/>
        <v>11820.82936129647</v>
      </c>
      <c r="KK177" s="266"/>
      <c r="KL177" s="263">
        <f t="shared" ref="KL177:KW186" si="796">+KL34/$D$144</f>
        <v>135.54575786463298</v>
      </c>
      <c r="KM177" s="263">
        <f t="shared" si="796"/>
        <v>135.54575786463298</v>
      </c>
      <c r="KN177" s="263">
        <f t="shared" si="796"/>
        <v>135.54575786463298</v>
      </c>
      <c r="KO177" s="263">
        <f t="shared" si="796"/>
        <v>135.54575786463298</v>
      </c>
      <c r="KP177" s="263">
        <f t="shared" si="796"/>
        <v>135.54575786463298</v>
      </c>
      <c r="KQ177" s="263">
        <f t="shared" si="796"/>
        <v>135.54575786463298</v>
      </c>
      <c r="KR177" s="263">
        <f t="shared" si="796"/>
        <v>135.54575786463298</v>
      </c>
      <c r="KS177" s="263">
        <f t="shared" si="796"/>
        <v>135.54575786463298</v>
      </c>
      <c r="KT177" s="263">
        <f t="shared" si="796"/>
        <v>135.54575786463298</v>
      </c>
      <c r="KU177" s="263">
        <f t="shared" si="796"/>
        <v>135.54575786463298</v>
      </c>
      <c r="KV177" s="263">
        <f t="shared" si="796"/>
        <v>135.54575786463298</v>
      </c>
      <c r="KW177" s="263">
        <f t="shared" si="796"/>
        <v>135.54575786463298</v>
      </c>
      <c r="KX177" s="282">
        <f t="shared" si="768"/>
        <v>1626.549094375596</v>
      </c>
      <c r="KY177" s="266"/>
      <c r="KZ177" s="263">
        <f t="shared" ref="KZ177:LK186" si="797">+KZ34/$D$144</f>
        <v>141.00333651096281</v>
      </c>
      <c r="LA177" s="263">
        <f t="shared" si="797"/>
        <v>141.00333651096281</v>
      </c>
      <c r="LB177" s="263">
        <f t="shared" si="797"/>
        <v>141.00333651096281</v>
      </c>
      <c r="LC177" s="263">
        <f t="shared" si="797"/>
        <v>141.00333651096281</v>
      </c>
      <c r="LD177" s="263">
        <f t="shared" si="797"/>
        <v>141.00333651096281</v>
      </c>
      <c r="LE177" s="263">
        <f t="shared" si="797"/>
        <v>141.00333651096281</v>
      </c>
      <c r="LF177" s="263">
        <f t="shared" si="797"/>
        <v>141.00333651096281</v>
      </c>
      <c r="LG177" s="263">
        <f t="shared" si="797"/>
        <v>141.00333651096281</v>
      </c>
      <c r="LH177" s="263">
        <f t="shared" si="797"/>
        <v>141.00333651096281</v>
      </c>
      <c r="LI177" s="263">
        <f t="shared" si="797"/>
        <v>141.00333651096281</v>
      </c>
      <c r="LJ177" s="263">
        <f t="shared" si="797"/>
        <v>141.00333651096281</v>
      </c>
      <c r="LK177" s="263">
        <f t="shared" si="797"/>
        <v>141.00333651096281</v>
      </c>
      <c r="LL177" s="282">
        <f t="shared" si="770"/>
        <v>1692.0400381315533</v>
      </c>
      <c r="LM177" s="266"/>
      <c r="LN177" s="263">
        <v>0</v>
      </c>
      <c r="LO177" s="264">
        <v>0</v>
      </c>
      <c r="LP177" s="265">
        <v>0</v>
      </c>
      <c r="LQ177" s="265">
        <v>0</v>
      </c>
      <c r="LR177" s="265">
        <v>0</v>
      </c>
      <c r="LS177" s="265">
        <v>0</v>
      </c>
      <c r="LT177" s="265">
        <v>0</v>
      </c>
      <c r="LU177" s="265">
        <v>0</v>
      </c>
      <c r="LV177" s="265">
        <v>0</v>
      </c>
      <c r="LW177" s="265">
        <v>0</v>
      </c>
      <c r="LX177" s="265">
        <v>0</v>
      </c>
      <c r="LY177" s="265">
        <v>0</v>
      </c>
      <c r="LZ177" s="282">
        <f t="shared" si="771"/>
        <v>0</v>
      </c>
      <c r="MA177" s="266"/>
      <c r="MB177" s="282">
        <f t="shared" si="772"/>
        <v>21294.56919880752</v>
      </c>
      <c r="MC177" s="282">
        <f t="shared" si="772"/>
        <v>21294.56919880752</v>
      </c>
      <c r="MD177" s="282">
        <f t="shared" si="772"/>
        <v>21294.56919880752</v>
      </c>
      <c r="ME177" s="282">
        <f t="shared" si="772"/>
        <v>21294.56919880752</v>
      </c>
      <c r="MF177" s="282">
        <f t="shared" si="772"/>
        <v>21294.56919880752</v>
      </c>
      <c r="MG177" s="282">
        <f t="shared" si="772"/>
        <v>21294.56919880752</v>
      </c>
      <c r="MH177" s="282">
        <f t="shared" si="772"/>
        <v>21294.56919880752</v>
      </c>
      <c r="MI177" s="282">
        <f t="shared" si="772"/>
        <v>21294.56919880752</v>
      </c>
      <c r="MJ177" s="282">
        <f t="shared" si="772"/>
        <v>21294.56919880752</v>
      </c>
      <c r="MK177" s="282">
        <f t="shared" si="772"/>
        <v>21294.56919880752</v>
      </c>
      <c r="ML177" s="282">
        <f t="shared" si="772"/>
        <v>21294.56919880752</v>
      </c>
      <c r="MM177" s="282">
        <f t="shared" si="772"/>
        <v>21294.56919880752</v>
      </c>
      <c r="MN177" s="282">
        <f t="shared" si="773"/>
        <v>255534.83038569029</v>
      </c>
    </row>
    <row r="178" spans="1:352" x14ac:dyDescent="0.25">
      <c r="A178" s="262"/>
      <c r="B178" s="64" t="s">
        <v>53</v>
      </c>
      <c r="C178" s="98"/>
      <c r="D178" s="263">
        <f t="shared" si="774"/>
        <v>0</v>
      </c>
      <c r="E178" s="263">
        <f t="shared" si="726"/>
        <v>0</v>
      </c>
      <c r="F178" s="263">
        <f t="shared" si="726"/>
        <v>0</v>
      </c>
      <c r="G178" s="263">
        <f t="shared" si="726"/>
        <v>0</v>
      </c>
      <c r="H178" s="263">
        <f t="shared" si="726"/>
        <v>0</v>
      </c>
      <c r="I178" s="263">
        <f t="shared" si="726"/>
        <v>0</v>
      </c>
      <c r="J178" s="263">
        <f t="shared" si="726"/>
        <v>0</v>
      </c>
      <c r="K178" s="263">
        <f t="shared" si="726"/>
        <v>0</v>
      </c>
      <c r="L178" s="263">
        <f t="shared" si="726"/>
        <v>0</v>
      </c>
      <c r="M178" s="263">
        <f t="shared" si="726"/>
        <v>0</v>
      </c>
      <c r="N178" s="263">
        <f t="shared" si="726"/>
        <v>0</v>
      </c>
      <c r="O178" s="263">
        <f t="shared" si="726"/>
        <v>0</v>
      </c>
      <c r="P178" s="230">
        <f t="shared" si="727"/>
        <v>0</v>
      </c>
      <c r="Q178" s="266"/>
      <c r="R178" s="263">
        <f t="shared" si="775"/>
        <v>0</v>
      </c>
      <c r="S178" s="263">
        <f t="shared" si="775"/>
        <v>0</v>
      </c>
      <c r="T178" s="263">
        <f t="shared" si="775"/>
        <v>0</v>
      </c>
      <c r="U178" s="263">
        <f t="shared" si="775"/>
        <v>0</v>
      </c>
      <c r="V178" s="263">
        <f t="shared" si="775"/>
        <v>0</v>
      </c>
      <c r="W178" s="263">
        <f t="shared" si="775"/>
        <v>0</v>
      </c>
      <c r="X178" s="263">
        <f t="shared" si="775"/>
        <v>0</v>
      </c>
      <c r="Y178" s="263">
        <f t="shared" si="775"/>
        <v>0</v>
      </c>
      <c r="Z178" s="263">
        <f t="shared" si="775"/>
        <v>0</v>
      </c>
      <c r="AA178" s="263">
        <f t="shared" si="775"/>
        <v>0</v>
      </c>
      <c r="AB178" s="263">
        <f t="shared" si="775"/>
        <v>0</v>
      </c>
      <c r="AC178" s="263">
        <f t="shared" si="775"/>
        <v>0</v>
      </c>
      <c r="AD178" s="230">
        <f t="shared" si="729"/>
        <v>0</v>
      </c>
      <c r="AE178" s="266"/>
      <c r="AF178" s="263">
        <f t="shared" si="776"/>
        <v>0</v>
      </c>
      <c r="AG178" s="263">
        <f t="shared" si="776"/>
        <v>0</v>
      </c>
      <c r="AH178" s="263">
        <f t="shared" si="776"/>
        <v>0</v>
      </c>
      <c r="AI178" s="263">
        <f t="shared" si="776"/>
        <v>0</v>
      </c>
      <c r="AJ178" s="263">
        <f t="shared" si="776"/>
        <v>0</v>
      </c>
      <c r="AK178" s="263">
        <f t="shared" si="776"/>
        <v>0</v>
      </c>
      <c r="AL178" s="263">
        <f t="shared" si="776"/>
        <v>0</v>
      </c>
      <c r="AM178" s="263">
        <f t="shared" si="776"/>
        <v>0</v>
      </c>
      <c r="AN178" s="263">
        <f t="shared" si="776"/>
        <v>0</v>
      </c>
      <c r="AO178" s="263">
        <f t="shared" si="776"/>
        <v>0</v>
      </c>
      <c r="AP178" s="263">
        <f t="shared" si="776"/>
        <v>0</v>
      </c>
      <c r="AQ178" s="263">
        <f t="shared" si="776"/>
        <v>0</v>
      </c>
      <c r="AR178" s="230">
        <f t="shared" si="731"/>
        <v>0</v>
      </c>
      <c r="AS178" s="266"/>
      <c r="AT178" s="263">
        <f t="shared" si="777"/>
        <v>0</v>
      </c>
      <c r="AU178" s="263">
        <f t="shared" si="777"/>
        <v>0</v>
      </c>
      <c r="AV178" s="263">
        <f t="shared" si="777"/>
        <v>0</v>
      </c>
      <c r="AW178" s="263">
        <f t="shared" si="777"/>
        <v>0</v>
      </c>
      <c r="AX178" s="263">
        <f t="shared" si="777"/>
        <v>0</v>
      </c>
      <c r="AY178" s="263">
        <f t="shared" si="777"/>
        <v>0</v>
      </c>
      <c r="AZ178" s="263">
        <f t="shared" si="777"/>
        <v>0</v>
      </c>
      <c r="BA178" s="263">
        <f t="shared" si="777"/>
        <v>0</v>
      </c>
      <c r="BB178" s="263">
        <f t="shared" si="777"/>
        <v>0</v>
      </c>
      <c r="BC178" s="263">
        <f t="shared" si="777"/>
        <v>0</v>
      </c>
      <c r="BD178" s="263">
        <f t="shared" si="777"/>
        <v>0</v>
      </c>
      <c r="BE178" s="263">
        <f t="shared" si="777"/>
        <v>0</v>
      </c>
      <c r="BF178" s="230">
        <f t="shared" si="733"/>
        <v>0</v>
      </c>
      <c r="BG178" s="224"/>
      <c r="BH178" s="263">
        <f t="shared" si="778"/>
        <v>0</v>
      </c>
      <c r="BI178" s="263">
        <f t="shared" si="778"/>
        <v>0</v>
      </c>
      <c r="BJ178" s="263">
        <f t="shared" si="778"/>
        <v>0</v>
      </c>
      <c r="BK178" s="263">
        <f t="shared" si="778"/>
        <v>0</v>
      </c>
      <c r="BL178" s="263">
        <f t="shared" si="778"/>
        <v>0</v>
      </c>
      <c r="BM178" s="263">
        <f t="shared" si="778"/>
        <v>0</v>
      </c>
      <c r="BN178" s="263">
        <f t="shared" si="778"/>
        <v>0</v>
      </c>
      <c r="BO178" s="263">
        <f t="shared" si="778"/>
        <v>0</v>
      </c>
      <c r="BP178" s="263">
        <f t="shared" si="778"/>
        <v>0</v>
      </c>
      <c r="BQ178" s="263">
        <f t="shared" si="778"/>
        <v>0</v>
      </c>
      <c r="BR178" s="263">
        <f t="shared" si="778"/>
        <v>0</v>
      </c>
      <c r="BS178" s="263">
        <f t="shared" si="778"/>
        <v>0</v>
      </c>
      <c r="BT178" s="230">
        <f t="shared" si="735"/>
        <v>0</v>
      </c>
      <c r="BU178" s="266"/>
      <c r="BV178" s="263">
        <f t="shared" si="779"/>
        <v>0</v>
      </c>
      <c r="BW178" s="263">
        <f t="shared" si="779"/>
        <v>0</v>
      </c>
      <c r="BX178" s="263">
        <f t="shared" si="779"/>
        <v>0</v>
      </c>
      <c r="BY178" s="263">
        <f t="shared" si="779"/>
        <v>0</v>
      </c>
      <c r="BZ178" s="263">
        <f t="shared" si="779"/>
        <v>0</v>
      </c>
      <c r="CA178" s="263">
        <f t="shared" si="779"/>
        <v>0</v>
      </c>
      <c r="CB178" s="263">
        <f t="shared" si="779"/>
        <v>0</v>
      </c>
      <c r="CC178" s="263">
        <f t="shared" si="779"/>
        <v>0</v>
      </c>
      <c r="CD178" s="263">
        <f t="shared" si="779"/>
        <v>0</v>
      </c>
      <c r="CE178" s="263">
        <f t="shared" si="779"/>
        <v>0</v>
      </c>
      <c r="CF178" s="263">
        <f t="shared" si="779"/>
        <v>0</v>
      </c>
      <c r="CG178" s="263">
        <f t="shared" si="779"/>
        <v>0</v>
      </c>
      <c r="CH178" s="230">
        <f t="shared" si="737"/>
        <v>0</v>
      </c>
      <c r="CI178" s="266"/>
      <c r="CJ178" s="263">
        <f t="shared" si="780"/>
        <v>0</v>
      </c>
      <c r="CK178" s="263">
        <f t="shared" si="780"/>
        <v>0</v>
      </c>
      <c r="CL178" s="263">
        <f t="shared" si="780"/>
        <v>0</v>
      </c>
      <c r="CM178" s="263">
        <f t="shared" si="780"/>
        <v>0</v>
      </c>
      <c r="CN178" s="263">
        <f t="shared" si="780"/>
        <v>0</v>
      </c>
      <c r="CO178" s="263">
        <f t="shared" si="780"/>
        <v>0</v>
      </c>
      <c r="CP178" s="263">
        <f t="shared" si="780"/>
        <v>0</v>
      </c>
      <c r="CQ178" s="263">
        <f t="shared" si="780"/>
        <v>0</v>
      </c>
      <c r="CR178" s="263">
        <f t="shared" si="780"/>
        <v>0</v>
      </c>
      <c r="CS178" s="263">
        <f t="shared" si="780"/>
        <v>0</v>
      </c>
      <c r="CT178" s="263">
        <f t="shared" si="780"/>
        <v>0</v>
      </c>
      <c r="CU178" s="263">
        <f t="shared" si="780"/>
        <v>0</v>
      </c>
      <c r="CV178" s="230">
        <f t="shared" si="739"/>
        <v>0</v>
      </c>
      <c r="CW178" s="266"/>
      <c r="CX178" s="263">
        <f t="shared" si="781"/>
        <v>2264.0610104861771</v>
      </c>
      <c r="CY178" s="263">
        <f t="shared" si="781"/>
        <v>2264.0610104861771</v>
      </c>
      <c r="CZ178" s="263">
        <f t="shared" si="781"/>
        <v>2264.0610104861771</v>
      </c>
      <c r="DA178" s="263">
        <f t="shared" si="781"/>
        <v>2264.0610104861771</v>
      </c>
      <c r="DB178" s="263">
        <f t="shared" si="781"/>
        <v>2264.0610104861771</v>
      </c>
      <c r="DC178" s="263">
        <f t="shared" si="781"/>
        <v>2264.0610104861771</v>
      </c>
      <c r="DD178" s="263">
        <f t="shared" si="781"/>
        <v>2264.0610104861771</v>
      </c>
      <c r="DE178" s="263">
        <f t="shared" si="781"/>
        <v>2264.0610104861771</v>
      </c>
      <c r="DF178" s="263">
        <f t="shared" si="781"/>
        <v>2264.0610104861771</v>
      </c>
      <c r="DG178" s="263">
        <f t="shared" si="781"/>
        <v>2264.0610104861771</v>
      </c>
      <c r="DH178" s="263">
        <f t="shared" si="781"/>
        <v>2264.0610104861771</v>
      </c>
      <c r="DI178" s="263">
        <f t="shared" si="781"/>
        <v>2264.0610104861771</v>
      </c>
      <c r="DJ178" s="230">
        <f t="shared" si="741"/>
        <v>27168.732125834125</v>
      </c>
      <c r="DK178" s="266"/>
      <c r="DL178" s="263">
        <f t="shared" si="782"/>
        <v>0</v>
      </c>
      <c r="DM178" s="263">
        <f t="shared" si="782"/>
        <v>0</v>
      </c>
      <c r="DN178" s="263">
        <f t="shared" si="782"/>
        <v>0</v>
      </c>
      <c r="DO178" s="263">
        <f t="shared" si="782"/>
        <v>0</v>
      </c>
      <c r="DP178" s="263">
        <f t="shared" si="782"/>
        <v>0</v>
      </c>
      <c r="DQ178" s="263">
        <f t="shared" si="782"/>
        <v>0</v>
      </c>
      <c r="DR178" s="263">
        <f t="shared" si="782"/>
        <v>0</v>
      </c>
      <c r="DS178" s="263">
        <f t="shared" si="782"/>
        <v>0</v>
      </c>
      <c r="DT178" s="263">
        <f t="shared" si="782"/>
        <v>0</v>
      </c>
      <c r="DU178" s="263">
        <f t="shared" si="782"/>
        <v>0</v>
      </c>
      <c r="DV178" s="263">
        <f t="shared" si="782"/>
        <v>0</v>
      </c>
      <c r="DW178" s="263">
        <f t="shared" si="782"/>
        <v>0</v>
      </c>
      <c r="DX178" s="230">
        <f t="shared" si="743"/>
        <v>0</v>
      </c>
      <c r="DY178" s="266"/>
      <c r="DZ178" s="263">
        <f t="shared" si="783"/>
        <v>0</v>
      </c>
      <c r="EA178" s="263">
        <f t="shared" si="783"/>
        <v>0</v>
      </c>
      <c r="EB178" s="263">
        <f t="shared" si="783"/>
        <v>0</v>
      </c>
      <c r="EC178" s="263">
        <f t="shared" si="783"/>
        <v>0</v>
      </c>
      <c r="ED178" s="263">
        <f t="shared" si="783"/>
        <v>0</v>
      </c>
      <c r="EE178" s="263">
        <f t="shared" si="783"/>
        <v>0</v>
      </c>
      <c r="EF178" s="263">
        <f t="shared" si="783"/>
        <v>0</v>
      </c>
      <c r="EG178" s="263">
        <f t="shared" si="783"/>
        <v>0</v>
      </c>
      <c r="EH178" s="263">
        <f t="shared" si="783"/>
        <v>0</v>
      </c>
      <c r="EI178" s="263">
        <f t="shared" si="783"/>
        <v>0</v>
      </c>
      <c r="EJ178" s="263">
        <f t="shared" si="783"/>
        <v>0</v>
      </c>
      <c r="EK178" s="263">
        <f t="shared" si="783"/>
        <v>0</v>
      </c>
      <c r="EL178" s="230">
        <f t="shared" si="745"/>
        <v>0</v>
      </c>
      <c r="EM178" s="266"/>
      <c r="EN178" s="263">
        <f t="shared" si="784"/>
        <v>0</v>
      </c>
      <c r="EO178" s="263">
        <f t="shared" si="784"/>
        <v>0</v>
      </c>
      <c r="EP178" s="263">
        <f t="shared" si="784"/>
        <v>0</v>
      </c>
      <c r="EQ178" s="263">
        <f t="shared" si="784"/>
        <v>0</v>
      </c>
      <c r="ER178" s="263">
        <f t="shared" si="784"/>
        <v>0</v>
      </c>
      <c r="ES178" s="263">
        <f t="shared" si="784"/>
        <v>0</v>
      </c>
      <c r="ET178" s="263">
        <f t="shared" si="784"/>
        <v>0</v>
      </c>
      <c r="EU178" s="263">
        <f t="shared" si="784"/>
        <v>0</v>
      </c>
      <c r="EV178" s="263">
        <f t="shared" si="784"/>
        <v>0</v>
      </c>
      <c r="EW178" s="263">
        <f t="shared" si="784"/>
        <v>0</v>
      </c>
      <c r="EX178" s="263">
        <f t="shared" si="784"/>
        <v>0</v>
      </c>
      <c r="EY178" s="263">
        <f t="shared" si="784"/>
        <v>0</v>
      </c>
      <c r="EZ178" s="230">
        <f t="shared" si="747"/>
        <v>0</v>
      </c>
      <c r="FA178" s="266"/>
      <c r="FB178" s="263">
        <f t="shared" si="785"/>
        <v>0</v>
      </c>
      <c r="FC178" s="263">
        <f t="shared" si="785"/>
        <v>0</v>
      </c>
      <c r="FD178" s="263">
        <f t="shared" si="785"/>
        <v>0</v>
      </c>
      <c r="FE178" s="263">
        <f t="shared" si="785"/>
        <v>0</v>
      </c>
      <c r="FF178" s="263">
        <f t="shared" si="785"/>
        <v>0</v>
      </c>
      <c r="FG178" s="263">
        <f t="shared" si="785"/>
        <v>0</v>
      </c>
      <c r="FH178" s="263">
        <f t="shared" si="785"/>
        <v>0</v>
      </c>
      <c r="FI178" s="263">
        <f t="shared" si="785"/>
        <v>0</v>
      </c>
      <c r="FJ178" s="263">
        <f t="shared" si="785"/>
        <v>0</v>
      </c>
      <c r="FK178" s="263">
        <f t="shared" si="785"/>
        <v>0</v>
      </c>
      <c r="FL178" s="263">
        <f t="shared" si="785"/>
        <v>0</v>
      </c>
      <c r="FM178" s="263">
        <f t="shared" si="785"/>
        <v>0</v>
      </c>
      <c r="FN178" s="230">
        <f t="shared" si="749"/>
        <v>0</v>
      </c>
      <c r="FO178" s="266"/>
      <c r="FP178" s="263">
        <f t="shared" si="786"/>
        <v>0</v>
      </c>
      <c r="FQ178" s="263">
        <f t="shared" si="786"/>
        <v>0</v>
      </c>
      <c r="FR178" s="263">
        <f t="shared" si="786"/>
        <v>0</v>
      </c>
      <c r="FS178" s="263">
        <f t="shared" si="786"/>
        <v>0</v>
      </c>
      <c r="FT178" s="263">
        <f t="shared" si="786"/>
        <v>0</v>
      </c>
      <c r="FU178" s="263">
        <f t="shared" si="786"/>
        <v>0</v>
      </c>
      <c r="FV178" s="263">
        <f t="shared" si="786"/>
        <v>0</v>
      </c>
      <c r="FW178" s="263">
        <f t="shared" si="786"/>
        <v>0</v>
      </c>
      <c r="FX178" s="263">
        <f t="shared" si="786"/>
        <v>0</v>
      </c>
      <c r="FY178" s="263">
        <f t="shared" si="786"/>
        <v>0</v>
      </c>
      <c r="FZ178" s="263">
        <f t="shared" si="786"/>
        <v>0</v>
      </c>
      <c r="GA178" s="263">
        <f t="shared" si="786"/>
        <v>0</v>
      </c>
      <c r="GB178" s="230">
        <f t="shared" si="751"/>
        <v>0</v>
      </c>
      <c r="GC178" s="266"/>
      <c r="GD178" s="263">
        <f t="shared" si="787"/>
        <v>0</v>
      </c>
      <c r="GE178" s="263">
        <f t="shared" si="787"/>
        <v>0</v>
      </c>
      <c r="GF178" s="263">
        <f t="shared" si="787"/>
        <v>0</v>
      </c>
      <c r="GG178" s="263">
        <f t="shared" si="787"/>
        <v>0</v>
      </c>
      <c r="GH178" s="263">
        <f t="shared" si="787"/>
        <v>0</v>
      </c>
      <c r="GI178" s="263">
        <f t="shared" si="787"/>
        <v>0</v>
      </c>
      <c r="GJ178" s="263">
        <f t="shared" si="787"/>
        <v>0</v>
      </c>
      <c r="GK178" s="263">
        <f t="shared" si="787"/>
        <v>0</v>
      </c>
      <c r="GL178" s="263">
        <f t="shared" si="787"/>
        <v>0</v>
      </c>
      <c r="GM178" s="263">
        <f t="shared" si="787"/>
        <v>0</v>
      </c>
      <c r="GN178" s="263">
        <f t="shared" si="787"/>
        <v>0</v>
      </c>
      <c r="GO178" s="263">
        <f t="shared" si="787"/>
        <v>0</v>
      </c>
      <c r="GP178" s="230">
        <f t="shared" si="753"/>
        <v>0</v>
      </c>
      <c r="GQ178" s="266"/>
      <c r="GR178" s="263">
        <f t="shared" si="788"/>
        <v>0</v>
      </c>
      <c r="GS178" s="263">
        <f t="shared" si="788"/>
        <v>0</v>
      </c>
      <c r="GT178" s="263">
        <f t="shared" si="788"/>
        <v>0</v>
      </c>
      <c r="GU178" s="263">
        <f t="shared" si="788"/>
        <v>0</v>
      </c>
      <c r="GV178" s="263">
        <f t="shared" si="788"/>
        <v>0</v>
      </c>
      <c r="GW178" s="263">
        <f t="shared" si="788"/>
        <v>0</v>
      </c>
      <c r="GX178" s="263">
        <f t="shared" si="788"/>
        <v>0</v>
      </c>
      <c r="GY178" s="263">
        <f t="shared" si="788"/>
        <v>0</v>
      </c>
      <c r="GZ178" s="263">
        <f t="shared" si="788"/>
        <v>0</v>
      </c>
      <c r="HA178" s="263">
        <f t="shared" si="788"/>
        <v>0</v>
      </c>
      <c r="HB178" s="263">
        <f t="shared" si="788"/>
        <v>0</v>
      </c>
      <c r="HC178" s="263">
        <f t="shared" si="788"/>
        <v>0</v>
      </c>
      <c r="HD178" s="230">
        <f t="shared" si="789"/>
        <v>0</v>
      </c>
      <c r="HE178" s="266"/>
      <c r="HF178" s="263">
        <f t="shared" si="790"/>
        <v>0</v>
      </c>
      <c r="HG178" s="263">
        <f t="shared" si="790"/>
        <v>0</v>
      </c>
      <c r="HH178" s="263">
        <f t="shared" si="790"/>
        <v>0</v>
      </c>
      <c r="HI178" s="263">
        <f t="shared" si="790"/>
        <v>0</v>
      </c>
      <c r="HJ178" s="263">
        <f t="shared" si="790"/>
        <v>0</v>
      </c>
      <c r="HK178" s="263">
        <f t="shared" si="790"/>
        <v>0</v>
      </c>
      <c r="HL178" s="263">
        <f t="shared" si="790"/>
        <v>0</v>
      </c>
      <c r="HM178" s="263">
        <f t="shared" si="790"/>
        <v>0</v>
      </c>
      <c r="HN178" s="263">
        <f t="shared" si="790"/>
        <v>0</v>
      </c>
      <c r="HO178" s="263">
        <f t="shared" si="790"/>
        <v>0</v>
      </c>
      <c r="HP178" s="263">
        <f t="shared" si="790"/>
        <v>0</v>
      </c>
      <c r="HQ178" s="263">
        <f t="shared" si="790"/>
        <v>0</v>
      </c>
      <c r="HR178" s="230">
        <f t="shared" si="756"/>
        <v>0</v>
      </c>
      <c r="HS178" s="266"/>
      <c r="HT178" s="263">
        <f t="shared" si="791"/>
        <v>0</v>
      </c>
      <c r="HU178" s="263">
        <f t="shared" si="791"/>
        <v>0</v>
      </c>
      <c r="HV178" s="263">
        <f t="shared" si="791"/>
        <v>0</v>
      </c>
      <c r="HW178" s="263">
        <f t="shared" si="791"/>
        <v>0</v>
      </c>
      <c r="HX178" s="263">
        <f t="shared" si="791"/>
        <v>0</v>
      </c>
      <c r="HY178" s="263">
        <f t="shared" si="791"/>
        <v>0</v>
      </c>
      <c r="HZ178" s="263">
        <f t="shared" si="791"/>
        <v>0</v>
      </c>
      <c r="IA178" s="263">
        <f t="shared" si="791"/>
        <v>0</v>
      </c>
      <c r="IB178" s="263">
        <f t="shared" si="791"/>
        <v>0</v>
      </c>
      <c r="IC178" s="263">
        <f t="shared" si="791"/>
        <v>0</v>
      </c>
      <c r="ID178" s="263">
        <f t="shared" si="791"/>
        <v>0</v>
      </c>
      <c r="IE178" s="263">
        <f t="shared" si="791"/>
        <v>0</v>
      </c>
      <c r="IF178" s="230">
        <f t="shared" si="758"/>
        <v>0</v>
      </c>
      <c r="IG178" s="266"/>
      <c r="IH178" s="263">
        <f t="shared" si="792"/>
        <v>0</v>
      </c>
      <c r="II178" s="263">
        <f t="shared" si="792"/>
        <v>0</v>
      </c>
      <c r="IJ178" s="263">
        <f t="shared" si="792"/>
        <v>0</v>
      </c>
      <c r="IK178" s="263">
        <f t="shared" si="792"/>
        <v>0</v>
      </c>
      <c r="IL178" s="263">
        <f t="shared" si="792"/>
        <v>0</v>
      </c>
      <c r="IM178" s="263">
        <f t="shared" si="792"/>
        <v>0</v>
      </c>
      <c r="IN178" s="263">
        <f t="shared" si="792"/>
        <v>0</v>
      </c>
      <c r="IO178" s="263">
        <f t="shared" si="792"/>
        <v>0</v>
      </c>
      <c r="IP178" s="263">
        <f t="shared" si="792"/>
        <v>0</v>
      </c>
      <c r="IQ178" s="263">
        <f t="shared" si="792"/>
        <v>0</v>
      </c>
      <c r="IR178" s="263">
        <f t="shared" si="792"/>
        <v>0</v>
      </c>
      <c r="IS178" s="263">
        <f t="shared" si="792"/>
        <v>0</v>
      </c>
      <c r="IT178" s="230">
        <f t="shared" si="760"/>
        <v>0</v>
      </c>
      <c r="IU178" s="266"/>
      <c r="IV178" s="263">
        <f t="shared" si="793"/>
        <v>0</v>
      </c>
      <c r="IW178" s="263">
        <f t="shared" si="793"/>
        <v>0</v>
      </c>
      <c r="IX178" s="263">
        <f t="shared" si="793"/>
        <v>0</v>
      </c>
      <c r="IY178" s="263">
        <f t="shared" si="793"/>
        <v>0</v>
      </c>
      <c r="IZ178" s="263">
        <f t="shared" si="793"/>
        <v>0</v>
      </c>
      <c r="JA178" s="263">
        <f t="shared" si="793"/>
        <v>0</v>
      </c>
      <c r="JB178" s="263">
        <f t="shared" si="793"/>
        <v>0</v>
      </c>
      <c r="JC178" s="263">
        <f t="shared" si="793"/>
        <v>0</v>
      </c>
      <c r="JD178" s="263">
        <f t="shared" si="793"/>
        <v>0</v>
      </c>
      <c r="JE178" s="263">
        <f t="shared" si="793"/>
        <v>0</v>
      </c>
      <c r="JF178" s="263">
        <f t="shared" si="793"/>
        <v>0</v>
      </c>
      <c r="JG178" s="263">
        <f t="shared" si="793"/>
        <v>0</v>
      </c>
      <c r="JH178" s="230">
        <f t="shared" si="762"/>
        <v>0</v>
      </c>
      <c r="JI178" s="266"/>
      <c r="JJ178" s="263">
        <f t="shared" si="794"/>
        <v>0</v>
      </c>
      <c r="JK178" s="263">
        <f t="shared" si="794"/>
        <v>0</v>
      </c>
      <c r="JL178" s="263">
        <f t="shared" si="794"/>
        <v>0</v>
      </c>
      <c r="JM178" s="263">
        <f t="shared" si="794"/>
        <v>0</v>
      </c>
      <c r="JN178" s="263">
        <f t="shared" si="794"/>
        <v>0</v>
      </c>
      <c r="JO178" s="263">
        <f t="shared" si="794"/>
        <v>0</v>
      </c>
      <c r="JP178" s="263">
        <f t="shared" si="794"/>
        <v>0</v>
      </c>
      <c r="JQ178" s="263">
        <f t="shared" si="794"/>
        <v>0</v>
      </c>
      <c r="JR178" s="263">
        <f t="shared" si="794"/>
        <v>0</v>
      </c>
      <c r="JS178" s="263">
        <f t="shared" si="794"/>
        <v>0</v>
      </c>
      <c r="JT178" s="263">
        <f t="shared" si="794"/>
        <v>0</v>
      </c>
      <c r="JU178" s="263">
        <f t="shared" si="794"/>
        <v>0</v>
      </c>
      <c r="JV178" s="230">
        <f t="shared" si="764"/>
        <v>0</v>
      </c>
      <c r="JW178" s="266"/>
      <c r="JX178" s="263">
        <f t="shared" si="795"/>
        <v>0</v>
      </c>
      <c r="JY178" s="263">
        <f t="shared" si="795"/>
        <v>0</v>
      </c>
      <c r="JZ178" s="263">
        <f t="shared" si="795"/>
        <v>0</v>
      </c>
      <c r="KA178" s="263">
        <f t="shared" si="795"/>
        <v>0</v>
      </c>
      <c r="KB178" s="263">
        <f t="shared" si="795"/>
        <v>0</v>
      </c>
      <c r="KC178" s="263">
        <f t="shared" si="795"/>
        <v>0</v>
      </c>
      <c r="KD178" s="263">
        <f t="shared" si="795"/>
        <v>0</v>
      </c>
      <c r="KE178" s="263">
        <f t="shared" si="795"/>
        <v>0</v>
      </c>
      <c r="KF178" s="263">
        <f t="shared" si="795"/>
        <v>0</v>
      </c>
      <c r="KG178" s="263">
        <f t="shared" si="795"/>
        <v>0</v>
      </c>
      <c r="KH178" s="263">
        <f t="shared" si="795"/>
        <v>0</v>
      </c>
      <c r="KI178" s="263">
        <f t="shared" si="795"/>
        <v>0</v>
      </c>
      <c r="KJ178" s="230">
        <f t="shared" si="766"/>
        <v>0</v>
      </c>
      <c r="KK178" s="266"/>
      <c r="KL178" s="263">
        <f t="shared" si="796"/>
        <v>0</v>
      </c>
      <c r="KM178" s="263">
        <f t="shared" si="796"/>
        <v>0</v>
      </c>
      <c r="KN178" s="263">
        <f t="shared" si="796"/>
        <v>0</v>
      </c>
      <c r="KO178" s="263">
        <f t="shared" si="796"/>
        <v>0</v>
      </c>
      <c r="KP178" s="263">
        <f t="shared" si="796"/>
        <v>0</v>
      </c>
      <c r="KQ178" s="263">
        <f t="shared" si="796"/>
        <v>0</v>
      </c>
      <c r="KR178" s="263">
        <f t="shared" si="796"/>
        <v>0</v>
      </c>
      <c r="KS178" s="263">
        <f t="shared" si="796"/>
        <v>0</v>
      </c>
      <c r="KT178" s="263">
        <f t="shared" si="796"/>
        <v>0</v>
      </c>
      <c r="KU178" s="263">
        <f t="shared" si="796"/>
        <v>0</v>
      </c>
      <c r="KV178" s="263">
        <f t="shared" si="796"/>
        <v>0</v>
      </c>
      <c r="KW178" s="263">
        <f t="shared" si="796"/>
        <v>0</v>
      </c>
      <c r="KX178" s="230">
        <f t="shared" si="768"/>
        <v>0</v>
      </c>
      <c r="KY178" s="266"/>
      <c r="KZ178" s="263">
        <f t="shared" si="797"/>
        <v>0</v>
      </c>
      <c r="LA178" s="263">
        <f t="shared" si="797"/>
        <v>0</v>
      </c>
      <c r="LB178" s="263">
        <f t="shared" si="797"/>
        <v>0</v>
      </c>
      <c r="LC178" s="263">
        <f t="shared" si="797"/>
        <v>0</v>
      </c>
      <c r="LD178" s="263">
        <f t="shared" si="797"/>
        <v>0</v>
      </c>
      <c r="LE178" s="263">
        <f t="shared" si="797"/>
        <v>0</v>
      </c>
      <c r="LF178" s="263">
        <f t="shared" si="797"/>
        <v>0</v>
      </c>
      <c r="LG178" s="263">
        <f t="shared" si="797"/>
        <v>0</v>
      </c>
      <c r="LH178" s="263">
        <f t="shared" si="797"/>
        <v>0</v>
      </c>
      <c r="LI178" s="263">
        <f t="shared" si="797"/>
        <v>0</v>
      </c>
      <c r="LJ178" s="263">
        <f t="shared" si="797"/>
        <v>0</v>
      </c>
      <c r="LK178" s="263">
        <f t="shared" si="797"/>
        <v>0</v>
      </c>
      <c r="LL178" s="230">
        <f t="shared" si="770"/>
        <v>0</v>
      </c>
      <c r="LM178" s="266"/>
      <c r="LN178" s="263">
        <v>0</v>
      </c>
      <c r="LO178" s="264">
        <v>0</v>
      </c>
      <c r="LP178" s="265">
        <v>0</v>
      </c>
      <c r="LQ178" s="265">
        <v>0</v>
      </c>
      <c r="LR178" s="265">
        <v>0</v>
      </c>
      <c r="LS178" s="265">
        <v>0</v>
      </c>
      <c r="LT178" s="265">
        <v>0</v>
      </c>
      <c r="LU178" s="265">
        <v>0</v>
      </c>
      <c r="LV178" s="265">
        <v>0</v>
      </c>
      <c r="LW178" s="265">
        <v>0</v>
      </c>
      <c r="LX178" s="265">
        <v>0</v>
      </c>
      <c r="LY178" s="265">
        <v>0</v>
      </c>
      <c r="LZ178" s="230">
        <f t="shared" si="771"/>
        <v>0</v>
      </c>
      <c r="MA178" s="266"/>
      <c r="MB178" s="230">
        <f t="shared" si="772"/>
        <v>2264.0610104861771</v>
      </c>
      <c r="MC178" s="230">
        <f t="shared" si="772"/>
        <v>2264.0610104861771</v>
      </c>
      <c r="MD178" s="230">
        <f t="shared" si="772"/>
        <v>2264.0610104861771</v>
      </c>
      <c r="ME178" s="230">
        <f t="shared" si="772"/>
        <v>2264.0610104861771</v>
      </c>
      <c r="MF178" s="230">
        <f t="shared" si="772"/>
        <v>2264.0610104861771</v>
      </c>
      <c r="MG178" s="230">
        <f t="shared" si="772"/>
        <v>2264.0610104861771</v>
      </c>
      <c r="MH178" s="230">
        <f t="shared" si="772"/>
        <v>2264.0610104861771</v>
      </c>
      <c r="MI178" s="230">
        <f t="shared" si="772"/>
        <v>2264.0610104861771</v>
      </c>
      <c r="MJ178" s="230">
        <f t="shared" si="772"/>
        <v>2264.0610104861771</v>
      </c>
      <c r="MK178" s="230">
        <f t="shared" si="772"/>
        <v>2264.0610104861771</v>
      </c>
      <c r="ML178" s="230">
        <f t="shared" si="772"/>
        <v>2264.0610104861771</v>
      </c>
      <c r="MM178" s="230">
        <f t="shared" si="772"/>
        <v>2264.0610104861771</v>
      </c>
      <c r="MN178" s="230">
        <f t="shared" si="773"/>
        <v>27168.732125834125</v>
      </c>
    </row>
    <row r="179" spans="1:352" x14ac:dyDescent="0.25">
      <c r="A179" s="262"/>
      <c r="B179" s="64" t="s">
        <v>54</v>
      </c>
      <c r="C179" s="98"/>
      <c r="D179" s="263">
        <f t="shared" si="774"/>
        <v>2351.8112488083889</v>
      </c>
      <c r="E179" s="263">
        <f t="shared" si="726"/>
        <v>2351.8112488083889</v>
      </c>
      <c r="F179" s="263">
        <f t="shared" si="726"/>
        <v>2351.8112488083889</v>
      </c>
      <c r="G179" s="263">
        <f t="shared" si="726"/>
        <v>2351.8112488083889</v>
      </c>
      <c r="H179" s="263">
        <f t="shared" si="726"/>
        <v>2351.8112488083889</v>
      </c>
      <c r="I179" s="263">
        <f t="shared" si="726"/>
        <v>2351.8112488083889</v>
      </c>
      <c r="J179" s="263">
        <f t="shared" si="726"/>
        <v>2351.8112488083889</v>
      </c>
      <c r="K179" s="263">
        <f t="shared" si="726"/>
        <v>2351.8112488083889</v>
      </c>
      <c r="L179" s="263">
        <f t="shared" si="726"/>
        <v>2351.8112488083889</v>
      </c>
      <c r="M179" s="263">
        <f t="shared" si="726"/>
        <v>2351.8112488083889</v>
      </c>
      <c r="N179" s="263">
        <f t="shared" si="726"/>
        <v>2351.8112488083889</v>
      </c>
      <c r="O179" s="263">
        <f t="shared" si="726"/>
        <v>2351.8112488083889</v>
      </c>
      <c r="P179" s="282">
        <f t="shared" si="727"/>
        <v>28221.734985700674</v>
      </c>
      <c r="Q179" s="266"/>
      <c r="R179" s="263">
        <f t="shared" si="775"/>
        <v>190.34795042897997</v>
      </c>
      <c r="S179" s="263">
        <f t="shared" si="775"/>
        <v>190.34795042897997</v>
      </c>
      <c r="T179" s="263">
        <f t="shared" si="775"/>
        <v>190.34795042897997</v>
      </c>
      <c r="U179" s="263">
        <f t="shared" si="775"/>
        <v>190.34795042897997</v>
      </c>
      <c r="V179" s="263">
        <f t="shared" si="775"/>
        <v>190.34795042897997</v>
      </c>
      <c r="W179" s="263">
        <f t="shared" si="775"/>
        <v>190.34795042897997</v>
      </c>
      <c r="X179" s="263">
        <f t="shared" si="775"/>
        <v>190.34795042897997</v>
      </c>
      <c r="Y179" s="263">
        <f t="shared" si="775"/>
        <v>190.34795042897997</v>
      </c>
      <c r="Z179" s="263">
        <f t="shared" si="775"/>
        <v>190.34795042897997</v>
      </c>
      <c r="AA179" s="263">
        <f t="shared" si="775"/>
        <v>190.34795042897997</v>
      </c>
      <c r="AB179" s="263">
        <f t="shared" si="775"/>
        <v>190.34795042897997</v>
      </c>
      <c r="AC179" s="263">
        <f t="shared" si="775"/>
        <v>190.34795042897997</v>
      </c>
      <c r="AD179" s="282">
        <f t="shared" si="729"/>
        <v>2284.1754051477592</v>
      </c>
      <c r="AE179" s="266"/>
      <c r="AF179" s="263">
        <f t="shared" si="776"/>
        <v>191.73021925643471</v>
      </c>
      <c r="AG179" s="263">
        <f t="shared" si="776"/>
        <v>191.73021925643471</v>
      </c>
      <c r="AH179" s="263">
        <f t="shared" si="776"/>
        <v>191.73021925643471</v>
      </c>
      <c r="AI179" s="263">
        <f t="shared" si="776"/>
        <v>191.73021925643471</v>
      </c>
      <c r="AJ179" s="263">
        <f t="shared" si="776"/>
        <v>191.73021925643471</v>
      </c>
      <c r="AK179" s="263">
        <f t="shared" si="776"/>
        <v>191.73021925643471</v>
      </c>
      <c r="AL179" s="263">
        <f t="shared" si="776"/>
        <v>191.73021925643471</v>
      </c>
      <c r="AM179" s="263">
        <f t="shared" si="776"/>
        <v>191.73021925643471</v>
      </c>
      <c r="AN179" s="263">
        <f t="shared" si="776"/>
        <v>191.73021925643471</v>
      </c>
      <c r="AO179" s="263">
        <f t="shared" si="776"/>
        <v>191.73021925643471</v>
      </c>
      <c r="AP179" s="263">
        <f t="shared" si="776"/>
        <v>191.73021925643471</v>
      </c>
      <c r="AQ179" s="263">
        <f t="shared" si="776"/>
        <v>191.73021925643471</v>
      </c>
      <c r="AR179" s="282">
        <f t="shared" si="731"/>
        <v>2300.7626310772171</v>
      </c>
      <c r="AS179" s="266"/>
      <c r="AT179" s="263">
        <f t="shared" si="777"/>
        <v>599.63060057197333</v>
      </c>
      <c r="AU179" s="263">
        <f t="shared" si="777"/>
        <v>599.63060057197333</v>
      </c>
      <c r="AV179" s="263">
        <f t="shared" si="777"/>
        <v>599.63060057197333</v>
      </c>
      <c r="AW179" s="263">
        <f t="shared" si="777"/>
        <v>599.63060057197333</v>
      </c>
      <c r="AX179" s="263">
        <f t="shared" si="777"/>
        <v>599.63060057197333</v>
      </c>
      <c r="AY179" s="263">
        <f t="shared" si="777"/>
        <v>599.63060057197333</v>
      </c>
      <c r="AZ179" s="263">
        <f t="shared" si="777"/>
        <v>599.63060057197333</v>
      </c>
      <c r="BA179" s="263">
        <f t="shared" si="777"/>
        <v>599.63060057197333</v>
      </c>
      <c r="BB179" s="263">
        <f t="shared" si="777"/>
        <v>599.63060057197333</v>
      </c>
      <c r="BC179" s="263">
        <f t="shared" si="777"/>
        <v>599.63060057197333</v>
      </c>
      <c r="BD179" s="263">
        <f t="shared" si="777"/>
        <v>599.63060057197333</v>
      </c>
      <c r="BE179" s="263">
        <f t="shared" si="777"/>
        <v>599.63060057197333</v>
      </c>
      <c r="BF179" s="282">
        <f t="shared" si="733"/>
        <v>7195.5672068636804</v>
      </c>
      <c r="BG179" s="224"/>
      <c r="BH179" s="263">
        <f t="shared" si="778"/>
        <v>3440.8603431839847</v>
      </c>
      <c r="BI179" s="263">
        <f t="shared" si="778"/>
        <v>3440.8603431839847</v>
      </c>
      <c r="BJ179" s="263">
        <f t="shared" si="778"/>
        <v>3440.8603431839847</v>
      </c>
      <c r="BK179" s="263">
        <f t="shared" si="778"/>
        <v>3440.8603431839847</v>
      </c>
      <c r="BL179" s="263">
        <f t="shared" si="778"/>
        <v>3440.8603431839847</v>
      </c>
      <c r="BM179" s="263">
        <f t="shared" si="778"/>
        <v>3440.8603431839847</v>
      </c>
      <c r="BN179" s="263">
        <f t="shared" si="778"/>
        <v>3440.8603431839847</v>
      </c>
      <c r="BO179" s="263">
        <f t="shared" si="778"/>
        <v>3440.8603431839847</v>
      </c>
      <c r="BP179" s="263">
        <f t="shared" si="778"/>
        <v>3440.8603431839847</v>
      </c>
      <c r="BQ179" s="263">
        <f t="shared" si="778"/>
        <v>3440.8603431839847</v>
      </c>
      <c r="BR179" s="263">
        <f t="shared" si="778"/>
        <v>3440.8603431839847</v>
      </c>
      <c r="BS179" s="263">
        <f t="shared" si="778"/>
        <v>3440.8603431839847</v>
      </c>
      <c r="BT179" s="282">
        <f t="shared" si="735"/>
        <v>41290.32411820782</v>
      </c>
      <c r="BU179" s="266"/>
      <c r="BV179" s="263">
        <f t="shared" si="779"/>
        <v>536.53479504289794</v>
      </c>
      <c r="BW179" s="263">
        <f t="shared" si="779"/>
        <v>536.53479504289794</v>
      </c>
      <c r="BX179" s="263">
        <f t="shared" si="779"/>
        <v>536.53479504289794</v>
      </c>
      <c r="BY179" s="263">
        <f t="shared" si="779"/>
        <v>536.53479504289794</v>
      </c>
      <c r="BZ179" s="263">
        <f t="shared" si="779"/>
        <v>536.53479504289794</v>
      </c>
      <c r="CA179" s="263">
        <f t="shared" si="779"/>
        <v>536.53479504289794</v>
      </c>
      <c r="CB179" s="263">
        <f t="shared" si="779"/>
        <v>536.53479504289794</v>
      </c>
      <c r="CC179" s="263">
        <f t="shared" si="779"/>
        <v>536.53479504289794</v>
      </c>
      <c r="CD179" s="263">
        <f t="shared" si="779"/>
        <v>536.53479504289794</v>
      </c>
      <c r="CE179" s="263">
        <f t="shared" si="779"/>
        <v>536.53479504289794</v>
      </c>
      <c r="CF179" s="263">
        <f t="shared" si="779"/>
        <v>536.53479504289794</v>
      </c>
      <c r="CG179" s="263">
        <f t="shared" si="779"/>
        <v>536.53479504289794</v>
      </c>
      <c r="CH179" s="282">
        <f t="shared" si="737"/>
        <v>6438.4175405147735</v>
      </c>
      <c r="CI179" s="266"/>
      <c r="CJ179" s="263">
        <f t="shared" si="780"/>
        <v>1389.2159199237369</v>
      </c>
      <c r="CK179" s="263">
        <f t="shared" si="780"/>
        <v>1389.2159199237369</v>
      </c>
      <c r="CL179" s="263">
        <f t="shared" si="780"/>
        <v>1389.2159199237369</v>
      </c>
      <c r="CM179" s="263">
        <f t="shared" si="780"/>
        <v>1389.2159199237369</v>
      </c>
      <c r="CN179" s="263">
        <f t="shared" si="780"/>
        <v>1389.2159199237369</v>
      </c>
      <c r="CO179" s="263">
        <f t="shared" si="780"/>
        <v>1389.2159199237369</v>
      </c>
      <c r="CP179" s="263">
        <f t="shared" si="780"/>
        <v>1389.2159199237369</v>
      </c>
      <c r="CQ179" s="263">
        <f t="shared" si="780"/>
        <v>1389.2159199237369</v>
      </c>
      <c r="CR179" s="263">
        <f t="shared" si="780"/>
        <v>1389.2159199237369</v>
      </c>
      <c r="CS179" s="263">
        <f t="shared" si="780"/>
        <v>1389.2159199237369</v>
      </c>
      <c r="CT179" s="263">
        <f t="shared" si="780"/>
        <v>1389.2159199237369</v>
      </c>
      <c r="CU179" s="263">
        <f t="shared" si="780"/>
        <v>1389.2159199237369</v>
      </c>
      <c r="CV179" s="282">
        <f t="shared" si="739"/>
        <v>16670.591039084848</v>
      </c>
      <c r="CW179" s="266"/>
      <c r="CX179" s="263">
        <f t="shared" si="781"/>
        <v>3078.9442326024787</v>
      </c>
      <c r="CY179" s="263">
        <f t="shared" si="781"/>
        <v>3078.9442326024787</v>
      </c>
      <c r="CZ179" s="263">
        <f t="shared" si="781"/>
        <v>3078.9442326024787</v>
      </c>
      <c r="DA179" s="263">
        <f t="shared" si="781"/>
        <v>3078.9442326024787</v>
      </c>
      <c r="DB179" s="263">
        <f t="shared" si="781"/>
        <v>3078.9442326024787</v>
      </c>
      <c r="DC179" s="263">
        <f t="shared" si="781"/>
        <v>3078.9442326024787</v>
      </c>
      <c r="DD179" s="263">
        <f t="shared" si="781"/>
        <v>3078.9442326024787</v>
      </c>
      <c r="DE179" s="263">
        <f t="shared" si="781"/>
        <v>3078.9442326024787</v>
      </c>
      <c r="DF179" s="263">
        <f t="shared" si="781"/>
        <v>3078.9442326024787</v>
      </c>
      <c r="DG179" s="263">
        <f t="shared" si="781"/>
        <v>3078.9442326024787</v>
      </c>
      <c r="DH179" s="263">
        <f t="shared" si="781"/>
        <v>3078.9442326024787</v>
      </c>
      <c r="DI179" s="263">
        <f t="shared" si="781"/>
        <v>3078.9442326024787</v>
      </c>
      <c r="DJ179" s="282">
        <f t="shared" si="741"/>
        <v>36947.330791229753</v>
      </c>
      <c r="DK179" s="266"/>
      <c r="DL179" s="263">
        <f t="shared" si="782"/>
        <v>1794.3398474737846</v>
      </c>
      <c r="DM179" s="263">
        <f t="shared" si="782"/>
        <v>1794.3398474737846</v>
      </c>
      <c r="DN179" s="263">
        <f t="shared" si="782"/>
        <v>1794.3398474737846</v>
      </c>
      <c r="DO179" s="263">
        <f t="shared" si="782"/>
        <v>1794.3398474737846</v>
      </c>
      <c r="DP179" s="263">
        <f t="shared" si="782"/>
        <v>1794.3398474737846</v>
      </c>
      <c r="DQ179" s="263">
        <f t="shared" si="782"/>
        <v>1794.3398474737846</v>
      </c>
      <c r="DR179" s="263">
        <f t="shared" si="782"/>
        <v>1794.3398474737846</v>
      </c>
      <c r="DS179" s="263">
        <f t="shared" si="782"/>
        <v>1794.3398474737846</v>
      </c>
      <c r="DT179" s="263">
        <f t="shared" si="782"/>
        <v>1794.3398474737846</v>
      </c>
      <c r="DU179" s="263">
        <f t="shared" si="782"/>
        <v>1794.3398474737846</v>
      </c>
      <c r="DV179" s="263">
        <f t="shared" si="782"/>
        <v>1794.3398474737846</v>
      </c>
      <c r="DW179" s="263">
        <f t="shared" si="782"/>
        <v>1794.3398474737846</v>
      </c>
      <c r="DX179" s="282">
        <f t="shared" si="743"/>
        <v>21532.078169685414</v>
      </c>
      <c r="DY179" s="266"/>
      <c r="DZ179" s="263">
        <f t="shared" si="783"/>
        <v>290.81267874165871</v>
      </c>
      <c r="EA179" s="263">
        <f t="shared" si="783"/>
        <v>290.81267874165871</v>
      </c>
      <c r="EB179" s="263">
        <f t="shared" si="783"/>
        <v>290.81267874165871</v>
      </c>
      <c r="EC179" s="263">
        <f t="shared" si="783"/>
        <v>290.81267874165871</v>
      </c>
      <c r="ED179" s="263">
        <f t="shared" si="783"/>
        <v>290.81267874165871</v>
      </c>
      <c r="EE179" s="263">
        <f t="shared" si="783"/>
        <v>290.81267874165871</v>
      </c>
      <c r="EF179" s="263">
        <f t="shared" si="783"/>
        <v>290.81267874165871</v>
      </c>
      <c r="EG179" s="263">
        <f t="shared" si="783"/>
        <v>290.81267874165871</v>
      </c>
      <c r="EH179" s="263">
        <f t="shared" si="783"/>
        <v>290.81267874165871</v>
      </c>
      <c r="EI179" s="263">
        <f t="shared" si="783"/>
        <v>290.81267874165871</v>
      </c>
      <c r="EJ179" s="263">
        <f t="shared" si="783"/>
        <v>290.81267874165871</v>
      </c>
      <c r="EK179" s="263">
        <f t="shared" si="783"/>
        <v>290.81267874165871</v>
      </c>
      <c r="EL179" s="282">
        <f t="shared" si="745"/>
        <v>3489.7521448999037</v>
      </c>
      <c r="EM179" s="266"/>
      <c r="EN179" s="263">
        <f t="shared" si="784"/>
        <v>413.44137273593896</v>
      </c>
      <c r="EO179" s="263">
        <f t="shared" si="784"/>
        <v>413.44137273593896</v>
      </c>
      <c r="EP179" s="263">
        <f t="shared" si="784"/>
        <v>413.44137273593896</v>
      </c>
      <c r="EQ179" s="263">
        <f t="shared" si="784"/>
        <v>413.44137273593896</v>
      </c>
      <c r="ER179" s="263">
        <f t="shared" si="784"/>
        <v>413.44137273593896</v>
      </c>
      <c r="ES179" s="263">
        <f t="shared" si="784"/>
        <v>413.44137273593896</v>
      </c>
      <c r="ET179" s="263">
        <f t="shared" si="784"/>
        <v>413.44137273593896</v>
      </c>
      <c r="EU179" s="263">
        <f t="shared" si="784"/>
        <v>413.44137273593896</v>
      </c>
      <c r="EV179" s="263">
        <f t="shared" si="784"/>
        <v>413.44137273593896</v>
      </c>
      <c r="EW179" s="263">
        <f t="shared" si="784"/>
        <v>413.44137273593896</v>
      </c>
      <c r="EX179" s="263">
        <f t="shared" si="784"/>
        <v>413.44137273593896</v>
      </c>
      <c r="EY179" s="263">
        <f t="shared" si="784"/>
        <v>413.44137273593896</v>
      </c>
      <c r="EZ179" s="282">
        <f t="shared" si="747"/>
        <v>4961.2964728312663</v>
      </c>
      <c r="FA179" s="266"/>
      <c r="FB179" s="263">
        <f t="shared" si="785"/>
        <v>70.924690181124873</v>
      </c>
      <c r="FC179" s="263">
        <f t="shared" si="785"/>
        <v>70.924690181124873</v>
      </c>
      <c r="FD179" s="263">
        <f t="shared" si="785"/>
        <v>70.924690181124873</v>
      </c>
      <c r="FE179" s="263">
        <f t="shared" si="785"/>
        <v>70.924690181124873</v>
      </c>
      <c r="FF179" s="263">
        <f t="shared" si="785"/>
        <v>70.924690181124873</v>
      </c>
      <c r="FG179" s="263">
        <f t="shared" si="785"/>
        <v>70.924690181124873</v>
      </c>
      <c r="FH179" s="263">
        <f t="shared" si="785"/>
        <v>70.924690181124873</v>
      </c>
      <c r="FI179" s="263">
        <f t="shared" si="785"/>
        <v>70.924690181124873</v>
      </c>
      <c r="FJ179" s="263">
        <f t="shared" si="785"/>
        <v>70.924690181124873</v>
      </c>
      <c r="FK179" s="263">
        <f t="shared" si="785"/>
        <v>70.924690181124873</v>
      </c>
      <c r="FL179" s="263">
        <f t="shared" si="785"/>
        <v>70.924690181124873</v>
      </c>
      <c r="FM179" s="263">
        <f t="shared" si="785"/>
        <v>70.924690181124873</v>
      </c>
      <c r="FN179" s="282">
        <f t="shared" si="749"/>
        <v>851.09628217349871</v>
      </c>
      <c r="FO179" s="266"/>
      <c r="FP179" s="263">
        <f t="shared" si="786"/>
        <v>1213.7035271687321</v>
      </c>
      <c r="FQ179" s="263">
        <f t="shared" si="786"/>
        <v>1213.7035271687321</v>
      </c>
      <c r="FR179" s="263">
        <f t="shared" si="786"/>
        <v>1213.7035271687321</v>
      </c>
      <c r="FS179" s="263">
        <f t="shared" si="786"/>
        <v>1213.7035271687321</v>
      </c>
      <c r="FT179" s="263">
        <f t="shared" si="786"/>
        <v>1213.7035271687321</v>
      </c>
      <c r="FU179" s="263">
        <f t="shared" si="786"/>
        <v>1213.7035271687321</v>
      </c>
      <c r="FV179" s="263">
        <f t="shared" si="786"/>
        <v>1213.7035271687321</v>
      </c>
      <c r="FW179" s="263">
        <f t="shared" si="786"/>
        <v>1213.7035271687321</v>
      </c>
      <c r="FX179" s="263">
        <f t="shared" si="786"/>
        <v>1213.7035271687321</v>
      </c>
      <c r="FY179" s="263">
        <f t="shared" si="786"/>
        <v>1213.7035271687321</v>
      </c>
      <c r="FZ179" s="263">
        <f t="shared" si="786"/>
        <v>1213.7035271687321</v>
      </c>
      <c r="GA179" s="263">
        <f t="shared" si="786"/>
        <v>1213.7035271687321</v>
      </c>
      <c r="GB179" s="282">
        <f t="shared" si="751"/>
        <v>14564.442326024788</v>
      </c>
      <c r="GC179" s="266"/>
      <c r="GD179" s="263">
        <f t="shared" si="787"/>
        <v>646.258341277407</v>
      </c>
      <c r="GE179" s="263">
        <f t="shared" si="787"/>
        <v>646.258341277407</v>
      </c>
      <c r="GF179" s="263">
        <f t="shared" si="787"/>
        <v>646.258341277407</v>
      </c>
      <c r="GG179" s="263">
        <f t="shared" si="787"/>
        <v>646.258341277407</v>
      </c>
      <c r="GH179" s="263">
        <f t="shared" si="787"/>
        <v>646.258341277407</v>
      </c>
      <c r="GI179" s="263">
        <f t="shared" si="787"/>
        <v>646.258341277407</v>
      </c>
      <c r="GJ179" s="263">
        <f t="shared" si="787"/>
        <v>646.258341277407</v>
      </c>
      <c r="GK179" s="263">
        <f t="shared" si="787"/>
        <v>646.258341277407</v>
      </c>
      <c r="GL179" s="263">
        <f t="shared" si="787"/>
        <v>646.258341277407</v>
      </c>
      <c r="GM179" s="263">
        <f t="shared" si="787"/>
        <v>646.258341277407</v>
      </c>
      <c r="GN179" s="263">
        <f t="shared" si="787"/>
        <v>646.258341277407</v>
      </c>
      <c r="GO179" s="263">
        <f t="shared" si="787"/>
        <v>646.258341277407</v>
      </c>
      <c r="GP179" s="282">
        <f t="shared" si="753"/>
        <v>7755.1000953288858</v>
      </c>
      <c r="GQ179" s="266"/>
      <c r="GR179" s="263">
        <f t="shared" si="788"/>
        <v>-3615.6165879210357</v>
      </c>
      <c r="GS179" s="263">
        <f t="shared" si="788"/>
        <v>-3615.6165879210357</v>
      </c>
      <c r="GT179" s="263">
        <f t="shared" si="788"/>
        <v>-3615.6165879210357</v>
      </c>
      <c r="GU179" s="263">
        <f t="shared" si="788"/>
        <v>-3615.6165879210357</v>
      </c>
      <c r="GV179" s="263">
        <f t="shared" si="788"/>
        <v>-3615.6165879210357</v>
      </c>
      <c r="GW179" s="263">
        <f t="shared" si="788"/>
        <v>-3615.6165879210357</v>
      </c>
      <c r="GX179" s="263">
        <f t="shared" si="788"/>
        <v>-3615.6165879210357</v>
      </c>
      <c r="GY179" s="263">
        <f t="shared" si="788"/>
        <v>-3615.6165879210357</v>
      </c>
      <c r="GZ179" s="263">
        <f t="shared" si="788"/>
        <v>-3615.6165879210357</v>
      </c>
      <c r="HA179" s="263">
        <f t="shared" si="788"/>
        <v>-3615.6165879210357</v>
      </c>
      <c r="HB179" s="263">
        <f t="shared" si="788"/>
        <v>-3615.6165879210357</v>
      </c>
      <c r="HC179" s="263">
        <f t="shared" si="788"/>
        <v>-3615.6165879210357</v>
      </c>
      <c r="HD179" s="282">
        <f t="shared" si="789"/>
        <v>0</v>
      </c>
      <c r="HE179" s="266"/>
      <c r="HF179" s="263">
        <f t="shared" si="790"/>
        <v>529.50428979980938</v>
      </c>
      <c r="HG179" s="263">
        <f t="shared" si="790"/>
        <v>529.50428979980938</v>
      </c>
      <c r="HH179" s="263">
        <f t="shared" si="790"/>
        <v>529.50428979980938</v>
      </c>
      <c r="HI179" s="263">
        <f t="shared" si="790"/>
        <v>529.50428979980938</v>
      </c>
      <c r="HJ179" s="263">
        <f t="shared" si="790"/>
        <v>529.50428979980938</v>
      </c>
      <c r="HK179" s="263">
        <f t="shared" si="790"/>
        <v>529.50428979980938</v>
      </c>
      <c r="HL179" s="263">
        <f t="shared" si="790"/>
        <v>529.50428979980938</v>
      </c>
      <c r="HM179" s="263">
        <f t="shared" si="790"/>
        <v>529.50428979980938</v>
      </c>
      <c r="HN179" s="263">
        <f t="shared" si="790"/>
        <v>529.50428979980938</v>
      </c>
      <c r="HO179" s="263">
        <f t="shared" si="790"/>
        <v>529.50428979980938</v>
      </c>
      <c r="HP179" s="263">
        <f t="shared" si="790"/>
        <v>529.50428979980938</v>
      </c>
      <c r="HQ179" s="263">
        <f t="shared" si="790"/>
        <v>529.50428979980938</v>
      </c>
      <c r="HR179" s="282">
        <f t="shared" si="756"/>
        <v>6354.0514775977108</v>
      </c>
      <c r="HS179" s="266"/>
      <c r="HT179" s="263">
        <f t="shared" si="791"/>
        <v>138.11963775023833</v>
      </c>
      <c r="HU179" s="263">
        <f t="shared" si="791"/>
        <v>138.11963775023833</v>
      </c>
      <c r="HV179" s="263">
        <f t="shared" si="791"/>
        <v>138.11963775023833</v>
      </c>
      <c r="HW179" s="263">
        <f t="shared" si="791"/>
        <v>138.11963775023833</v>
      </c>
      <c r="HX179" s="263">
        <f t="shared" si="791"/>
        <v>138.11963775023833</v>
      </c>
      <c r="HY179" s="263">
        <f t="shared" si="791"/>
        <v>138.11963775023833</v>
      </c>
      <c r="HZ179" s="263">
        <f t="shared" si="791"/>
        <v>138.11963775023833</v>
      </c>
      <c r="IA179" s="263">
        <f t="shared" si="791"/>
        <v>138.11963775023833</v>
      </c>
      <c r="IB179" s="263">
        <f t="shared" si="791"/>
        <v>138.11963775023833</v>
      </c>
      <c r="IC179" s="263">
        <f t="shared" si="791"/>
        <v>138.11963775023833</v>
      </c>
      <c r="ID179" s="263">
        <f t="shared" si="791"/>
        <v>138.11963775023833</v>
      </c>
      <c r="IE179" s="263">
        <f t="shared" si="791"/>
        <v>138.11963775023833</v>
      </c>
      <c r="IF179" s="282">
        <f t="shared" si="758"/>
        <v>1657.4356530028599</v>
      </c>
      <c r="IG179" s="266"/>
      <c r="IH179" s="263">
        <f t="shared" si="792"/>
        <v>462.38083889418493</v>
      </c>
      <c r="II179" s="263">
        <f t="shared" si="792"/>
        <v>462.38083889418493</v>
      </c>
      <c r="IJ179" s="263">
        <f t="shared" si="792"/>
        <v>462.38083889418493</v>
      </c>
      <c r="IK179" s="263">
        <f t="shared" si="792"/>
        <v>462.38083889418493</v>
      </c>
      <c r="IL179" s="263">
        <f t="shared" si="792"/>
        <v>462.38083889418493</v>
      </c>
      <c r="IM179" s="263">
        <f t="shared" si="792"/>
        <v>462.38083889418493</v>
      </c>
      <c r="IN179" s="263">
        <f t="shared" si="792"/>
        <v>462.38083889418493</v>
      </c>
      <c r="IO179" s="263">
        <f t="shared" si="792"/>
        <v>462.38083889418493</v>
      </c>
      <c r="IP179" s="263">
        <f t="shared" si="792"/>
        <v>462.38083889418493</v>
      </c>
      <c r="IQ179" s="263">
        <f t="shared" si="792"/>
        <v>462.38083889418493</v>
      </c>
      <c r="IR179" s="263">
        <f t="shared" si="792"/>
        <v>462.38083889418493</v>
      </c>
      <c r="IS179" s="263">
        <f t="shared" si="792"/>
        <v>462.38083889418493</v>
      </c>
      <c r="IT179" s="282">
        <f t="shared" si="760"/>
        <v>5548.5700667302199</v>
      </c>
      <c r="IU179" s="266"/>
      <c r="IV179" s="263">
        <f t="shared" si="793"/>
        <v>1338.3579599618683</v>
      </c>
      <c r="IW179" s="263">
        <f t="shared" si="793"/>
        <v>1338.3579599618683</v>
      </c>
      <c r="IX179" s="263">
        <f t="shared" si="793"/>
        <v>1338.3579599618683</v>
      </c>
      <c r="IY179" s="263">
        <f t="shared" si="793"/>
        <v>1338.3579599618683</v>
      </c>
      <c r="IZ179" s="263">
        <f t="shared" si="793"/>
        <v>1338.3579599618683</v>
      </c>
      <c r="JA179" s="263">
        <f t="shared" si="793"/>
        <v>1338.3579599618683</v>
      </c>
      <c r="JB179" s="263">
        <f t="shared" si="793"/>
        <v>1338.3579599618683</v>
      </c>
      <c r="JC179" s="263">
        <f t="shared" si="793"/>
        <v>1338.3579599618683</v>
      </c>
      <c r="JD179" s="263">
        <f t="shared" si="793"/>
        <v>1338.3579599618683</v>
      </c>
      <c r="JE179" s="263">
        <f t="shared" si="793"/>
        <v>1338.3579599618683</v>
      </c>
      <c r="JF179" s="263">
        <f t="shared" si="793"/>
        <v>1338.3579599618683</v>
      </c>
      <c r="JG179" s="263">
        <f t="shared" si="793"/>
        <v>1338.3579599618683</v>
      </c>
      <c r="JH179" s="282">
        <f t="shared" si="762"/>
        <v>16060.295519542417</v>
      </c>
      <c r="JI179" s="266"/>
      <c r="JJ179" s="263">
        <f t="shared" si="794"/>
        <v>1806.5419447092468</v>
      </c>
      <c r="JK179" s="263">
        <f t="shared" si="794"/>
        <v>1806.5419447092468</v>
      </c>
      <c r="JL179" s="263">
        <f t="shared" si="794"/>
        <v>1806.5419447092468</v>
      </c>
      <c r="JM179" s="263">
        <f t="shared" si="794"/>
        <v>1806.5419447092468</v>
      </c>
      <c r="JN179" s="263">
        <f t="shared" si="794"/>
        <v>1806.5419447092468</v>
      </c>
      <c r="JO179" s="263">
        <f t="shared" si="794"/>
        <v>1806.5419447092468</v>
      </c>
      <c r="JP179" s="263">
        <f t="shared" si="794"/>
        <v>1806.5419447092468</v>
      </c>
      <c r="JQ179" s="263">
        <f t="shared" si="794"/>
        <v>1806.5419447092468</v>
      </c>
      <c r="JR179" s="263">
        <f t="shared" si="794"/>
        <v>1806.5419447092468</v>
      </c>
      <c r="JS179" s="263">
        <f t="shared" si="794"/>
        <v>1806.5419447092468</v>
      </c>
      <c r="JT179" s="263">
        <f t="shared" si="794"/>
        <v>1806.5419447092468</v>
      </c>
      <c r="JU179" s="263">
        <f t="shared" si="794"/>
        <v>1806.5419447092468</v>
      </c>
      <c r="JV179" s="282">
        <f t="shared" si="764"/>
        <v>21678.503336510959</v>
      </c>
      <c r="JW179" s="266"/>
      <c r="JX179" s="263">
        <f t="shared" si="795"/>
        <v>975.85795996186846</v>
      </c>
      <c r="JY179" s="263">
        <f t="shared" si="795"/>
        <v>975.85795996186846</v>
      </c>
      <c r="JZ179" s="263">
        <f t="shared" si="795"/>
        <v>975.85795996186846</v>
      </c>
      <c r="KA179" s="263">
        <f t="shared" si="795"/>
        <v>975.85795996186846</v>
      </c>
      <c r="KB179" s="263">
        <f t="shared" si="795"/>
        <v>975.85795996186846</v>
      </c>
      <c r="KC179" s="263">
        <f t="shared" si="795"/>
        <v>975.85795996186846</v>
      </c>
      <c r="KD179" s="263">
        <f t="shared" si="795"/>
        <v>975.85795996186846</v>
      </c>
      <c r="KE179" s="263">
        <f t="shared" si="795"/>
        <v>975.85795996186846</v>
      </c>
      <c r="KF179" s="263">
        <f t="shared" si="795"/>
        <v>975.85795996186846</v>
      </c>
      <c r="KG179" s="263">
        <f t="shared" si="795"/>
        <v>975.85795996186846</v>
      </c>
      <c r="KH179" s="263">
        <f t="shared" si="795"/>
        <v>975.85795996186846</v>
      </c>
      <c r="KI179" s="263">
        <f t="shared" si="795"/>
        <v>975.85795996186846</v>
      </c>
      <c r="KJ179" s="282">
        <f t="shared" si="766"/>
        <v>11710.29551954242</v>
      </c>
      <c r="KK179" s="266"/>
      <c r="KL179" s="263">
        <f t="shared" si="796"/>
        <v>134.27073403241181</v>
      </c>
      <c r="KM179" s="263">
        <f t="shared" si="796"/>
        <v>134.27073403241181</v>
      </c>
      <c r="KN179" s="263">
        <f t="shared" si="796"/>
        <v>134.27073403241181</v>
      </c>
      <c r="KO179" s="263">
        <f t="shared" si="796"/>
        <v>134.27073403241181</v>
      </c>
      <c r="KP179" s="263">
        <f t="shared" si="796"/>
        <v>134.27073403241181</v>
      </c>
      <c r="KQ179" s="263">
        <f t="shared" si="796"/>
        <v>134.27073403241181</v>
      </c>
      <c r="KR179" s="263">
        <f t="shared" si="796"/>
        <v>134.27073403241181</v>
      </c>
      <c r="KS179" s="263">
        <f t="shared" si="796"/>
        <v>134.27073403241181</v>
      </c>
      <c r="KT179" s="263">
        <f t="shared" si="796"/>
        <v>134.27073403241181</v>
      </c>
      <c r="KU179" s="263">
        <f t="shared" si="796"/>
        <v>134.27073403241181</v>
      </c>
      <c r="KV179" s="263">
        <f t="shared" si="796"/>
        <v>134.27073403241181</v>
      </c>
      <c r="KW179" s="263">
        <f t="shared" si="796"/>
        <v>134.27073403241181</v>
      </c>
      <c r="KX179" s="282">
        <f t="shared" si="768"/>
        <v>1611.2488083889418</v>
      </c>
      <c r="KY179" s="266"/>
      <c r="KZ179" s="263">
        <f t="shared" si="797"/>
        <v>139.69256434699713</v>
      </c>
      <c r="LA179" s="263">
        <f t="shared" si="797"/>
        <v>139.69256434699713</v>
      </c>
      <c r="LB179" s="263">
        <f t="shared" si="797"/>
        <v>139.69256434699713</v>
      </c>
      <c r="LC179" s="263">
        <f t="shared" si="797"/>
        <v>139.69256434699713</v>
      </c>
      <c r="LD179" s="263">
        <f t="shared" si="797"/>
        <v>139.69256434699713</v>
      </c>
      <c r="LE179" s="263">
        <f t="shared" si="797"/>
        <v>139.69256434699713</v>
      </c>
      <c r="LF179" s="263">
        <f t="shared" si="797"/>
        <v>139.69256434699713</v>
      </c>
      <c r="LG179" s="263">
        <f t="shared" si="797"/>
        <v>139.69256434699713</v>
      </c>
      <c r="LH179" s="263">
        <f t="shared" si="797"/>
        <v>139.69256434699713</v>
      </c>
      <c r="LI179" s="263">
        <f t="shared" si="797"/>
        <v>139.69256434699713</v>
      </c>
      <c r="LJ179" s="263">
        <f t="shared" si="797"/>
        <v>139.69256434699713</v>
      </c>
      <c r="LK179" s="263">
        <f t="shared" si="797"/>
        <v>139.69256434699713</v>
      </c>
      <c r="LL179" s="282">
        <f t="shared" si="770"/>
        <v>1676.310772163966</v>
      </c>
      <c r="LM179" s="266"/>
      <c r="LN179" s="263">
        <v>0</v>
      </c>
      <c r="LO179" s="264">
        <v>0</v>
      </c>
      <c r="LP179" s="265">
        <v>0</v>
      </c>
      <c r="LQ179" s="265">
        <v>0</v>
      </c>
      <c r="LR179" s="265">
        <v>0</v>
      </c>
      <c r="LS179" s="265">
        <v>0</v>
      </c>
      <c r="LT179" s="265">
        <v>0</v>
      </c>
      <c r="LU179" s="265">
        <v>0</v>
      </c>
      <c r="LV179" s="265">
        <v>0</v>
      </c>
      <c r="LW179" s="265">
        <v>0</v>
      </c>
      <c r="LX179" s="265">
        <v>0</v>
      </c>
      <c r="LY179" s="265">
        <v>0</v>
      </c>
      <c r="LZ179" s="282">
        <f t="shared" si="771"/>
        <v>0</v>
      </c>
      <c r="MA179" s="266"/>
      <c r="MB179" s="282">
        <f t="shared" si="772"/>
        <v>18117.665108933114</v>
      </c>
      <c r="MC179" s="282">
        <f t="shared" si="772"/>
        <v>18117.665108933114</v>
      </c>
      <c r="MD179" s="282">
        <f t="shared" si="772"/>
        <v>18117.665108933114</v>
      </c>
      <c r="ME179" s="282">
        <f t="shared" si="772"/>
        <v>18117.665108933114</v>
      </c>
      <c r="MF179" s="282">
        <f t="shared" si="772"/>
        <v>18117.665108933114</v>
      </c>
      <c r="MG179" s="282">
        <f t="shared" si="772"/>
        <v>18117.665108933114</v>
      </c>
      <c r="MH179" s="282">
        <f t="shared" si="772"/>
        <v>18117.665108933114</v>
      </c>
      <c r="MI179" s="282">
        <f t="shared" si="772"/>
        <v>18117.665108933114</v>
      </c>
      <c r="MJ179" s="282">
        <f t="shared" si="772"/>
        <v>18117.665108933114</v>
      </c>
      <c r="MK179" s="282">
        <f t="shared" si="772"/>
        <v>18117.665108933114</v>
      </c>
      <c r="ML179" s="282">
        <f t="shared" si="772"/>
        <v>18117.665108933114</v>
      </c>
      <c r="MM179" s="282">
        <f t="shared" si="772"/>
        <v>18117.665108933114</v>
      </c>
      <c r="MN179" s="282">
        <f t="shared" si="773"/>
        <v>217411.98130719736</v>
      </c>
    </row>
    <row r="180" spans="1:352" x14ac:dyDescent="0.25">
      <c r="A180" s="262"/>
      <c r="B180" s="64" t="s">
        <v>55</v>
      </c>
      <c r="C180" s="98"/>
      <c r="D180" s="263">
        <f t="shared" si="774"/>
        <v>1072.9361485617444</v>
      </c>
      <c r="E180" s="263">
        <f t="shared" si="726"/>
        <v>1129.9547376942514</v>
      </c>
      <c r="F180" s="263">
        <f t="shared" si="726"/>
        <v>1129.9547376942514</v>
      </c>
      <c r="G180" s="263">
        <f t="shared" si="726"/>
        <v>1129.9547376942514</v>
      </c>
      <c r="H180" s="263">
        <f t="shared" si="726"/>
        <v>1129.9547376942514</v>
      </c>
      <c r="I180" s="263">
        <f t="shared" si="726"/>
        <v>1129.9547376942514</v>
      </c>
      <c r="J180" s="263">
        <f t="shared" si="726"/>
        <v>1250.6053573320016</v>
      </c>
      <c r="K180" s="263">
        <f t="shared" si="726"/>
        <v>1250.6053573320016</v>
      </c>
      <c r="L180" s="263">
        <f t="shared" si="726"/>
        <v>1250.6053573320016</v>
      </c>
      <c r="M180" s="263">
        <f t="shared" si="726"/>
        <v>2323.0553096675594</v>
      </c>
      <c r="N180" s="263">
        <f t="shared" si="726"/>
        <v>1250.6053573320016</v>
      </c>
      <c r="O180" s="263">
        <f t="shared" si="726"/>
        <v>1238.2636713725847</v>
      </c>
      <c r="P180" s="282">
        <f t="shared" si="727"/>
        <v>15286.450247401153</v>
      </c>
      <c r="Q180" s="266"/>
      <c r="R180" s="263">
        <f t="shared" si="775"/>
        <v>97.756650324572149</v>
      </c>
      <c r="S180" s="263">
        <f t="shared" si="775"/>
        <v>103.65512506241772</v>
      </c>
      <c r="T180" s="263">
        <f t="shared" si="775"/>
        <v>103.65512506241772</v>
      </c>
      <c r="U180" s="263">
        <f t="shared" si="775"/>
        <v>103.65512506241772</v>
      </c>
      <c r="V180" s="263">
        <f t="shared" si="775"/>
        <v>103.65512506241772</v>
      </c>
      <c r="W180" s="263">
        <f t="shared" si="775"/>
        <v>103.65512506241772</v>
      </c>
      <c r="X180" s="263">
        <f t="shared" si="775"/>
        <v>113.79573516727949</v>
      </c>
      <c r="Y180" s="263">
        <f t="shared" si="775"/>
        <v>113.79573516727949</v>
      </c>
      <c r="Z180" s="263">
        <f t="shared" si="775"/>
        <v>113.79573516727949</v>
      </c>
      <c r="AA180" s="263">
        <f t="shared" si="775"/>
        <v>221.04073040083526</v>
      </c>
      <c r="AB180" s="263">
        <f t="shared" si="775"/>
        <v>113.79573516727949</v>
      </c>
      <c r="AC180" s="263">
        <f t="shared" si="775"/>
        <v>112.51900903354669</v>
      </c>
      <c r="AD180" s="282">
        <f t="shared" si="729"/>
        <v>1404.7749557401607</v>
      </c>
      <c r="AE180" s="266"/>
      <c r="AF180" s="263">
        <f t="shared" si="776"/>
        <v>97.756650324572149</v>
      </c>
      <c r="AG180" s="263">
        <f t="shared" si="776"/>
        <v>103.65512506241772</v>
      </c>
      <c r="AH180" s="263">
        <f t="shared" si="776"/>
        <v>103.65512506241772</v>
      </c>
      <c r="AI180" s="263">
        <f t="shared" si="776"/>
        <v>103.65512506241772</v>
      </c>
      <c r="AJ180" s="263">
        <f t="shared" si="776"/>
        <v>103.65512506241772</v>
      </c>
      <c r="AK180" s="263">
        <f t="shared" si="776"/>
        <v>103.65512506241772</v>
      </c>
      <c r="AL180" s="263">
        <f t="shared" si="776"/>
        <v>113.79573516727949</v>
      </c>
      <c r="AM180" s="263">
        <f t="shared" si="776"/>
        <v>113.79573516727949</v>
      </c>
      <c r="AN180" s="263">
        <f t="shared" si="776"/>
        <v>113.79573516727949</v>
      </c>
      <c r="AO180" s="263">
        <f t="shared" si="776"/>
        <v>221.04073040083526</v>
      </c>
      <c r="AP180" s="263">
        <f t="shared" si="776"/>
        <v>113.79573516727949</v>
      </c>
      <c r="AQ180" s="263">
        <f t="shared" si="776"/>
        <v>112.51900903354669</v>
      </c>
      <c r="AR180" s="282">
        <f t="shared" si="731"/>
        <v>1404.7749557401607</v>
      </c>
      <c r="AS180" s="266"/>
      <c r="AT180" s="263">
        <f t="shared" si="777"/>
        <v>104.75641956814501</v>
      </c>
      <c r="AU180" s="263">
        <f t="shared" si="777"/>
        <v>108.68873606004206</v>
      </c>
      <c r="AV180" s="263">
        <f t="shared" si="777"/>
        <v>108.68873606004206</v>
      </c>
      <c r="AW180" s="263">
        <f t="shared" si="777"/>
        <v>108.68873606004206</v>
      </c>
      <c r="AX180" s="263">
        <f t="shared" si="777"/>
        <v>108.68873606004206</v>
      </c>
      <c r="AY180" s="263">
        <f t="shared" si="777"/>
        <v>108.68873606004206</v>
      </c>
      <c r="AZ180" s="263">
        <f t="shared" si="777"/>
        <v>123.38130040703919</v>
      </c>
      <c r="BA180" s="263">
        <f t="shared" si="777"/>
        <v>123.38130040703919</v>
      </c>
      <c r="BB180" s="263">
        <f t="shared" si="777"/>
        <v>123.38130040703919</v>
      </c>
      <c r="BC180" s="263">
        <f t="shared" si="777"/>
        <v>194.87796389607638</v>
      </c>
      <c r="BD180" s="263">
        <f t="shared" si="777"/>
        <v>123.38130040703919</v>
      </c>
      <c r="BE180" s="263">
        <f t="shared" si="777"/>
        <v>122.53014965121733</v>
      </c>
      <c r="BF180" s="282">
        <f t="shared" si="733"/>
        <v>1459.1334150438056</v>
      </c>
      <c r="BG180" s="224"/>
      <c r="BH180" s="263">
        <f t="shared" si="778"/>
        <v>573.37572064097321</v>
      </c>
      <c r="BI180" s="263">
        <f t="shared" si="778"/>
        <v>598.93577783830403</v>
      </c>
      <c r="BJ180" s="263">
        <f t="shared" si="778"/>
        <v>598.93577783830403</v>
      </c>
      <c r="BK180" s="263">
        <f t="shared" si="778"/>
        <v>598.93577783830403</v>
      </c>
      <c r="BL180" s="263">
        <f t="shared" si="778"/>
        <v>598.93577783830403</v>
      </c>
      <c r="BM180" s="263">
        <f t="shared" si="778"/>
        <v>598.93577783830403</v>
      </c>
      <c r="BN180" s="263">
        <f t="shared" si="778"/>
        <v>668.59736029778924</v>
      </c>
      <c r="BO180" s="263">
        <f t="shared" si="778"/>
        <v>668.59736029778924</v>
      </c>
      <c r="BP180" s="263">
        <f t="shared" si="778"/>
        <v>668.59736029778924</v>
      </c>
      <c r="BQ180" s="263">
        <f t="shared" si="778"/>
        <v>1204.822336465568</v>
      </c>
      <c r="BR180" s="263">
        <f t="shared" si="778"/>
        <v>668.59736029778924</v>
      </c>
      <c r="BS180" s="263">
        <f t="shared" si="778"/>
        <v>662.21372962912528</v>
      </c>
      <c r="BT180" s="282">
        <f t="shared" si="735"/>
        <v>8109.4801171183444</v>
      </c>
      <c r="BU180" s="266"/>
      <c r="BV180" s="263">
        <f t="shared" si="779"/>
        <v>69.990221223538668</v>
      </c>
      <c r="BW180" s="263">
        <f t="shared" si="779"/>
        <v>71.956379469487189</v>
      </c>
      <c r="BX180" s="263">
        <f t="shared" si="779"/>
        <v>71.956379469487189</v>
      </c>
      <c r="BY180" s="263">
        <f t="shared" si="779"/>
        <v>71.956379469487189</v>
      </c>
      <c r="BZ180" s="263">
        <f t="shared" si="779"/>
        <v>71.956379469487189</v>
      </c>
      <c r="CA180" s="263">
        <f t="shared" si="779"/>
        <v>71.956379469487189</v>
      </c>
      <c r="CB180" s="263">
        <f t="shared" si="779"/>
        <v>82.835788430402346</v>
      </c>
      <c r="CC180" s="263">
        <f t="shared" si="779"/>
        <v>82.835788430402346</v>
      </c>
      <c r="CD180" s="263">
        <f t="shared" si="779"/>
        <v>82.835788430402346</v>
      </c>
      <c r="CE180" s="263">
        <f t="shared" si="779"/>
        <v>118.58412017492094</v>
      </c>
      <c r="CF180" s="263">
        <f t="shared" si="779"/>
        <v>82.835788430402346</v>
      </c>
      <c r="CG180" s="263">
        <f t="shared" si="779"/>
        <v>82.410213052491414</v>
      </c>
      <c r="CH180" s="282">
        <f t="shared" si="737"/>
        <v>962.10960551999619</v>
      </c>
      <c r="CI180" s="266"/>
      <c r="CJ180" s="263">
        <f t="shared" si="780"/>
        <v>1594.034473497057</v>
      </c>
      <c r="CK180" s="263">
        <f t="shared" si="780"/>
        <v>1615.6622142024908</v>
      </c>
      <c r="CL180" s="263">
        <f t="shared" si="780"/>
        <v>1615.6622142024908</v>
      </c>
      <c r="CM180" s="263">
        <f t="shared" si="780"/>
        <v>1615.6622142024908</v>
      </c>
      <c r="CN180" s="263">
        <f t="shared" si="780"/>
        <v>1615.6622142024908</v>
      </c>
      <c r="CO180" s="263">
        <f t="shared" si="780"/>
        <v>1615.6622142024908</v>
      </c>
      <c r="CP180" s="263">
        <f t="shared" si="780"/>
        <v>1661.6107366047786</v>
      </c>
      <c r="CQ180" s="263">
        <f t="shared" si="780"/>
        <v>1661.6107366047786</v>
      </c>
      <c r="CR180" s="263">
        <f t="shared" si="780"/>
        <v>1661.6107366047786</v>
      </c>
      <c r="CS180" s="263">
        <f t="shared" si="780"/>
        <v>2054.8423857944831</v>
      </c>
      <c r="CT180" s="263">
        <f t="shared" si="780"/>
        <v>1661.6107366047786</v>
      </c>
      <c r="CU180" s="263">
        <f t="shared" si="780"/>
        <v>1656.929407447758</v>
      </c>
      <c r="CV180" s="282">
        <f t="shared" si="739"/>
        <v>20030.560284170864</v>
      </c>
      <c r="CW180" s="266"/>
      <c r="CX180" s="263">
        <f t="shared" si="781"/>
        <v>1101.2061751933056</v>
      </c>
      <c r="CY180" s="263">
        <f t="shared" si="781"/>
        <v>1156.2586060798644</v>
      </c>
      <c r="CZ180" s="263">
        <f t="shared" si="781"/>
        <v>1156.2586060798644</v>
      </c>
      <c r="DA180" s="263">
        <f t="shared" si="781"/>
        <v>1156.2586060798644</v>
      </c>
      <c r="DB180" s="263">
        <f t="shared" si="781"/>
        <v>1156.2586060798644</v>
      </c>
      <c r="DC180" s="263">
        <f t="shared" si="781"/>
        <v>1156.2586060798644</v>
      </c>
      <c r="DD180" s="263">
        <f t="shared" si="781"/>
        <v>1287.347738587014</v>
      </c>
      <c r="DE180" s="263">
        <f t="shared" si="781"/>
        <v>1287.347738587014</v>
      </c>
      <c r="DF180" s="263">
        <f t="shared" si="781"/>
        <v>1287.347738587014</v>
      </c>
      <c r="DG180" s="263">
        <f t="shared" si="781"/>
        <v>2324.0493591780532</v>
      </c>
      <c r="DH180" s="263">
        <f t="shared" si="781"/>
        <v>1287.347738587014</v>
      </c>
      <c r="DI180" s="263">
        <f t="shared" si="781"/>
        <v>1275.4316280055077</v>
      </c>
      <c r="DJ180" s="282">
        <f t="shared" si="741"/>
        <v>15631.371147124244</v>
      </c>
      <c r="DK180" s="266"/>
      <c r="DL180" s="263">
        <f t="shared" si="782"/>
        <v>871.5588920665183</v>
      </c>
      <c r="DM180" s="263">
        <f t="shared" si="782"/>
        <v>922.67900646117994</v>
      </c>
      <c r="DN180" s="263">
        <f t="shared" si="782"/>
        <v>922.67900646117994</v>
      </c>
      <c r="DO180" s="263">
        <f t="shared" si="782"/>
        <v>922.67900646117994</v>
      </c>
      <c r="DP180" s="263">
        <f t="shared" si="782"/>
        <v>922.67900646117994</v>
      </c>
      <c r="DQ180" s="263">
        <f t="shared" si="782"/>
        <v>922.67900646117994</v>
      </c>
      <c r="DR180" s="263">
        <f t="shared" si="782"/>
        <v>1012.0379197118949</v>
      </c>
      <c r="DS180" s="263">
        <f t="shared" si="782"/>
        <v>1012.0379197118949</v>
      </c>
      <c r="DT180" s="263">
        <f t="shared" si="782"/>
        <v>1012.0379197118949</v>
      </c>
      <c r="DU180" s="263">
        <f t="shared" si="782"/>
        <v>2012.9912085584153</v>
      </c>
      <c r="DV180" s="263">
        <f t="shared" si="782"/>
        <v>1012.0379197118949</v>
      </c>
      <c r="DW180" s="263">
        <f t="shared" si="782"/>
        <v>1000.1218091303887</v>
      </c>
      <c r="DX180" s="282">
        <f t="shared" si="743"/>
        <v>12546.218620908799</v>
      </c>
      <c r="DY180" s="266"/>
      <c r="DZ180" s="263">
        <f t="shared" si="783"/>
        <v>73.493557734501479</v>
      </c>
      <c r="EA180" s="263">
        <f t="shared" si="783"/>
        <v>75.459715980450014</v>
      </c>
      <c r="EB180" s="263">
        <f t="shared" si="783"/>
        <v>75.459715980450014</v>
      </c>
      <c r="EC180" s="263">
        <f t="shared" si="783"/>
        <v>75.459715980450014</v>
      </c>
      <c r="ED180" s="263">
        <f t="shared" si="783"/>
        <v>75.459715980450014</v>
      </c>
      <c r="EE180" s="263">
        <f t="shared" si="783"/>
        <v>75.459715980450014</v>
      </c>
      <c r="EF180" s="263">
        <f t="shared" si="783"/>
        <v>82.835788430402346</v>
      </c>
      <c r="EG180" s="263">
        <f t="shared" si="783"/>
        <v>82.835788430402346</v>
      </c>
      <c r="EH180" s="263">
        <f t="shared" si="783"/>
        <v>82.835788430402346</v>
      </c>
      <c r="EI180" s="263">
        <f t="shared" si="783"/>
        <v>118.58412017492094</v>
      </c>
      <c r="EJ180" s="263">
        <f t="shared" si="783"/>
        <v>82.835788430402346</v>
      </c>
      <c r="EK180" s="263">
        <f t="shared" si="783"/>
        <v>82.410213052491414</v>
      </c>
      <c r="EL180" s="282">
        <f t="shared" si="745"/>
        <v>983.12962458577317</v>
      </c>
      <c r="EM180" s="266"/>
      <c r="EN180" s="263">
        <f t="shared" si="784"/>
        <v>104.75641956814501</v>
      </c>
      <c r="EO180" s="263">
        <f t="shared" si="784"/>
        <v>108.68873606004206</v>
      </c>
      <c r="EP180" s="263">
        <f t="shared" si="784"/>
        <v>108.68873606004206</v>
      </c>
      <c r="EQ180" s="263">
        <f t="shared" si="784"/>
        <v>108.68873606004206</v>
      </c>
      <c r="ER180" s="263">
        <f t="shared" si="784"/>
        <v>108.68873606004206</v>
      </c>
      <c r="ES180" s="263">
        <f t="shared" si="784"/>
        <v>108.68873606004206</v>
      </c>
      <c r="ET180" s="263">
        <f t="shared" si="784"/>
        <v>123.38130040703919</v>
      </c>
      <c r="EU180" s="263">
        <f t="shared" si="784"/>
        <v>123.38130040703919</v>
      </c>
      <c r="EV180" s="263">
        <f t="shared" si="784"/>
        <v>123.38130040703919</v>
      </c>
      <c r="EW180" s="263">
        <f t="shared" si="784"/>
        <v>194.87796389607638</v>
      </c>
      <c r="EX180" s="263">
        <f t="shared" si="784"/>
        <v>123.38130040703919</v>
      </c>
      <c r="EY180" s="263">
        <f t="shared" si="784"/>
        <v>122.53014965121733</v>
      </c>
      <c r="EZ180" s="282">
        <f t="shared" si="747"/>
        <v>1459.1334150438056</v>
      </c>
      <c r="FA180" s="266"/>
      <c r="FB180" s="263">
        <f t="shared" si="785"/>
        <v>34.766198344606352</v>
      </c>
      <c r="FC180" s="263">
        <f t="shared" si="785"/>
        <v>36.732356590554872</v>
      </c>
      <c r="FD180" s="263">
        <f t="shared" si="785"/>
        <v>36.732356590554872</v>
      </c>
      <c r="FE180" s="263">
        <f t="shared" si="785"/>
        <v>36.732356590554872</v>
      </c>
      <c r="FF180" s="263">
        <f t="shared" si="785"/>
        <v>36.732356590554872</v>
      </c>
      <c r="FG180" s="263">
        <f t="shared" si="785"/>
        <v>36.732356590554872</v>
      </c>
      <c r="FH180" s="263">
        <f t="shared" si="785"/>
        <v>40.545511976636853</v>
      </c>
      <c r="FI180" s="263">
        <f t="shared" si="785"/>
        <v>40.545511976636853</v>
      </c>
      <c r="FJ180" s="263">
        <f t="shared" si="785"/>
        <v>40.545511976636853</v>
      </c>
      <c r="FK180" s="263">
        <f t="shared" si="785"/>
        <v>76.29384372115544</v>
      </c>
      <c r="FL180" s="263">
        <f t="shared" si="785"/>
        <v>40.545511976636853</v>
      </c>
      <c r="FM180" s="263">
        <f t="shared" si="785"/>
        <v>40.119936598725921</v>
      </c>
      <c r="FN180" s="282">
        <f t="shared" si="749"/>
        <v>497.02380952380958</v>
      </c>
      <c r="FO180" s="266"/>
      <c r="FP180" s="263">
        <f t="shared" si="786"/>
        <v>360.5225876496134</v>
      </c>
      <c r="FQ180" s="263">
        <f t="shared" si="786"/>
        <v>376.25185361720156</v>
      </c>
      <c r="FR180" s="263">
        <f t="shared" si="786"/>
        <v>376.25185361720156</v>
      </c>
      <c r="FS180" s="263">
        <f t="shared" si="786"/>
        <v>376.25185361720156</v>
      </c>
      <c r="FT180" s="263">
        <f t="shared" si="786"/>
        <v>376.25185361720156</v>
      </c>
      <c r="FU180" s="263">
        <f t="shared" si="786"/>
        <v>376.25185361720156</v>
      </c>
      <c r="FV180" s="263">
        <f t="shared" si="786"/>
        <v>423.272825971825</v>
      </c>
      <c r="FW180" s="263">
        <f t="shared" si="786"/>
        <v>423.272825971825</v>
      </c>
      <c r="FX180" s="263">
        <f t="shared" si="786"/>
        <v>423.272825971825</v>
      </c>
      <c r="FY180" s="263">
        <f t="shared" si="786"/>
        <v>709.25947992797376</v>
      </c>
      <c r="FZ180" s="263">
        <f t="shared" si="786"/>
        <v>423.272825971825</v>
      </c>
      <c r="GA180" s="263">
        <f t="shared" si="786"/>
        <v>420.29379832644844</v>
      </c>
      <c r="GB180" s="282">
        <f t="shared" si="751"/>
        <v>5064.4264378773441</v>
      </c>
      <c r="GC180" s="266"/>
      <c r="GD180" s="263">
        <f t="shared" si="787"/>
        <v>4.7971802321182677</v>
      </c>
      <c r="GE180" s="263">
        <f t="shared" si="787"/>
        <v>4.7971802321182677</v>
      </c>
      <c r="GF180" s="263">
        <f t="shared" si="787"/>
        <v>4.7971802321182677</v>
      </c>
      <c r="GG180" s="263">
        <f t="shared" si="787"/>
        <v>4.7971802321182677</v>
      </c>
      <c r="GH180" s="263">
        <f t="shared" si="787"/>
        <v>4.7971802321182677</v>
      </c>
      <c r="GI180" s="263">
        <f t="shared" si="787"/>
        <v>4.7971802321182677</v>
      </c>
      <c r="GJ180" s="263">
        <f t="shared" si="787"/>
        <v>4.7971802321182677</v>
      </c>
      <c r="GK180" s="263">
        <f t="shared" si="787"/>
        <v>4.7971802321182677</v>
      </c>
      <c r="GL180" s="263">
        <f t="shared" si="787"/>
        <v>4.7971802321182677</v>
      </c>
      <c r="GM180" s="263">
        <f t="shared" si="787"/>
        <v>4.7971802321182677</v>
      </c>
      <c r="GN180" s="263">
        <f t="shared" si="787"/>
        <v>4.7971802321182677</v>
      </c>
      <c r="GO180" s="263">
        <f t="shared" si="787"/>
        <v>4.371604854207332</v>
      </c>
      <c r="GP180" s="282">
        <f t="shared" si="753"/>
        <v>57.140587407508271</v>
      </c>
      <c r="GQ180" s="266"/>
      <c r="GR180" s="263">
        <f t="shared" si="788"/>
        <v>0</v>
      </c>
      <c r="GS180" s="263">
        <f t="shared" si="788"/>
        <v>0</v>
      </c>
      <c r="GT180" s="263">
        <f t="shared" si="788"/>
        <v>598.48665395614876</v>
      </c>
      <c r="GU180" s="263">
        <f t="shared" si="788"/>
        <v>598.48665395614876</v>
      </c>
      <c r="GV180" s="263">
        <f t="shared" si="788"/>
        <v>598.48665395614876</v>
      </c>
      <c r="GW180" s="263">
        <f t="shared" si="788"/>
        <v>598.48665395614876</v>
      </c>
      <c r="GX180" s="263">
        <f t="shared" si="788"/>
        <v>598.48665395614876</v>
      </c>
      <c r="GY180" s="263">
        <f t="shared" si="788"/>
        <v>598.48665395614876</v>
      </c>
      <c r="GZ180" s="263">
        <f t="shared" si="788"/>
        <v>598.48665395614876</v>
      </c>
      <c r="HA180" s="263">
        <f t="shared" si="788"/>
        <v>598.48665395614876</v>
      </c>
      <c r="HB180" s="263">
        <f t="shared" si="788"/>
        <v>598.48665395614876</v>
      </c>
      <c r="HC180" s="263">
        <f t="shared" si="788"/>
        <v>598.48665395614876</v>
      </c>
      <c r="HD180" s="282">
        <f t="shared" si="789"/>
        <v>0</v>
      </c>
      <c r="HE180" s="266"/>
      <c r="HF180" s="263">
        <f t="shared" si="790"/>
        <v>167.73495543752929</v>
      </c>
      <c r="HG180" s="263">
        <f t="shared" si="790"/>
        <v>175.5995884213234</v>
      </c>
      <c r="HH180" s="263">
        <f t="shared" si="790"/>
        <v>175.5995884213234</v>
      </c>
      <c r="HI180" s="263">
        <f t="shared" si="790"/>
        <v>175.5995884213234</v>
      </c>
      <c r="HJ180" s="263">
        <f t="shared" si="790"/>
        <v>175.5995884213234</v>
      </c>
      <c r="HK180" s="263">
        <f t="shared" si="790"/>
        <v>175.5995884213234</v>
      </c>
      <c r="HL180" s="263">
        <f t="shared" si="790"/>
        <v>196.61960748710032</v>
      </c>
      <c r="HM180" s="263">
        <f t="shared" si="790"/>
        <v>196.61960748710032</v>
      </c>
      <c r="HN180" s="263">
        <f t="shared" si="790"/>
        <v>196.61960748710032</v>
      </c>
      <c r="HO180" s="263">
        <f t="shared" si="790"/>
        <v>339.6129344651747</v>
      </c>
      <c r="HP180" s="263">
        <f t="shared" si="790"/>
        <v>196.61960748710032</v>
      </c>
      <c r="HQ180" s="263">
        <f t="shared" si="790"/>
        <v>194.9173059754566</v>
      </c>
      <c r="HR180" s="282">
        <f t="shared" si="756"/>
        <v>2366.7415679331793</v>
      </c>
      <c r="HS180" s="266"/>
      <c r="HT180" s="263">
        <f t="shared" si="791"/>
        <v>36.780021032880896</v>
      </c>
      <c r="HU180" s="263">
        <f t="shared" si="791"/>
        <v>38.746179278829416</v>
      </c>
      <c r="HV180" s="263">
        <f t="shared" si="791"/>
        <v>38.746179278829416</v>
      </c>
      <c r="HW180" s="263">
        <f t="shared" si="791"/>
        <v>38.746179278829416</v>
      </c>
      <c r="HX180" s="263">
        <f t="shared" si="791"/>
        <v>38.746179278829416</v>
      </c>
      <c r="HY180" s="263">
        <f t="shared" si="791"/>
        <v>38.746179278829416</v>
      </c>
      <c r="HZ180" s="263">
        <f t="shared" si="791"/>
        <v>42.964482424682615</v>
      </c>
      <c r="IA180" s="263">
        <f t="shared" si="791"/>
        <v>42.964482424682615</v>
      </c>
      <c r="IB180" s="263">
        <f t="shared" si="791"/>
        <v>42.964482424682615</v>
      </c>
      <c r="IC180" s="263">
        <f t="shared" si="791"/>
        <v>78.712814169201195</v>
      </c>
      <c r="ID180" s="263">
        <f t="shared" si="791"/>
        <v>42.964482424682615</v>
      </c>
      <c r="IE180" s="263">
        <f t="shared" si="791"/>
        <v>42.538907046771683</v>
      </c>
      <c r="IF180" s="282">
        <f t="shared" si="758"/>
        <v>523.62056834173131</v>
      </c>
      <c r="IG180" s="266"/>
      <c r="IH180" s="263">
        <f t="shared" si="792"/>
        <v>69.990221223538668</v>
      </c>
      <c r="II180" s="263">
        <f t="shared" si="792"/>
        <v>71.956379469487189</v>
      </c>
      <c r="IJ180" s="263">
        <f t="shared" si="792"/>
        <v>71.956379469487189</v>
      </c>
      <c r="IK180" s="263">
        <f t="shared" si="792"/>
        <v>71.956379469487189</v>
      </c>
      <c r="IL180" s="263">
        <f t="shared" si="792"/>
        <v>71.956379469487189</v>
      </c>
      <c r="IM180" s="263">
        <f t="shared" si="792"/>
        <v>71.956379469487189</v>
      </c>
      <c r="IN180" s="263">
        <f t="shared" si="792"/>
        <v>82.835788430402346</v>
      </c>
      <c r="IO180" s="263">
        <f t="shared" si="792"/>
        <v>82.835788430402346</v>
      </c>
      <c r="IP180" s="263">
        <f t="shared" si="792"/>
        <v>82.835788430402346</v>
      </c>
      <c r="IQ180" s="263">
        <f t="shared" si="792"/>
        <v>118.58412017492094</v>
      </c>
      <c r="IR180" s="263">
        <f t="shared" si="792"/>
        <v>82.835788430402346</v>
      </c>
      <c r="IS180" s="263">
        <f t="shared" si="792"/>
        <v>82.410213052491414</v>
      </c>
      <c r="IT180" s="282">
        <f t="shared" si="760"/>
        <v>962.10960551999619</v>
      </c>
      <c r="IU180" s="266"/>
      <c r="IV180" s="263">
        <f t="shared" si="793"/>
        <v>315.84908907954662</v>
      </c>
      <c r="IW180" s="263">
        <f t="shared" si="793"/>
        <v>329.61219680118631</v>
      </c>
      <c r="IX180" s="263">
        <f t="shared" si="793"/>
        <v>329.61219680118631</v>
      </c>
      <c r="IY180" s="263">
        <f t="shared" si="793"/>
        <v>329.61219680118631</v>
      </c>
      <c r="IZ180" s="263">
        <f t="shared" si="793"/>
        <v>329.61219680118631</v>
      </c>
      <c r="JA180" s="263">
        <f t="shared" si="793"/>
        <v>329.61219680118631</v>
      </c>
      <c r="JB180" s="263">
        <f t="shared" si="793"/>
        <v>370.84193941319774</v>
      </c>
      <c r="JC180" s="263">
        <f t="shared" si="793"/>
        <v>370.84193941319774</v>
      </c>
      <c r="JD180" s="263">
        <f t="shared" si="793"/>
        <v>370.84193941319774</v>
      </c>
      <c r="JE180" s="263">
        <f t="shared" si="793"/>
        <v>621.08026162482781</v>
      </c>
      <c r="JF180" s="263">
        <f t="shared" si="793"/>
        <v>370.84193941319774</v>
      </c>
      <c r="JG180" s="263">
        <f t="shared" si="793"/>
        <v>367.86291176782117</v>
      </c>
      <c r="JH180" s="282">
        <f t="shared" si="762"/>
        <v>4436.221004130919</v>
      </c>
      <c r="JI180" s="266"/>
      <c r="JJ180" s="263">
        <f t="shared" si="794"/>
        <v>398.95582716721896</v>
      </c>
      <c r="JK180" s="263">
        <f t="shared" si="794"/>
        <v>416.6512513807557</v>
      </c>
      <c r="JL180" s="263">
        <f t="shared" si="794"/>
        <v>416.6512513807557</v>
      </c>
      <c r="JM180" s="263">
        <f t="shared" si="794"/>
        <v>416.6512513807557</v>
      </c>
      <c r="JN180" s="263">
        <f t="shared" si="794"/>
        <v>416.6512513807557</v>
      </c>
      <c r="JO180" s="263">
        <f t="shared" si="794"/>
        <v>416.6512513807557</v>
      </c>
      <c r="JP180" s="263">
        <f t="shared" si="794"/>
        <v>465.50730476493106</v>
      </c>
      <c r="JQ180" s="263">
        <f t="shared" si="794"/>
        <v>465.50730476493106</v>
      </c>
      <c r="JR180" s="263">
        <f t="shared" si="794"/>
        <v>465.50730476493106</v>
      </c>
      <c r="JS180" s="263">
        <f t="shared" si="794"/>
        <v>930.23561744367271</v>
      </c>
      <c r="JT180" s="263">
        <f t="shared" si="794"/>
        <v>465.50730476493106</v>
      </c>
      <c r="JU180" s="263">
        <f t="shared" si="794"/>
        <v>460.82597560791078</v>
      </c>
      <c r="JV180" s="282">
        <f t="shared" si="764"/>
        <v>5735.3028961823047</v>
      </c>
      <c r="JW180" s="266"/>
      <c r="JX180" s="263">
        <f t="shared" si="795"/>
        <v>194.13604415391831</v>
      </c>
      <c r="JY180" s="263">
        <f t="shared" si="795"/>
        <v>202.00067713771242</v>
      </c>
      <c r="JZ180" s="263">
        <f t="shared" si="795"/>
        <v>202.00067713771242</v>
      </c>
      <c r="KA180" s="263">
        <f t="shared" si="795"/>
        <v>202.00067713771242</v>
      </c>
      <c r="KB180" s="263">
        <f t="shared" si="795"/>
        <v>202.00067713771242</v>
      </c>
      <c r="KC180" s="263">
        <f t="shared" si="795"/>
        <v>202.00067713771242</v>
      </c>
      <c r="KD180" s="263">
        <f t="shared" si="795"/>
        <v>227.11983824352748</v>
      </c>
      <c r="KE180" s="263">
        <f t="shared" si="795"/>
        <v>227.11983824352748</v>
      </c>
      <c r="KF180" s="263">
        <f t="shared" si="795"/>
        <v>227.11983824352748</v>
      </c>
      <c r="KG180" s="263">
        <f t="shared" si="795"/>
        <v>405.8614969661204</v>
      </c>
      <c r="KH180" s="263">
        <f t="shared" si="795"/>
        <v>227.11983824352748</v>
      </c>
      <c r="KI180" s="263">
        <f t="shared" si="795"/>
        <v>224.99196135397278</v>
      </c>
      <c r="KJ180" s="282">
        <f t="shared" si="766"/>
        <v>2743.4722411366834</v>
      </c>
      <c r="KK180" s="266"/>
      <c r="KL180" s="263">
        <f t="shared" si="796"/>
        <v>330.29264454431279</v>
      </c>
      <c r="KM180" s="263">
        <f t="shared" si="796"/>
        <v>336.19111928215835</v>
      </c>
      <c r="KN180" s="263">
        <f t="shared" si="796"/>
        <v>336.19111928215835</v>
      </c>
      <c r="KO180" s="263">
        <f t="shared" si="796"/>
        <v>336.19111928215835</v>
      </c>
      <c r="KP180" s="263">
        <f t="shared" si="796"/>
        <v>336.19111928215835</v>
      </c>
      <c r="KQ180" s="263">
        <f t="shared" si="796"/>
        <v>336.19111928215835</v>
      </c>
      <c r="KR180" s="263">
        <f t="shared" si="796"/>
        <v>346.33172938702012</v>
      </c>
      <c r="KS180" s="263">
        <f t="shared" si="796"/>
        <v>346.33172938702012</v>
      </c>
      <c r="KT180" s="263">
        <f t="shared" si="796"/>
        <v>346.33172938702012</v>
      </c>
      <c r="KU180" s="263">
        <f t="shared" si="796"/>
        <v>417.78072843373127</v>
      </c>
      <c r="KV180" s="263">
        <f t="shared" si="796"/>
        <v>346.33172938702012</v>
      </c>
      <c r="KW180" s="263">
        <f t="shared" si="796"/>
        <v>345.48057863119828</v>
      </c>
      <c r="KX180" s="282">
        <f t="shared" si="768"/>
        <v>4159.8364655681144</v>
      </c>
      <c r="KY180" s="266"/>
      <c r="KZ180" s="263">
        <f t="shared" si="797"/>
        <v>124.94732322544525</v>
      </c>
      <c r="LA180" s="263">
        <f t="shared" si="797"/>
        <v>124.94732322544525</v>
      </c>
      <c r="LB180" s="263">
        <f t="shared" si="797"/>
        <v>124.94732322544525</v>
      </c>
      <c r="LC180" s="263">
        <f t="shared" si="797"/>
        <v>124.94732322544525</v>
      </c>
      <c r="LD180" s="263">
        <f t="shared" si="797"/>
        <v>124.94732322544525</v>
      </c>
      <c r="LE180" s="263">
        <f t="shared" si="797"/>
        <v>124.94732322544525</v>
      </c>
      <c r="LF180" s="263">
        <f t="shared" si="797"/>
        <v>124.94732322544525</v>
      </c>
      <c r="LG180" s="263">
        <f t="shared" si="797"/>
        <v>124.94732322544525</v>
      </c>
      <c r="LH180" s="263">
        <f t="shared" si="797"/>
        <v>124.94732322544525</v>
      </c>
      <c r="LI180" s="263">
        <f t="shared" si="797"/>
        <v>160.74331941228988</v>
      </c>
      <c r="LJ180" s="263">
        <f t="shared" si="797"/>
        <v>124.94732322544525</v>
      </c>
      <c r="LK180" s="263">
        <f t="shared" si="797"/>
        <v>124.52174784753431</v>
      </c>
      <c r="LL180" s="282">
        <f t="shared" si="770"/>
        <v>1534.7382995142762</v>
      </c>
      <c r="LM180" s="266"/>
      <c r="LN180" s="263">
        <v>0</v>
      </c>
      <c r="LO180" s="264">
        <v>0</v>
      </c>
      <c r="LP180" s="265">
        <v>0</v>
      </c>
      <c r="LQ180" s="265">
        <v>0</v>
      </c>
      <c r="LR180" s="265">
        <v>0</v>
      </c>
      <c r="LS180" s="265">
        <v>0</v>
      </c>
      <c r="LT180" s="265">
        <v>0</v>
      </c>
      <c r="LU180" s="265">
        <v>0</v>
      </c>
      <c r="LV180" s="265">
        <v>0</v>
      </c>
      <c r="LW180" s="265">
        <v>0</v>
      </c>
      <c r="LX180" s="265">
        <v>0</v>
      </c>
      <c r="LY180" s="265">
        <v>0</v>
      </c>
      <c r="LZ180" s="282">
        <f t="shared" si="771"/>
        <v>0</v>
      </c>
      <c r="MA180" s="266"/>
      <c r="MB180" s="282">
        <f t="shared" si="772"/>
        <v>7800.3934207938</v>
      </c>
      <c r="MC180" s="282">
        <f t="shared" si="772"/>
        <v>8109.0802654077188</v>
      </c>
      <c r="MD180" s="282">
        <f t="shared" si="772"/>
        <v>8707.5669193638696</v>
      </c>
      <c r="ME180" s="282">
        <f t="shared" si="772"/>
        <v>8707.5669193638696</v>
      </c>
      <c r="MF180" s="282">
        <f t="shared" si="772"/>
        <v>8707.5669193638696</v>
      </c>
      <c r="MG180" s="282">
        <f t="shared" si="772"/>
        <v>8707.5669193638696</v>
      </c>
      <c r="MH180" s="282">
        <f t="shared" si="772"/>
        <v>9444.4949460559546</v>
      </c>
      <c r="MI180" s="282">
        <f t="shared" si="772"/>
        <v>9444.4949460559546</v>
      </c>
      <c r="MJ180" s="282">
        <f t="shared" si="772"/>
        <v>9444.4949460559546</v>
      </c>
      <c r="MK180" s="282">
        <f t="shared" si="772"/>
        <v>15450.214679135077</v>
      </c>
      <c r="ML180" s="282">
        <f t="shared" si="772"/>
        <v>9444.4949460559546</v>
      </c>
      <c r="MM180" s="282">
        <f t="shared" si="772"/>
        <v>9374.7005840785678</v>
      </c>
      <c r="MN180" s="282">
        <f t="shared" si="773"/>
        <v>113342.63641109447</v>
      </c>
    </row>
    <row r="181" spans="1:352" x14ac:dyDescent="0.25">
      <c r="A181" s="262"/>
      <c r="B181" s="64" t="s">
        <v>56</v>
      </c>
      <c r="C181" s="98"/>
      <c r="D181" s="263">
        <f t="shared" si="774"/>
        <v>0</v>
      </c>
      <c r="E181" s="263">
        <f t="shared" si="726"/>
        <v>0</v>
      </c>
      <c r="F181" s="263">
        <f t="shared" si="726"/>
        <v>0</v>
      </c>
      <c r="G181" s="263">
        <f t="shared" si="726"/>
        <v>0</v>
      </c>
      <c r="H181" s="263">
        <f t="shared" si="726"/>
        <v>0</v>
      </c>
      <c r="I181" s="263">
        <f t="shared" si="726"/>
        <v>0</v>
      </c>
      <c r="J181" s="263">
        <f t="shared" si="726"/>
        <v>0</v>
      </c>
      <c r="K181" s="263">
        <f t="shared" si="726"/>
        <v>0</v>
      </c>
      <c r="L181" s="263">
        <f t="shared" si="726"/>
        <v>0</v>
      </c>
      <c r="M181" s="263">
        <f t="shared" si="726"/>
        <v>0</v>
      </c>
      <c r="N181" s="263">
        <f t="shared" si="726"/>
        <v>0</v>
      </c>
      <c r="O181" s="263">
        <f t="shared" si="726"/>
        <v>0</v>
      </c>
      <c r="P181" s="230">
        <f t="shared" si="727"/>
        <v>0</v>
      </c>
      <c r="Q181" s="266"/>
      <c r="R181" s="263">
        <f t="shared" si="775"/>
        <v>0</v>
      </c>
      <c r="S181" s="263">
        <f t="shared" si="775"/>
        <v>0</v>
      </c>
      <c r="T181" s="263">
        <f t="shared" si="775"/>
        <v>0</v>
      </c>
      <c r="U181" s="263">
        <f t="shared" si="775"/>
        <v>0</v>
      </c>
      <c r="V181" s="263">
        <f t="shared" si="775"/>
        <v>0</v>
      </c>
      <c r="W181" s="263">
        <f t="shared" si="775"/>
        <v>0</v>
      </c>
      <c r="X181" s="263">
        <f t="shared" si="775"/>
        <v>0</v>
      </c>
      <c r="Y181" s="263">
        <f t="shared" si="775"/>
        <v>0</v>
      </c>
      <c r="Z181" s="263">
        <f t="shared" si="775"/>
        <v>0</v>
      </c>
      <c r="AA181" s="263">
        <f t="shared" si="775"/>
        <v>0</v>
      </c>
      <c r="AB181" s="263">
        <f t="shared" si="775"/>
        <v>0</v>
      </c>
      <c r="AC181" s="263">
        <f t="shared" si="775"/>
        <v>0</v>
      </c>
      <c r="AD181" s="230">
        <f t="shared" si="729"/>
        <v>0</v>
      </c>
      <c r="AE181" s="266"/>
      <c r="AF181" s="263">
        <f t="shared" si="776"/>
        <v>0</v>
      </c>
      <c r="AG181" s="263">
        <f t="shared" si="776"/>
        <v>0</v>
      </c>
      <c r="AH181" s="263">
        <f t="shared" si="776"/>
        <v>0</v>
      </c>
      <c r="AI181" s="263">
        <f t="shared" si="776"/>
        <v>0</v>
      </c>
      <c r="AJ181" s="263">
        <f t="shared" si="776"/>
        <v>0</v>
      </c>
      <c r="AK181" s="263">
        <f t="shared" si="776"/>
        <v>0</v>
      </c>
      <c r="AL181" s="263">
        <f t="shared" si="776"/>
        <v>0</v>
      </c>
      <c r="AM181" s="263">
        <f t="shared" si="776"/>
        <v>0</v>
      </c>
      <c r="AN181" s="263">
        <f t="shared" si="776"/>
        <v>0</v>
      </c>
      <c r="AO181" s="263">
        <f t="shared" si="776"/>
        <v>0</v>
      </c>
      <c r="AP181" s="263">
        <f t="shared" si="776"/>
        <v>0</v>
      </c>
      <c r="AQ181" s="263">
        <f t="shared" si="776"/>
        <v>0</v>
      </c>
      <c r="AR181" s="230">
        <f t="shared" si="731"/>
        <v>0</v>
      </c>
      <c r="AS181" s="266"/>
      <c r="AT181" s="263">
        <f t="shared" si="777"/>
        <v>0</v>
      </c>
      <c r="AU181" s="263">
        <f t="shared" si="777"/>
        <v>0</v>
      </c>
      <c r="AV181" s="263">
        <f t="shared" si="777"/>
        <v>0</v>
      </c>
      <c r="AW181" s="263">
        <f t="shared" si="777"/>
        <v>0</v>
      </c>
      <c r="AX181" s="263">
        <f t="shared" si="777"/>
        <v>0</v>
      </c>
      <c r="AY181" s="263">
        <f t="shared" si="777"/>
        <v>0</v>
      </c>
      <c r="AZ181" s="263">
        <f t="shared" si="777"/>
        <v>0</v>
      </c>
      <c r="BA181" s="263">
        <f t="shared" si="777"/>
        <v>0</v>
      </c>
      <c r="BB181" s="263">
        <f t="shared" si="777"/>
        <v>0</v>
      </c>
      <c r="BC181" s="263">
        <f t="shared" si="777"/>
        <v>0</v>
      </c>
      <c r="BD181" s="263">
        <f t="shared" si="777"/>
        <v>0</v>
      </c>
      <c r="BE181" s="263">
        <f t="shared" si="777"/>
        <v>0</v>
      </c>
      <c r="BF181" s="230">
        <f t="shared" si="733"/>
        <v>0</v>
      </c>
      <c r="BG181" s="224"/>
      <c r="BH181" s="263">
        <f t="shared" si="778"/>
        <v>0</v>
      </c>
      <c r="BI181" s="263">
        <f t="shared" si="778"/>
        <v>0</v>
      </c>
      <c r="BJ181" s="263">
        <f t="shared" si="778"/>
        <v>0</v>
      </c>
      <c r="BK181" s="263">
        <f t="shared" si="778"/>
        <v>0</v>
      </c>
      <c r="BL181" s="263">
        <f t="shared" si="778"/>
        <v>0</v>
      </c>
      <c r="BM181" s="263">
        <f t="shared" si="778"/>
        <v>0</v>
      </c>
      <c r="BN181" s="263">
        <f t="shared" si="778"/>
        <v>0</v>
      </c>
      <c r="BO181" s="263">
        <f t="shared" si="778"/>
        <v>0</v>
      </c>
      <c r="BP181" s="263">
        <f t="shared" si="778"/>
        <v>0</v>
      </c>
      <c r="BQ181" s="263">
        <f t="shared" si="778"/>
        <v>0</v>
      </c>
      <c r="BR181" s="263">
        <f t="shared" si="778"/>
        <v>0</v>
      </c>
      <c r="BS181" s="263">
        <f t="shared" si="778"/>
        <v>0</v>
      </c>
      <c r="BT181" s="230">
        <f t="shared" si="735"/>
        <v>0</v>
      </c>
      <c r="BU181" s="266"/>
      <c r="BV181" s="263">
        <f t="shared" si="779"/>
        <v>0</v>
      </c>
      <c r="BW181" s="263">
        <f t="shared" si="779"/>
        <v>0</v>
      </c>
      <c r="BX181" s="263">
        <f t="shared" si="779"/>
        <v>0</v>
      </c>
      <c r="BY181" s="263">
        <f t="shared" si="779"/>
        <v>0</v>
      </c>
      <c r="BZ181" s="263">
        <f t="shared" si="779"/>
        <v>0</v>
      </c>
      <c r="CA181" s="263">
        <f t="shared" si="779"/>
        <v>0</v>
      </c>
      <c r="CB181" s="263">
        <f t="shared" si="779"/>
        <v>0</v>
      </c>
      <c r="CC181" s="263">
        <f t="shared" si="779"/>
        <v>0</v>
      </c>
      <c r="CD181" s="263">
        <f t="shared" si="779"/>
        <v>0</v>
      </c>
      <c r="CE181" s="263">
        <f t="shared" si="779"/>
        <v>0</v>
      </c>
      <c r="CF181" s="263">
        <f t="shared" si="779"/>
        <v>0</v>
      </c>
      <c r="CG181" s="263">
        <f t="shared" si="779"/>
        <v>0</v>
      </c>
      <c r="CH181" s="230">
        <f t="shared" si="737"/>
        <v>0</v>
      </c>
      <c r="CI181" s="266"/>
      <c r="CJ181" s="263">
        <f t="shared" si="780"/>
        <v>0</v>
      </c>
      <c r="CK181" s="263">
        <f t="shared" si="780"/>
        <v>0</v>
      </c>
      <c r="CL181" s="263">
        <f t="shared" si="780"/>
        <v>0</v>
      </c>
      <c r="CM181" s="263">
        <f t="shared" si="780"/>
        <v>0</v>
      </c>
      <c r="CN181" s="263">
        <f t="shared" si="780"/>
        <v>0</v>
      </c>
      <c r="CO181" s="263">
        <f t="shared" si="780"/>
        <v>0</v>
      </c>
      <c r="CP181" s="263">
        <f t="shared" si="780"/>
        <v>0</v>
      </c>
      <c r="CQ181" s="263">
        <f t="shared" si="780"/>
        <v>0</v>
      </c>
      <c r="CR181" s="263">
        <f t="shared" si="780"/>
        <v>0</v>
      </c>
      <c r="CS181" s="263">
        <f t="shared" si="780"/>
        <v>0</v>
      </c>
      <c r="CT181" s="263">
        <f t="shared" si="780"/>
        <v>0</v>
      </c>
      <c r="CU181" s="263">
        <f t="shared" si="780"/>
        <v>0</v>
      </c>
      <c r="CV181" s="230">
        <f t="shared" si="739"/>
        <v>0</v>
      </c>
      <c r="CW181" s="266"/>
      <c r="CX181" s="263">
        <f t="shared" si="781"/>
        <v>0</v>
      </c>
      <c r="CY181" s="263">
        <f t="shared" si="781"/>
        <v>0</v>
      </c>
      <c r="CZ181" s="263">
        <f t="shared" si="781"/>
        <v>0</v>
      </c>
      <c r="DA181" s="263">
        <f t="shared" si="781"/>
        <v>0</v>
      </c>
      <c r="DB181" s="263">
        <f t="shared" si="781"/>
        <v>0</v>
      </c>
      <c r="DC181" s="263">
        <f t="shared" si="781"/>
        <v>0</v>
      </c>
      <c r="DD181" s="263">
        <f t="shared" si="781"/>
        <v>0</v>
      </c>
      <c r="DE181" s="263">
        <f t="shared" si="781"/>
        <v>0</v>
      </c>
      <c r="DF181" s="263">
        <f t="shared" si="781"/>
        <v>0</v>
      </c>
      <c r="DG181" s="263">
        <f t="shared" si="781"/>
        <v>0</v>
      </c>
      <c r="DH181" s="263">
        <f t="shared" si="781"/>
        <v>0</v>
      </c>
      <c r="DI181" s="263">
        <f t="shared" si="781"/>
        <v>0</v>
      </c>
      <c r="DJ181" s="230">
        <f t="shared" si="741"/>
        <v>0</v>
      </c>
      <c r="DK181" s="266"/>
      <c r="DL181" s="263">
        <f t="shared" si="782"/>
        <v>0</v>
      </c>
      <c r="DM181" s="263">
        <f t="shared" si="782"/>
        <v>0</v>
      </c>
      <c r="DN181" s="263">
        <f t="shared" si="782"/>
        <v>0</v>
      </c>
      <c r="DO181" s="263">
        <f t="shared" si="782"/>
        <v>0</v>
      </c>
      <c r="DP181" s="263">
        <f t="shared" si="782"/>
        <v>0</v>
      </c>
      <c r="DQ181" s="263">
        <f t="shared" si="782"/>
        <v>0</v>
      </c>
      <c r="DR181" s="263">
        <f t="shared" si="782"/>
        <v>0</v>
      </c>
      <c r="DS181" s="263">
        <f t="shared" si="782"/>
        <v>0</v>
      </c>
      <c r="DT181" s="263">
        <f t="shared" si="782"/>
        <v>0</v>
      </c>
      <c r="DU181" s="263">
        <f t="shared" si="782"/>
        <v>0</v>
      </c>
      <c r="DV181" s="263">
        <f t="shared" si="782"/>
        <v>0</v>
      </c>
      <c r="DW181" s="263">
        <f t="shared" si="782"/>
        <v>0</v>
      </c>
      <c r="DX181" s="230">
        <f t="shared" si="743"/>
        <v>0</v>
      </c>
      <c r="DY181" s="266"/>
      <c r="DZ181" s="263">
        <f t="shared" si="783"/>
        <v>0</v>
      </c>
      <c r="EA181" s="263">
        <f t="shared" si="783"/>
        <v>0</v>
      </c>
      <c r="EB181" s="263">
        <f t="shared" si="783"/>
        <v>0</v>
      </c>
      <c r="EC181" s="263">
        <f t="shared" si="783"/>
        <v>0</v>
      </c>
      <c r="ED181" s="263">
        <f t="shared" si="783"/>
        <v>0</v>
      </c>
      <c r="EE181" s="263">
        <f t="shared" si="783"/>
        <v>0</v>
      </c>
      <c r="EF181" s="263">
        <f t="shared" si="783"/>
        <v>0</v>
      </c>
      <c r="EG181" s="263">
        <f t="shared" si="783"/>
        <v>0</v>
      </c>
      <c r="EH181" s="263">
        <f t="shared" si="783"/>
        <v>0</v>
      </c>
      <c r="EI181" s="263">
        <f t="shared" si="783"/>
        <v>0</v>
      </c>
      <c r="EJ181" s="263">
        <f t="shared" si="783"/>
        <v>0</v>
      </c>
      <c r="EK181" s="263">
        <f t="shared" si="783"/>
        <v>0</v>
      </c>
      <c r="EL181" s="230">
        <f t="shared" si="745"/>
        <v>0</v>
      </c>
      <c r="EM181" s="266"/>
      <c r="EN181" s="263">
        <f t="shared" si="784"/>
        <v>0</v>
      </c>
      <c r="EO181" s="263">
        <f t="shared" si="784"/>
        <v>0</v>
      </c>
      <c r="EP181" s="263">
        <f t="shared" si="784"/>
        <v>0</v>
      </c>
      <c r="EQ181" s="263">
        <f t="shared" si="784"/>
        <v>0</v>
      </c>
      <c r="ER181" s="263">
        <f t="shared" si="784"/>
        <v>0</v>
      </c>
      <c r="ES181" s="263">
        <f t="shared" si="784"/>
        <v>0</v>
      </c>
      <c r="ET181" s="263">
        <f t="shared" si="784"/>
        <v>0</v>
      </c>
      <c r="EU181" s="263">
        <f t="shared" si="784"/>
        <v>0</v>
      </c>
      <c r="EV181" s="263">
        <f t="shared" si="784"/>
        <v>0</v>
      </c>
      <c r="EW181" s="263">
        <f t="shared" si="784"/>
        <v>0</v>
      </c>
      <c r="EX181" s="263">
        <f t="shared" si="784"/>
        <v>0</v>
      </c>
      <c r="EY181" s="263">
        <f t="shared" si="784"/>
        <v>0</v>
      </c>
      <c r="EZ181" s="230">
        <f t="shared" si="747"/>
        <v>0</v>
      </c>
      <c r="FA181" s="266"/>
      <c r="FB181" s="263">
        <f t="shared" si="785"/>
        <v>0</v>
      </c>
      <c r="FC181" s="263">
        <f t="shared" si="785"/>
        <v>0</v>
      </c>
      <c r="FD181" s="263">
        <f t="shared" si="785"/>
        <v>0</v>
      </c>
      <c r="FE181" s="263">
        <f t="shared" si="785"/>
        <v>0</v>
      </c>
      <c r="FF181" s="263">
        <f t="shared" si="785"/>
        <v>0</v>
      </c>
      <c r="FG181" s="263">
        <f t="shared" si="785"/>
        <v>0</v>
      </c>
      <c r="FH181" s="263">
        <f t="shared" si="785"/>
        <v>0</v>
      </c>
      <c r="FI181" s="263">
        <f t="shared" si="785"/>
        <v>0</v>
      </c>
      <c r="FJ181" s="263">
        <f t="shared" si="785"/>
        <v>0</v>
      </c>
      <c r="FK181" s="263">
        <f t="shared" si="785"/>
        <v>0</v>
      </c>
      <c r="FL181" s="263">
        <f t="shared" si="785"/>
        <v>0</v>
      </c>
      <c r="FM181" s="263">
        <f t="shared" si="785"/>
        <v>0</v>
      </c>
      <c r="FN181" s="230">
        <f t="shared" si="749"/>
        <v>0</v>
      </c>
      <c r="FO181" s="266"/>
      <c r="FP181" s="263">
        <f t="shared" si="786"/>
        <v>0</v>
      </c>
      <c r="FQ181" s="263">
        <f t="shared" si="786"/>
        <v>0</v>
      </c>
      <c r="FR181" s="263">
        <f t="shared" si="786"/>
        <v>0</v>
      </c>
      <c r="FS181" s="263">
        <f t="shared" si="786"/>
        <v>0</v>
      </c>
      <c r="FT181" s="263">
        <f t="shared" si="786"/>
        <v>0</v>
      </c>
      <c r="FU181" s="263">
        <f t="shared" si="786"/>
        <v>0</v>
      </c>
      <c r="FV181" s="263">
        <f t="shared" si="786"/>
        <v>0</v>
      </c>
      <c r="FW181" s="263">
        <f t="shared" si="786"/>
        <v>0</v>
      </c>
      <c r="FX181" s="263">
        <f t="shared" si="786"/>
        <v>0</v>
      </c>
      <c r="FY181" s="263">
        <f t="shared" si="786"/>
        <v>0</v>
      </c>
      <c r="FZ181" s="263">
        <f t="shared" si="786"/>
        <v>0</v>
      </c>
      <c r="GA181" s="263">
        <f t="shared" si="786"/>
        <v>0</v>
      </c>
      <c r="GB181" s="230">
        <f t="shared" si="751"/>
        <v>0</v>
      </c>
      <c r="GC181" s="266"/>
      <c r="GD181" s="263">
        <f t="shared" si="787"/>
        <v>0</v>
      </c>
      <c r="GE181" s="263">
        <f t="shared" si="787"/>
        <v>0</v>
      </c>
      <c r="GF181" s="263">
        <f t="shared" si="787"/>
        <v>0</v>
      </c>
      <c r="GG181" s="263">
        <f t="shared" si="787"/>
        <v>0</v>
      </c>
      <c r="GH181" s="263">
        <f t="shared" si="787"/>
        <v>0</v>
      </c>
      <c r="GI181" s="263">
        <f t="shared" si="787"/>
        <v>0</v>
      </c>
      <c r="GJ181" s="263">
        <f t="shared" si="787"/>
        <v>0</v>
      </c>
      <c r="GK181" s="263">
        <f t="shared" si="787"/>
        <v>0</v>
      </c>
      <c r="GL181" s="263">
        <f t="shared" si="787"/>
        <v>0</v>
      </c>
      <c r="GM181" s="263">
        <f t="shared" si="787"/>
        <v>0</v>
      </c>
      <c r="GN181" s="263">
        <f t="shared" si="787"/>
        <v>0</v>
      </c>
      <c r="GO181" s="263">
        <f t="shared" si="787"/>
        <v>0</v>
      </c>
      <c r="GP181" s="230">
        <f t="shared" si="753"/>
        <v>0</v>
      </c>
      <c r="GQ181" s="266"/>
      <c r="GR181" s="263">
        <f t="shared" si="788"/>
        <v>0</v>
      </c>
      <c r="GS181" s="263">
        <f t="shared" si="788"/>
        <v>0</v>
      </c>
      <c r="GT181" s="263">
        <f t="shared" si="788"/>
        <v>0</v>
      </c>
      <c r="GU181" s="263">
        <f t="shared" si="788"/>
        <v>0</v>
      </c>
      <c r="GV181" s="263">
        <f t="shared" si="788"/>
        <v>0</v>
      </c>
      <c r="GW181" s="263">
        <f t="shared" si="788"/>
        <v>0</v>
      </c>
      <c r="GX181" s="263">
        <f t="shared" si="788"/>
        <v>0</v>
      </c>
      <c r="GY181" s="263">
        <f t="shared" si="788"/>
        <v>0</v>
      </c>
      <c r="GZ181" s="263">
        <f t="shared" si="788"/>
        <v>0</v>
      </c>
      <c r="HA181" s="263">
        <f t="shared" si="788"/>
        <v>0</v>
      </c>
      <c r="HB181" s="263">
        <f t="shared" si="788"/>
        <v>0</v>
      </c>
      <c r="HC181" s="263">
        <f t="shared" si="788"/>
        <v>0</v>
      </c>
      <c r="HD181" s="230">
        <f t="shared" si="789"/>
        <v>0</v>
      </c>
      <c r="HE181" s="266"/>
      <c r="HF181" s="263">
        <f t="shared" si="790"/>
        <v>0</v>
      </c>
      <c r="HG181" s="263">
        <f t="shared" si="790"/>
        <v>0</v>
      </c>
      <c r="HH181" s="263">
        <f t="shared" si="790"/>
        <v>0</v>
      </c>
      <c r="HI181" s="263">
        <f t="shared" si="790"/>
        <v>0</v>
      </c>
      <c r="HJ181" s="263">
        <f t="shared" si="790"/>
        <v>0</v>
      </c>
      <c r="HK181" s="263">
        <f t="shared" si="790"/>
        <v>0</v>
      </c>
      <c r="HL181" s="263">
        <f t="shared" si="790"/>
        <v>0</v>
      </c>
      <c r="HM181" s="263">
        <f t="shared" si="790"/>
        <v>0</v>
      </c>
      <c r="HN181" s="263">
        <f t="shared" si="790"/>
        <v>0</v>
      </c>
      <c r="HO181" s="263">
        <f t="shared" si="790"/>
        <v>0</v>
      </c>
      <c r="HP181" s="263">
        <f t="shared" si="790"/>
        <v>0</v>
      </c>
      <c r="HQ181" s="263">
        <f t="shared" si="790"/>
        <v>0</v>
      </c>
      <c r="HR181" s="230">
        <f t="shared" si="756"/>
        <v>0</v>
      </c>
      <c r="HS181" s="266"/>
      <c r="HT181" s="263">
        <f t="shared" si="791"/>
        <v>0</v>
      </c>
      <c r="HU181" s="263">
        <f t="shared" si="791"/>
        <v>0</v>
      </c>
      <c r="HV181" s="263">
        <f t="shared" si="791"/>
        <v>0</v>
      </c>
      <c r="HW181" s="263">
        <f t="shared" si="791"/>
        <v>0</v>
      </c>
      <c r="HX181" s="263">
        <f t="shared" si="791"/>
        <v>0</v>
      </c>
      <c r="HY181" s="263">
        <f t="shared" si="791"/>
        <v>0</v>
      </c>
      <c r="HZ181" s="263">
        <f t="shared" si="791"/>
        <v>0</v>
      </c>
      <c r="IA181" s="263">
        <f t="shared" si="791"/>
        <v>0</v>
      </c>
      <c r="IB181" s="263">
        <f t="shared" si="791"/>
        <v>0</v>
      </c>
      <c r="IC181" s="263">
        <f t="shared" si="791"/>
        <v>0</v>
      </c>
      <c r="ID181" s="263">
        <f t="shared" si="791"/>
        <v>0</v>
      </c>
      <c r="IE181" s="263">
        <f t="shared" si="791"/>
        <v>0</v>
      </c>
      <c r="IF181" s="230">
        <f t="shared" si="758"/>
        <v>0</v>
      </c>
      <c r="IG181" s="266"/>
      <c r="IH181" s="263">
        <f t="shared" si="792"/>
        <v>0</v>
      </c>
      <c r="II181" s="263">
        <f t="shared" si="792"/>
        <v>0</v>
      </c>
      <c r="IJ181" s="263">
        <f t="shared" si="792"/>
        <v>0</v>
      </c>
      <c r="IK181" s="263">
        <f t="shared" si="792"/>
        <v>0</v>
      </c>
      <c r="IL181" s="263">
        <f t="shared" si="792"/>
        <v>0</v>
      </c>
      <c r="IM181" s="263">
        <f t="shared" si="792"/>
        <v>0</v>
      </c>
      <c r="IN181" s="263">
        <f t="shared" si="792"/>
        <v>0</v>
      </c>
      <c r="IO181" s="263">
        <f t="shared" si="792"/>
        <v>0</v>
      </c>
      <c r="IP181" s="263">
        <f t="shared" si="792"/>
        <v>0</v>
      </c>
      <c r="IQ181" s="263">
        <f t="shared" si="792"/>
        <v>0</v>
      </c>
      <c r="IR181" s="263">
        <f t="shared" si="792"/>
        <v>0</v>
      </c>
      <c r="IS181" s="263">
        <f t="shared" si="792"/>
        <v>0</v>
      </c>
      <c r="IT181" s="230">
        <f t="shared" si="760"/>
        <v>0</v>
      </c>
      <c r="IU181" s="266"/>
      <c r="IV181" s="263">
        <f t="shared" si="793"/>
        <v>0</v>
      </c>
      <c r="IW181" s="263">
        <f t="shared" si="793"/>
        <v>0</v>
      </c>
      <c r="IX181" s="263">
        <f t="shared" si="793"/>
        <v>0</v>
      </c>
      <c r="IY181" s="263">
        <f t="shared" si="793"/>
        <v>0</v>
      </c>
      <c r="IZ181" s="263">
        <f t="shared" si="793"/>
        <v>0</v>
      </c>
      <c r="JA181" s="263">
        <f t="shared" si="793"/>
        <v>0</v>
      </c>
      <c r="JB181" s="263">
        <f t="shared" si="793"/>
        <v>0</v>
      </c>
      <c r="JC181" s="263">
        <f t="shared" si="793"/>
        <v>0</v>
      </c>
      <c r="JD181" s="263">
        <f t="shared" si="793"/>
        <v>0</v>
      </c>
      <c r="JE181" s="263">
        <f t="shared" si="793"/>
        <v>0</v>
      </c>
      <c r="JF181" s="263">
        <f t="shared" si="793"/>
        <v>0</v>
      </c>
      <c r="JG181" s="263">
        <f t="shared" si="793"/>
        <v>0</v>
      </c>
      <c r="JH181" s="230">
        <f t="shared" si="762"/>
        <v>0</v>
      </c>
      <c r="JI181" s="266"/>
      <c r="JJ181" s="263">
        <f t="shared" si="794"/>
        <v>0</v>
      </c>
      <c r="JK181" s="263">
        <f t="shared" si="794"/>
        <v>0</v>
      </c>
      <c r="JL181" s="263">
        <f t="shared" si="794"/>
        <v>0</v>
      </c>
      <c r="JM181" s="263">
        <f t="shared" si="794"/>
        <v>0</v>
      </c>
      <c r="JN181" s="263">
        <f t="shared" si="794"/>
        <v>0</v>
      </c>
      <c r="JO181" s="263">
        <f t="shared" si="794"/>
        <v>0</v>
      </c>
      <c r="JP181" s="263">
        <f t="shared" si="794"/>
        <v>0</v>
      </c>
      <c r="JQ181" s="263">
        <f t="shared" si="794"/>
        <v>0</v>
      </c>
      <c r="JR181" s="263">
        <f t="shared" si="794"/>
        <v>0</v>
      </c>
      <c r="JS181" s="263">
        <f t="shared" si="794"/>
        <v>0</v>
      </c>
      <c r="JT181" s="263">
        <f t="shared" si="794"/>
        <v>0</v>
      </c>
      <c r="JU181" s="263">
        <f t="shared" si="794"/>
        <v>0</v>
      </c>
      <c r="JV181" s="230">
        <f t="shared" si="764"/>
        <v>0</v>
      </c>
      <c r="JW181" s="266"/>
      <c r="JX181" s="263">
        <f t="shared" si="795"/>
        <v>0</v>
      </c>
      <c r="JY181" s="263">
        <f t="shared" si="795"/>
        <v>0</v>
      </c>
      <c r="JZ181" s="263">
        <f t="shared" si="795"/>
        <v>0</v>
      </c>
      <c r="KA181" s="263">
        <f t="shared" si="795"/>
        <v>0</v>
      </c>
      <c r="KB181" s="263">
        <f t="shared" si="795"/>
        <v>0</v>
      </c>
      <c r="KC181" s="263">
        <f t="shared" si="795"/>
        <v>0</v>
      </c>
      <c r="KD181" s="263">
        <f t="shared" si="795"/>
        <v>0</v>
      </c>
      <c r="KE181" s="263">
        <f t="shared" si="795"/>
        <v>0</v>
      </c>
      <c r="KF181" s="263">
        <f t="shared" si="795"/>
        <v>0</v>
      </c>
      <c r="KG181" s="263">
        <f t="shared" si="795"/>
        <v>0</v>
      </c>
      <c r="KH181" s="263">
        <f t="shared" si="795"/>
        <v>0</v>
      </c>
      <c r="KI181" s="263">
        <f t="shared" si="795"/>
        <v>0</v>
      </c>
      <c r="KJ181" s="230">
        <f t="shared" si="766"/>
        <v>0</v>
      </c>
      <c r="KK181" s="266"/>
      <c r="KL181" s="263">
        <f t="shared" si="796"/>
        <v>0</v>
      </c>
      <c r="KM181" s="263">
        <f t="shared" si="796"/>
        <v>0</v>
      </c>
      <c r="KN181" s="263">
        <f t="shared" si="796"/>
        <v>0</v>
      </c>
      <c r="KO181" s="263">
        <f t="shared" si="796"/>
        <v>0</v>
      </c>
      <c r="KP181" s="263">
        <f t="shared" si="796"/>
        <v>0</v>
      </c>
      <c r="KQ181" s="263">
        <f t="shared" si="796"/>
        <v>0</v>
      </c>
      <c r="KR181" s="263">
        <f t="shared" si="796"/>
        <v>0</v>
      </c>
      <c r="KS181" s="263">
        <f t="shared" si="796"/>
        <v>0</v>
      </c>
      <c r="KT181" s="263">
        <f t="shared" si="796"/>
        <v>0</v>
      </c>
      <c r="KU181" s="263">
        <f t="shared" si="796"/>
        <v>0</v>
      </c>
      <c r="KV181" s="263">
        <f t="shared" si="796"/>
        <v>0</v>
      </c>
      <c r="KW181" s="263">
        <f t="shared" si="796"/>
        <v>0</v>
      </c>
      <c r="KX181" s="230">
        <f t="shared" si="768"/>
        <v>0</v>
      </c>
      <c r="KY181" s="266"/>
      <c r="KZ181" s="263">
        <f t="shared" si="797"/>
        <v>0</v>
      </c>
      <c r="LA181" s="263">
        <f t="shared" si="797"/>
        <v>0</v>
      </c>
      <c r="LB181" s="263">
        <f t="shared" si="797"/>
        <v>0</v>
      </c>
      <c r="LC181" s="263">
        <f t="shared" si="797"/>
        <v>0</v>
      </c>
      <c r="LD181" s="263">
        <f t="shared" si="797"/>
        <v>0</v>
      </c>
      <c r="LE181" s="263">
        <f t="shared" si="797"/>
        <v>0</v>
      </c>
      <c r="LF181" s="263">
        <f t="shared" si="797"/>
        <v>0</v>
      </c>
      <c r="LG181" s="263">
        <f t="shared" si="797"/>
        <v>0</v>
      </c>
      <c r="LH181" s="263">
        <f t="shared" si="797"/>
        <v>0</v>
      </c>
      <c r="LI181" s="263">
        <f t="shared" si="797"/>
        <v>0</v>
      </c>
      <c r="LJ181" s="263">
        <f t="shared" si="797"/>
        <v>0</v>
      </c>
      <c r="LK181" s="263">
        <f t="shared" si="797"/>
        <v>0</v>
      </c>
      <c r="LL181" s="230">
        <f t="shared" si="770"/>
        <v>0</v>
      </c>
      <c r="LM181" s="266"/>
      <c r="LN181" s="263">
        <v>0</v>
      </c>
      <c r="LO181" s="264">
        <v>0</v>
      </c>
      <c r="LP181" s="265">
        <v>0</v>
      </c>
      <c r="LQ181" s="265">
        <v>0</v>
      </c>
      <c r="LR181" s="265">
        <v>0</v>
      </c>
      <c r="LS181" s="265">
        <v>0</v>
      </c>
      <c r="LT181" s="265">
        <v>0</v>
      </c>
      <c r="LU181" s="265">
        <v>0</v>
      </c>
      <c r="LV181" s="265">
        <v>0</v>
      </c>
      <c r="LW181" s="265">
        <v>0</v>
      </c>
      <c r="LX181" s="265">
        <v>0</v>
      </c>
      <c r="LY181" s="265">
        <v>0</v>
      </c>
      <c r="LZ181" s="230">
        <f t="shared" si="771"/>
        <v>0</v>
      </c>
      <c r="MA181" s="266"/>
      <c r="MB181" s="230">
        <f t="shared" si="772"/>
        <v>0</v>
      </c>
      <c r="MC181" s="230">
        <f t="shared" si="772"/>
        <v>0</v>
      </c>
      <c r="MD181" s="230">
        <f t="shared" si="772"/>
        <v>0</v>
      </c>
      <c r="ME181" s="230">
        <f t="shared" si="772"/>
        <v>0</v>
      </c>
      <c r="MF181" s="230">
        <f t="shared" si="772"/>
        <v>0</v>
      </c>
      <c r="MG181" s="230">
        <f t="shared" si="772"/>
        <v>0</v>
      </c>
      <c r="MH181" s="230">
        <f t="shared" si="772"/>
        <v>0</v>
      </c>
      <c r="MI181" s="230">
        <f t="shared" si="772"/>
        <v>0</v>
      </c>
      <c r="MJ181" s="230">
        <f t="shared" si="772"/>
        <v>0</v>
      </c>
      <c r="MK181" s="230">
        <f t="shared" si="772"/>
        <v>0</v>
      </c>
      <c r="ML181" s="230">
        <f t="shared" si="772"/>
        <v>0</v>
      </c>
      <c r="MM181" s="230">
        <f t="shared" si="772"/>
        <v>0</v>
      </c>
      <c r="MN181" s="230">
        <f t="shared" si="773"/>
        <v>0</v>
      </c>
    </row>
    <row r="182" spans="1:352" x14ac:dyDescent="0.25">
      <c r="A182" s="262"/>
      <c r="B182" s="64" t="s">
        <v>58</v>
      </c>
      <c r="C182" s="98"/>
      <c r="D182" s="263">
        <f t="shared" si="774"/>
        <v>1005.2940145502644</v>
      </c>
      <c r="E182" s="263">
        <f t="shared" si="726"/>
        <v>1005.2940145502644</v>
      </c>
      <c r="F182" s="263">
        <f t="shared" si="726"/>
        <v>1005.2940145502644</v>
      </c>
      <c r="G182" s="263">
        <f t="shared" si="726"/>
        <v>1005.2940145502644</v>
      </c>
      <c r="H182" s="263">
        <f t="shared" si="726"/>
        <v>1005.2940145502644</v>
      </c>
      <c r="I182" s="263">
        <f t="shared" si="726"/>
        <v>1005.2940145502644</v>
      </c>
      <c r="J182" s="263">
        <f t="shared" si="726"/>
        <v>1005.2940145502644</v>
      </c>
      <c r="K182" s="263">
        <f t="shared" si="726"/>
        <v>1005.2940145502644</v>
      </c>
      <c r="L182" s="263">
        <f t="shared" si="726"/>
        <v>1005.2940145502644</v>
      </c>
      <c r="M182" s="263">
        <f t="shared" si="726"/>
        <v>1005.2940145502644</v>
      </c>
      <c r="N182" s="263">
        <f t="shared" si="726"/>
        <v>1005.2940145502644</v>
      </c>
      <c r="O182" s="263">
        <f t="shared" si="726"/>
        <v>1005.2940145502644</v>
      </c>
      <c r="P182" s="230">
        <f t="shared" si="727"/>
        <v>12063.528174603176</v>
      </c>
      <c r="Q182" s="266"/>
      <c r="R182" s="263">
        <f t="shared" si="775"/>
        <v>103.99593253968253</v>
      </c>
      <c r="S182" s="263">
        <f t="shared" si="775"/>
        <v>103.99593253968253</v>
      </c>
      <c r="T182" s="263">
        <f t="shared" si="775"/>
        <v>103.99593253968253</v>
      </c>
      <c r="U182" s="263">
        <f t="shared" si="775"/>
        <v>103.99593253968253</v>
      </c>
      <c r="V182" s="263">
        <f t="shared" si="775"/>
        <v>103.99593253968253</v>
      </c>
      <c r="W182" s="263">
        <f t="shared" si="775"/>
        <v>103.99593253968253</v>
      </c>
      <c r="X182" s="263">
        <f t="shared" si="775"/>
        <v>103.99593253968253</v>
      </c>
      <c r="Y182" s="263">
        <f t="shared" si="775"/>
        <v>103.99593253968253</v>
      </c>
      <c r="Z182" s="263">
        <f t="shared" si="775"/>
        <v>103.99593253968253</v>
      </c>
      <c r="AA182" s="263">
        <f t="shared" si="775"/>
        <v>103.99593253968253</v>
      </c>
      <c r="AB182" s="263">
        <f t="shared" si="775"/>
        <v>103.99593253968253</v>
      </c>
      <c r="AC182" s="263">
        <f t="shared" si="775"/>
        <v>103.99593253968253</v>
      </c>
      <c r="AD182" s="230">
        <f t="shared" si="729"/>
        <v>1247.9511904761903</v>
      </c>
      <c r="AE182" s="266"/>
      <c r="AF182" s="263">
        <f t="shared" si="776"/>
        <v>103.99593253968253</v>
      </c>
      <c r="AG182" s="263">
        <f t="shared" si="776"/>
        <v>103.99593253968253</v>
      </c>
      <c r="AH182" s="263">
        <f t="shared" si="776"/>
        <v>103.99593253968253</v>
      </c>
      <c r="AI182" s="263">
        <f t="shared" si="776"/>
        <v>103.99593253968253</v>
      </c>
      <c r="AJ182" s="263">
        <f t="shared" si="776"/>
        <v>103.99593253968253</v>
      </c>
      <c r="AK182" s="263">
        <f t="shared" si="776"/>
        <v>103.99593253968253</v>
      </c>
      <c r="AL182" s="263">
        <f t="shared" si="776"/>
        <v>103.99593253968253</v>
      </c>
      <c r="AM182" s="263">
        <f t="shared" si="776"/>
        <v>103.99593253968253</v>
      </c>
      <c r="AN182" s="263">
        <f t="shared" si="776"/>
        <v>103.99593253968253</v>
      </c>
      <c r="AO182" s="263">
        <f t="shared" si="776"/>
        <v>103.99593253968253</v>
      </c>
      <c r="AP182" s="263">
        <f t="shared" si="776"/>
        <v>103.99593253968253</v>
      </c>
      <c r="AQ182" s="263">
        <f t="shared" si="776"/>
        <v>103.99593253968253</v>
      </c>
      <c r="AR182" s="230">
        <f t="shared" si="731"/>
        <v>1247.9511904761903</v>
      </c>
      <c r="AS182" s="266"/>
      <c r="AT182" s="263">
        <f t="shared" si="777"/>
        <v>69.330621693121685</v>
      </c>
      <c r="AU182" s="263">
        <f t="shared" si="777"/>
        <v>69.330621693121685</v>
      </c>
      <c r="AV182" s="263">
        <f t="shared" si="777"/>
        <v>69.330621693121685</v>
      </c>
      <c r="AW182" s="263">
        <f t="shared" si="777"/>
        <v>69.330621693121685</v>
      </c>
      <c r="AX182" s="263">
        <f t="shared" si="777"/>
        <v>69.330621693121685</v>
      </c>
      <c r="AY182" s="263">
        <f t="shared" si="777"/>
        <v>69.330621693121685</v>
      </c>
      <c r="AZ182" s="263">
        <f t="shared" si="777"/>
        <v>69.330621693121685</v>
      </c>
      <c r="BA182" s="263">
        <f t="shared" si="777"/>
        <v>69.330621693121685</v>
      </c>
      <c r="BB182" s="263">
        <f t="shared" si="777"/>
        <v>69.330621693121685</v>
      </c>
      <c r="BC182" s="263">
        <f t="shared" si="777"/>
        <v>69.330621693121685</v>
      </c>
      <c r="BD182" s="263">
        <f t="shared" si="777"/>
        <v>69.330621693121685</v>
      </c>
      <c r="BE182" s="263">
        <f t="shared" si="777"/>
        <v>69.330621693121685</v>
      </c>
      <c r="BF182" s="230">
        <f t="shared" si="733"/>
        <v>831.96746031746</v>
      </c>
      <c r="BG182" s="224"/>
      <c r="BH182" s="263">
        <f t="shared" si="778"/>
        <v>519.97966269841265</v>
      </c>
      <c r="BI182" s="263">
        <f t="shared" si="778"/>
        <v>519.97966269841265</v>
      </c>
      <c r="BJ182" s="263">
        <f t="shared" si="778"/>
        <v>519.97966269841265</v>
      </c>
      <c r="BK182" s="263">
        <f t="shared" si="778"/>
        <v>519.97966269841265</v>
      </c>
      <c r="BL182" s="263">
        <f t="shared" si="778"/>
        <v>519.97966269841265</v>
      </c>
      <c r="BM182" s="263">
        <f t="shared" si="778"/>
        <v>519.97966269841265</v>
      </c>
      <c r="BN182" s="263">
        <f t="shared" si="778"/>
        <v>519.97966269841265</v>
      </c>
      <c r="BO182" s="263">
        <f t="shared" si="778"/>
        <v>519.97966269841265</v>
      </c>
      <c r="BP182" s="263">
        <f t="shared" si="778"/>
        <v>519.97966269841265</v>
      </c>
      <c r="BQ182" s="263">
        <f t="shared" si="778"/>
        <v>519.97966269841265</v>
      </c>
      <c r="BR182" s="263">
        <f t="shared" si="778"/>
        <v>519.97966269841265</v>
      </c>
      <c r="BS182" s="263">
        <f t="shared" si="778"/>
        <v>519.97966269841265</v>
      </c>
      <c r="BT182" s="230">
        <f t="shared" si="735"/>
        <v>6239.7559523809514</v>
      </c>
      <c r="BU182" s="266"/>
      <c r="BV182" s="263">
        <f t="shared" si="779"/>
        <v>34.665310846560843</v>
      </c>
      <c r="BW182" s="263">
        <f t="shared" si="779"/>
        <v>34.665310846560843</v>
      </c>
      <c r="BX182" s="263">
        <f t="shared" si="779"/>
        <v>34.665310846560843</v>
      </c>
      <c r="BY182" s="263">
        <f t="shared" si="779"/>
        <v>34.665310846560843</v>
      </c>
      <c r="BZ182" s="263">
        <f t="shared" si="779"/>
        <v>34.665310846560843</v>
      </c>
      <c r="CA182" s="263">
        <f t="shared" si="779"/>
        <v>34.665310846560843</v>
      </c>
      <c r="CB182" s="263">
        <f t="shared" si="779"/>
        <v>34.665310846560843</v>
      </c>
      <c r="CC182" s="263">
        <f t="shared" si="779"/>
        <v>34.665310846560843</v>
      </c>
      <c r="CD182" s="263">
        <f t="shared" si="779"/>
        <v>34.665310846560843</v>
      </c>
      <c r="CE182" s="263">
        <f t="shared" si="779"/>
        <v>34.665310846560843</v>
      </c>
      <c r="CF182" s="263">
        <f t="shared" si="779"/>
        <v>34.665310846560843</v>
      </c>
      <c r="CG182" s="263">
        <f t="shared" si="779"/>
        <v>34.665310846560843</v>
      </c>
      <c r="CH182" s="230">
        <f t="shared" si="737"/>
        <v>415.98373015873</v>
      </c>
      <c r="CI182" s="266"/>
      <c r="CJ182" s="263">
        <f t="shared" si="780"/>
        <v>381.31841931216928</v>
      </c>
      <c r="CK182" s="263">
        <f t="shared" si="780"/>
        <v>381.31841931216928</v>
      </c>
      <c r="CL182" s="263">
        <f t="shared" si="780"/>
        <v>381.31841931216928</v>
      </c>
      <c r="CM182" s="263">
        <f t="shared" si="780"/>
        <v>381.31841931216928</v>
      </c>
      <c r="CN182" s="263">
        <f t="shared" si="780"/>
        <v>381.31841931216928</v>
      </c>
      <c r="CO182" s="263">
        <f t="shared" si="780"/>
        <v>381.31841931216928</v>
      </c>
      <c r="CP182" s="263">
        <f t="shared" si="780"/>
        <v>381.31841931216928</v>
      </c>
      <c r="CQ182" s="263">
        <f t="shared" si="780"/>
        <v>381.31841931216928</v>
      </c>
      <c r="CR182" s="263">
        <f t="shared" si="780"/>
        <v>381.31841931216928</v>
      </c>
      <c r="CS182" s="263">
        <f t="shared" si="780"/>
        <v>381.31841931216928</v>
      </c>
      <c r="CT182" s="263">
        <f t="shared" si="780"/>
        <v>381.31841931216928</v>
      </c>
      <c r="CU182" s="263">
        <f t="shared" si="780"/>
        <v>381.31841931216928</v>
      </c>
      <c r="CV182" s="230">
        <f t="shared" si="739"/>
        <v>4575.8210317460316</v>
      </c>
      <c r="CW182" s="266"/>
      <c r="CX182" s="263">
        <f t="shared" si="781"/>
        <v>970.62870370370365</v>
      </c>
      <c r="CY182" s="263">
        <f t="shared" si="781"/>
        <v>970.62870370370365</v>
      </c>
      <c r="CZ182" s="263">
        <f t="shared" si="781"/>
        <v>970.62870370370365</v>
      </c>
      <c r="DA182" s="263">
        <f t="shared" si="781"/>
        <v>970.62870370370365</v>
      </c>
      <c r="DB182" s="263">
        <f t="shared" si="781"/>
        <v>970.62870370370365</v>
      </c>
      <c r="DC182" s="263">
        <f t="shared" si="781"/>
        <v>970.62870370370365</v>
      </c>
      <c r="DD182" s="263">
        <f t="shared" si="781"/>
        <v>970.62870370370365</v>
      </c>
      <c r="DE182" s="263">
        <f t="shared" si="781"/>
        <v>970.62870370370365</v>
      </c>
      <c r="DF182" s="263">
        <f t="shared" si="781"/>
        <v>970.62870370370365</v>
      </c>
      <c r="DG182" s="263">
        <f t="shared" si="781"/>
        <v>970.62870370370365</v>
      </c>
      <c r="DH182" s="263">
        <f t="shared" si="781"/>
        <v>970.62870370370365</v>
      </c>
      <c r="DI182" s="263">
        <f t="shared" si="781"/>
        <v>970.62870370370365</v>
      </c>
      <c r="DJ182" s="230">
        <f t="shared" si="741"/>
        <v>11647.544444444444</v>
      </c>
      <c r="DK182" s="266"/>
      <c r="DL182" s="263">
        <f t="shared" si="782"/>
        <v>970.62870370370365</v>
      </c>
      <c r="DM182" s="263">
        <f t="shared" si="782"/>
        <v>970.62870370370365</v>
      </c>
      <c r="DN182" s="263">
        <f t="shared" si="782"/>
        <v>970.62870370370365</v>
      </c>
      <c r="DO182" s="263">
        <f t="shared" si="782"/>
        <v>970.62870370370365</v>
      </c>
      <c r="DP182" s="263">
        <f t="shared" si="782"/>
        <v>970.62870370370365</v>
      </c>
      <c r="DQ182" s="263">
        <f t="shared" si="782"/>
        <v>970.62870370370365</v>
      </c>
      <c r="DR182" s="263">
        <f t="shared" si="782"/>
        <v>970.62870370370365</v>
      </c>
      <c r="DS182" s="263">
        <f t="shared" si="782"/>
        <v>970.62870370370365</v>
      </c>
      <c r="DT182" s="263">
        <f t="shared" si="782"/>
        <v>970.62870370370365</v>
      </c>
      <c r="DU182" s="263">
        <f t="shared" si="782"/>
        <v>970.62870370370365</v>
      </c>
      <c r="DV182" s="263">
        <f t="shared" si="782"/>
        <v>970.62870370370365</v>
      </c>
      <c r="DW182" s="263">
        <f t="shared" si="782"/>
        <v>970.62870370370365</v>
      </c>
      <c r="DX182" s="230">
        <f t="shared" si="743"/>
        <v>11647.544444444444</v>
      </c>
      <c r="DY182" s="266"/>
      <c r="DZ182" s="263">
        <f t="shared" si="783"/>
        <v>34.665310846560843</v>
      </c>
      <c r="EA182" s="263">
        <f t="shared" si="783"/>
        <v>34.665310846560843</v>
      </c>
      <c r="EB182" s="263">
        <f t="shared" si="783"/>
        <v>34.665310846560843</v>
      </c>
      <c r="EC182" s="263">
        <f t="shared" si="783"/>
        <v>34.665310846560843</v>
      </c>
      <c r="ED182" s="263">
        <f t="shared" si="783"/>
        <v>34.665310846560843</v>
      </c>
      <c r="EE182" s="263">
        <f t="shared" si="783"/>
        <v>34.665310846560843</v>
      </c>
      <c r="EF182" s="263">
        <f t="shared" si="783"/>
        <v>34.665310846560843</v>
      </c>
      <c r="EG182" s="263">
        <f t="shared" si="783"/>
        <v>34.665310846560843</v>
      </c>
      <c r="EH182" s="263">
        <f t="shared" si="783"/>
        <v>34.665310846560843</v>
      </c>
      <c r="EI182" s="263">
        <f t="shared" si="783"/>
        <v>34.665310846560843</v>
      </c>
      <c r="EJ182" s="263">
        <f t="shared" si="783"/>
        <v>34.665310846560843</v>
      </c>
      <c r="EK182" s="263">
        <f t="shared" si="783"/>
        <v>34.665310846560843</v>
      </c>
      <c r="EL182" s="230">
        <f t="shared" si="745"/>
        <v>415.98373015873</v>
      </c>
      <c r="EM182" s="266"/>
      <c r="EN182" s="263">
        <f t="shared" si="784"/>
        <v>69.330621693121685</v>
      </c>
      <c r="EO182" s="263">
        <f t="shared" si="784"/>
        <v>69.330621693121685</v>
      </c>
      <c r="EP182" s="263">
        <f t="shared" si="784"/>
        <v>69.330621693121685</v>
      </c>
      <c r="EQ182" s="263">
        <f t="shared" si="784"/>
        <v>69.330621693121685</v>
      </c>
      <c r="ER182" s="263">
        <f t="shared" si="784"/>
        <v>69.330621693121685</v>
      </c>
      <c r="ES182" s="263">
        <f t="shared" si="784"/>
        <v>69.330621693121685</v>
      </c>
      <c r="ET182" s="263">
        <f t="shared" si="784"/>
        <v>69.330621693121685</v>
      </c>
      <c r="EU182" s="263">
        <f t="shared" si="784"/>
        <v>69.330621693121685</v>
      </c>
      <c r="EV182" s="263">
        <f t="shared" si="784"/>
        <v>69.330621693121685</v>
      </c>
      <c r="EW182" s="263">
        <f t="shared" si="784"/>
        <v>69.330621693121685</v>
      </c>
      <c r="EX182" s="263">
        <f t="shared" si="784"/>
        <v>69.330621693121685</v>
      </c>
      <c r="EY182" s="263">
        <f t="shared" si="784"/>
        <v>69.330621693121685</v>
      </c>
      <c r="EZ182" s="230">
        <f t="shared" si="747"/>
        <v>831.96746031746</v>
      </c>
      <c r="FA182" s="266"/>
      <c r="FB182" s="263">
        <f t="shared" si="785"/>
        <v>34.665310846560843</v>
      </c>
      <c r="FC182" s="263">
        <f t="shared" si="785"/>
        <v>34.665310846560843</v>
      </c>
      <c r="FD182" s="263">
        <f t="shared" si="785"/>
        <v>34.665310846560843</v>
      </c>
      <c r="FE182" s="263">
        <f t="shared" si="785"/>
        <v>34.665310846560843</v>
      </c>
      <c r="FF182" s="263">
        <f t="shared" si="785"/>
        <v>34.665310846560843</v>
      </c>
      <c r="FG182" s="263">
        <f t="shared" si="785"/>
        <v>34.665310846560843</v>
      </c>
      <c r="FH182" s="263">
        <f t="shared" si="785"/>
        <v>34.665310846560843</v>
      </c>
      <c r="FI182" s="263">
        <f t="shared" si="785"/>
        <v>34.665310846560843</v>
      </c>
      <c r="FJ182" s="263">
        <f t="shared" si="785"/>
        <v>34.665310846560843</v>
      </c>
      <c r="FK182" s="263">
        <f t="shared" si="785"/>
        <v>34.665310846560843</v>
      </c>
      <c r="FL182" s="263">
        <f t="shared" si="785"/>
        <v>34.665310846560843</v>
      </c>
      <c r="FM182" s="263">
        <f t="shared" si="785"/>
        <v>34.665310846560843</v>
      </c>
      <c r="FN182" s="230">
        <f t="shared" si="749"/>
        <v>415.98373015873</v>
      </c>
      <c r="FO182" s="266"/>
      <c r="FP182" s="263">
        <f t="shared" si="786"/>
        <v>242.65717592592591</v>
      </c>
      <c r="FQ182" s="263">
        <f t="shared" si="786"/>
        <v>242.65717592592591</v>
      </c>
      <c r="FR182" s="263">
        <f t="shared" si="786"/>
        <v>242.65717592592591</v>
      </c>
      <c r="FS182" s="263">
        <f t="shared" si="786"/>
        <v>242.65717592592591</v>
      </c>
      <c r="FT182" s="263">
        <f t="shared" si="786"/>
        <v>242.65717592592591</v>
      </c>
      <c r="FU182" s="263">
        <f t="shared" si="786"/>
        <v>242.65717592592591</v>
      </c>
      <c r="FV182" s="263">
        <f t="shared" si="786"/>
        <v>242.65717592592591</v>
      </c>
      <c r="FW182" s="263">
        <f t="shared" si="786"/>
        <v>242.65717592592591</v>
      </c>
      <c r="FX182" s="263">
        <f t="shared" si="786"/>
        <v>242.65717592592591</v>
      </c>
      <c r="FY182" s="263">
        <f t="shared" si="786"/>
        <v>242.65717592592591</v>
      </c>
      <c r="FZ182" s="263">
        <f t="shared" si="786"/>
        <v>242.65717592592591</v>
      </c>
      <c r="GA182" s="263">
        <f t="shared" si="786"/>
        <v>242.65717592592591</v>
      </c>
      <c r="GB182" s="230">
        <f t="shared" si="751"/>
        <v>2911.8861111111109</v>
      </c>
      <c r="GC182" s="266"/>
      <c r="GD182" s="263">
        <f t="shared" si="787"/>
        <v>34.665310846560843</v>
      </c>
      <c r="GE182" s="263">
        <f t="shared" si="787"/>
        <v>34.665310846560843</v>
      </c>
      <c r="GF182" s="263">
        <f t="shared" si="787"/>
        <v>34.665310846560843</v>
      </c>
      <c r="GG182" s="263">
        <f t="shared" si="787"/>
        <v>34.665310846560843</v>
      </c>
      <c r="GH182" s="263">
        <f t="shared" si="787"/>
        <v>34.665310846560843</v>
      </c>
      <c r="GI182" s="263">
        <f t="shared" si="787"/>
        <v>34.665310846560843</v>
      </c>
      <c r="GJ182" s="263">
        <f t="shared" si="787"/>
        <v>34.665310846560843</v>
      </c>
      <c r="GK182" s="263">
        <f t="shared" si="787"/>
        <v>34.665310846560843</v>
      </c>
      <c r="GL182" s="263">
        <f t="shared" si="787"/>
        <v>34.665310846560843</v>
      </c>
      <c r="GM182" s="263">
        <f t="shared" si="787"/>
        <v>34.665310846560843</v>
      </c>
      <c r="GN182" s="263">
        <f t="shared" si="787"/>
        <v>34.665310846560843</v>
      </c>
      <c r="GO182" s="263">
        <f t="shared" si="787"/>
        <v>34.665310846560843</v>
      </c>
      <c r="GP182" s="230">
        <f t="shared" si="753"/>
        <v>415.98373015873</v>
      </c>
      <c r="GQ182" s="266"/>
      <c r="GR182" s="263">
        <f t="shared" si="788"/>
        <v>-1898.8244772696642</v>
      </c>
      <c r="GS182" s="263">
        <f t="shared" si="788"/>
        <v>-1898.8244772696642</v>
      </c>
      <c r="GT182" s="263">
        <f t="shared" si="788"/>
        <v>-1898.8244772696642</v>
      </c>
      <c r="GU182" s="263">
        <f t="shared" si="788"/>
        <v>-1898.8244772696642</v>
      </c>
      <c r="GV182" s="263">
        <f t="shared" si="788"/>
        <v>-1898.8244772696642</v>
      </c>
      <c r="GW182" s="263">
        <f t="shared" si="788"/>
        <v>-1898.8244772696642</v>
      </c>
      <c r="GX182" s="263">
        <f t="shared" si="788"/>
        <v>-1898.8244772696642</v>
      </c>
      <c r="GY182" s="263">
        <f t="shared" si="788"/>
        <v>-1898.8244772696642</v>
      </c>
      <c r="GZ182" s="263">
        <f t="shared" si="788"/>
        <v>-1898.8244772696642</v>
      </c>
      <c r="HA182" s="263">
        <f t="shared" si="788"/>
        <v>-1898.8244772696642</v>
      </c>
      <c r="HB182" s="263">
        <f t="shared" si="788"/>
        <v>-1898.8244772696642</v>
      </c>
      <c r="HC182" s="263">
        <f t="shared" si="788"/>
        <v>-1898.8244772696642</v>
      </c>
      <c r="HD182" s="230">
        <f t="shared" si="789"/>
        <v>0</v>
      </c>
      <c r="HE182" s="266"/>
      <c r="HF182" s="263">
        <f t="shared" si="790"/>
        <v>138.66124338624337</v>
      </c>
      <c r="HG182" s="263">
        <f t="shared" si="790"/>
        <v>138.66124338624337</v>
      </c>
      <c r="HH182" s="263">
        <f t="shared" si="790"/>
        <v>138.66124338624337</v>
      </c>
      <c r="HI182" s="263">
        <f t="shared" si="790"/>
        <v>138.66124338624337</v>
      </c>
      <c r="HJ182" s="263">
        <f t="shared" si="790"/>
        <v>138.66124338624337</v>
      </c>
      <c r="HK182" s="263">
        <f t="shared" si="790"/>
        <v>138.66124338624337</v>
      </c>
      <c r="HL182" s="263">
        <f t="shared" si="790"/>
        <v>138.66124338624337</v>
      </c>
      <c r="HM182" s="263">
        <f t="shared" si="790"/>
        <v>138.66124338624337</v>
      </c>
      <c r="HN182" s="263">
        <f t="shared" si="790"/>
        <v>138.66124338624337</v>
      </c>
      <c r="HO182" s="263">
        <f t="shared" si="790"/>
        <v>138.66124338624337</v>
      </c>
      <c r="HP182" s="263">
        <f t="shared" si="790"/>
        <v>138.66124338624337</v>
      </c>
      <c r="HQ182" s="263">
        <f t="shared" si="790"/>
        <v>138.66124338624337</v>
      </c>
      <c r="HR182" s="230">
        <f t="shared" si="756"/>
        <v>1663.93492063492</v>
      </c>
      <c r="HS182" s="266"/>
      <c r="HT182" s="263">
        <f t="shared" si="791"/>
        <v>34.665310846560843</v>
      </c>
      <c r="HU182" s="263">
        <f t="shared" si="791"/>
        <v>34.665310846560843</v>
      </c>
      <c r="HV182" s="263">
        <f t="shared" si="791"/>
        <v>34.665310846560843</v>
      </c>
      <c r="HW182" s="263">
        <f t="shared" si="791"/>
        <v>34.665310846560843</v>
      </c>
      <c r="HX182" s="263">
        <f t="shared" si="791"/>
        <v>34.665310846560843</v>
      </c>
      <c r="HY182" s="263">
        <f t="shared" si="791"/>
        <v>34.665310846560843</v>
      </c>
      <c r="HZ182" s="263">
        <f t="shared" si="791"/>
        <v>34.665310846560843</v>
      </c>
      <c r="IA182" s="263">
        <f t="shared" si="791"/>
        <v>34.665310846560843</v>
      </c>
      <c r="IB182" s="263">
        <f t="shared" si="791"/>
        <v>34.665310846560843</v>
      </c>
      <c r="IC182" s="263">
        <f t="shared" si="791"/>
        <v>34.665310846560843</v>
      </c>
      <c r="ID182" s="263">
        <f t="shared" si="791"/>
        <v>34.665310846560843</v>
      </c>
      <c r="IE182" s="263">
        <f t="shared" si="791"/>
        <v>34.665310846560843</v>
      </c>
      <c r="IF182" s="230">
        <f t="shared" si="758"/>
        <v>415.98373015873</v>
      </c>
      <c r="IG182" s="266"/>
      <c r="IH182" s="263">
        <f t="shared" si="792"/>
        <v>34.665310846560843</v>
      </c>
      <c r="II182" s="263">
        <f t="shared" si="792"/>
        <v>34.665310846560843</v>
      </c>
      <c r="IJ182" s="263">
        <f t="shared" si="792"/>
        <v>34.665310846560843</v>
      </c>
      <c r="IK182" s="263">
        <f t="shared" si="792"/>
        <v>34.665310846560843</v>
      </c>
      <c r="IL182" s="263">
        <f t="shared" si="792"/>
        <v>34.665310846560843</v>
      </c>
      <c r="IM182" s="263">
        <f t="shared" si="792"/>
        <v>34.665310846560843</v>
      </c>
      <c r="IN182" s="263">
        <f t="shared" si="792"/>
        <v>34.665310846560843</v>
      </c>
      <c r="IO182" s="263">
        <f t="shared" si="792"/>
        <v>34.665310846560843</v>
      </c>
      <c r="IP182" s="263">
        <f t="shared" si="792"/>
        <v>34.665310846560843</v>
      </c>
      <c r="IQ182" s="263">
        <f t="shared" si="792"/>
        <v>34.665310846560843</v>
      </c>
      <c r="IR182" s="263">
        <f t="shared" si="792"/>
        <v>34.665310846560843</v>
      </c>
      <c r="IS182" s="263">
        <f t="shared" si="792"/>
        <v>34.665310846560843</v>
      </c>
      <c r="IT182" s="230">
        <f t="shared" si="760"/>
        <v>415.98373015873</v>
      </c>
      <c r="IU182" s="266"/>
      <c r="IV182" s="263">
        <f t="shared" si="793"/>
        <v>242.65717592592591</v>
      </c>
      <c r="IW182" s="263">
        <f t="shared" si="793"/>
        <v>242.65717592592591</v>
      </c>
      <c r="IX182" s="263">
        <f t="shared" si="793"/>
        <v>242.65717592592591</v>
      </c>
      <c r="IY182" s="263">
        <f t="shared" si="793"/>
        <v>242.65717592592591</v>
      </c>
      <c r="IZ182" s="263">
        <f t="shared" si="793"/>
        <v>242.65717592592591</v>
      </c>
      <c r="JA182" s="263">
        <f t="shared" si="793"/>
        <v>242.65717592592591</v>
      </c>
      <c r="JB182" s="263">
        <f t="shared" si="793"/>
        <v>242.65717592592591</v>
      </c>
      <c r="JC182" s="263">
        <f t="shared" si="793"/>
        <v>242.65717592592591</v>
      </c>
      <c r="JD182" s="263">
        <f t="shared" si="793"/>
        <v>242.65717592592591</v>
      </c>
      <c r="JE182" s="263">
        <f t="shared" si="793"/>
        <v>242.65717592592591</v>
      </c>
      <c r="JF182" s="263">
        <f t="shared" si="793"/>
        <v>242.65717592592591</v>
      </c>
      <c r="JG182" s="263">
        <f t="shared" si="793"/>
        <v>242.65717592592591</v>
      </c>
      <c r="JH182" s="230">
        <f t="shared" si="762"/>
        <v>2911.8861111111109</v>
      </c>
      <c r="JI182" s="266"/>
      <c r="JJ182" s="263">
        <f t="shared" si="794"/>
        <v>381.31841931216928</v>
      </c>
      <c r="JK182" s="263">
        <f t="shared" si="794"/>
        <v>381.31841931216928</v>
      </c>
      <c r="JL182" s="263">
        <f t="shared" si="794"/>
        <v>381.31841931216928</v>
      </c>
      <c r="JM182" s="263">
        <f t="shared" si="794"/>
        <v>381.31841931216928</v>
      </c>
      <c r="JN182" s="263">
        <f t="shared" si="794"/>
        <v>381.31841931216928</v>
      </c>
      <c r="JO182" s="263">
        <f t="shared" si="794"/>
        <v>381.31841931216928</v>
      </c>
      <c r="JP182" s="263">
        <f t="shared" si="794"/>
        <v>381.31841931216928</v>
      </c>
      <c r="JQ182" s="263">
        <f t="shared" si="794"/>
        <v>381.31841931216928</v>
      </c>
      <c r="JR182" s="263">
        <f t="shared" si="794"/>
        <v>381.31841931216928</v>
      </c>
      <c r="JS182" s="263">
        <f t="shared" si="794"/>
        <v>381.31841931216928</v>
      </c>
      <c r="JT182" s="263">
        <f t="shared" si="794"/>
        <v>381.31841931216928</v>
      </c>
      <c r="JU182" s="263">
        <f t="shared" si="794"/>
        <v>381.31841931216928</v>
      </c>
      <c r="JV182" s="230">
        <f t="shared" si="764"/>
        <v>4575.8210317460316</v>
      </c>
      <c r="JW182" s="266"/>
      <c r="JX182" s="263">
        <f t="shared" si="795"/>
        <v>173.32655423280423</v>
      </c>
      <c r="JY182" s="263">
        <f t="shared" si="795"/>
        <v>173.32655423280423</v>
      </c>
      <c r="JZ182" s="263">
        <f t="shared" si="795"/>
        <v>173.32655423280423</v>
      </c>
      <c r="KA182" s="263">
        <f t="shared" si="795"/>
        <v>173.32655423280423</v>
      </c>
      <c r="KB182" s="263">
        <f t="shared" si="795"/>
        <v>173.32655423280423</v>
      </c>
      <c r="KC182" s="263">
        <f t="shared" si="795"/>
        <v>173.32655423280423</v>
      </c>
      <c r="KD182" s="263">
        <f t="shared" si="795"/>
        <v>173.32655423280423</v>
      </c>
      <c r="KE182" s="263">
        <f t="shared" si="795"/>
        <v>173.32655423280423</v>
      </c>
      <c r="KF182" s="263">
        <f t="shared" si="795"/>
        <v>173.32655423280423</v>
      </c>
      <c r="KG182" s="263">
        <f t="shared" si="795"/>
        <v>173.32655423280423</v>
      </c>
      <c r="KH182" s="263">
        <f t="shared" si="795"/>
        <v>173.32655423280423</v>
      </c>
      <c r="KI182" s="263">
        <f t="shared" si="795"/>
        <v>173.32655423280423</v>
      </c>
      <c r="KJ182" s="230">
        <f t="shared" si="766"/>
        <v>2079.9186507936506</v>
      </c>
      <c r="KK182" s="266"/>
      <c r="KL182" s="263">
        <f t="shared" si="796"/>
        <v>69.330621693121685</v>
      </c>
      <c r="KM182" s="263">
        <f t="shared" si="796"/>
        <v>69.330621693121685</v>
      </c>
      <c r="KN182" s="263">
        <f t="shared" si="796"/>
        <v>69.330621693121685</v>
      </c>
      <c r="KO182" s="263">
        <f t="shared" si="796"/>
        <v>69.330621693121685</v>
      </c>
      <c r="KP182" s="263">
        <f t="shared" si="796"/>
        <v>69.330621693121685</v>
      </c>
      <c r="KQ182" s="263">
        <f t="shared" si="796"/>
        <v>69.330621693121685</v>
      </c>
      <c r="KR182" s="263">
        <f t="shared" si="796"/>
        <v>69.330621693121685</v>
      </c>
      <c r="KS182" s="263">
        <f t="shared" si="796"/>
        <v>69.330621693121685</v>
      </c>
      <c r="KT182" s="263">
        <f t="shared" si="796"/>
        <v>69.330621693121685</v>
      </c>
      <c r="KU182" s="263">
        <f t="shared" si="796"/>
        <v>69.330621693121685</v>
      </c>
      <c r="KV182" s="263">
        <f t="shared" si="796"/>
        <v>69.330621693121685</v>
      </c>
      <c r="KW182" s="263">
        <f t="shared" si="796"/>
        <v>69.330621693121685</v>
      </c>
      <c r="KX182" s="230">
        <f t="shared" si="768"/>
        <v>831.96746031746</v>
      </c>
      <c r="KY182" s="266"/>
      <c r="KZ182" s="263">
        <f t="shared" si="797"/>
        <v>34.665310846560843</v>
      </c>
      <c r="LA182" s="263">
        <f t="shared" si="797"/>
        <v>34.665310846560843</v>
      </c>
      <c r="LB182" s="263">
        <f t="shared" si="797"/>
        <v>34.665310846560843</v>
      </c>
      <c r="LC182" s="263">
        <f t="shared" si="797"/>
        <v>34.665310846560843</v>
      </c>
      <c r="LD182" s="263">
        <f t="shared" si="797"/>
        <v>34.665310846560843</v>
      </c>
      <c r="LE182" s="263">
        <f t="shared" si="797"/>
        <v>34.665310846560843</v>
      </c>
      <c r="LF182" s="263">
        <f t="shared" si="797"/>
        <v>34.665310846560843</v>
      </c>
      <c r="LG182" s="263">
        <f t="shared" si="797"/>
        <v>34.665310846560843</v>
      </c>
      <c r="LH182" s="263">
        <f t="shared" si="797"/>
        <v>34.665310846560843</v>
      </c>
      <c r="LI182" s="263">
        <f t="shared" si="797"/>
        <v>34.665310846560843</v>
      </c>
      <c r="LJ182" s="263">
        <f t="shared" si="797"/>
        <v>34.665310846560843</v>
      </c>
      <c r="LK182" s="263">
        <f t="shared" si="797"/>
        <v>34.665310846560843</v>
      </c>
      <c r="LL182" s="230">
        <f t="shared" si="770"/>
        <v>415.98373015873</v>
      </c>
      <c r="LM182" s="266"/>
      <c r="LN182" s="263">
        <v>0</v>
      </c>
      <c r="LO182" s="264">
        <v>0</v>
      </c>
      <c r="LP182" s="265">
        <v>0</v>
      </c>
      <c r="LQ182" s="265">
        <v>0</v>
      </c>
      <c r="LR182" s="265">
        <v>0</v>
      </c>
      <c r="LS182" s="265">
        <v>0</v>
      </c>
      <c r="LT182" s="265">
        <v>0</v>
      </c>
      <c r="LU182" s="265">
        <v>0</v>
      </c>
      <c r="LV182" s="265">
        <v>0</v>
      </c>
      <c r="LW182" s="265">
        <v>0</v>
      </c>
      <c r="LX182" s="265">
        <v>0</v>
      </c>
      <c r="LY182" s="265">
        <v>0</v>
      </c>
      <c r="LZ182" s="230">
        <f t="shared" si="771"/>
        <v>0</v>
      </c>
      <c r="MA182" s="266"/>
      <c r="MB182" s="230">
        <f t="shared" si="772"/>
        <v>3786.2865015663137</v>
      </c>
      <c r="MC182" s="230">
        <f t="shared" si="772"/>
        <v>3786.2865015663137</v>
      </c>
      <c r="MD182" s="230">
        <f t="shared" si="772"/>
        <v>3786.2865015663137</v>
      </c>
      <c r="ME182" s="230">
        <f t="shared" si="772"/>
        <v>3786.2865015663137</v>
      </c>
      <c r="MF182" s="230">
        <f t="shared" si="772"/>
        <v>3786.2865015663137</v>
      </c>
      <c r="MG182" s="230">
        <f t="shared" si="772"/>
        <v>3786.2865015663137</v>
      </c>
      <c r="MH182" s="230">
        <f t="shared" si="772"/>
        <v>3786.2865015663137</v>
      </c>
      <c r="MI182" s="230">
        <f t="shared" si="772"/>
        <v>3786.2865015663137</v>
      </c>
      <c r="MJ182" s="230">
        <f t="shared" si="772"/>
        <v>3786.2865015663137</v>
      </c>
      <c r="MK182" s="230">
        <f t="shared" si="772"/>
        <v>3786.2865015663137</v>
      </c>
      <c r="ML182" s="230">
        <f t="shared" si="772"/>
        <v>3786.2865015663137</v>
      </c>
      <c r="MM182" s="230">
        <f t="shared" si="772"/>
        <v>3786.2865015663137</v>
      </c>
      <c r="MN182" s="230">
        <f t="shared" si="773"/>
        <v>45435.43801879575</v>
      </c>
    </row>
    <row r="183" spans="1:352" x14ac:dyDescent="0.25">
      <c r="A183" s="262"/>
      <c r="B183" s="64" t="s">
        <v>59</v>
      </c>
      <c r="C183" s="98"/>
      <c r="D183" s="263">
        <f t="shared" si="774"/>
        <v>2082.3403241182077</v>
      </c>
      <c r="E183" s="263">
        <f t="shared" si="726"/>
        <v>151.93040991420401</v>
      </c>
      <c r="F183" s="263">
        <f t="shared" si="726"/>
        <v>455.79122974261202</v>
      </c>
      <c r="G183" s="263">
        <f t="shared" si="726"/>
        <v>151.93040991420401</v>
      </c>
      <c r="H183" s="263">
        <f t="shared" si="726"/>
        <v>151.93040991420401</v>
      </c>
      <c r="I183" s="263">
        <f t="shared" si="726"/>
        <v>151.93040991420401</v>
      </c>
      <c r="J183" s="263">
        <f t="shared" si="726"/>
        <v>151.93040991420401</v>
      </c>
      <c r="K183" s="263">
        <f t="shared" si="726"/>
        <v>1403.1220209723547</v>
      </c>
      <c r="L183" s="263">
        <f t="shared" si="726"/>
        <v>1224.3803622497617</v>
      </c>
      <c r="M183" s="263">
        <f t="shared" si="726"/>
        <v>393.82745471877979</v>
      </c>
      <c r="N183" s="263">
        <f t="shared" si="726"/>
        <v>455.79122974261202</v>
      </c>
      <c r="O183" s="263">
        <f t="shared" si="726"/>
        <v>473.66539561487127</v>
      </c>
      <c r="P183" s="282">
        <f t="shared" si="727"/>
        <v>7248.570066730219</v>
      </c>
      <c r="Q183" s="266"/>
      <c r="R183" s="263">
        <f t="shared" si="775"/>
        <v>208.24594852240227</v>
      </c>
      <c r="S183" s="263">
        <f t="shared" si="775"/>
        <v>15.204957102001906</v>
      </c>
      <c r="T183" s="263">
        <f t="shared" si="775"/>
        <v>45.591039084842706</v>
      </c>
      <c r="U183" s="263">
        <f t="shared" si="775"/>
        <v>15.204957102001906</v>
      </c>
      <c r="V183" s="263">
        <f t="shared" si="775"/>
        <v>15.204957102001906</v>
      </c>
      <c r="W183" s="263">
        <f t="shared" si="775"/>
        <v>15.204957102001906</v>
      </c>
      <c r="X183" s="263">
        <f t="shared" si="775"/>
        <v>15.204957102001906</v>
      </c>
      <c r="Y183" s="263">
        <f t="shared" si="775"/>
        <v>140.32411820781695</v>
      </c>
      <c r="Z183" s="263">
        <f t="shared" si="775"/>
        <v>122.44995233555767</v>
      </c>
      <c r="AA183" s="263">
        <f t="shared" si="775"/>
        <v>40.228789323164918</v>
      </c>
      <c r="AB183" s="263">
        <f t="shared" si="775"/>
        <v>45.591039084842706</v>
      </c>
      <c r="AC183" s="263">
        <f t="shared" si="775"/>
        <v>47.378455672068633</v>
      </c>
      <c r="AD183" s="282">
        <f t="shared" si="729"/>
        <v>725.83412774070541</v>
      </c>
      <c r="AE183" s="266"/>
      <c r="AF183" s="263">
        <f t="shared" si="776"/>
        <v>208.24594852240227</v>
      </c>
      <c r="AG183" s="263">
        <f t="shared" si="776"/>
        <v>15.204957102001906</v>
      </c>
      <c r="AH183" s="263">
        <f t="shared" si="776"/>
        <v>45.591039084842706</v>
      </c>
      <c r="AI183" s="263">
        <f t="shared" si="776"/>
        <v>15.204957102001906</v>
      </c>
      <c r="AJ183" s="263">
        <f t="shared" si="776"/>
        <v>15.204957102001906</v>
      </c>
      <c r="AK183" s="263">
        <f t="shared" si="776"/>
        <v>15.204957102001906</v>
      </c>
      <c r="AL183" s="263">
        <f t="shared" si="776"/>
        <v>15.204957102001906</v>
      </c>
      <c r="AM183" s="263">
        <f t="shared" si="776"/>
        <v>140.32411820781695</v>
      </c>
      <c r="AN183" s="263">
        <f t="shared" si="776"/>
        <v>122.44995233555767</v>
      </c>
      <c r="AO183" s="263">
        <f t="shared" si="776"/>
        <v>40.228789323164918</v>
      </c>
      <c r="AP183" s="263">
        <f t="shared" si="776"/>
        <v>45.591039084842706</v>
      </c>
      <c r="AQ183" s="263">
        <f t="shared" si="776"/>
        <v>47.378455672068633</v>
      </c>
      <c r="AR183" s="282">
        <f t="shared" si="731"/>
        <v>725.83412774070541</v>
      </c>
      <c r="AS183" s="266"/>
      <c r="AT183" s="263">
        <f t="shared" si="777"/>
        <v>138.84652049571019</v>
      </c>
      <c r="AU183" s="263">
        <f t="shared" si="777"/>
        <v>10.152526215443279</v>
      </c>
      <c r="AV183" s="263">
        <f t="shared" si="777"/>
        <v>30.409914204003812</v>
      </c>
      <c r="AW183" s="263">
        <f t="shared" si="777"/>
        <v>10.152526215443279</v>
      </c>
      <c r="AX183" s="263">
        <f t="shared" si="777"/>
        <v>10.152526215443279</v>
      </c>
      <c r="AY183" s="263">
        <f t="shared" si="777"/>
        <v>10.152526215443279</v>
      </c>
      <c r="AZ183" s="263">
        <f t="shared" si="777"/>
        <v>10.152526215443279</v>
      </c>
      <c r="BA183" s="263">
        <f t="shared" si="777"/>
        <v>93.565300285986652</v>
      </c>
      <c r="BB183" s="263">
        <f t="shared" si="777"/>
        <v>81.649189704480449</v>
      </c>
      <c r="BC183" s="263">
        <f t="shared" si="777"/>
        <v>26.835081029551954</v>
      </c>
      <c r="BD183" s="263">
        <f t="shared" si="777"/>
        <v>30.409914204003812</v>
      </c>
      <c r="BE183" s="263">
        <f t="shared" si="777"/>
        <v>31.601525262154432</v>
      </c>
      <c r="BF183" s="282">
        <f t="shared" si="733"/>
        <v>484.08007626310774</v>
      </c>
      <c r="BG183" s="224"/>
      <c r="BH183" s="263">
        <f t="shared" si="778"/>
        <v>1041.1820781696854</v>
      </c>
      <c r="BI183" s="263">
        <f t="shared" si="778"/>
        <v>75.977121067683512</v>
      </c>
      <c r="BJ183" s="263">
        <f t="shared" si="778"/>
        <v>227.9075309818875</v>
      </c>
      <c r="BK183" s="263">
        <f t="shared" si="778"/>
        <v>75.977121067683512</v>
      </c>
      <c r="BL183" s="263">
        <f t="shared" si="778"/>
        <v>75.977121067683512</v>
      </c>
      <c r="BM183" s="263">
        <f t="shared" si="778"/>
        <v>75.977121067683512</v>
      </c>
      <c r="BN183" s="263">
        <f t="shared" si="778"/>
        <v>75.977121067683512</v>
      </c>
      <c r="BO183" s="263">
        <f t="shared" si="778"/>
        <v>701.57292659675875</v>
      </c>
      <c r="BP183" s="263">
        <f t="shared" si="778"/>
        <v>612.20209723546236</v>
      </c>
      <c r="BQ183" s="263">
        <f t="shared" si="778"/>
        <v>184.4137273593899</v>
      </c>
      <c r="BR183" s="263">
        <f t="shared" si="778"/>
        <v>227.9075309818875</v>
      </c>
      <c r="BS183" s="263">
        <f t="shared" si="778"/>
        <v>236.84461391801716</v>
      </c>
      <c r="BT183" s="282">
        <f t="shared" si="735"/>
        <v>3611.9161105815065</v>
      </c>
      <c r="BU183" s="266"/>
      <c r="BV183" s="263">
        <f t="shared" si="779"/>
        <v>87.297426120114395</v>
      </c>
      <c r="BW183" s="263">
        <f t="shared" si="779"/>
        <v>5.0762631077216396</v>
      </c>
      <c r="BX183" s="263">
        <f t="shared" si="779"/>
        <v>15.204957102001906</v>
      </c>
      <c r="BY183" s="263">
        <f t="shared" si="779"/>
        <v>5.0762631077216396</v>
      </c>
      <c r="BZ183" s="263">
        <f t="shared" si="779"/>
        <v>5.0762631077216396</v>
      </c>
      <c r="CA183" s="263">
        <f t="shared" si="779"/>
        <v>5.0762631077216396</v>
      </c>
      <c r="CB183" s="263">
        <f t="shared" si="779"/>
        <v>5.0762631077216396</v>
      </c>
      <c r="CC183" s="263">
        <f t="shared" si="779"/>
        <v>64.656816015252616</v>
      </c>
      <c r="CD183" s="263">
        <f t="shared" si="779"/>
        <v>40.824594852240224</v>
      </c>
      <c r="CE183" s="263">
        <f t="shared" si="779"/>
        <v>13.417540514775977</v>
      </c>
      <c r="CF183" s="263">
        <f t="shared" si="779"/>
        <v>15.204957102001906</v>
      </c>
      <c r="CG183" s="263">
        <f t="shared" si="779"/>
        <v>15.800762631077216</v>
      </c>
      <c r="CH183" s="282">
        <f t="shared" si="737"/>
        <v>277.78836987607241</v>
      </c>
      <c r="CI183" s="266"/>
      <c r="CJ183" s="263">
        <f t="shared" si="780"/>
        <v>763.56053384175402</v>
      </c>
      <c r="CK183" s="263">
        <f t="shared" si="780"/>
        <v>55.743565300285987</v>
      </c>
      <c r="CL183" s="263">
        <f t="shared" si="780"/>
        <v>167.15919923736891</v>
      </c>
      <c r="CM183" s="263">
        <f t="shared" si="780"/>
        <v>55.743565300285987</v>
      </c>
      <c r="CN183" s="263">
        <f t="shared" si="780"/>
        <v>55.743565300285987</v>
      </c>
      <c r="CO183" s="263">
        <f t="shared" si="780"/>
        <v>55.743565300285987</v>
      </c>
      <c r="CP183" s="263">
        <f t="shared" si="780"/>
        <v>55.743565300285987</v>
      </c>
      <c r="CQ183" s="263">
        <f t="shared" si="780"/>
        <v>514.51382268827456</v>
      </c>
      <c r="CR183" s="263">
        <f t="shared" si="780"/>
        <v>448.97521448999044</v>
      </c>
      <c r="CS183" s="263">
        <f t="shared" si="780"/>
        <v>147.49761677788371</v>
      </c>
      <c r="CT183" s="263">
        <f t="shared" si="780"/>
        <v>167.15919923736891</v>
      </c>
      <c r="CU183" s="263">
        <f t="shared" si="780"/>
        <v>173.71306005719734</v>
      </c>
      <c r="CV183" s="282">
        <f t="shared" si="739"/>
        <v>2661.2964728312677</v>
      </c>
      <c r="CW183" s="266"/>
      <c r="CX183" s="263">
        <f t="shared" si="781"/>
        <v>2039.7759771210676</v>
      </c>
      <c r="CY183" s="263">
        <f t="shared" si="781"/>
        <v>146.9018112488084</v>
      </c>
      <c r="CZ183" s="263">
        <f t="shared" si="781"/>
        <v>440.63393708293614</v>
      </c>
      <c r="DA183" s="263">
        <f t="shared" si="781"/>
        <v>146.9018112488084</v>
      </c>
      <c r="DB183" s="263">
        <f t="shared" si="781"/>
        <v>146.9018112488084</v>
      </c>
      <c r="DC183" s="263">
        <f t="shared" si="781"/>
        <v>146.9018112488084</v>
      </c>
      <c r="DD183" s="263">
        <f t="shared" si="781"/>
        <v>146.9018112488084</v>
      </c>
      <c r="DE183" s="263">
        <f t="shared" si="781"/>
        <v>1383.1982840800763</v>
      </c>
      <c r="DF183" s="263">
        <f t="shared" si="781"/>
        <v>1183.6034318398474</v>
      </c>
      <c r="DG183" s="263">
        <f t="shared" si="781"/>
        <v>388.79885605338416</v>
      </c>
      <c r="DH183" s="263">
        <f t="shared" si="781"/>
        <v>440.63393708293614</v>
      </c>
      <c r="DI183" s="263">
        <f t="shared" si="781"/>
        <v>457.91229742612012</v>
      </c>
      <c r="DJ183" s="282">
        <f t="shared" si="741"/>
        <v>7069.0657769304098</v>
      </c>
      <c r="DK183" s="266"/>
      <c r="DL183" s="263">
        <f t="shared" si="782"/>
        <v>1952.4785510009533</v>
      </c>
      <c r="DM183" s="263">
        <f t="shared" si="782"/>
        <v>141.82554814108676</v>
      </c>
      <c r="DN183" s="263">
        <f t="shared" si="782"/>
        <v>425.42897998093423</v>
      </c>
      <c r="DO183" s="263">
        <f t="shared" si="782"/>
        <v>141.82554814108676</v>
      </c>
      <c r="DP183" s="263">
        <f t="shared" si="782"/>
        <v>141.82554814108676</v>
      </c>
      <c r="DQ183" s="263">
        <f t="shared" si="782"/>
        <v>141.82554814108676</v>
      </c>
      <c r="DR183" s="263">
        <f t="shared" si="782"/>
        <v>141.82554814108676</v>
      </c>
      <c r="DS183" s="263">
        <f t="shared" si="782"/>
        <v>1318.5414680648237</v>
      </c>
      <c r="DT183" s="263">
        <f t="shared" si="782"/>
        <v>1142.7788369876073</v>
      </c>
      <c r="DU183" s="263">
        <f t="shared" si="782"/>
        <v>358.69876072449949</v>
      </c>
      <c r="DV183" s="263">
        <f t="shared" si="782"/>
        <v>425.42897998093423</v>
      </c>
      <c r="DW183" s="263">
        <f t="shared" si="782"/>
        <v>442.11153479504287</v>
      </c>
      <c r="DX183" s="282">
        <f t="shared" si="743"/>
        <v>6774.5948522402286</v>
      </c>
      <c r="DY183" s="266"/>
      <c r="DZ183" s="263">
        <f t="shared" si="783"/>
        <v>69.423260247855097</v>
      </c>
      <c r="EA183" s="263">
        <f t="shared" si="783"/>
        <v>5.0762631077216396</v>
      </c>
      <c r="EB183" s="263">
        <f t="shared" si="783"/>
        <v>15.204957102001906</v>
      </c>
      <c r="EC183" s="263">
        <f t="shared" si="783"/>
        <v>5.0762631077216396</v>
      </c>
      <c r="ED183" s="263">
        <f t="shared" si="783"/>
        <v>5.0762631077216396</v>
      </c>
      <c r="EE183" s="263">
        <f t="shared" si="783"/>
        <v>5.0762631077216396</v>
      </c>
      <c r="EF183" s="263">
        <f t="shared" si="783"/>
        <v>5.0762631077216396</v>
      </c>
      <c r="EG183" s="263">
        <f t="shared" si="783"/>
        <v>46.782650142993326</v>
      </c>
      <c r="EH183" s="263">
        <f t="shared" si="783"/>
        <v>40.824594852240224</v>
      </c>
      <c r="EI183" s="263">
        <f t="shared" si="783"/>
        <v>13.417540514775977</v>
      </c>
      <c r="EJ183" s="263">
        <f t="shared" si="783"/>
        <v>15.204957102001906</v>
      </c>
      <c r="EK183" s="263">
        <f t="shared" si="783"/>
        <v>15.800762631077216</v>
      </c>
      <c r="EL183" s="282">
        <f t="shared" si="745"/>
        <v>242.04003813155387</v>
      </c>
      <c r="EM183" s="266"/>
      <c r="EN183" s="263">
        <f t="shared" si="784"/>
        <v>138.84652049571019</v>
      </c>
      <c r="EO183" s="263">
        <f t="shared" si="784"/>
        <v>10.152526215443279</v>
      </c>
      <c r="EP183" s="263">
        <f t="shared" si="784"/>
        <v>30.409914204003812</v>
      </c>
      <c r="EQ183" s="263">
        <f t="shared" si="784"/>
        <v>10.152526215443279</v>
      </c>
      <c r="ER183" s="263">
        <f t="shared" si="784"/>
        <v>10.152526215443279</v>
      </c>
      <c r="ES183" s="263">
        <f t="shared" si="784"/>
        <v>10.152526215443279</v>
      </c>
      <c r="ET183" s="263">
        <f t="shared" si="784"/>
        <v>10.152526215443279</v>
      </c>
      <c r="EU183" s="263">
        <f t="shared" si="784"/>
        <v>93.565300285986652</v>
      </c>
      <c r="EV183" s="263">
        <f t="shared" si="784"/>
        <v>81.649189704480449</v>
      </c>
      <c r="EW183" s="263">
        <f t="shared" si="784"/>
        <v>26.835081029551954</v>
      </c>
      <c r="EX183" s="263">
        <f t="shared" si="784"/>
        <v>30.409914204003812</v>
      </c>
      <c r="EY183" s="263">
        <f t="shared" si="784"/>
        <v>31.601525262154432</v>
      </c>
      <c r="EZ183" s="282">
        <f t="shared" si="747"/>
        <v>484.08007626310774</v>
      </c>
      <c r="FA183" s="266"/>
      <c r="FB183" s="263">
        <f t="shared" si="785"/>
        <v>69.423260247855097</v>
      </c>
      <c r="FC183" s="263">
        <f t="shared" si="785"/>
        <v>5.0762631077216396</v>
      </c>
      <c r="FD183" s="263">
        <f t="shared" si="785"/>
        <v>15.204957102001906</v>
      </c>
      <c r="FE183" s="263">
        <f t="shared" si="785"/>
        <v>5.0762631077216396</v>
      </c>
      <c r="FF183" s="263">
        <f t="shared" si="785"/>
        <v>5.0762631077216396</v>
      </c>
      <c r="FG183" s="263">
        <f t="shared" si="785"/>
        <v>5.0762631077216396</v>
      </c>
      <c r="FH183" s="263">
        <f t="shared" si="785"/>
        <v>5.0762631077216396</v>
      </c>
      <c r="FI183" s="263">
        <f t="shared" si="785"/>
        <v>46.782650142993326</v>
      </c>
      <c r="FJ183" s="263">
        <f t="shared" si="785"/>
        <v>40.824594852240224</v>
      </c>
      <c r="FK183" s="263">
        <f t="shared" si="785"/>
        <v>13.417540514775977</v>
      </c>
      <c r="FL183" s="263">
        <f t="shared" si="785"/>
        <v>15.204957102001906</v>
      </c>
      <c r="FM183" s="263">
        <f t="shared" si="785"/>
        <v>15.800762631077216</v>
      </c>
      <c r="FN183" s="282">
        <f t="shared" si="749"/>
        <v>242.04003813155387</v>
      </c>
      <c r="FO183" s="266"/>
      <c r="FP183" s="263">
        <f t="shared" si="786"/>
        <v>555.3384175405148</v>
      </c>
      <c r="FQ183" s="263">
        <f t="shared" si="786"/>
        <v>40.562440419447093</v>
      </c>
      <c r="FR183" s="263">
        <f t="shared" si="786"/>
        <v>121.59199237368922</v>
      </c>
      <c r="FS183" s="263">
        <f t="shared" si="786"/>
        <v>40.562440419447093</v>
      </c>
      <c r="FT183" s="263">
        <f t="shared" si="786"/>
        <v>40.562440419447093</v>
      </c>
      <c r="FU183" s="263">
        <f t="shared" si="786"/>
        <v>40.562440419447093</v>
      </c>
      <c r="FV183" s="263">
        <f t="shared" si="786"/>
        <v>40.562440419447093</v>
      </c>
      <c r="FW183" s="263">
        <f t="shared" si="786"/>
        <v>374.21353670162057</v>
      </c>
      <c r="FX183" s="263">
        <f t="shared" si="786"/>
        <v>326.54909437559581</v>
      </c>
      <c r="FY183" s="263">
        <f t="shared" si="786"/>
        <v>107.29265967588179</v>
      </c>
      <c r="FZ183" s="263">
        <f t="shared" si="786"/>
        <v>121.59199237368922</v>
      </c>
      <c r="GA183" s="263">
        <f t="shared" si="786"/>
        <v>126.3584366062917</v>
      </c>
      <c r="GB183" s="282">
        <f t="shared" si="751"/>
        <v>1935.7483317445185</v>
      </c>
      <c r="GC183" s="266"/>
      <c r="GD183" s="263">
        <f t="shared" si="787"/>
        <v>0</v>
      </c>
      <c r="GE183" s="263">
        <f t="shared" si="787"/>
        <v>0</v>
      </c>
      <c r="GF183" s="263">
        <f t="shared" si="787"/>
        <v>0</v>
      </c>
      <c r="GG183" s="263">
        <f t="shared" si="787"/>
        <v>0</v>
      </c>
      <c r="GH183" s="263">
        <f t="shared" si="787"/>
        <v>0</v>
      </c>
      <c r="GI183" s="263">
        <f t="shared" si="787"/>
        <v>0</v>
      </c>
      <c r="GJ183" s="263">
        <f t="shared" si="787"/>
        <v>0</v>
      </c>
      <c r="GK183" s="263">
        <f t="shared" si="787"/>
        <v>0</v>
      </c>
      <c r="GL183" s="263">
        <f t="shared" si="787"/>
        <v>0</v>
      </c>
      <c r="GM183" s="263">
        <f t="shared" si="787"/>
        <v>0</v>
      </c>
      <c r="GN183" s="263">
        <f t="shared" si="787"/>
        <v>0</v>
      </c>
      <c r="GO183" s="263">
        <f t="shared" si="787"/>
        <v>0</v>
      </c>
      <c r="GP183" s="282">
        <f t="shared" si="753"/>
        <v>0</v>
      </c>
      <c r="GQ183" s="266"/>
      <c r="GR183" s="263">
        <f t="shared" si="788"/>
        <v>-1440.4327083937371</v>
      </c>
      <c r="GS183" s="263">
        <f t="shared" si="788"/>
        <v>-1440.4327083937371</v>
      </c>
      <c r="GT183" s="263">
        <f t="shared" si="788"/>
        <v>-1440.4327083937371</v>
      </c>
      <c r="GU183" s="263">
        <f t="shared" si="788"/>
        <v>-1440.4327083937371</v>
      </c>
      <c r="GV183" s="263">
        <f t="shared" si="788"/>
        <v>-1440.4327083937371</v>
      </c>
      <c r="GW183" s="263">
        <f t="shared" si="788"/>
        <v>-1440.4327083937371</v>
      </c>
      <c r="GX183" s="263">
        <f t="shared" si="788"/>
        <v>-1440.4327083937371</v>
      </c>
      <c r="GY183" s="263">
        <f t="shared" si="788"/>
        <v>-1440.4327083937371</v>
      </c>
      <c r="GZ183" s="263">
        <f t="shared" si="788"/>
        <v>-1440.4327083937371</v>
      </c>
      <c r="HA183" s="263">
        <f t="shared" si="788"/>
        <v>-1440.4327083937371</v>
      </c>
      <c r="HB183" s="263">
        <f t="shared" si="788"/>
        <v>-1440.4327083937371</v>
      </c>
      <c r="HC183" s="263">
        <f t="shared" si="788"/>
        <v>-1440.4327083937371</v>
      </c>
      <c r="HD183" s="282">
        <f t="shared" si="789"/>
        <v>0</v>
      </c>
      <c r="HE183" s="266"/>
      <c r="HF183" s="263">
        <f t="shared" si="790"/>
        <v>277.69304099142039</v>
      </c>
      <c r="HG183" s="263">
        <f t="shared" si="790"/>
        <v>20.305052430886558</v>
      </c>
      <c r="HH183" s="263">
        <f t="shared" si="790"/>
        <v>60.819828408007623</v>
      </c>
      <c r="HI183" s="263">
        <f t="shared" si="790"/>
        <v>20.305052430886558</v>
      </c>
      <c r="HJ183" s="263">
        <f t="shared" si="790"/>
        <v>20.305052430886558</v>
      </c>
      <c r="HK183" s="263">
        <f t="shared" si="790"/>
        <v>20.305052430886558</v>
      </c>
      <c r="HL183" s="263">
        <f t="shared" si="790"/>
        <v>20.305052430886558</v>
      </c>
      <c r="HM183" s="263">
        <f t="shared" si="790"/>
        <v>187.1306005719733</v>
      </c>
      <c r="HN183" s="263">
        <f t="shared" si="790"/>
        <v>163.2983794089609</v>
      </c>
      <c r="HO183" s="263">
        <f t="shared" si="790"/>
        <v>53.670162059103909</v>
      </c>
      <c r="HP183" s="263">
        <f t="shared" si="790"/>
        <v>60.819828408007623</v>
      </c>
      <c r="HQ183" s="263">
        <f t="shared" si="790"/>
        <v>63.203050524308864</v>
      </c>
      <c r="HR183" s="282">
        <f t="shared" si="756"/>
        <v>968.16015252621548</v>
      </c>
      <c r="HS183" s="266"/>
      <c r="HT183" s="263">
        <f t="shared" si="791"/>
        <v>69.423260247855097</v>
      </c>
      <c r="HU183" s="263">
        <f t="shared" si="791"/>
        <v>5.0762631077216396</v>
      </c>
      <c r="HV183" s="263">
        <f t="shared" si="791"/>
        <v>15.204957102001906</v>
      </c>
      <c r="HW183" s="263">
        <f t="shared" si="791"/>
        <v>5.0762631077216396</v>
      </c>
      <c r="HX183" s="263">
        <f t="shared" si="791"/>
        <v>5.0762631077216396</v>
      </c>
      <c r="HY183" s="263">
        <f t="shared" si="791"/>
        <v>5.0762631077216396</v>
      </c>
      <c r="HZ183" s="263">
        <f t="shared" si="791"/>
        <v>5.0762631077216396</v>
      </c>
      <c r="IA183" s="263">
        <f t="shared" si="791"/>
        <v>46.782650142993326</v>
      </c>
      <c r="IB183" s="263">
        <f t="shared" si="791"/>
        <v>40.824594852240224</v>
      </c>
      <c r="IC183" s="263">
        <f t="shared" si="791"/>
        <v>13.417540514775977</v>
      </c>
      <c r="ID183" s="263">
        <f t="shared" si="791"/>
        <v>15.204957102001906</v>
      </c>
      <c r="IE183" s="263">
        <f t="shared" si="791"/>
        <v>15.800762631077216</v>
      </c>
      <c r="IF183" s="282">
        <f t="shared" si="758"/>
        <v>242.04003813155387</v>
      </c>
      <c r="IG183" s="266"/>
      <c r="IH183" s="263">
        <f t="shared" si="792"/>
        <v>69.423260247855097</v>
      </c>
      <c r="II183" s="263">
        <f t="shared" si="792"/>
        <v>5.0762631077216396</v>
      </c>
      <c r="IJ183" s="263">
        <f t="shared" si="792"/>
        <v>15.204957102001906</v>
      </c>
      <c r="IK183" s="263">
        <f t="shared" si="792"/>
        <v>5.0762631077216396</v>
      </c>
      <c r="IL183" s="263">
        <f t="shared" si="792"/>
        <v>5.0762631077216396</v>
      </c>
      <c r="IM183" s="263">
        <f t="shared" si="792"/>
        <v>5.0762631077216396</v>
      </c>
      <c r="IN183" s="263">
        <f t="shared" si="792"/>
        <v>5.0762631077216396</v>
      </c>
      <c r="IO183" s="263">
        <f t="shared" si="792"/>
        <v>46.782650142993326</v>
      </c>
      <c r="IP183" s="263">
        <f t="shared" si="792"/>
        <v>40.824594852240224</v>
      </c>
      <c r="IQ183" s="263">
        <f t="shared" si="792"/>
        <v>13.417540514775977</v>
      </c>
      <c r="IR183" s="263">
        <f t="shared" si="792"/>
        <v>15.204957102001906</v>
      </c>
      <c r="IS183" s="263">
        <f t="shared" si="792"/>
        <v>15.800762631077216</v>
      </c>
      <c r="IT183" s="282">
        <f t="shared" si="760"/>
        <v>242.04003813155387</v>
      </c>
      <c r="IU183" s="266"/>
      <c r="IV183" s="263">
        <f t="shared" si="793"/>
        <v>485.91515729265967</v>
      </c>
      <c r="IW183" s="263">
        <f t="shared" si="793"/>
        <v>35.486177311725449</v>
      </c>
      <c r="IX183" s="263">
        <f t="shared" si="793"/>
        <v>106.38703527168732</v>
      </c>
      <c r="IY183" s="263">
        <f t="shared" si="793"/>
        <v>35.486177311725449</v>
      </c>
      <c r="IZ183" s="263">
        <f t="shared" si="793"/>
        <v>35.486177311725449</v>
      </c>
      <c r="JA183" s="263">
        <f t="shared" si="793"/>
        <v>35.486177311725449</v>
      </c>
      <c r="JB183" s="263">
        <f t="shared" si="793"/>
        <v>35.486177311725449</v>
      </c>
      <c r="JC183" s="263">
        <f t="shared" si="793"/>
        <v>327.43088655862726</v>
      </c>
      <c r="JD183" s="263">
        <f t="shared" si="793"/>
        <v>285.72449952335558</v>
      </c>
      <c r="JE183" s="263">
        <f t="shared" si="793"/>
        <v>93.875119161105815</v>
      </c>
      <c r="JF183" s="263">
        <f t="shared" si="793"/>
        <v>106.38703527168732</v>
      </c>
      <c r="JG183" s="263">
        <f t="shared" si="793"/>
        <v>110.55767397521448</v>
      </c>
      <c r="JH183" s="282">
        <f t="shared" si="762"/>
        <v>1693.7082936129648</v>
      </c>
      <c r="JI183" s="266"/>
      <c r="JJ183" s="263">
        <f t="shared" si="794"/>
        <v>911.32030505243085</v>
      </c>
      <c r="JK183" s="263">
        <f t="shared" si="794"/>
        <v>65.872259294566248</v>
      </c>
      <c r="JL183" s="263">
        <f t="shared" si="794"/>
        <v>197.54528122020972</v>
      </c>
      <c r="JM183" s="263">
        <f t="shared" si="794"/>
        <v>65.872259294566248</v>
      </c>
      <c r="JN183" s="263">
        <f t="shared" si="794"/>
        <v>65.872259294566248</v>
      </c>
      <c r="JO183" s="263">
        <f t="shared" si="794"/>
        <v>65.872259294566248</v>
      </c>
      <c r="JP183" s="263">
        <f t="shared" si="794"/>
        <v>65.872259294566248</v>
      </c>
      <c r="JQ183" s="263">
        <f t="shared" si="794"/>
        <v>616.99237368922786</v>
      </c>
      <c r="JR183" s="263">
        <f t="shared" si="794"/>
        <v>530.60057197330786</v>
      </c>
      <c r="JS183" s="263">
        <f t="shared" si="794"/>
        <v>140.94375595805528</v>
      </c>
      <c r="JT183" s="263">
        <f t="shared" si="794"/>
        <v>197.54528122020972</v>
      </c>
      <c r="JU183" s="263">
        <f t="shared" si="794"/>
        <v>205.29075309818876</v>
      </c>
      <c r="JV183" s="282">
        <f t="shared" si="764"/>
        <v>3129.5996186844613</v>
      </c>
      <c r="JW183" s="266"/>
      <c r="JX183" s="263">
        <f t="shared" si="795"/>
        <v>347.06863679694948</v>
      </c>
      <c r="JY183" s="263">
        <f t="shared" si="795"/>
        <v>25.333651096282171</v>
      </c>
      <c r="JZ183" s="263">
        <f t="shared" si="795"/>
        <v>75.977121067683512</v>
      </c>
      <c r="KA183" s="263">
        <f t="shared" si="795"/>
        <v>25.333651096282171</v>
      </c>
      <c r="KB183" s="263">
        <f t="shared" si="795"/>
        <v>25.333651096282171</v>
      </c>
      <c r="KC183" s="263">
        <f t="shared" si="795"/>
        <v>25.333651096282171</v>
      </c>
      <c r="KD183" s="263">
        <f t="shared" si="795"/>
        <v>25.333651096282171</v>
      </c>
      <c r="KE183" s="263">
        <f t="shared" si="795"/>
        <v>233.8655862726406</v>
      </c>
      <c r="KF183" s="263">
        <f t="shared" si="795"/>
        <v>204.07530981887513</v>
      </c>
      <c r="KG183" s="263">
        <f t="shared" si="795"/>
        <v>58.698760724499522</v>
      </c>
      <c r="KH183" s="263">
        <f t="shared" si="795"/>
        <v>75.977121067683512</v>
      </c>
      <c r="KI183" s="263">
        <f t="shared" si="795"/>
        <v>78.95614871306006</v>
      </c>
      <c r="KJ183" s="282">
        <f t="shared" si="766"/>
        <v>1201.2869399428027</v>
      </c>
      <c r="KK183" s="266"/>
      <c r="KL183" s="263">
        <f t="shared" si="796"/>
        <v>138.8346043851287</v>
      </c>
      <c r="KM183" s="263">
        <f t="shared" si="796"/>
        <v>10.140610104861773</v>
      </c>
      <c r="KN183" s="263">
        <f t="shared" si="796"/>
        <v>30.397998093422306</v>
      </c>
      <c r="KO183" s="263">
        <f t="shared" si="796"/>
        <v>10.140610104861773</v>
      </c>
      <c r="KP183" s="263">
        <f t="shared" si="796"/>
        <v>10.140610104861773</v>
      </c>
      <c r="KQ183" s="263">
        <f t="shared" si="796"/>
        <v>10.140610104861773</v>
      </c>
      <c r="KR183" s="263">
        <f t="shared" si="796"/>
        <v>10.140610104861773</v>
      </c>
      <c r="KS183" s="263">
        <f t="shared" si="796"/>
        <v>93.553384175405142</v>
      </c>
      <c r="KT183" s="263">
        <f t="shared" si="796"/>
        <v>81.637273593898954</v>
      </c>
      <c r="KU183" s="263">
        <f t="shared" si="796"/>
        <v>26.823164918970448</v>
      </c>
      <c r="KV183" s="263">
        <f t="shared" si="796"/>
        <v>30.397998093422306</v>
      </c>
      <c r="KW183" s="263">
        <f t="shared" si="796"/>
        <v>31.589609151572926</v>
      </c>
      <c r="KX183" s="282">
        <f t="shared" si="768"/>
        <v>483.93708293612963</v>
      </c>
      <c r="KY183" s="266"/>
      <c r="KZ183" s="263">
        <f t="shared" si="797"/>
        <v>69.411344137273588</v>
      </c>
      <c r="LA183" s="263">
        <f t="shared" si="797"/>
        <v>5.0643469971401336</v>
      </c>
      <c r="LB183" s="263">
        <f t="shared" si="797"/>
        <v>15.1930409914204</v>
      </c>
      <c r="LC183" s="263">
        <f t="shared" si="797"/>
        <v>5.0643469971401336</v>
      </c>
      <c r="LD183" s="263">
        <f t="shared" si="797"/>
        <v>5.0643469971401336</v>
      </c>
      <c r="LE183" s="263">
        <f t="shared" si="797"/>
        <v>5.0643469971401336</v>
      </c>
      <c r="LF183" s="263">
        <f t="shared" si="797"/>
        <v>5.0643469971401336</v>
      </c>
      <c r="LG183" s="263">
        <f t="shared" si="797"/>
        <v>46.770734032411816</v>
      </c>
      <c r="LH183" s="263">
        <f t="shared" si="797"/>
        <v>40.812678741658722</v>
      </c>
      <c r="LI183" s="263">
        <f t="shared" si="797"/>
        <v>13.405624404194471</v>
      </c>
      <c r="LJ183" s="263">
        <f t="shared" si="797"/>
        <v>15.1930409914204</v>
      </c>
      <c r="LK183" s="263">
        <f t="shared" si="797"/>
        <v>15.78884652049571</v>
      </c>
      <c r="LL183" s="282">
        <f t="shared" si="770"/>
        <v>241.89704480457578</v>
      </c>
      <c r="LM183" s="266"/>
      <c r="LN183" s="263">
        <v>0</v>
      </c>
      <c r="LO183" s="264">
        <v>0</v>
      </c>
      <c r="LP183" s="265">
        <v>0</v>
      </c>
      <c r="LQ183" s="265">
        <v>0</v>
      </c>
      <c r="LR183" s="265">
        <v>0</v>
      </c>
      <c r="LS183" s="265">
        <v>0</v>
      </c>
      <c r="LT183" s="265">
        <v>0</v>
      </c>
      <c r="LU183" s="265">
        <v>0</v>
      </c>
      <c r="LV183" s="265">
        <v>0</v>
      </c>
      <c r="LW183" s="265">
        <v>0</v>
      </c>
      <c r="LX183" s="265">
        <v>0</v>
      </c>
      <c r="LY183" s="265">
        <v>0</v>
      </c>
      <c r="LZ183" s="282">
        <f t="shared" si="771"/>
        <v>0</v>
      </c>
      <c r="MA183" s="266"/>
      <c r="MB183" s="282">
        <f t="shared" si="772"/>
        <v>10283.66166720207</v>
      </c>
      <c r="MC183" s="282">
        <f t="shared" si="772"/>
        <v>-589.19343289326059</v>
      </c>
      <c r="MD183" s="282">
        <f t="shared" si="772"/>
        <v>1112.4271581458243</v>
      </c>
      <c r="ME183" s="282">
        <f t="shared" si="772"/>
        <v>-589.19343289326059</v>
      </c>
      <c r="MF183" s="282">
        <f t="shared" si="772"/>
        <v>-589.19343289326059</v>
      </c>
      <c r="MG183" s="282">
        <f t="shared" si="772"/>
        <v>-589.19343289326059</v>
      </c>
      <c r="MH183" s="282">
        <f t="shared" si="772"/>
        <v>-589.19343289326059</v>
      </c>
      <c r="MI183" s="282">
        <f t="shared" si="772"/>
        <v>6480.0391695852923</v>
      </c>
      <c r="MJ183" s="282">
        <f t="shared" si="772"/>
        <v>5416.5263001858602</v>
      </c>
      <c r="MK183" s="282">
        <f t="shared" si="772"/>
        <v>728.72839742132487</v>
      </c>
      <c r="ML183" s="282">
        <f t="shared" si="772"/>
        <v>1112.4271581458243</v>
      </c>
      <c r="MM183" s="282">
        <f t="shared" si="772"/>
        <v>1212.5224870304767</v>
      </c>
      <c r="MN183" s="282">
        <f t="shared" si="773"/>
        <v>23400.365173250371</v>
      </c>
    </row>
    <row r="184" spans="1:352" x14ac:dyDescent="0.25">
      <c r="A184" s="262"/>
      <c r="B184" s="64" t="s">
        <v>60</v>
      </c>
      <c r="C184" s="202"/>
      <c r="D184" s="263">
        <f t="shared" si="774"/>
        <v>285.35510009532885</v>
      </c>
      <c r="E184" s="263">
        <f t="shared" si="726"/>
        <v>285.35510009532885</v>
      </c>
      <c r="F184" s="263">
        <f t="shared" si="726"/>
        <v>285.35510009532885</v>
      </c>
      <c r="G184" s="263">
        <f t="shared" si="726"/>
        <v>285.35510009532885</v>
      </c>
      <c r="H184" s="263">
        <f t="shared" si="726"/>
        <v>285.35510009532885</v>
      </c>
      <c r="I184" s="263">
        <f t="shared" si="726"/>
        <v>285.35510009532885</v>
      </c>
      <c r="J184" s="263">
        <f t="shared" si="726"/>
        <v>285.35510009532885</v>
      </c>
      <c r="K184" s="263">
        <f t="shared" si="726"/>
        <v>285.35510009532885</v>
      </c>
      <c r="L184" s="263">
        <f t="shared" si="726"/>
        <v>285.35510009532885</v>
      </c>
      <c r="M184" s="263">
        <f t="shared" si="726"/>
        <v>285.35510009532885</v>
      </c>
      <c r="N184" s="263">
        <f t="shared" si="726"/>
        <v>285.35510009532885</v>
      </c>
      <c r="O184" s="263">
        <f t="shared" si="726"/>
        <v>285.35510009532885</v>
      </c>
      <c r="P184" s="282">
        <f t="shared" si="727"/>
        <v>3424.2612011439464</v>
      </c>
      <c r="Q184" s="266"/>
      <c r="R184" s="263">
        <f t="shared" si="775"/>
        <v>23.09342230695901</v>
      </c>
      <c r="S184" s="263">
        <f t="shared" si="775"/>
        <v>23.09342230695901</v>
      </c>
      <c r="T184" s="263">
        <f t="shared" si="775"/>
        <v>23.09342230695901</v>
      </c>
      <c r="U184" s="263">
        <f t="shared" si="775"/>
        <v>23.09342230695901</v>
      </c>
      <c r="V184" s="263">
        <f t="shared" si="775"/>
        <v>23.09342230695901</v>
      </c>
      <c r="W184" s="263">
        <f t="shared" si="775"/>
        <v>23.09342230695901</v>
      </c>
      <c r="X184" s="263">
        <f t="shared" si="775"/>
        <v>23.09342230695901</v>
      </c>
      <c r="Y184" s="263">
        <f t="shared" si="775"/>
        <v>23.09342230695901</v>
      </c>
      <c r="Z184" s="263">
        <f t="shared" si="775"/>
        <v>23.09342230695901</v>
      </c>
      <c r="AA184" s="263">
        <f t="shared" si="775"/>
        <v>23.09342230695901</v>
      </c>
      <c r="AB184" s="263">
        <f t="shared" si="775"/>
        <v>23.09342230695901</v>
      </c>
      <c r="AC184" s="263">
        <f t="shared" si="775"/>
        <v>23.09342230695901</v>
      </c>
      <c r="AD184" s="282">
        <f t="shared" si="729"/>
        <v>277.1210676835081</v>
      </c>
      <c r="AE184" s="266"/>
      <c r="AF184" s="263">
        <f t="shared" si="776"/>
        <v>23.260247855100094</v>
      </c>
      <c r="AG184" s="263">
        <f t="shared" si="776"/>
        <v>23.260247855100094</v>
      </c>
      <c r="AH184" s="263">
        <f t="shared" si="776"/>
        <v>23.260247855100094</v>
      </c>
      <c r="AI184" s="263">
        <f t="shared" si="776"/>
        <v>23.260247855100094</v>
      </c>
      <c r="AJ184" s="263">
        <f t="shared" si="776"/>
        <v>23.260247855100094</v>
      </c>
      <c r="AK184" s="263">
        <f t="shared" si="776"/>
        <v>23.260247855100094</v>
      </c>
      <c r="AL184" s="263">
        <f t="shared" si="776"/>
        <v>23.260247855100094</v>
      </c>
      <c r="AM184" s="263">
        <f t="shared" si="776"/>
        <v>23.260247855100094</v>
      </c>
      <c r="AN184" s="263">
        <f t="shared" si="776"/>
        <v>23.260247855100094</v>
      </c>
      <c r="AO184" s="263">
        <f t="shared" si="776"/>
        <v>23.260247855100094</v>
      </c>
      <c r="AP184" s="263">
        <f t="shared" si="776"/>
        <v>23.260247855100094</v>
      </c>
      <c r="AQ184" s="263">
        <f t="shared" si="776"/>
        <v>23.260247855100094</v>
      </c>
      <c r="AR184" s="282">
        <f t="shared" si="731"/>
        <v>279.12297426120114</v>
      </c>
      <c r="AS184" s="266"/>
      <c r="AT184" s="263">
        <f t="shared" si="777"/>
        <v>72.759771210676831</v>
      </c>
      <c r="AU184" s="263">
        <f t="shared" si="777"/>
        <v>72.759771210676831</v>
      </c>
      <c r="AV184" s="263">
        <f t="shared" si="777"/>
        <v>72.759771210676831</v>
      </c>
      <c r="AW184" s="263">
        <f t="shared" si="777"/>
        <v>72.759771210676831</v>
      </c>
      <c r="AX184" s="263">
        <f t="shared" si="777"/>
        <v>72.759771210676831</v>
      </c>
      <c r="AY184" s="263">
        <f t="shared" si="777"/>
        <v>72.759771210676831</v>
      </c>
      <c r="AZ184" s="263">
        <f t="shared" si="777"/>
        <v>72.759771210676831</v>
      </c>
      <c r="BA184" s="263">
        <f t="shared" si="777"/>
        <v>72.759771210676831</v>
      </c>
      <c r="BB184" s="263">
        <f t="shared" si="777"/>
        <v>72.759771210676831</v>
      </c>
      <c r="BC184" s="263">
        <f t="shared" si="777"/>
        <v>72.759771210676831</v>
      </c>
      <c r="BD184" s="263">
        <f t="shared" si="777"/>
        <v>72.759771210676831</v>
      </c>
      <c r="BE184" s="263">
        <f t="shared" si="777"/>
        <v>72.759771210676831</v>
      </c>
      <c r="BF184" s="282">
        <f t="shared" si="733"/>
        <v>873.11725452812198</v>
      </c>
      <c r="BG184" s="224"/>
      <c r="BH184" s="263">
        <f t="shared" si="778"/>
        <v>417.49285033365106</v>
      </c>
      <c r="BI184" s="263">
        <f t="shared" si="778"/>
        <v>417.49285033365106</v>
      </c>
      <c r="BJ184" s="263">
        <f t="shared" si="778"/>
        <v>417.49285033365106</v>
      </c>
      <c r="BK184" s="263">
        <f t="shared" si="778"/>
        <v>417.49285033365106</v>
      </c>
      <c r="BL184" s="263">
        <f t="shared" si="778"/>
        <v>417.49285033365106</v>
      </c>
      <c r="BM184" s="263">
        <f t="shared" si="778"/>
        <v>417.49285033365106</v>
      </c>
      <c r="BN184" s="263">
        <f t="shared" si="778"/>
        <v>417.49285033365106</v>
      </c>
      <c r="BO184" s="263">
        <f t="shared" si="778"/>
        <v>417.49285033365106</v>
      </c>
      <c r="BP184" s="263">
        <f t="shared" si="778"/>
        <v>417.49285033365106</v>
      </c>
      <c r="BQ184" s="263">
        <f t="shared" si="778"/>
        <v>417.49285033365106</v>
      </c>
      <c r="BR184" s="263">
        <f t="shared" si="778"/>
        <v>417.49285033365106</v>
      </c>
      <c r="BS184" s="263">
        <f t="shared" si="778"/>
        <v>417.49285033365106</v>
      </c>
      <c r="BT184" s="282">
        <f t="shared" si="735"/>
        <v>5009.9142040038132</v>
      </c>
      <c r="BU184" s="266"/>
      <c r="BV184" s="263">
        <f t="shared" si="779"/>
        <v>65.097712106768356</v>
      </c>
      <c r="BW184" s="263">
        <f t="shared" si="779"/>
        <v>65.097712106768356</v>
      </c>
      <c r="BX184" s="263">
        <f t="shared" si="779"/>
        <v>65.097712106768356</v>
      </c>
      <c r="BY184" s="263">
        <f t="shared" si="779"/>
        <v>65.097712106768356</v>
      </c>
      <c r="BZ184" s="263">
        <f t="shared" si="779"/>
        <v>65.097712106768356</v>
      </c>
      <c r="CA184" s="263">
        <f t="shared" si="779"/>
        <v>65.097712106768356</v>
      </c>
      <c r="CB184" s="263">
        <f t="shared" si="779"/>
        <v>65.097712106768356</v>
      </c>
      <c r="CC184" s="263">
        <f t="shared" si="779"/>
        <v>65.097712106768356</v>
      </c>
      <c r="CD184" s="263">
        <f t="shared" si="779"/>
        <v>65.097712106768356</v>
      </c>
      <c r="CE184" s="263">
        <f t="shared" si="779"/>
        <v>65.097712106768356</v>
      </c>
      <c r="CF184" s="263">
        <f t="shared" si="779"/>
        <v>65.097712106768356</v>
      </c>
      <c r="CG184" s="263">
        <f t="shared" si="779"/>
        <v>65.097712106768356</v>
      </c>
      <c r="CH184" s="282">
        <f t="shared" si="737"/>
        <v>781.1725452812201</v>
      </c>
      <c r="CI184" s="266"/>
      <c r="CJ184" s="263">
        <f t="shared" si="780"/>
        <v>168.56530028598664</v>
      </c>
      <c r="CK184" s="263">
        <f t="shared" si="780"/>
        <v>168.56530028598664</v>
      </c>
      <c r="CL184" s="263">
        <f t="shared" si="780"/>
        <v>168.56530028598664</v>
      </c>
      <c r="CM184" s="263">
        <f t="shared" si="780"/>
        <v>168.56530028598664</v>
      </c>
      <c r="CN184" s="263">
        <f t="shared" si="780"/>
        <v>168.56530028598664</v>
      </c>
      <c r="CO184" s="263">
        <f t="shared" si="780"/>
        <v>168.56530028598664</v>
      </c>
      <c r="CP184" s="263">
        <f t="shared" si="780"/>
        <v>168.56530028598664</v>
      </c>
      <c r="CQ184" s="263">
        <f t="shared" si="780"/>
        <v>168.56530028598664</v>
      </c>
      <c r="CR184" s="263">
        <f t="shared" si="780"/>
        <v>168.56530028598664</v>
      </c>
      <c r="CS184" s="263">
        <f t="shared" si="780"/>
        <v>168.56530028598664</v>
      </c>
      <c r="CT184" s="263">
        <f t="shared" si="780"/>
        <v>168.56530028598664</v>
      </c>
      <c r="CU184" s="263">
        <f t="shared" si="780"/>
        <v>168.56530028598664</v>
      </c>
      <c r="CV184" s="282">
        <f t="shared" si="739"/>
        <v>2022.78360343184</v>
      </c>
      <c r="CW184" s="266"/>
      <c r="CX184" s="263">
        <f t="shared" si="781"/>
        <v>373.58198284080078</v>
      </c>
      <c r="CY184" s="263">
        <f t="shared" si="781"/>
        <v>373.58198284080078</v>
      </c>
      <c r="CZ184" s="263">
        <f t="shared" si="781"/>
        <v>373.58198284080078</v>
      </c>
      <c r="DA184" s="263">
        <f t="shared" si="781"/>
        <v>373.58198284080078</v>
      </c>
      <c r="DB184" s="263">
        <f t="shared" si="781"/>
        <v>373.58198284080078</v>
      </c>
      <c r="DC184" s="263">
        <f t="shared" si="781"/>
        <v>373.58198284080078</v>
      </c>
      <c r="DD184" s="263">
        <f t="shared" si="781"/>
        <v>373.58198284080078</v>
      </c>
      <c r="DE184" s="263">
        <f t="shared" si="781"/>
        <v>373.58198284080078</v>
      </c>
      <c r="DF184" s="263">
        <f t="shared" si="781"/>
        <v>373.58198284080078</v>
      </c>
      <c r="DG184" s="263">
        <f t="shared" si="781"/>
        <v>373.58198284080078</v>
      </c>
      <c r="DH184" s="263">
        <f t="shared" si="781"/>
        <v>373.58198284080078</v>
      </c>
      <c r="DI184" s="263">
        <f t="shared" si="781"/>
        <v>373.58198284080078</v>
      </c>
      <c r="DJ184" s="282">
        <f t="shared" si="741"/>
        <v>4482.9837940896095</v>
      </c>
      <c r="DK184" s="266"/>
      <c r="DL184" s="263">
        <f t="shared" si="782"/>
        <v>217.7192564346997</v>
      </c>
      <c r="DM184" s="263">
        <f t="shared" si="782"/>
        <v>217.7192564346997</v>
      </c>
      <c r="DN184" s="263">
        <f t="shared" si="782"/>
        <v>217.7192564346997</v>
      </c>
      <c r="DO184" s="263">
        <f t="shared" si="782"/>
        <v>217.7192564346997</v>
      </c>
      <c r="DP184" s="263">
        <f t="shared" si="782"/>
        <v>217.7192564346997</v>
      </c>
      <c r="DQ184" s="263">
        <f t="shared" si="782"/>
        <v>217.7192564346997</v>
      </c>
      <c r="DR184" s="263">
        <f t="shared" si="782"/>
        <v>217.7192564346997</v>
      </c>
      <c r="DS184" s="263">
        <f t="shared" si="782"/>
        <v>217.7192564346997</v>
      </c>
      <c r="DT184" s="263">
        <f t="shared" si="782"/>
        <v>217.7192564346997</v>
      </c>
      <c r="DU184" s="263">
        <f t="shared" si="782"/>
        <v>217.7192564346997</v>
      </c>
      <c r="DV184" s="263">
        <f t="shared" si="782"/>
        <v>217.7192564346997</v>
      </c>
      <c r="DW184" s="263">
        <f t="shared" si="782"/>
        <v>217.7192564346997</v>
      </c>
      <c r="DX184" s="282">
        <f t="shared" si="743"/>
        <v>2612.6310772163965</v>
      </c>
      <c r="DY184" s="266"/>
      <c r="DZ184" s="263">
        <f t="shared" si="783"/>
        <v>35.283603431839843</v>
      </c>
      <c r="EA184" s="263">
        <f t="shared" si="783"/>
        <v>35.283603431839843</v>
      </c>
      <c r="EB184" s="263">
        <f t="shared" si="783"/>
        <v>35.283603431839843</v>
      </c>
      <c r="EC184" s="263">
        <f t="shared" si="783"/>
        <v>35.283603431839843</v>
      </c>
      <c r="ED184" s="263">
        <f t="shared" si="783"/>
        <v>35.283603431839843</v>
      </c>
      <c r="EE184" s="263">
        <f t="shared" si="783"/>
        <v>35.283603431839843</v>
      </c>
      <c r="EF184" s="263">
        <f t="shared" si="783"/>
        <v>35.283603431839843</v>
      </c>
      <c r="EG184" s="263">
        <f t="shared" si="783"/>
        <v>35.283603431839843</v>
      </c>
      <c r="EH184" s="263">
        <f t="shared" si="783"/>
        <v>35.283603431839843</v>
      </c>
      <c r="EI184" s="263">
        <f t="shared" si="783"/>
        <v>35.283603431839843</v>
      </c>
      <c r="EJ184" s="263">
        <f t="shared" si="783"/>
        <v>35.283603431839843</v>
      </c>
      <c r="EK184" s="263">
        <f t="shared" si="783"/>
        <v>35.283603431839843</v>
      </c>
      <c r="EL184" s="282">
        <f t="shared" si="745"/>
        <v>423.40324118207803</v>
      </c>
      <c r="EM184" s="266"/>
      <c r="EN184" s="263">
        <f t="shared" si="784"/>
        <v>50.166825548141084</v>
      </c>
      <c r="EO184" s="263">
        <f t="shared" si="784"/>
        <v>50.166825548141084</v>
      </c>
      <c r="EP184" s="263">
        <f t="shared" si="784"/>
        <v>50.166825548141084</v>
      </c>
      <c r="EQ184" s="263">
        <f t="shared" si="784"/>
        <v>50.166825548141084</v>
      </c>
      <c r="ER184" s="263">
        <f t="shared" si="784"/>
        <v>50.166825548141084</v>
      </c>
      <c r="ES184" s="263">
        <f t="shared" si="784"/>
        <v>50.166825548141084</v>
      </c>
      <c r="ET184" s="263">
        <f t="shared" si="784"/>
        <v>50.166825548141084</v>
      </c>
      <c r="EU184" s="263">
        <f t="shared" si="784"/>
        <v>50.166825548141084</v>
      </c>
      <c r="EV184" s="263">
        <f t="shared" si="784"/>
        <v>50.166825548141084</v>
      </c>
      <c r="EW184" s="263">
        <f t="shared" si="784"/>
        <v>50.166825548141084</v>
      </c>
      <c r="EX184" s="263">
        <f t="shared" si="784"/>
        <v>50.166825548141084</v>
      </c>
      <c r="EY184" s="263">
        <f t="shared" si="784"/>
        <v>50.166825548141084</v>
      </c>
      <c r="EZ184" s="282">
        <f t="shared" si="747"/>
        <v>602.00190657769315</v>
      </c>
      <c r="FA184" s="266"/>
      <c r="FB184" s="263">
        <f t="shared" si="785"/>
        <v>8.6034318398474738</v>
      </c>
      <c r="FC184" s="263">
        <f t="shared" si="785"/>
        <v>8.6034318398474738</v>
      </c>
      <c r="FD184" s="263">
        <f t="shared" si="785"/>
        <v>8.6034318398474738</v>
      </c>
      <c r="FE184" s="263">
        <f t="shared" si="785"/>
        <v>8.6034318398474738</v>
      </c>
      <c r="FF184" s="263">
        <f t="shared" si="785"/>
        <v>8.6034318398474738</v>
      </c>
      <c r="FG184" s="263">
        <f t="shared" si="785"/>
        <v>8.6034318398474738</v>
      </c>
      <c r="FH184" s="263">
        <f t="shared" si="785"/>
        <v>8.6034318398474738</v>
      </c>
      <c r="FI184" s="263">
        <f t="shared" si="785"/>
        <v>8.6034318398474738</v>
      </c>
      <c r="FJ184" s="263">
        <f t="shared" si="785"/>
        <v>8.6034318398474738</v>
      </c>
      <c r="FK184" s="263">
        <f t="shared" si="785"/>
        <v>8.6034318398474738</v>
      </c>
      <c r="FL184" s="263">
        <f t="shared" si="785"/>
        <v>8.6034318398474738</v>
      </c>
      <c r="FM184" s="263">
        <f t="shared" si="785"/>
        <v>8.6034318398474738</v>
      </c>
      <c r="FN184" s="282">
        <f t="shared" si="749"/>
        <v>103.24118207816969</v>
      </c>
      <c r="FO184" s="266"/>
      <c r="FP184" s="263">
        <f t="shared" si="786"/>
        <v>147.25929456625357</v>
      </c>
      <c r="FQ184" s="263">
        <f t="shared" si="786"/>
        <v>147.25929456625357</v>
      </c>
      <c r="FR184" s="263">
        <f t="shared" si="786"/>
        <v>147.25929456625357</v>
      </c>
      <c r="FS184" s="263">
        <f t="shared" si="786"/>
        <v>147.25929456625357</v>
      </c>
      <c r="FT184" s="263">
        <f t="shared" si="786"/>
        <v>147.25929456625357</v>
      </c>
      <c r="FU184" s="263">
        <f t="shared" si="786"/>
        <v>147.25929456625357</v>
      </c>
      <c r="FV184" s="263">
        <f t="shared" si="786"/>
        <v>147.25929456625357</v>
      </c>
      <c r="FW184" s="263">
        <f t="shared" si="786"/>
        <v>147.25929456625357</v>
      </c>
      <c r="FX184" s="263">
        <f t="shared" si="786"/>
        <v>147.25929456625357</v>
      </c>
      <c r="FY184" s="263">
        <f t="shared" si="786"/>
        <v>147.25929456625357</v>
      </c>
      <c r="FZ184" s="263">
        <f t="shared" si="786"/>
        <v>147.25929456625357</v>
      </c>
      <c r="GA184" s="263">
        <f t="shared" si="786"/>
        <v>147.25929456625357</v>
      </c>
      <c r="GB184" s="282">
        <f t="shared" si="751"/>
        <v>1767.1115347950433</v>
      </c>
      <c r="GC184" s="266"/>
      <c r="GD184" s="263">
        <f t="shared" si="787"/>
        <v>78.408007626310777</v>
      </c>
      <c r="GE184" s="263">
        <f t="shared" si="787"/>
        <v>78.408007626310777</v>
      </c>
      <c r="GF184" s="263">
        <f t="shared" si="787"/>
        <v>78.408007626310777</v>
      </c>
      <c r="GG184" s="263">
        <f t="shared" si="787"/>
        <v>78.408007626310777</v>
      </c>
      <c r="GH184" s="263">
        <f t="shared" si="787"/>
        <v>78.408007626310777</v>
      </c>
      <c r="GI184" s="263">
        <f t="shared" si="787"/>
        <v>78.408007626310777</v>
      </c>
      <c r="GJ184" s="263">
        <f t="shared" si="787"/>
        <v>78.408007626310777</v>
      </c>
      <c r="GK184" s="263">
        <f t="shared" si="787"/>
        <v>78.408007626310777</v>
      </c>
      <c r="GL184" s="263">
        <f t="shared" si="787"/>
        <v>78.408007626310777</v>
      </c>
      <c r="GM184" s="263">
        <f t="shared" si="787"/>
        <v>78.408007626310777</v>
      </c>
      <c r="GN184" s="263">
        <f t="shared" si="787"/>
        <v>78.408007626310777</v>
      </c>
      <c r="GO184" s="263">
        <f t="shared" si="787"/>
        <v>78.408007626310777</v>
      </c>
      <c r="GP184" s="282">
        <f t="shared" si="753"/>
        <v>940.89609151572938</v>
      </c>
      <c r="GQ184" s="266"/>
      <c r="GR184" s="263">
        <f t="shared" si="788"/>
        <v>-1461.3512273574145</v>
      </c>
      <c r="GS184" s="263">
        <f t="shared" si="788"/>
        <v>-1461.3512273574145</v>
      </c>
      <c r="GT184" s="263">
        <f t="shared" si="788"/>
        <v>-1461.3512273574145</v>
      </c>
      <c r="GU184" s="263">
        <f t="shared" si="788"/>
        <v>-1461.3512273574145</v>
      </c>
      <c r="GV184" s="263">
        <f t="shared" si="788"/>
        <v>-1461.3512273574145</v>
      </c>
      <c r="GW184" s="263">
        <f t="shared" si="788"/>
        <v>-1461.3512273574145</v>
      </c>
      <c r="GX184" s="263">
        <f t="shared" si="788"/>
        <v>-1461.3512273574145</v>
      </c>
      <c r="GY184" s="263">
        <f t="shared" si="788"/>
        <v>-1461.3512273574145</v>
      </c>
      <c r="GZ184" s="263">
        <f t="shared" si="788"/>
        <v>-1461.3512273574145</v>
      </c>
      <c r="HA184" s="263">
        <f t="shared" si="788"/>
        <v>-1461.3512273574145</v>
      </c>
      <c r="HB184" s="263">
        <f t="shared" si="788"/>
        <v>-1461.3512273574145</v>
      </c>
      <c r="HC184" s="263">
        <f t="shared" si="788"/>
        <v>-1461.3512273574145</v>
      </c>
      <c r="HD184" s="282">
        <f t="shared" si="789"/>
        <v>0</v>
      </c>
      <c r="HE184" s="266"/>
      <c r="HF184" s="263">
        <f t="shared" si="790"/>
        <v>64.251668255481405</v>
      </c>
      <c r="HG184" s="263">
        <f t="shared" si="790"/>
        <v>64.251668255481405</v>
      </c>
      <c r="HH184" s="263">
        <f t="shared" si="790"/>
        <v>64.251668255481405</v>
      </c>
      <c r="HI184" s="263">
        <f t="shared" si="790"/>
        <v>64.251668255481405</v>
      </c>
      <c r="HJ184" s="263">
        <f t="shared" si="790"/>
        <v>64.251668255481405</v>
      </c>
      <c r="HK184" s="263">
        <f t="shared" si="790"/>
        <v>64.251668255481405</v>
      </c>
      <c r="HL184" s="263">
        <f t="shared" si="790"/>
        <v>64.251668255481405</v>
      </c>
      <c r="HM184" s="263">
        <f t="shared" si="790"/>
        <v>64.251668255481405</v>
      </c>
      <c r="HN184" s="263">
        <f t="shared" si="790"/>
        <v>64.251668255481405</v>
      </c>
      <c r="HO184" s="263">
        <f t="shared" si="790"/>
        <v>64.251668255481405</v>
      </c>
      <c r="HP184" s="263">
        <f t="shared" si="790"/>
        <v>64.251668255481405</v>
      </c>
      <c r="HQ184" s="263">
        <f t="shared" si="790"/>
        <v>64.251668255481405</v>
      </c>
      <c r="HR184" s="282">
        <f t="shared" si="756"/>
        <v>771.02001906577664</v>
      </c>
      <c r="HS184" s="266"/>
      <c r="HT184" s="263">
        <f t="shared" si="791"/>
        <v>16.754051477597713</v>
      </c>
      <c r="HU184" s="263">
        <f t="shared" si="791"/>
        <v>16.754051477597713</v>
      </c>
      <c r="HV184" s="263">
        <f t="shared" si="791"/>
        <v>16.754051477597713</v>
      </c>
      <c r="HW184" s="263">
        <f t="shared" si="791"/>
        <v>16.754051477597713</v>
      </c>
      <c r="HX184" s="263">
        <f t="shared" si="791"/>
        <v>16.754051477597713</v>
      </c>
      <c r="HY184" s="263">
        <f t="shared" si="791"/>
        <v>16.754051477597713</v>
      </c>
      <c r="HZ184" s="263">
        <f t="shared" si="791"/>
        <v>16.754051477597713</v>
      </c>
      <c r="IA184" s="263">
        <f t="shared" si="791"/>
        <v>16.754051477597713</v>
      </c>
      <c r="IB184" s="263">
        <f t="shared" si="791"/>
        <v>16.754051477597713</v>
      </c>
      <c r="IC184" s="263">
        <f t="shared" si="791"/>
        <v>16.754051477597713</v>
      </c>
      <c r="ID184" s="263">
        <f t="shared" si="791"/>
        <v>16.754051477597713</v>
      </c>
      <c r="IE184" s="263">
        <f t="shared" si="791"/>
        <v>16.754051477597713</v>
      </c>
      <c r="IF184" s="282">
        <f t="shared" si="758"/>
        <v>201.04861773117261</v>
      </c>
      <c r="IG184" s="266"/>
      <c r="IH184" s="263">
        <f t="shared" si="792"/>
        <v>56.101048617731173</v>
      </c>
      <c r="II184" s="263">
        <f t="shared" si="792"/>
        <v>56.101048617731173</v>
      </c>
      <c r="IJ184" s="263">
        <f t="shared" si="792"/>
        <v>56.101048617731173</v>
      </c>
      <c r="IK184" s="263">
        <f t="shared" si="792"/>
        <v>56.101048617731173</v>
      </c>
      <c r="IL184" s="263">
        <f t="shared" si="792"/>
        <v>56.101048617731173</v>
      </c>
      <c r="IM184" s="263">
        <f t="shared" si="792"/>
        <v>56.101048617731173</v>
      </c>
      <c r="IN184" s="263">
        <f t="shared" si="792"/>
        <v>56.101048617731173</v>
      </c>
      <c r="IO184" s="263">
        <f t="shared" si="792"/>
        <v>56.101048617731173</v>
      </c>
      <c r="IP184" s="263">
        <f t="shared" si="792"/>
        <v>56.101048617731173</v>
      </c>
      <c r="IQ184" s="263">
        <f t="shared" si="792"/>
        <v>56.101048617731173</v>
      </c>
      <c r="IR184" s="263">
        <f t="shared" si="792"/>
        <v>56.101048617731173</v>
      </c>
      <c r="IS184" s="263">
        <f t="shared" si="792"/>
        <v>56.101048617731173</v>
      </c>
      <c r="IT184" s="282">
        <f t="shared" si="760"/>
        <v>673.21258341277405</v>
      </c>
      <c r="IU184" s="266"/>
      <c r="IV184" s="263">
        <f t="shared" si="793"/>
        <v>162.39275500476643</v>
      </c>
      <c r="IW184" s="263">
        <f t="shared" si="793"/>
        <v>162.39275500476643</v>
      </c>
      <c r="IX184" s="263">
        <f t="shared" si="793"/>
        <v>162.39275500476643</v>
      </c>
      <c r="IY184" s="263">
        <f t="shared" si="793"/>
        <v>162.39275500476643</v>
      </c>
      <c r="IZ184" s="263">
        <f t="shared" si="793"/>
        <v>162.39275500476643</v>
      </c>
      <c r="JA184" s="263">
        <f t="shared" si="793"/>
        <v>162.39275500476643</v>
      </c>
      <c r="JB184" s="263">
        <f t="shared" si="793"/>
        <v>162.39275500476643</v>
      </c>
      <c r="JC184" s="263">
        <f t="shared" si="793"/>
        <v>162.39275500476643</v>
      </c>
      <c r="JD184" s="263">
        <f t="shared" si="793"/>
        <v>162.39275500476643</v>
      </c>
      <c r="JE184" s="263">
        <f t="shared" si="793"/>
        <v>162.39275500476643</v>
      </c>
      <c r="JF184" s="263">
        <f t="shared" si="793"/>
        <v>162.39275500476643</v>
      </c>
      <c r="JG184" s="263">
        <f t="shared" si="793"/>
        <v>162.39275500476643</v>
      </c>
      <c r="JH184" s="282">
        <f t="shared" si="762"/>
        <v>1948.7130600571975</v>
      </c>
      <c r="JI184" s="266"/>
      <c r="JJ184" s="263">
        <f t="shared" si="794"/>
        <v>219.19685414680649</v>
      </c>
      <c r="JK184" s="263">
        <f t="shared" si="794"/>
        <v>219.19685414680649</v>
      </c>
      <c r="JL184" s="263">
        <f t="shared" si="794"/>
        <v>219.19685414680649</v>
      </c>
      <c r="JM184" s="263">
        <f t="shared" si="794"/>
        <v>219.19685414680649</v>
      </c>
      <c r="JN184" s="263">
        <f t="shared" si="794"/>
        <v>219.19685414680649</v>
      </c>
      <c r="JO184" s="263">
        <f t="shared" si="794"/>
        <v>219.19685414680649</v>
      </c>
      <c r="JP184" s="263">
        <f t="shared" si="794"/>
        <v>219.19685414680649</v>
      </c>
      <c r="JQ184" s="263">
        <f t="shared" si="794"/>
        <v>219.19685414680649</v>
      </c>
      <c r="JR184" s="263">
        <f t="shared" si="794"/>
        <v>219.19685414680649</v>
      </c>
      <c r="JS184" s="263">
        <f t="shared" si="794"/>
        <v>219.19685414680649</v>
      </c>
      <c r="JT184" s="263">
        <f t="shared" si="794"/>
        <v>219.19685414680649</v>
      </c>
      <c r="JU184" s="263">
        <f t="shared" si="794"/>
        <v>219.19685414680649</v>
      </c>
      <c r="JV184" s="282">
        <f t="shared" si="764"/>
        <v>2630.362249761678</v>
      </c>
      <c r="JW184" s="266"/>
      <c r="JX184" s="263">
        <f t="shared" si="795"/>
        <v>118.39847473784556</v>
      </c>
      <c r="JY184" s="263">
        <f t="shared" si="795"/>
        <v>118.39847473784556</v>
      </c>
      <c r="JZ184" s="263">
        <f t="shared" si="795"/>
        <v>118.39847473784556</v>
      </c>
      <c r="KA184" s="263">
        <f t="shared" si="795"/>
        <v>118.39847473784556</v>
      </c>
      <c r="KB184" s="263">
        <f t="shared" si="795"/>
        <v>118.39847473784556</v>
      </c>
      <c r="KC184" s="263">
        <f t="shared" si="795"/>
        <v>118.39847473784556</v>
      </c>
      <c r="KD184" s="263">
        <f t="shared" si="795"/>
        <v>118.39847473784556</v>
      </c>
      <c r="KE184" s="263">
        <f t="shared" si="795"/>
        <v>118.39847473784556</v>
      </c>
      <c r="KF184" s="263">
        <f t="shared" si="795"/>
        <v>118.39847473784556</v>
      </c>
      <c r="KG184" s="263">
        <f t="shared" si="795"/>
        <v>118.39847473784556</v>
      </c>
      <c r="KH184" s="263">
        <f t="shared" si="795"/>
        <v>118.39847473784556</v>
      </c>
      <c r="KI184" s="263">
        <f t="shared" si="795"/>
        <v>118.39847473784556</v>
      </c>
      <c r="KJ184" s="282">
        <f t="shared" si="766"/>
        <v>1420.7816968541472</v>
      </c>
      <c r="KK184" s="266"/>
      <c r="KL184" s="263">
        <f t="shared" si="796"/>
        <v>16.301239275500475</v>
      </c>
      <c r="KM184" s="263">
        <f t="shared" si="796"/>
        <v>16.301239275500475</v>
      </c>
      <c r="KN184" s="263">
        <f t="shared" si="796"/>
        <v>16.301239275500475</v>
      </c>
      <c r="KO184" s="263">
        <f t="shared" si="796"/>
        <v>16.301239275500475</v>
      </c>
      <c r="KP184" s="263">
        <f t="shared" si="796"/>
        <v>16.301239275500475</v>
      </c>
      <c r="KQ184" s="263">
        <f t="shared" si="796"/>
        <v>16.301239275500475</v>
      </c>
      <c r="KR184" s="263">
        <f t="shared" si="796"/>
        <v>16.301239275500475</v>
      </c>
      <c r="KS184" s="263">
        <f t="shared" si="796"/>
        <v>16.301239275500475</v>
      </c>
      <c r="KT184" s="263">
        <f t="shared" si="796"/>
        <v>16.301239275500475</v>
      </c>
      <c r="KU184" s="263">
        <f t="shared" si="796"/>
        <v>16.301239275500475</v>
      </c>
      <c r="KV184" s="263">
        <f t="shared" si="796"/>
        <v>16.301239275500475</v>
      </c>
      <c r="KW184" s="263">
        <f t="shared" si="796"/>
        <v>16.301239275500475</v>
      </c>
      <c r="KX184" s="282">
        <f t="shared" si="768"/>
        <v>195.61487130600571</v>
      </c>
      <c r="KY184" s="266"/>
      <c r="KZ184" s="263">
        <f t="shared" si="797"/>
        <v>16.944709246901812</v>
      </c>
      <c r="LA184" s="263">
        <f t="shared" si="797"/>
        <v>16.944709246901812</v>
      </c>
      <c r="LB184" s="263">
        <f t="shared" si="797"/>
        <v>16.944709246901812</v>
      </c>
      <c r="LC184" s="263">
        <f t="shared" si="797"/>
        <v>16.944709246901812</v>
      </c>
      <c r="LD184" s="263">
        <f t="shared" si="797"/>
        <v>16.944709246901812</v>
      </c>
      <c r="LE184" s="263">
        <f t="shared" si="797"/>
        <v>16.944709246901812</v>
      </c>
      <c r="LF184" s="263">
        <f t="shared" si="797"/>
        <v>16.944709246901812</v>
      </c>
      <c r="LG184" s="263">
        <f t="shared" si="797"/>
        <v>16.944709246901812</v>
      </c>
      <c r="LH184" s="263">
        <f t="shared" si="797"/>
        <v>16.944709246901812</v>
      </c>
      <c r="LI184" s="263">
        <f t="shared" si="797"/>
        <v>16.944709246901812</v>
      </c>
      <c r="LJ184" s="263">
        <f t="shared" si="797"/>
        <v>16.944709246901812</v>
      </c>
      <c r="LK184" s="263">
        <f t="shared" si="797"/>
        <v>16.944709246901812</v>
      </c>
      <c r="LL184" s="282">
        <f t="shared" si="770"/>
        <v>203.33651096282179</v>
      </c>
      <c r="LM184" s="266"/>
      <c r="LN184" s="263">
        <v>0</v>
      </c>
      <c r="LO184" s="264">
        <v>0</v>
      </c>
      <c r="LP184" s="265">
        <v>0</v>
      </c>
      <c r="LQ184" s="265">
        <v>0</v>
      </c>
      <c r="LR184" s="265">
        <v>0</v>
      </c>
      <c r="LS184" s="265">
        <v>0</v>
      </c>
      <c r="LT184" s="265">
        <v>0</v>
      </c>
      <c r="LU184" s="265">
        <v>0</v>
      </c>
      <c r="LV184" s="265">
        <v>0</v>
      </c>
      <c r="LW184" s="265">
        <v>0</v>
      </c>
      <c r="LX184" s="265">
        <v>0</v>
      </c>
      <c r="LY184" s="265">
        <v>0</v>
      </c>
      <c r="LZ184" s="282">
        <f t="shared" si="771"/>
        <v>0</v>
      </c>
      <c r="MA184" s="266"/>
      <c r="MB184" s="282">
        <f t="shared" si="772"/>
        <v>1175.6363798875802</v>
      </c>
      <c r="MC184" s="282">
        <f t="shared" si="772"/>
        <v>1175.6363798875802</v>
      </c>
      <c r="MD184" s="282">
        <f t="shared" si="772"/>
        <v>1175.6363798875802</v>
      </c>
      <c r="ME184" s="282">
        <f t="shared" si="772"/>
        <v>1175.6363798875802</v>
      </c>
      <c r="MF184" s="282">
        <f t="shared" si="772"/>
        <v>1175.6363798875802</v>
      </c>
      <c r="MG184" s="282">
        <f t="shared" si="772"/>
        <v>1175.6363798875802</v>
      </c>
      <c r="MH184" s="282">
        <f t="shared" si="772"/>
        <v>1175.6363798875802</v>
      </c>
      <c r="MI184" s="282">
        <f t="shared" si="772"/>
        <v>1175.6363798875802</v>
      </c>
      <c r="MJ184" s="282">
        <f t="shared" si="772"/>
        <v>1175.6363798875802</v>
      </c>
      <c r="MK184" s="282">
        <f t="shared" si="772"/>
        <v>1175.6363798875802</v>
      </c>
      <c r="ML184" s="282">
        <f t="shared" si="772"/>
        <v>1175.6363798875802</v>
      </c>
      <c r="MM184" s="282">
        <f t="shared" si="772"/>
        <v>1175.6363798875802</v>
      </c>
      <c r="MN184" s="282">
        <f t="shared" si="773"/>
        <v>14107.636558650966</v>
      </c>
    </row>
    <row r="185" spans="1:352" x14ac:dyDescent="0.25">
      <c r="A185" s="262"/>
      <c r="B185" s="64" t="s">
        <v>61</v>
      </c>
      <c r="C185" s="202"/>
      <c r="D185" s="263">
        <f t="shared" si="774"/>
        <v>0</v>
      </c>
      <c r="E185" s="263">
        <f t="shared" si="726"/>
        <v>0</v>
      </c>
      <c r="F185" s="263">
        <f t="shared" si="726"/>
        <v>0</v>
      </c>
      <c r="G185" s="263">
        <f t="shared" si="726"/>
        <v>0</v>
      </c>
      <c r="H185" s="263">
        <f t="shared" si="726"/>
        <v>0</v>
      </c>
      <c r="I185" s="263">
        <f t="shared" si="726"/>
        <v>0</v>
      </c>
      <c r="J185" s="263">
        <f t="shared" si="726"/>
        <v>0</v>
      </c>
      <c r="K185" s="263">
        <f t="shared" si="726"/>
        <v>0</v>
      </c>
      <c r="L185" s="263">
        <f t="shared" si="726"/>
        <v>0</v>
      </c>
      <c r="M185" s="263">
        <f t="shared" si="726"/>
        <v>0</v>
      </c>
      <c r="N185" s="263">
        <f t="shared" si="726"/>
        <v>0</v>
      </c>
      <c r="O185" s="263">
        <f t="shared" si="726"/>
        <v>0</v>
      </c>
      <c r="P185" s="230">
        <f t="shared" si="727"/>
        <v>0</v>
      </c>
      <c r="Q185" s="266"/>
      <c r="R185" s="263">
        <f t="shared" si="775"/>
        <v>0</v>
      </c>
      <c r="S185" s="263">
        <f t="shared" si="775"/>
        <v>0</v>
      </c>
      <c r="T185" s="263">
        <f t="shared" si="775"/>
        <v>0</v>
      </c>
      <c r="U185" s="263">
        <f t="shared" si="775"/>
        <v>0</v>
      </c>
      <c r="V185" s="263">
        <f t="shared" si="775"/>
        <v>0</v>
      </c>
      <c r="W185" s="263">
        <f t="shared" si="775"/>
        <v>0</v>
      </c>
      <c r="X185" s="263">
        <f t="shared" si="775"/>
        <v>0</v>
      </c>
      <c r="Y185" s="263">
        <f t="shared" si="775"/>
        <v>0</v>
      </c>
      <c r="Z185" s="263">
        <f t="shared" si="775"/>
        <v>0</v>
      </c>
      <c r="AA185" s="263">
        <f t="shared" si="775"/>
        <v>0</v>
      </c>
      <c r="AB185" s="263">
        <f t="shared" si="775"/>
        <v>0</v>
      </c>
      <c r="AC185" s="263">
        <f t="shared" si="775"/>
        <v>0</v>
      </c>
      <c r="AD185" s="230">
        <f t="shared" si="729"/>
        <v>0</v>
      </c>
      <c r="AE185" s="266"/>
      <c r="AF185" s="263">
        <f t="shared" si="776"/>
        <v>0</v>
      </c>
      <c r="AG185" s="263">
        <f t="shared" si="776"/>
        <v>0</v>
      </c>
      <c r="AH185" s="263">
        <f t="shared" si="776"/>
        <v>0</v>
      </c>
      <c r="AI185" s="263">
        <f t="shared" si="776"/>
        <v>0</v>
      </c>
      <c r="AJ185" s="263">
        <f t="shared" si="776"/>
        <v>0</v>
      </c>
      <c r="AK185" s="263">
        <f t="shared" si="776"/>
        <v>0</v>
      </c>
      <c r="AL185" s="263">
        <f t="shared" si="776"/>
        <v>0</v>
      </c>
      <c r="AM185" s="263">
        <f t="shared" si="776"/>
        <v>0</v>
      </c>
      <c r="AN185" s="263">
        <f t="shared" si="776"/>
        <v>0</v>
      </c>
      <c r="AO185" s="263">
        <f t="shared" si="776"/>
        <v>0</v>
      </c>
      <c r="AP185" s="263">
        <f t="shared" si="776"/>
        <v>0</v>
      </c>
      <c r="AQ185" s="263">
        <f t="shared" si="776"/>
        <v>0</v>
      </c>
      <c r="AR185" s="230">
        <f t="shared" si="731"/>
        <v>0</v>
      </c>
      <c r="AS185" s="266"/>
      <c r="AT185" s="263">
        <f t="shared" si="777"/>
        <v>0</v>
      </c>
      <c r="AU185" s="263">
        <f t="shared" si="777"/>
        <v>0</v>
      </c>
      <c r="AV185" s="263">
        <f t="shared" si="777"/>
        <v>0</v>
      </c>
      <c r="AW185" s="263">
        <f t="shared" si="777"/>
        <v>0</v>
      </c>
      <c r="AX185" s="263">
        <f t="shared" si="777"/>
        <v>0</v>
      </c>
      <c r="AY185" s="263">
        <f t="shared" si="777"/>
        <v>0</v>
      </c>
      <c r="AZ185" s="263">
        <f t="shared" si="777"/>
        <v>0</v>
      </c>
      <c r="BA185" s="263">
        <f t="shared" si="777"/>
        <v>0</v>
      </c>
      <c r="BB185" s="263">
        <f t="shared" si="777"/>
        <v>0</v>
      </c>
      <c r="BC185" s="263">
        <f t="shared" si="777"/>
        <v>0</v>
      </c>
      <c r="BD185" s="263">
        <f t="shared" si="777"/>
        <v>0</v>
      </c>
      <c r="BE185" s="263">
        <f t="shared" si="777"/>
        <v>0</v>
      </c>
      <c r="BF185" s="230">
        <f t="shared" si="733"/>
        <v>0</v>
      </c>
      <c r="BG185" s="224"/>
      <c r="BH185" s="263">
        <f t="shared" si="778"/>
        <v>0</v>
      </c>
      <c r="BI185" s="263">
        <f t="shared" si="778"/>
        <v>0</v>
      </c>
      <c r="BJ185" s="263">
        <f t="shared" si="778"/>
        <v>0</v>
      </c>
      <c r="BK185" s="263">
        <f t="shared" si="778"/>
        <v>0</v>
      </c>
      <c r="BL185" s="263">
        <f t="shared" si="778"/>
        <v>0</v>
      </c>
      <c r="BM185" s="263">
        <f t="shared" si="778"/>
        <v>0</v>
      </c>
      <c r="BN185" s="263">
        <f t="shared" si="778"/>
        <v>0</v>
      </c>
      <c r="BO185" s="263">
        <f t="shared" si="778"/>
        <v>0</v>
      </c>
      <c r="BP185" s="263">
        <f t="shared" si="778"/>
        <v>0</v>
      </c>
      <c r="BQ185" s="263">
        <f t="shared" si="778"/>
        <v>0</v>
      </c>
      <c r="BR185" s="263">
        <f t="shared" si="778"/>
        <v>0</v>
      </c>
      <c r="BS185" s="263">
        <f t="shared" si="778"/>
        <v>0</v>
      </c>
      <c r="BT185" s="230">
        <f t="shared" si="735"/>
        <v>0</v>
      </c>
      <c r="BU185" s="266"/>
      <c r="BV185" s="263">
        <f t="shared" si="779"/>
        <v>0</v>
      </c>
      <c r="BW185" s="263">
        <f t="shared" si="779"/>
        <v>0</v>
      </c>
      <c r="BX185" s="263">
        <f t="shared" si="779"/>
        <v>0</v>
      </c>
      <c r="BY185" s="263">
        <f t="shared" si="779"/>
        <v>0</v>
      </c>
      <c r="BZ185" s="263">
        <f t="shared" si="779"/>
        <v>0</v>
      </c>
      <c r="CA185" s="263">
        <f t="shared" si="779"/>
        <v>0</v>
      </c>
      <c r="CB185" s="263">
        <f t="shared" si="779"/>
        <v>0</v>
      </c>
      <c r="CC185" s="263">
        <f t="shared" si="779"/>
        <v>0</v>
      </c>
      <c r="CD185" s="263">
        <f t="shared" si="779"/>
        <v>0</v>
      </c>
      <c r="CE185" s="263">
        <f t="shared" si="779"/>
        <v>0</v>
      </c>
      <c r="CF185" s="263">
        <f t="shared" si="779"/>
        <v>0</v>
      </c>
      <c r="CG185" s="263">
        <f t="shared" si="779"/>
        <v>0</v>
      </c>
      <c r="CH185" s="230">
        <f t="shared" si="737"/>
        <v>0</v>
      </c>
      <c r="CI185" s="266"/>
      <c r="CJ185" s="263">
        <f t="shared" si="780"/>
        <v>0</v>
      </c>
      <c r="CK185" s="263">
        <f t="shared" si="780"/>
        <v>0</v>
      </c>
      <c r="CL185" s="263">
        <f t="shared" si="780"/>
        <v>0</v>
      </c>
      <c r="CM185" s="263">
        <f t="shared" si="780"/>
        <v>0</v>
      </c>
      <c r="CN185" s="263">
        <f t="shared" si="780"/>
        <v>0</v>
      </c>
      <c r="CO185" s="263">
        <f t="shared" si="780"/>
        <v>0</v>
      </c>
      <c r="CP185" s="263">
        <f t="shared" si="780"/>
        <v>0</v>
      </c>
      <c r="CQ185" s="263">
        <f t="shared" si="780"/>
        <v>0</v>
      </c>
      <c r="CR185" s="263">
        <f t="shared" si="780"/>
        <v>0</v>
      </c>
      <c r="CS185" s="263">
        <f t="shared" si="780"/>
        <v>0</v>
      </c>
      <c r="CT185" s="263">
        <f t="shared" si="780"/>
        <v>0</v>
      </c>
      <c r="CU185" s="263">
        <f t="shared" si="780"/>
        <v>0</v>
      </c>
      <c r="CV185" s="230">
        <f t="shared" si="739"/>
        <v>0</v>
      </c>
      <c r="CW185" s="266"/>
      <c r="CX185" s="263">
        <f t="shared" si="781"/>
        <v>0</v>
      </c>
      <c r="CY185" s="263">
        <f t="shared" si="781"/>
        <v>0</v>
      </c>
      <c r="CZ185" s="263">
        <f t="shared" si="781"/>
        <v>0</v>
      </c>
      <c r="DA185" s="263">
        <f t="shared" si="781"/>
        <v>0</v>
      </c>
      <c r="DB185" s="263">
        <f t="shared" si="781"/>
        <v>0</v>
      </c>
      <c r="DC185" s="263">
        <f t="shared" si="781"/>
        <v>0</v>
      </c>
      <c r="DD185" s="263">
        <f t="shared" si="781"/>
        <v>0</v>
      </c>
      <c r="DE185" s="263">
        <f t="shared" si="781"/>
        <v>0</v>
      </c>
      <c r="DF185" s="263">
        <f t="shared" si="781"/>
        <v>0</v>
      </c>
      <c r="DG185" s="263">
        <f t="shared" si="781"/>
        <v>0</v>
      </c>
      <c r="DH185" s="263">
        <f t="shared" si="781"/>
        <v>0</v>
      </c>
      <c r="DI185" s="263">
        <f t="shared" si="781"/>
        <v>0</v>
      </c>
      <c r="DJ185" s="230">
        <f t="shared" si="741"/>
        <v>0</v>
      </c>
      <c r="DK185" s="266"/>
      <c r="DL185" s="263">
        <f t="shared" si="782"/>
        <v>0</v>
      </c>
      <c r="DM185" s="263">
        <f t="shared" si="782"/>
        <v>0</v>
      </c>
      <c r="DN185" s="263">
        <f t="shared" si="782"/>
        <v>0</v>
      </c>
      <c r="DO185" s="263">
        <f t="shared" si="782"/>
        <v>0</v>
      </c>
      <c r="DP185" s="263">
        <f t="shared" si="782"/>
        <v>0</v>
      </c>
      <c r="DQ185" s="263">
        <f t="shared" si="782"/>
        <v>0</v>
      </c>
      <c r="DR185" s="263">
        <f t="shared" si="782"/>
        <v>0</v>
      </c>
      <c r="DS185" s="263">
        <f t="shared" si="782"/>
        <v>0</v>
      </c>
      <c r="DT185" s="263">
        <f t="shared" si="782"/>
        <v>0</v>
      </c>
      <c r="DU185" s="263">
        <f t="shared" si="782"/>
        <v>0</v>
      </c>
      <c r="DV185" s="263">
        <f t="shared" si="782"/>
        <v>0</v>
      </c>
      <c r="DW185" s="263">
        <f t="shared" si="782"/>
        <v>0</v>
      </c>
      <c r="DX185" s="230">
        <f t="shared" si="743"/>
        <v>0</v>
      </c>
      <c r="DY185" s="266"/>
      <c r="DZ185" s="263">
        <f t="shared" si="783"/>
        <v>0</v>
      </c>
      <c r="EA185" s="263">
        <f t="shared" si="783"/>
        <v>0</v>
      </c>
      <c r="EB185" s="263">
        <f t="shared" si="783"/>
        <v>0</v>
      </c>
      <c r="EC185" s="263">
        <f t="shared" si="783"/>
        <v>0</v>
      </c>
      <c r="ED185" s="263">
        <f t="shared" si="783"/>
        <v>0</v>
      </c>
      <c r="EE185" s="263">
        <f t="shared" si="783"/>
        <v>0</v>
      </c>
      <c r="EF185" s="263">
        <f t="shared" si="783"/>
        <v>0</v>
      </c>
      <c r="EG185" s="263">
        <f t="shared" si="783"/>
        <v>0</v>
      </c>
      <c r="EH185" s="263">
        <f t="shared" si="783"/>
        <v>0</v>
      </c>
      <c r="EI185" s="263">
        <f t="shared" si="783"/>
        <v>0</v>
      </c>
      <c r="EJ185" s="263">
        <f t="shared" si="783"/>
        <v>0</v>
      </c>
      <c r="EK185" s="263">
        <f t="shared" si="783"/>
        <v>0</v>
      </c>
      <c r="EL185" s="230">
        <f t="shared" si="745"/>
        <v>0</v>
      </c>
      <c r="EM185" s="266"/>
      <c r="EN185" s="263">
        <f t="shared" si="784"/>
        <v>0</v>
      </c>
      <c r="EO185" s="263">
        <f t="shared" si="784"/>
        <v>0</v>
      </c>
      <c r="EP185" s="263">
        <f t="shared" si="784"/>
        <v>0</v>
      </c>
      <c r="EQ185" s="263">
        <f t="shared" si="784"/>
        <v>0</v>
      </c>
      <c r="ER185" s="263">
        <f t="shared" si="784"/>
        <v>0</v>
      </c>
      <c r="ES185" s="263">
        <f t="shared" si="784"/>
        <v>0</v>
      </c>
      <c r="ET185" s="263">
        <f t="shared" si="784"/>
        <v>0</v>
      </c>
      <c r="EU185" s="263">
        <f t="shared" si="784"/>
        <v>0</v>
      </c>
      <c r="EV185" s="263">
        <f t="shared" si="784"/>
        <v>0</v>
      </c>
      <c r="EW185" s="263">
        <f t="shared" si="784"/>
        <v>0</v>
      </c>
      <c r="EX185" s="263">
        <f t="shared" si="784"/>
        <v>0</v>
      </c>
      <c r="EY185" s="263">
        <f t="shared" si="784"/>
        <v>0</v>
      </c>
      <c r="EZ185" s="230">
        <f t="shared" si="747"/>
        <v>0</v>
      </c>
      <c r="FA185" s="266"/>
      <c r="FB185" s="263">
        <f t="shared" si="785"/>
        <v>0</v>
      </c>
      <c r="FC185" s="263">
        <f t="shared" si="785"/>
        <v>0</v>
      </c>
      <c r="FD185" s="263">
        <f t="shared" si="785"/>
        <v>0</v>
      </c>
      <c r="FE185" s="263">
        <f t="shared" si="785"/>
        <v>0</v>
      </c>
      <c r="FF185" s="263">
        <f t="shared" si="785"/>
        <v>0</v>
      </c>
      <c r="FG185" s="263">
        <f t="shared" si="785"/>
        <v>0</v>
      </c>
      <c r="FH185" s="263">
        <f t="shared" si="785"/>
        <v>0</v>
      </c>
      <c r="FI185" s="263">
        <f t="shared" si="785"/>
        <v>0</v>
      </c>
      <c r="FJ185" s="263">
        <f t="shared" si="785"/>
        <v>0</v>
      </c>
      <c r="FK185" s="263">
        <f t="shared" si="785"/>
        <v>0</v>
      </c>
      <c r="FL185" s="263">
        <f t="shared" si="785"/>
        <v>0</v>
      </c>
      <c r="FM185" s="263">
        <f t="shared" si="785"/>
        <v>0</v>
      </c>
      <c r="FN185" s="230">
        <f t="shared" si="749"/>
        <v>0</v>
      </c>
      <c r="FO185" s="266"/>
      <c r="FP185" s="263">
        <f t="shared" si="786"/>
        <v>0</v>
      </c>
      <c r="FQ185" s="263">
        <f t="shared" si="786"/>
        <v>0</v>
      </c>
      <c r="FR185" s="263">
        <f t="shared" si="786"/>
        <v>0</v>
      </c>
      <c r="FS185" s="263">
        <f t="shared" si="786"/>
        <v>0</v>
      </c>
      <c r="FT185" s="263">
        <f t="shared" si="786"/>
        <v>0</v>
      </c>
      <c r="FU185" s="263">
        <f t="shared" si="786"/>
        <v>0</v>
      </c>
      <c r="FV185" s="263">
        <f t="shared" si="786"/>
        <v>0</v>
      </c>
      <c r="FW185" s="263">
        <f t="shared" si="786"/>
        <v>0</v>
      </c>
      <c r="FX185" s="263">
        <f t="shared" si="786"/>
        <v>0</v>
      </c>
      <c r="FY185" s="263">
        <f t="shared" si="786"/>
        <v>0</v>
      </c>
      <c r="FZ185" s="263">
        <f t="shared" si="786"/>
        <v>0</v>
      </c>
      <c r="GA185" s="263">
        <f t="shared" si="786"/>
        <v>0</v>
      </c>
      <c r="GB185" s="230">
        <f t="shared" si="751"/>
        <v>0</v>
      </c>
      <c r="GC185" s="266"/>
      <c r="GD185" s="263">
        <f t="shared" si="787"/>
        <v>0</v>
      </c>
      <c r="GE185" s="263">
        <f t="shared" si="787"/>
        <v>0</v>
      </c>
      <c r="GF185" s="263">
        <f t="shared" si="787"/>
        <v>0</v>
      </c>
      <c r="GG185" s="263">
        <f t="shared" si="787"/>
        <v>0</v>
      </c>
      <c r="GH185" s="263">
        <f t="shared" si="787"/>
        <v>0</v>
      </c>
      <c r="GI185" s="263">
        <f t="shared" si="787"/>
        <v>0</v>
      </c>
      <c r="GJ185" s="263">
        <f t="shared" si="787"/>
        <v>0</v>
      </c>
      <c r="GK185" s="263">
        <f t="shared" si="787"/>
        <v>0</v>
      </c>
      <c r="GL185" s="263">
        <f t="shared" si="787"/>
        <v>0</v>
      </c>
      <c r="GM185" s="263">
        <f t="shared" si="787"/>
        <v>0</v>
      </c>
      <c r="GN185" s="263">
        <f t="shared" si="787"/>
        <v>0</v>
      </c>
      <c r="GO185" s="263">
        <f t="shared" si="787"/>
        <v>0</v>
      </c>
      <c r="GP185" s="230">
        <f t="shared" si="753"/>
        <v>0</v>
      </c>
      <c r="GQ185" s="266"/>
      <c r="GR185" s="263">
        <f t="shared" si="788"/>
        <v>0</v>
      </c>
      <c r="GS185" s="263">
        <f t="shared" si="788"/>
        <v>0</v>
      </c>
      <c r="GT185" s="263">
        <f t="shared" si="788"/>
        <v>0</v>
      </c>
      <c r="GU185" s="263">
        <f t="shared" si="788"/>
        <v>0</v>
      </c>
      <c r="GV185" s="263">
        <f t="shared" si="788"/>
        <v>0</v>
      </c>
      <c r="GW185" s="263">
        <f t="shared" si="788"/>
        <v>0</v>
      </c>
      <c r="GX185" s="263">
        <f t="shared" si="788"/>
        <v>0</v>
      </c>
      <c r="GY185" s="263">
        <f t="shared" si="788"/>
        <v>0</v>
      </c>
      <c r="GZ185" s="263">
        <f t="shared" si="788"/>
        <v>0</v>
      </c>
      <c r="HA185" s="263">
        <f t="shared" si="788"/>
        <v>0</v>
      </c>
      <c r="HB185" s="263">
        <f t="shared" si="788"/>
        <v>0</v>
      </c>
      <c r="HC185" s="263">
        <f t="shared" si="788"/>
        <v>0</v>
      </c>
      <c r="HD185" s="230">
        <f t="shared" si="789"/>
        <v>0</v>
      </c>
      <c r="HE185" s="266"/>
      <c r="HF185" s="263">
        <f t="shared" si="790"/>
        <v>0</v>
      </c>
      <c r="HG185" s="263">
        <f t="shared" si="790"/>
        <v>0</v>
      </c>
      <c r="HH185" s="263">
        <f t="shared" si="790"/>
        <v>0</v>
      </c>
      <c r="HI185" s="263">
        <f t="shared" si="790"/>
        <v>0</v>
      </c>
      <c r="HJ185" s="263">
        <f t="shared" si="790"/>
        <v>0</v>
      </c>
      <c r="HK185" s="263">
        <f t="shared" si="790"/>
        <v>0</v>
      </c>
      <c r="HL185" s="263">
        <f t="shared" si="790"/>
        <v>0</v>
      </c>
      <c r="HM185" s="263">
        <f t="shared" si="790"/>
        <v>0</v>
      </c>
      <c r="HN185" s="263">
        <f t="shared" si="790"/>
        <v>0</v>
      </c>
      <c r="HO185" s="263">
        <f t="shared" si="790"/>
        <v>0</v>
      </c>
      <c r="HP185" s="263">
        <f t="shared" si="790"/>
        <v>0</v>
      </c>
      <c r="HQ185" s="263">
        <f t="shared" si="790"/>
        <v>0</v>
      </c>
      <c r="HR185" s="230">
        <f t="shared" si="756"/>
        <v>0</v>
      </c>
      <c r="HS185" s="266"/>
      <c r="HT185" s="263">
        <f t="shared" si="791"/>
        <v>0</v>
      </c>
      <c r="HU185" s="263">
        <f t="shared" si="791"/>
        <v>0</v>
      </c>
      <c r="HV185" s="263">
        <f t="shared" si="791"/>
        <v>0</v>
      </c>
      <c r="HW185" s="263">
        <f t="shared" si="791"/>
        <v>0</v>
      </c>
      <c r="HX185" s="263">
        <f t="shared" si="791"/>
        <v>0</v>
      </c>
      <c r="HY185" s="263">
        <f t="shared" si="791"/>
        <v>0</v>
      </c>
      <c r="HZ185" s="263">
        <f t="shared" si="791"/>
        <v>0</v>
      </c>
      <c r="IA185" s="263">
        <f t="shared" si="791"/>
        <v>0</v>
      </c>
      <c r="IB185" s="263">
        <f t="shared" si="791"/>
        <v>0</v>
      </c>
      <c r="IC185" s="263">
        <f t="shared" si="791"/>
        <v>0</v>
      </c>
      <c r="ID185" s="263">
        <f t="shared" si="791"/>
        <v>0</v>
      </c>
      <c r="IE185" s="263">
        <f t="shared" si="791"/>
        <v>0</v>
      </c>
      <c r="IF185" s="230">
        <f t="shared" si="758"/>
        <v>0</v>
      </c>
      <c r="IG185" s="266"/>
      <c r="IH185" s="263">
        <f t="shared" si="792"/>
        <v>0</v>
      </c>
      <c r="II185" s="263">
        <f t="shared" si="792"/>
        <v>0</v>
      </c>
      <c r="IJ185" s="263">
        <f t="shared" si="792"/>
        <v>0</v>
      </c>
      <c r="IK185" s="263">
        <f t="shared" si="792"/>
        <v>0</v>
      </c>
      <c r="IL185" s="263">
        <f t="shared" si="792"/>
        <v>0</v>
      </c>
      <c r="IM185" s="263">
        <f t="shared" si="792"/>
        <v>0</v>
      </c>
      <c r="IN185" s="263">
        <f t="shared" si="792"/>
        <v>0</v>
      </c>
      <c r="IO185" s="263">
        <f t="shared" si="792"/>
        <v>0</v>
      </c>
      <c r="IP185" s="263">
        <f t="shared" si="792"/>
        <v>0</v>
      </c>
      <c r="IQ185" s="263">
        <f t="shared" si="792"/>
        <v>0</v>
      </c>
      <c r="IR185" s="263">
        <f t="shared" si="792"/>
        <v>0</v>
      </c>
      <c r="IS185" s="263">
        <f t="shared" si="792"/>
        <v>0</v>
      </c>
      <c r="IT185" s="230">
        <f t="shared" si="760"/>
        <v>0</v>
      </c>
      <c r="IU185" s="266"/>
      <c r="IV185" s="263">
        <f t="shared" si="793"/>
        <v>0</v>
      </c>
      <c r="IW185" s="263">
        <f t="shared" si="793"/>
        <v>0</v>
      </c>
      <c r="IX185" s="263">
        <f t="shared" si="793"/>
        <v>0</v>
      </c>
      <c r="IY185" s="263">
        <f t="shared" si="793"/>
        <v>0</v>
      </c>
      <c r="IZ185" s="263">
        <f t="shared" si="793"/>
        <v>0</v>
      </c>
      <c r="JA185" s="263">
        <f t="shared" si="793"/>
        <v>0</v>
      </c>
      <c r="JB185" s="263">
        <f t="shared" si="793"/>
        <v>0</v>
      </c>
      <c r="JC185" s="263">
        <f t="shared" si="793"/>
        <v>0</v>
      </c>
      <c r="JD185" s="263">
        <f t="shared" si="793"/>
        <v>0</v>
      </c>
      <c r="JE185" s="263">
        <f t="shared" si="793"/>
        <v>0</v>
      </c>
      <c r="JF185" s="263">
        <f t="shared" si="793"/>
        <v>0</v>
      </c>
      <c r="JG185" s="263">
        <f t="shared" si="793"/>
        <v>0</v>
      </c>
      <c r="JH185" s="230">
        <f t="shared" si="762"/>
        <v>0</v>
      </c>
      <c r="JI185" s="266"/>
      <c r="JJ185" s="263">
        <f t="shared" si="794"/>
        <v>0</v>
      </c>
      <c r="JK185" s="263">
        <f t="shared" si="794"/>
        <v>0</v>
      </c>
      <c r="JL185" s="263">
        <f t="shared" si="794"/>
        <v>0</v>
      </c>
      <c r="JM185" s="263">
        <f t="shared" si="794"/>
        <v>0</v>
      </c>
      <c r="JN185" s="263">
        <f t="shared" si="794"/>
        <v>0</v>
      </c>
      <c r="JO185" s="263">
        <f t="shared" si="794"/>
        <v>0</v>
      </c>
      <c r="JP185" s="263">
        <f t="shared" si="794"/>
        <v>0</v>
      </c>
      <c r="JQ185" s="263">
        <f t="shared" si="794"/>
        <v>0</v>
      </c>
      <c r="JR185" s="263">
        <f t="shared" si="794"/>
        <v>0</v>
      </c>
      <c r="JS185" s="263">
        <f t="shared" si="794"/>
        <v>0</v>
      </c>
      <c r="JT185" s="263">
        <f t="shared" si="794"/>
        <v>0</v>
      </c>
      <c r="JU185" s="263">
        <f t="shared" si="794"/>
        <v>0</v>
      </c>
      <c r="JV185" s="230">
        <f t="shared" si="764"/>
        <v>0</v>
      </c>
      <c r="JW185" s="266"/>
      <c r="JX185" s="263">
        <f t="shared" si="795"/>
        <v>0</v>
      </c>
      <c r="JY185" s="263">
        <f t="shared" si="795"/>
        <v>0</v>
      </c>
      <c r="JZ185" s="263">
        <f t="shared" si="795"/>
        <v>0</v>
      </c>
      <c r="KA185" s="263">
        <f t="shared" si="795"/>
        <v>0</v>
      </c>
      <c r="KB185" s="263">
        <f t="shared" si="795"/>
        <v>0</v>
      </c>
      <c r="KC185" s="263">
        <f t="shared" si="795"/>
        <v>0</v>
      </c>
      <c r="KD185" s="263">
        <f t="shared" si="795"/>
        <v>0</v>
      </c>
      <c r="KE185" s="263">
        <f t="shared" si="795"/>
        <v>0</v>
      </c>
      <c r="KF185" s="263">
        <f t="shared" si="795"/>
        <v>0</v>
      </c>
      <c r="KG185" s="263">
        <f t="shared" si="795"/>
        <v>0</v>
      </c>
      <c r="KH185" s="263">
        <f t="shared" si="795"/>
        <v>0</v>
      </c>
      <c r="KI185" s="263">
        <f t="shared" si="795"/>
        <v>0</v>
      </c>
      <c r="KJ185" s="230">
        <f t="shared" si="766"/>
        <v>0</v>
      </c>
      <c r="KK185" s="266"/>
      <c r="KL185" s="263">
        <f t="shared" si="796"/>
        <v>0</v>
      </c>
      <c r="KM185" s="263">
        <f t="shared" si="796"/>
        <v>0</v>
      </c>
      <c r="KN185" s="263">
        <f t="shared" si="796"/>
        <v>0</v>
      </c>
      <c r="KO185" s="263">
        <f t="shared" si="796"/>
        <v>0</v>
      </c>
      <c r="KP185" s="263">
        <f t="shared" si="796"/>
        <v>0</v>
      </c>
      <c r="KQ185" s="263">
        <f t="shared" si="796"/>
        <v>0</v>
      </c>
      <c r="KR185" s="263">
        <f t="shared" si="796"/>
        <v>0</v>
      </c>
      <c r="KS185" s="263">
        <f t="shared" si="796"/>
        <v>0</v>
      </c>
      <c r="KT185" s="263">
        <f t="shared" si="796"/>
        <v>0</v>
      </c>
      <c r="KU185" s="263">
        <f t="shared" si="796"/>
        <v>0</v>
      </c>
      <c r="KV185" s="263">
        <f t="shared" si="796"/>
        <v>0</v>
      </c>
      <c r="KW185" s="263">
        <f t="shared" si="796"/>
        <v>0</v>
      </c>
      <c r="KX185" s="230">
        <f t="shared" si="768"/>
        <v>0</v>
      </c>
      <c r="KY185" s="266"/>
      <c r="KZ185" s="263">
        <f t="shared" si="797"/>
        <v>0</v>
      </c>
      <c r="LA185" s="263">
        <f t="shared" si="797"/>
        <v>0</v>
      </c>
      <c r="LB185" s="263">
        <f t="shared" si="797"/>
        <v>0</v>
      </c>
      <c r="LC185" s="263">
        <f t="shared" si="797"/>
        <v>0</v>
      </c>
      <c r="LD185" s="263">
        <f t="shared" si="797"/>
        <v>0</v>
      </c>
      <c r="LE185" s="263">
        <f t="shared" si="797"/>
        <v>0</v>
      </c>
      <c r="LF185" s="263">
        <f t="shared" si="797"/>
        <v>0</v>
      </c>
      <c r="LG185" s="263">
        <f t="shared" si="797"/>
        <v>0</v>
      </c>
      <c r="LH185" s="263">
        <f t="shared" si="797"/>
        <v>0</v>
      </c>
      <c r="LI185" s="263">
        <f t="shared" si="797"/>
        <v>0</v>
      </c>
      <c r="LJ185" s="263">
        <f t="shared" si="797"/>
        <v>0</v>
      </c>
      <c r="LK185" s="263">
        <f t="shared" si="797"/>
        <v>0</v>
      </c>
      <c r="LL185" s="230">
        <f t="shared" si="770"/>
        <v>0</v>
      </c>
      <c r="LM185" s="266"/>
      <c r="LN185" s="263">
        <v>0</v>
      </c>
      <c r="LO185" s="264">
        <v>0</v>
      </c>
      <c r="LP185" s="265">
        <v>0</v>
      </c>
      <c r="LQ185" s="265">
        <v>0</v>
      </c>
      <c r="LR185" s="265">
        <v>0</v>
      </c>
      <c r="LS185" s="265">
        <v>0</v>
      </c>
      <c r="LT185" s="265">
        <v>0</v>
      </c>
      <c r="LU185" s="265">
        <v>0</v>
      </c>
      <c r="LV185" s="265">
        <v>0</v>
      </c>
      <c r="LW185" s="265">
        <v>0</v>
      </c>
      <c r="LX185" s="265">
        <v>0</v>
      </c>
      <c r="LY185" s="265">
        <v>0</v>
      </c>
      <c r="LZ185" s="230">
        <f t="shared" si="771"/>
        <v>0</v>
      </c>
      <c r="MA185" s="266"/>
      <c r="MB185" s="230">
        <f t="shared" si="772"/>
        <v>0</v>
      </c>
      <c r="MC185" s="230">
        <f t="shared" si="772"/>
        <v>0</v>
      </c>
      <c r="MD185" s="230">
        <f t="shared" si="772"/>
        <v>0</v>
      </c>
      <c r="ME185" s="230">
        <f t="shared" si="772"/>
        <v>0</v>
      </c>
      <c r="MF185" s="230">
        <f t="shared" si="772"/>
        <v>0</v>
      </c>
      <c r="MG185" s="230">
        <f t="shared" si="772"/>
        <v>0</v>
      </c>
      <c r="MH185" s="230">
        <f t="shared" si="772"/>
        <v>0</v>
      </c>
      <c r="MI185" s="230">
        <f t="shared" si="772"/>
        <v>0</v>
      </c>
      <c r="MJ185" s="230">
        <f t="shared" si="772"/>
        <v>0</v>
      </c>
      <c r="MK185" s="230">
        <f t="shared" si="772"/>
        <v>0</v>
      </c>
      <c r="ML185" s="230">
        <f t="shared" si="772"/>
        <v>0</v>
      </c>
      <c r="MM185" s="230">
        <f t="shared" si="772"/>
        <v>0</v>
      </c>
      <c r="MN185" s="230">
        <f t="shared" si="773"/>
        <v>0</v>
      </c>
    </row>
    <row r="186" spans="1:352" x14ac:dyDescent="0.25">
      <c r="A186" s="262"/>
      <c r="B186" s="64" t="s">
        <v>62</v>
      </c>
      <c r="C186" s="202"/>
      <c r="D186" s="263">
        <f t="shared" si="774"/>
        <v>0</v>
      </c>
      <c r="E186" s="263">
        <f t="shared" si="726"/>
        <v>0</v>
      </c>
      <c r="F186" s="263">
        <f t="shared" si="726"/>
        <v>0</v>
      </c>
      <c r="G186" s="263">
        <f t="shared" si="726"/>
        <v>0</v>
      </c>
      <c r="H186" s="263">
        <f t="shared" si="726"/>
        <v>0</v>
      </c>
      <c r="I186" s="263">
        <f t="shared" si="726"/>
        <v>0</v>
      </c>
      <c r="J186" s="263">
        <f t="shared" si="726"/>
        <v>0</v>
      </c>
      <c r="K186" s="263">
        <f t="shared" si="726"/>
        <v>0</v>
      </c>
      <c r="L186" s="263">
        <f t="shared" si="726"/>
        <v>0</v>
      </c>
      <c r="M186" s="263">
        <f t="shared" si="726"/>
        <v>0</v>
      </c>
      <c r="N186" s="263">
        <f t="shared" si="726"/>
        <v>0</v>
      </c>
      <c r="O186" s="263">
        <f t="shared" si="726"/>
        <v>0</v>
      </c>
      <c r="P186" s="230">
        <f t="shared" si="727"/>
        <v>0</v>
      </c>
      <c r="Q186" s="266"/>
      <c r="R186" s="263">
        <f t="shared" si="775"/>
        <v>0</v>
      </c>
      <c r="S186" s="263">
        <f t="shared" si="775"/>
        <v>0</v>
      </c>
      <c r="T186" s="263">
        <f t="shared" si="775"/>
        <v>0</v>
      </c>
      <c r="U186" s="263">
        <f t="shared" si="775"/>
        <v>0</v>
      </c>
      <c r="V186" s="263">
        <f t="shared" si="775"/>
        <v>0</v>
      </c>
      <c r="W186" s="263">
        <f t="shared" si="775"/>
        <v>0</v>
      </c>
      <c r="X186" s="263">
        <f t="shared" si="775"/>
        <v>0</v>
      </c>
      <c r="Y186" s="263">
        <f t="shared" si="775"/>
        <v>0</v>
      </c>
      <c r="Z186" s="263">
        <f t="shared" si="775"/>
        <v>0</v>
      </c>
      <c r="AA186" s="263">
        <f t="shared" si="775"/>
        <v>0</v>
      </c>
      <c r="AB186" s="263">
        <f t="shared" si="775"/>
        <v>0</v>
      </c>
      <c r="AC186" s="263">
        <f t="shared" si="775"/>
        <v>0</v>
      </c>
      <c r="AD186" s="230">
        <f t="shared" si="729"/>
        <v>0</v>
      </c>
      <c r="AE186" s="266"/>
      <c r="AF186" s="263">
        <f t="shared" si="776"/>
        <v>0</v>
      </c>
      <c r="AG186" s="263">
        <f t="shared" si="776"/>
        <v>0</v>
      </c>
      <c r="AH186" s="263">
        <f t="shared" si="776"/>
        <v>0</v>
      </c>
      <c r="AI186" s="263">
        <f t="shared" si="776"/>
        <v>0</v>
      </c>
      <c r="AJ186" s="263">
        <f t="shared" si="776"/>
        <v>0</v>
      </c>
      <c r="AK186" s="263">
        <f t="shared" si="776"/>
        <v>0</v>
      </c>
      <c r="AL186" s="263">
        <f t="shared" si="776"/>
        <v>0</v>
      </c>
      <c r="AM186" s="263">
        <f t="shared" si="776"/>
        <v>0</v>
      </c>
      <c r="AN186" s="263">
        <f t="shared" si="776"/>
        <v>0</v>
      </c>
      <c r="AO186" s="263">
        <f t="shared" si="776"/>
        <v>0</v>
      </c>
      <c r="AP186" s="263">
        <f t="shared" si="776"/>
        <v>0</v>
      </c>
      <c r="AQ186" s="263">
        <f t="shared" si="776"/>
        <v>0</v>
      </c>
      <c r="AR186" s="230">
        <f t="shared" si="731"/>
        <v>0</v>
      </c>
      <c r="AS186" s="266"/>
      <c r="AT186" s="263">
        <f t="shared" si="777"/>
        <v>0</v>
      </c>
      <c r="AU186" s="263">
        <f t="shared" si="777"/>
        <v>0</v>
      </c>
      <c r="AV186" s="263">
        <f t="shared" si="777"/>
        <v>0</v>
      </c>
      <c r="AW186" s="263">
        <f t="shared" si="777"/>
        <v>0</v>
      </c>
      <c r="AX186" s="263">
        <f t="shared" si="777"/>
        <v>0</v>
      </c>
      <c r="AY186" s="263">
        <f t="shared" si="777"/>
        <v>0</v>
      </c>
      <c r="AZ186" s="263">
        <f t="shared" si="777"/>
        <v>0</v>
      </c>
      <c r="BA186" s="263">
        <f t="shared" si="777"/>
        <v>0</v>
      </c>
      <c r="BB186" s="263">
        <f t="shared" si="777"/>
        <v>0</v>
      </c>
      <c r="BC186" s="263">
        <f t="shared" si="777"/>
        <v>0</v>
      </c>
      <c r="BD186" s="263">
        <f t="shared" si="777"/>
        <v>0</v>
      </c>
      <c r="BE186" s="263">
        <f t="shared" si="777"/>
        <v>0</v>
      </c>
      <c r="BF186" s="230">
        <f t="shared" si="733"/>
        <v>0</v>
      </c>
      <c r="BG186" s="224"/>
      <c r="BH186" s="263">
        <f t="shared" si="778"/>
        <v>0</v>
      </c>
      <c r="BI186" s="263">
        <f t="shared" si="778"/>
        <v>0</v>
      </c>
      <c r="BJ186" s="263">
        <f t="shared" si="778"/>
        <v>0</v>
      </c>
      <c r="BK186" s="263">
        <f t="shared" si="778"/>
        <v>0</v>
      </c>
      <c r="BL186" s="263">
        <f t="shared" si="778"/>
        <v>0</v>
      </c>
      <c r="BM186" s="263">
        <f t="shared" si="778"/>
        <v>0</v>
      </c>
      <c r="BN186" s="263">
        <f t="shared" si="778"/>
        <v>0</v>
      </c>
      <c r="BO186" s="263">
        <f t="shared" si="778"/>
        <v>0</v>
      </c>
      <c r="BP186" s="263">
        <f t="shared" si="778"/>
        <v>0</v>
      </c>
      <c r="BQ186" s="263">
        <f t="shared" si="778"/>
        <v>0</v>
      </c>
      <c r="BR186" s="263">
        <f t="shared" si="778"/>
        <v>0</v>
      </c>
      <c r="BS186" s="263">
        <f t="shared" si="778"/>
        <v>0</v>
      </c>
      <c r="BT186" s="230">
        <f t="shared" si="735"/>
        <v>0</v>
      </c>
      <c r="BU186" s="266"/>
      <c r="BV186" s="263">
        <f t="shared" si="779"/>
        <v>0</v>
      </c>
      <c r="BW186" s="263">
        <f t="shared" si="779"/>
        <v>0</v>
      </c>
      <c r="BX186" s="263">
        <f t="shared" si="779"/>
        <v>0</v>
      </c>
      <c r="BY186" s="263">
        <f t="shared" si="779"/>
        <v>0</v>
      </c>
      <c r="BZ186" s="263">
        <f t="shared" si="779"/>
        <v>0</v>
      </c>
      <c r="CA186" s="263">
        <f t="shared" si="779"/>
        <v>0</v>
      </c>
      <c r="CB186" s="263">
        <f t="shared" si="779"/>
        <v>0</v>
      </c>
      <c r="CC186" s="263">
        <f t="shared" si="779"/>
        <v>0</v>
      </c>
      <c r="CD186" s="263">
        <f t="shared" si="779"/>
        <v>0</v>
      </c>
      <c r="CE186" s="263">
        <f t="shared" si="779"/>
        <v>0</v>
      </c>
      <c r="CF186" s="263">
        <f t="shared" si="779"/>
        <v>0</v>
      </c>
      <c r="CG186" s="263">
        <f t="shared" si="779"/>
        <v>0</v>
      </c>
      <c r="CH186" s="230">
        <f t="shared" si="737"/>
        <v>0</v>
      </c>
      <c r="CI186" s="266"/>
      <c r="CJ186" s="263">
        <f t="shared" si="780"/>
        <v>0</v>
      </c>
      <c r="CK186" s="263">
        <f t="shared" si="780"/>
        <v>0</v>
      </c>
      <c r="CL186" s="263">
        <f t="shared" si="780"/>
        <v>0</v>
      </c>
      <c r="CM186" s="263">
        <f t="shared" si="780"/>
        <v>0</v>
      </c>
      <c r="CN186" s="263">
        <f t="shared" si="780"/>
        <v>0</v>
      </c>
      <c r="CO186" s="263">
        <f t="shared" si="780"/>
        <v>0</v>
      </c>
      <c r="CP186" s="263">
        <f t="shared" si="780"/>
        <v>0</v>
      </c>
      <c r="CQ186" s="263">
        <f t="shared" si="780"/>
        <v>0</v>
      </c>
      <c r="CR186" s="263">
        <f t="shared" si="780"/>
        <v>0</v>
      </c>
      <c r="CS186" s="263">
        <f t="shared" si="780"/>
        <v>0</v>
      </c>
      <c r="CT186" s="263">
        <f t="shared" si="780"/>
        <v>0</v>
      </c>
      <c r="CU186" s="263">
        <f t="shared" si="780"/>
        <v>0</v>
      </c>
      <c r="CV186" s="230">
        <f t="shared" si="739"/>
        <v>0</v>
      </c>
      <c r="CW186" s="266"/>
      <c r="CX186" s="263">
        <f t="shared" si="781"/>
        <v>0</v>
      </c>
      <c r="CY186" s="263">
        <f t="shared" si="781"/>
        <v>0</v>
      </c>
      <c r="CZ186" s="263">
        <f t="shared" si="781"/>
        <v>0</v>
      </c>
      <c r="DA186" s="263">
        <f t="shared" si="781"/>
        <v>0</v>
      </c>
      <c r="DB186" s="263">
        <f t="shared" si="781"/>
        <v>0</v>
      </c>
      <c r="DC186" s="263">
        <f t="shared" si="781"/>
        <v>0</v>
      </c>
      <c r="DD186" s="263">
        <f t="shared" si="781"/>
        <v>0</v>
      </c>
      <c r="DE186" s="263">
        <f t="shared" si="781"/>
        <v>0</v>
      </c>
      <c r="DF186" s="263">
        <f t="shared" si="781"/>
        <v>0</v>
      </c>
      <c r="DG186" s="263">
        <f t="shared" si="781"/>
        <v>0</v>
      </c>
      <c r="DH186" s="263">
        <f t="shared" si="781"/>
        <v>0</v>
      </c>
      <c r="DI186" s="263">
        <f t="shared" si="781"/>
        <v>0</v>
      </c>
      <c r="DJ186" s="230">
        <f t="shared" si="741"/>
        <v>0</v>
      </c>
      <c r="DK186" s="266"/>
      <c r="DL186" s="263">
        <f t="shared" si="782"/>
        <v>0</v>
      </c>
      <c r="DM186" s="263">
        <f t="shared" si="782"/>
        <v>0</v>
      </c>
      <c r="DN186" s="263">
        <f t="shared" si="782"/>
        <v>0</v>
      </c>
      <c r="DO186" s="263">
        <f t="shared" si="782"/>
        <v>0</v>
      </c>
      <c r="DP186" s="263">
        <f t="shared" si="782"/>
        <v>0</v>
      </c>
      <c r="DQ186" s="263">
        <f t="shared" si="782"/>
        <v>0</v>
      </c>
      <c r="DR186" s="263">
        <f t="shared" si="782"/>
        <v>0</v>
      </c>
      <c r="DS186" s="263">
        <f t="shared" si="782"/>
        <v>0</v>
      </c>
      <c r="DT186" s="263">
        <f t="shared" si="782"/>
        <v>0</v>
      </c>
      <c r="DU186" s="263">
        <f t="shared" si="782"/>
        <v>0</v>
      </c>
      <c r="DV186" s="263">
        <f t="shared" si="782"/>
        <v>0</v>
      </c>
      <c r="DW186" s="263">
        <f t="shared" si="782"/>
        <v>0</v>
      </c>
      <c r="DX186" s="230">
        <f t="shared" si="743"/>
        <v>0</v>
      </c>
      <c r="DY186" s="266"/>
      <c r="DZ186" s="263">
        <f t="shared" si="783"/>
        <v>0</v>
      </c>
      <c r="EA186" s="263">
        <f t="shared" si="783"/>
        <v>0</v>
      </c>
      <c r="EB186" s="263">
        <f t="shared" si="783"/>
        <v>0</v>
      </c>
      <c r="EC186" s="263">
        <f t="shared" si="783"/>
        <v>0</v>
      </c>
      <c r="ED186" s="263">
        <f t="shared" si="783"/>
        <v>0</v>
      </c>
      <c r="EE186" s="263">
        <f t="shared" si="783"/>
        <v>0</v>
      </c>
      <c r="EF186" s="263">
        <f t="shared" si="783"/>
        <v>0</v>
      </c>
      <c r="EG186" s="263">
        <f t="shared" si="783"/>
        <v>0</v>
      </c>
      <c r="EH186" s="263">
        <f t="shared" si="783"/>
        <v>0</v>
      </c>
      <c r="EI186" s="263">
        <f t="shared" si="783"/>
        <v>0</v>
      </c>
      <c r="EJ186" s="263">
        <f t="shared" si="783"/>
        <v>0</v>
      </c>
      <c r="EK186" s="263">
        <f t="shared" si="783"/>
        <v>0</v>
      </c>
      <c r="EL186" s="230">
        <f t="shared" si="745"/>
        <v>0</v>
      </c>
      <c r="EM186" s="266"/>
      <c r="EN186" s="263">
        <f t="shared" si="784"/>
        <v>0</v>
      </c>
      <c r="EO186" s="263">
        <f t="shared" si="784"/>
        <v>0</v>
      </c>
      <c r="EP186" s="263">
        <f t="shared" si="784"/>
        <v>0</v>
      </c>
      <c r="EQ186" s="263">
        <f t="shared" si="784"/>
        <v>0</v>
      </c>
      <c r="ER186" s="263">
        <f t="shared" si="784"/>
        <v>0</v>
      </c>
      <c r="ES186" s="263">
        <f t="shared" si="784"/>
        <v>0</v>
      </c>
      <c r="ET186" s="263">
        <f t="shared" si="784"/>
        <v>0</v>
      </c>
      <c r="EU186" s="263">
        <f t="shared" si="784"/>
        <v>0</v>
      </c>
      <c r="EV186" s="263">
        <f t="shared" si="784"/>
        <v>0</v>
      </c>
      <c r="EW186" s="263">
        <f t="shared" si="784"/>
        <v>0</v>
      </c>
      <c r="EX186" s="263">
        <f t="shared" si="784"/>
        <v>0</v>
      </c>
      <c r="EY186" s="263">
        <f t="shared" si="784"/>
        <v>0</v>
      </c>
      <c r="EZ186" s="230">
        <f t="shared" si="747"/>
        <v>0</v>
      </c>
      <c r="FA186" s="266"/>
      <c r="FB186" s="263">
        <f t="shared" si="785"/>
        <v>0</v>
      </c>
      <c r="FC186" s="263">
        <f t="shared" si="785"/>
        <v>0</v>
      </c>
      <c r="FD186" s="263">
        <f t="shared" si="785"/>
        <v>0</v>
      </c>
      <c r="FE186" s="263">
        <f t="shared" si="785"/>
        <v>0</v>
      </c>
      <c r="FF186" s="263">
        <f t="shared" si="785"/>
        <v>0</v>
      </c>
      <c r="FG186" s="263">
        <f t="shared" si="785"/>
        <v>0</v>
      </c>
      <c r="FH186" s="263">
        <f t="shared" si="785"/>
        <v>0</v>
      </c>
      <c r="FI186" s="263">
        <f t="shared" si="785"/>
        <v>0</v>
      </c>
      <c r="FJ186" s="263">
        <f t="shared" si="785"/>
        <v>0</v>
      </c>
      <c r="FK186" s="263">
        <f t="shared" si="785"/>
        <v>0</v>
      </c>
      <c r="FL186" s="263">
        <f t="shared" si="785"/>
        <v>0</v>
      </c>
      <c r="FM186" s="263">
        <f t="shared" si="785"/>
        <v>0</v>
      </c>
      <c r="FN186" s="230">
        <f t="shared" si="749"/>
        <v>0</v>
      </c>
      <c r="FO186" s="266"/>
      <c r="FP186" s="263">
        <f t="shared" si="786"/>
        <v>0</v>
      </c>
      <c r="FQ186" s="263">
        <f t="shared" si="786"/>
        <v>0</v>
      </c>
      <c r="FR186" s="263">
        <f t="shared" si="786"/>
        <v>0</v>
      </c>
      <c r="FS186" s="263">
        <f t="shared" si="786"/>
        <v>0</v>
      </c>
      <c r="FT186" s="263">
        <f t="shared" si="786"/>
        <v>0</v>
      </c>
      <c r="FU186" s="263">
        <f t="shared" si="786"/>
        <v>0</v>
      </c>
      <c r="FV186" s="263">
        <f t="shared" si="786"/>
        <v>0</v>
      </c>
      <c r="FW186" s="263">
        <f t="shared" si="786"/>
        <v>0</v>
      </c>
      <c r="FX186" s="263">
        <f t="shared" si="786"/>
        <v>0</v>
      </c>
      <c r="FY186" s="263">
        <f t="shared" si="786"/>
        <v>0</v>
      </c>
      <c r="FZ186" s="263">
        <f t="shared" si="786"/>
        <v>0</v>
      </c>
      <c r="GA186" s="263">
        <f t="shared" si="786"/>
        <v>0</v>
      </c>
      <c r="GB186" s="230">
        <f t="shared" si="751"/>
        <v>0</v>
      </c>
      <c r="GC186" s="266"/>
      <c r="GD186" s="263">
        <f t="shared" si="787"/>
        <v>0</v>
      </c>
      <c r="GE186" s="263">
        <f t="shared" si="787"/>
        <v>0</v>
      </c>
      <c r="GF186" s="263">
        <f t="shared" si="787"/>
        <v>0</v>
      </c>
      <c r="GG186" s="263">
        <f t="shared" si="787"/>
        <v>0</v>
      </c>
      <c r="GH186" s="263">
        <f t="shared" si="787"/>
        <v>0</v>
      </c>
      <c r="GI186" s="263">
        <f t="shared" si="787"/>
        <v>0</v>
      </c>
      <c r="GJ186" s="263">
        <f t="shared" si="787"/>
        <v>0</v>
      </c>
      <c r="GK186" s="263">
        <f t="shared" si="787"/>
        <v>0</v>
      </c>
      <c r="GL186" s="263">
        <f t="shared" si="787"/>
        <v>0</v>
      </c>
      <c r="GM186" s="263">
        <f t="shared" si="787"/>
        <v>0</v>
      </c>
      <c r="GN186" s="263">
        <f t="shared" si="787"/>
        <v>0</v>
      </c>
      <c r="GO186" s="263">
        <f t="shared" si="787"/>
        <v>0</v>
      </c>
      <c r="GP186" s="230">
        <f t="shared" si="753"/>
        <v>0</v>
      </c>
      <c r="GQ186" s="266"/>
      <c r="GR186" s="263">
        <f t="shared" si="788"/>
        <v>0</v>
      </c>
      <c r="GS186" s="263">
        <f t="shared" si="788"/>
        <v>0</v>
      </c>
      <c r="GT186" s="263">
        <f t="shared" si="788"/>
        <v>0</v>
      </c>
      <c r="GU186" s="263">
        <f t="shared" si="788"/>
        <v>0</v>
      </c>
      <c r="GV186" s="263">
        <f t="shared" si="788"/>
        <v>0</v>
      </c>
      <c r="GW186" s="263">
        <f t="shared" si="788"/>
        <v>0</v>
      </c>
      <c r="GX186" s="263">
        <f t="shared" si="788"/>
        <v>0</v>
      </c>
      <c r="GY186" s="263">
        <f t="shared" si="788"/>
        <v>0</v>
      </c>
      <c r="GZ186" s="263">
        <f t="shared" si="788"/>
        <v>0</v>
      </c>
      <c r="HA186" s="263">
        <f t="shared" si="788"/>
        <v>0</v>
      </c>
      <c r="HB186" s="263">
        <f t="shared" si="788"/>
        <v>0</v>
      </c>
      <c r="HC186" s="263">
        <f t="shared" si="788"/>
        <v>0</v>
      </c>
      <c r="HD186" s="230">
        <f t="shared" si="789"/>
        <v>0</v>
      </c>
      <c r="HE186" s="266"/>
      <c r="HF186" s="263">
        <f t="shared" si="790"/>
        <v>0</v>
      </c>
      <c r="HG186" s="263">
        <f t="shared" si="790"/>
        <v>0</v>
      </c>
      <c r="HH186" s="263">
        <f t="shared" si="790"/>
        <v>0</v>
      </c>
      <c r="HI186" s="263">
        <f t="shared" si="790"/>
        <v>0</v>
      </c>
      <c r="HJ186" s="263">
        <f t="shared" si="790"/>
        <v>0</v>
      </c>
      <c r="HK186" s="263">
        <f t="shared" si="790"/>
        <v>0</v>
      </c>
      <c r="HL186" s="263">
        <f t="shared" si="790"/>
        <v>0</v>
      </c>
      <c r="HM186" s="263">
        <f t="shared" si="790"/>
        <v>0</v>
      </c>
      <c r="HN186" s="263">
        <f t="shared" si="790"/>
        <v>0</v>
      </c>
      <c r="HO186" s="263">
        <f t="shared" si="790"/>
        <v>0</v>
      </c>
      <c r="HP186" s="263">
        <f t="shared" si="790"/>
        <v>0</v>
      </c>
      <c r="HQ186" s="263">
        <f t="shared" si="790"/>
        <v>0</v>
      </c>
      <c r="HR186" s="230">
        <f t="shared" si="756"/>
        <v>0</v>
      </c>
      <c r="HS186" s="266"/>
      <c r="HT186" s="263">
        <f t="shared" si="791"/>
        <v>0</v>
      </c>
      <c r="HU186" s="263">
        <f t="shared" si="791"/>
        <v>0</v>
      </c>
      <c r="HV186" s="263">
        <f t="shared" si="791"/>
        <v>0</v>
      </c>
      <c r="HW186" s="263">
        <f t="shared" si="791"/>
        <v>0</v>
      </c>
      <c r="HX186" s="263">
        <f t="shared" si="791"/>
        <v>0</v>
      </c>
      <c r="HY186" s="263">
        <f t="shared" si="791"/>
        <v>0</v>
      </c>
      <c r="HZ186" s="263">
        <f t="shared" si="791"/>
        <v>0</v>
      </c>
      <c r="IA186" s="263">
        <f t="shared" si="791"/>
        <v>0</v>
      </c>
      <c r="IB186" s="263">
        <f t="shared" si="791"/>
        <v>0</v>
      </c>
      <c r="IC186" s="263">
        <f t="shared" si="791"/>
        <v>0</v>
      </c>
      <c r="ID186" s="263">
        <f t="shared" si="791"/>
        <v>0</v>
      </c>
      <c r="IE186" s="263">
        <f t="shared" si="791"/>
        <v>0</v>
      </c>
      <c r="IF186" s="230">
        <f t="shared" si="758"/>
        <v>0</v>
      </c>
      <c r="IG186" s="266"/>
      <c r="IH186" s="263">
        <f t="shared" si="792"/>
        <v>0</v>
      </c>
      <c r="II186" s="263">
        <f t="shared" si="792"/>
        <v>0</v>
      </c>
      <c r="IJ186" s="263">
        <f t="shared" si="792"/>
        <v>0</v>
      </c>
      <c r="IK186" s="263">
        <f t="shared" si="792"/>
        <v>0</v>
      </c>
      <c r="IL186" s="263">
        <f t="shared" si="792"/>
        <v>0</v>
      </c>
      <c r="IM186" s="263">
        <f t="shared" si="792"/>
        <v>0</v>
      </c>
      <c r="IN186" s="263">
        <f t="shared" si="792"/>
        <v>0</v>
      </c>
      <c r="IO186" s="263">
        <f t="shared" si="792"/>
        <v>0</v>
      </c>
      <c r="IP186" s="263">
        <f t="shared" si="792"/>
        <v>0</v>
      </c>
      <c r="IQ186" s="263">
        <f t="shared" si="792"/>
        <v>0</v>
      </c>
      <c r="IR186" s="263">
        <f t="shared" si="792"/>
        <v>0</v>
      </c>
      <c r="IS186" s="263">
        <f t="shared" si="792"/>
        <v>0</v>
      </c>
      <c r="IT186" s="230">
        <f t="shared" si="760"/>
        <v>0</v>
      </c>
      <c r="IU186" s="266"/>
      <c r="IV186" s="263">
        <f t="shared" si="793"/>
        <v>0</v>
      </c>
      <c r="IW186" s="263">
        <f t="shared" si="793"/>
        <v>0</v>
      </c>
      <c r="IX186" s="263">
        <f t="shared" si="793"/>
        <v>0</v>
      </c>
      <c r="IY186" s="263">
        <f t="shared" si="793"/>
        <v>0</v>
      </c>
      <c r="IZ186" s="263">
        <f t="shared" si="793"/>
        <v>0</v>
      </c>
      <c r="JA186" s="263">
        <f t="shared" si="793"/>
        <v>0</v>
      </c>
      <c r="JB186" s="263">
        <f t="shared" si="793"/>
        <v>0</v>
      </c>
      <c r="JC186" s="263">
        <f t="shared" si="793"/>
        <v>0</v>
      </c>
      <c r="JD186" s="263">
        <f t="shared" si="793"/>
        <v>0</v>
      </c>
      <c r="JE186" s="263">
        <f t="shared" si="793"/>
        <v>0</v>
      </c>
      <c r="JF186" s="263">
        <f t="shared" si="793"/>
        <v>0</v>
      </c>
      <c r="JG186" s="263">
        <f t="shared" si="793"/>
        <v>0</v>
      </c>
      <c r="JH186" s="230">
        <f t="shared" si="762"/>
        <v>0</v>
      </c>
      <c r="JI186" s="266"/>
      <c r="JJ186" s="263">
        <f t="shared" si="794"/>
        <v>0</v>
      </c>
      <c r="JK186" s="263">
        <f t="shared" si="794"/>
        <v>0</v>
      </c>
      <c r="JL186" s="263">
        <f t="shared" si="794"/>
        <v>0</v>
      </c>
      <c r="JM186" s="263">
        <f t="shared" si="794"/>
        <v>0</v>
      </c>
      <c r="JN186" s="263">
        <f t="shared" si="794"/>
        <v>0</v>
      </c>
      <c r="JO186" s="263">
        <f t="shared" si="794"/>
        <v>0</v>
      </c>
      <c r="JP186" s="263">
        <f t="shared" si="794"/>
        <v>0</v>
      </c>
      <c r="JQ186" s="263">
        <f t="shared" si="794"/>
        <v>0</v>
      </c>
      <c r="JR186" s="263">
        <f t="shared" si="794"/>
        <v>0</v>
      </c>
      <c r="JS186" s="263">
        <f t="shared" si="794"/>
        <v>0</v>
      </c>
      <c r="JT186" s="263">
        <f t="shared" si="794"/>
        <v>0</v>
      </c>
      <c r="JU186" s="263">
        <f t="shared" si="794"/>
        <v>0</v>
      </c>
      <c r="JV186" s="230">
        <f t="shared" si="764"/>
        <v>0</v>
      </c>
      <c r="JW186" s="266"/>
      <c r="JX186" s="263">
        <f t="shared" si="795"/>
        <v>0</v>
      </c>
      <c r="JY186" s="263">
        <f t="shared" si="795"/>
        <v>0</v>
      </c>
      <c r="JZ186" s="263">
        <f t="shared" si="795"/>
        <v>0</v>
      </c>
      <c r="KA186" s="263">
        <f t="shared" si="795"/>
        <v>0</v>
      </c>
      <c r="KB186" s="263">
        <f t="shared" si="795"/>
        <v>0</v>
      </c>
      <c r="KC186" s="263">
        <f t="shared" si="795"/>
        <v>0</v>
      </c>
      <c r="KD186" s="263">
        <f t="shared" si="795"/>
        <v>0</v>
      </c>
      <c r="KE186" s="263">
        <f t="shared" si="795"/>
        <v>0</v>
      </c>
      <c r="KF186" s="263">
        <f t="shared" si="795"/>
        <v>0</v>
      </c>
      <c r="KG186" s="263">
        <f t="shared" si="795"/>
        <v>0</v>
      </c>
      <c r="KH186" s="263">
        <f t="shared" si="795"/>
        <v>0</v>
      </c>
      <c r="KI186" s="263">
        <f t="shared" si="795"/>
        <v>0</v>
      </c>
      <c r="KJ186" s="230">
        <f t="shared" si="766"/>
        <v>0</v>
      </c>
      <c r="KK186" s="266"/>
      <c r="KL186" s="263">
        <f t="shared" si="796"/>
        <v>0</v>
      </c>
      <c r="KM186" s="263">
        <f t="shared" si="796"/>
        <v>0</v>
      </c>
      <c r="KN186" s="263">
        <f t="shared" si="796"/>
        <v>0</v>
      </c>
      <c r="KO186" s="263">
        <f t="shared" si="796"/>
        <v>0</v>
      </c>
      <c r="KP186" s="263">
        <f t="shared" si="796"/>
        <v>0</v>
      </c>
      <c r="KQ186" s="263">
        <f t="shared" si="796"/>
        <v>0</v>
      </c>
      <c r="KR186" s="263">
        <f t="shared" si="796"/>
        <v>0</v>
      </c>
      <c r="KS186" s="263">
        <f t="shared" si="796"/>
        <v>0</v>
      </c>
      <c r="KT186" s="263">
        <f t="shared" si="796"/>
        <v>0</v>
      </c>
      <c r="KU186" s="263">
        <f t="shared" si="796"/>
        <v>0</v>
      </c>
      <c r="KV186" s="263">
        <f t="shared" si="796"/>
        <v>0</v>
      </c>
      <c r="KW186" s="263">
        <f t="shared" si="796"/>
        <v>0</v>
      </c>
      <c r="KX186" s="230">
        <f t="shared" si="768"/>
        <v>0</v>
      </c>
      <c r="KY186" s="266"/>
      <c r="KZ186" s="263">
        <f t="shared" si="797"/>
        <v>0</v>
      </c>
      <c r="LA186" s="263">
        <f t="shared" si="797"/>
        <v>0</v>
      </c>
      <c r="LB186" s="263">
        <f t="shared" si="797"/>
        <v>0</v>
      </c>
      <c r="LC186" s="263">
        <f t="shared" si="797"/>
        <v>0</v>
      </c>
      <c r="LD186" s="263">
        <f t="shared" si="797"/>
        <v>0</v>
      </c>
      <c r="LE186" s="263">
        <f t="shared" si="797"/>
        <v>0</v>
      </c>
      <c r="LF186" s="263">
        <f t="shared" si="797"/>
        <v>0</v>
      </c>
      <c r="LG186" s="263">
        <f t="shared" si="797"/>
        <v>0</v>
      </c>
      <c r="LH186" s="263">
        <f t="shared" si="797"/>
        <v>0</v>
      </c>
      <c r="LI186" s="263">
        <f t="shared" si="797"/>
        <v>0</v>
      </c>
      <c r="LJ186" s="263">
        <f t="shared" si="797"/>
        <v>0</v>
      </c>
      <c r="LK186" s="263">
        <f t="shared" si="797"/>
        <v>0</v>
      </c>
      <c r="LL186" s="230">
        <f t="shared" si="770"/>
        <v>0</v>
      </c>
      <c r="LM186" s="266"/>
      <c r="LN186" s="263">
        <v>0</v>
      </c>
      <c r="LO186" s="264">
        <v>0</v>
      </c>
      <c r="LP186" s="265">
        <v>0</v>
      </c>
      <c r="LQ186" s="265">
        <v>0</v>
      </c>
      <c r="LR186" s="265">
        <v>0</v>
      </c>
      <c r="LS186" s="265">
        <v>0</v>
      </c>
      <c r="LT186" s="265">
        <v>0</v>
      </c>
      <c r="LU186" s="265">
        <v>0</v>
      </c>
      <c r="LV186" s="265">
        <v>0</v>
      </c>
      <c r="LW186" s="265">
        <v>0</v>
      </c>
      <c r="LX186" s="265">
        <v>0</v>
      </c>
      <c r="LY186" s="265">
        <v>0</v>
      </c>
      <c r="LZ186" s="230">
        <f t="shared" si="771"/>
        <v>0</v>
      </c>
      <c r="MA186" s="266"/>
      <c r="MB186" s="230">
        <f t="shared" si="772"/>
        <v>0</v>
      </c>
      <c r="MC186" s="230">
        <f t="shared" si="772"/>
        <v>0</v>
      </c>
      <c r="MD186" s="230">
        <f t="shared" si="772"/>
        <v>0</v>
      </c>
      <c r="ME186" s="230">
        <f t="shared" si="772"/>
        <v>0</v>
      </c>
      <c r="MF186" s="230">
        <f t="shared" si="772"/>
        <v>0</v>
      </c>
      <c r="MG186" s="230">
        <f t="shared" si="772"/>
        <v>0</v>
      </c>
      <c r="MH186" s="230">
        <f t="shared" si="772"/>
        <v>0</v>
      </c>
      <c r="MI186" s="230">
        <f t="shared" si="772"/>
        <v>0</v>
      </c>
      <c r="MJ186" s="230">
        <f t="shared" si="772"/>
        <v>0</v>
      </c>
      <c r="MK186" s="230">
        <f t="shared" si="772"/>
        <v>0</v>
      </c>
      <c r="ML186" s="230">
        <f t="shared" si="772"/>
        <v>0</v>
      </c>
      <c r="MM186" s="230">
        <f t="shared" si="772"/>
        <v>0</v>
      </c>
      <c r="MN186" s="230">
        <f t="shared" si="773"/>
        <v>0</v>
      </c>
    </row>
    <row r="187" spans="1:352" x14ac:dyDescent="0.25">
      <c r="A187" s="262"/>
      <c r="B187" s="183"/>
      <c r="C187" s="98"/>
      <c r="D187" s="279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30"/>
      <c r="Q187" s="266"/>
      <c r="R187" s="279"/>
      <c r="S187" s="274"/>
      <c r="T187" s="274"/>
      <c r="U187" s="274"/>
      <c r="V187" s="274"/>
      <c r="W187" s="274"/>
      <c r="X187" s="274"/>
      <c r="Y187" s="274"/>
      <c r="Z187" s="274"/>
      <c r="AA187" s="274"/>
      <c r="AB187" s="274"/>
      <c r="AC187" s="274"/>
      <c r="AD187" s="230"/>
      <c r="AE187" s="266"/>
      <c r="AF187" s="279"/>
      <c r="AG187" s="274"/>
      <c r="AH187" s="274"/>
      <c r="AI187" s="274"/>
      <c r="AJ187" s="274"/>
      <c r="AK187" s="274"/>
      <c r="AL187" s="274"/>
      <c r="AM187" s="274"/>
      <c r="AN187" s="274"/>
      <c r="AO187" s="274"/>
      <c r="AP187" s="274"/>
      <c r="AQ187" s="274"/>
      <c r="AR187" s="230"/>
      <c r="AS187" s="266"/>
      <c r="AT187" s="279"/>
      <c r="AU187" s="274"/>
      <c r="AV187" s="274"/>
      <c r="AW187" s="274"/>
      <c r="AX187" s="274"/>
      <c r="AY187" s="274"/>
      <c r="AZ187" s="274"/>
      <c r="BA187" s="274"/>
      <c r="BB187" s="274"/>
      <c r="BC187" s="274"/>
      <c r="BD187" s="274"/>
      <c r="BE187" s="274"/>
      <c r="BF187" s="230"/>
      <c r="BG187" s="224"/>
      <c r="BH187" s="279"/>
      <c r="BI187" s="274"/>
      <c r="BJ187" s="274"/>
      <c r="BK187" s="274"/>
      <c r="BL187" s="274"/>
      <c r="BM187" s="274"/>
      <c r="BN187" s="274"/>
      <c r="BO187" s="274"/>
      <c r="BP187" s="274"/>
      <c r="BQ187" s="274"/>
      <c r="BR187" s="274"/>
      <c r="BS187" s="274"/>
      <c r="BT187" s="230"/>
      <c r="BU187" s="266"/>
      <c r="BV187" s="279"/>
      <c r="BW187" s="274"/>
      <c r="BX187" s="274"/>
      <c r="BY187" s="274"/>
      <c r="BZ187" s="274"/>
      <c r="CA187" s="274"/>
      <c r="CB187" s="274"/>
      <c r="CC187" s="274"/>
      <c r="CD187" s="274"/>
      <c r="CE187" s="274"/>
      <c r="CF187" s="274"/>
      <c r="CG187" s="274"/>
      <c r="CH187" s="230"/>
      <c r="CI187" s="266"/>
      <c r="CJ187" s="279"/>
      <c r="CK187" s="274"/>
      <c r="CL187" s="274"/>
      <c r="CM187" s="274"/>
      <c r="CN187" s="274"/>
      <c r="CO187" s="274"/>
      <c r="CP187" s="274"/>
      <c r="CQ187" s="274"/>
      <c r="CR187" s="274"/>
      <c r="CS187" s="274"/>
      <c r="CT187" s="274"/>
      <c r="CU187" s="274"/>
      <c r="CV187" s="230"/>
      <c r="CW187" s="266"/>
      <c r="CX187" s="279"/>
      <c r="CY187" s="274"/>
      <c r="CZ187" s="274"/>
      <c r="DA187" s="274"/>
      <c r="DB187" s="274"/>
      <c r="DC187" s="274"/>
      <c r="DD187" s="274"/>
      <c r="DE187" s="274"/>
      <c r="DF187" s="274"/>
      <c r="DG187" s="274"/>
      <c r="DH187" s="274"/>
      <c r="DI187" s="274"/>
      <c r="DJ187" s="230"/>
      <c r="DK187" s="266"/>
      <c r="DL187" s="279"/>
      <c r="DM187" s="274"/>
      <c r="DN187" s="274"/>
      <c r="DO187" s="274"/>
      <c r="DP187" s="274"/>
      <c r="DQ187" s="274"/>
      <c r="DR187" s="274"/>
      <c r="DS187" s="274"/>
      <c r="DT187" s="274"/>
      <c r="DU187" s="274"/>
      <c r="DV187" s="274"/>
      <c r="DW187" s="274"/>
      <c r="DX187" s="230"/>
      <c r="DY187" s="266"/>
      <c r="DZ187" s="279"/>
      <c r="EA187" s="274"/>
      <c r="EB187" s="274"/>
      <c r="EC187" s="274"/>
      <c r="ED187" s="274"/>
      <c r="EE187" s="274"/>
      <c r="EF187" s="274"/>
      <c r="EG187" s="274"/>
      <c r="EH187" s="274"/>
      <c r="EI187" s="274"/>
      <c r="EJ187" s="274"/>
      <c r="EK187" s="274"/>
      <c r="EL187" s="230"/>
      <c r="EM187" s="266"/>
      <c r="EN187" s="279"/>
      <c r="EO187" s="274"/>
      <c r="EP187" s="274"/>
      <c r="EQ187" s="274"/>
      <c r="ER187" s="274"/>
      <c r="ES187" s="274"/>
      <c r="ET187" s="274"/>
      <c r="EU187" s="274"/>
      <c r="EV187" s="274"/>
      <c r="EW187" s="274"/>
      <c r="EX187" s="274"/>
      <c r="EY187" s="274"/>
      <c r="EZ187" s="230"/>
      <c r="FA187" s="266"/>
      <c r="FB187" s="279"/>
      <c r="FC187" s="274"/>
      <c r="FD187" s="274"/>
      <c r="FE187" s="274"/>
      <c r="FF187" s="274"/>
      <c r="FG187" s="274"/>
      <c r="FH187" s="274"/>
      <c r="FI187" s="274"/>
      <c r="FJ187" s="274"/>
      <c r="FK187" s="274"/>
      <c r="FL187" s="274"/>
      <c r="FM187" s="274"/>
      <c r="FN187" s="230"/>
      <c r="FO187" s="266"/>
      <c r="FP187" s="279"/>
      <c r="FQ187" s="274"/>
      <c r="FR187" s="274"/>
      <c r="FS187" s="274"/>
      <c r="FT187" s="274"/>
      <c r="FU187" s="274"/>
      <c r="FV187" s="274"/>
      <c r="FW187" s="274"/>
      <c r="FX187" s="274"/>
      <c r="FY187" s="274"/>
      <c r="FZ187" s="274"/>
      <c r="GA187" s="274"/>
      <c r="GB187" s="230"/>
      <c r="GC187" s="266"/>
      <c r="GD187" s="279"/>
      <c r="GE187" s="274"/>
      <c r="GF187" s="274"/>
      <c r="GG187" s="274"/>
      <c r="GH187" s="274"/>
      <c r="GI187" s="274"/>
      <c r="GJ187" s="274"/>
      <c r="GK187" s="274"/>
      <c r="GL187" s="274"/>
      <c r="GM187" s="274"/>
      <c r="GN187" s="274"/>
      <c r="GO187" s="274"/>
      <c r="GP187" s="230"/>
      <c r="GQ187" s="266"/>
      <c r="GR187" s="279"/>
      <c r="GS187" s="274"/>
      <c r="GT187" s="274"/>
      <c r="GU187" s="274"/>
      <c r="GV187" s="274"/>
      <c r="GW187" s="274"/>
      <c r="GX187" s="274"/>
      <c r="GY187" s="274"/>
      <c r="GZ187" s="274"/>
      <c r="HA187" s="274"/>
      <c r="HB187" s="274"/>
      <c r="HC187" s="274"/>
      <c r="HD187" s="230"/>
      <c r="HE187" s="266"/>
      <c r="HF187" s="279"/>
      <c r="HG187" s="274"/>
      <c r="HH187" s="274"/>
      <c r="HI187" s="274"/>
      <c r="HJ187" s="274"/>
      <c r="HK187" s="274"/>
      <c r="HL187" s="274"/>
      <c r="HM187" s="274"/>
      <c r="HN187" s="274"/>
      <c r="HO187" s="274"/>
      <c r="HP187" s="274"/>
      <c r="HQ187" s="274"/>
      <c r="HR187" s="230"/>
      <c r="HS187" s="266"/>
      <c r="HT187" s="279"/>
      <c r="HU187" s="274"/>
      <c r="HV187" s="274"/>
      <c r="HW187" s="274"/>
      <c r="HX187" s="274"/>
      <c r="HY187" s="274"/>
      <c r="HZ187" s="274"/>
      <c r="IA187" s="274"/>
      <c r="IB187" s="274"/>
      <c r="IC187" s="274"/>
      <c r="ID187" s="274"/>
      <c r="IE187" s="274"/>
      <c r="IF187" s="230"/>
      <c r="IG187" s="266"/>
      <c r="IH187" s="279"/>
      <c r="II187" s="274"/>
      <c r="IJ187" s="274"/>
      <c r="IK187" s="274"/>
      <c r="IL187" s="274"/>
      <c r="IM187" s="274"/>
      <c r="IN187" s="274"/>
      <c r="IO187" s="274"/>
      <c r="IP187" s="274"/>
      <c r="IQ187" s="274"/>
      <c r="IR187" s="274"/>
      <c r="IS187" s="274"/>
      <c r="IT187" s="230"/>
      <c r="IU187" s="266"/>
      <c r="IV187" s="279"/>
      <c r="IW187" s="274"/>
      <c r="IX187" s="274"/>
      <c r="IY187" s="274"/>
      <c r="IZ187" s="274"/>
      <c r="JA187" s="274"/>
      <c r="JB187" s="274"/>
      <c r="JC187" s="274"/>
      <c r="JD187" s="274"/>
      <c r="JE187" s="274"/>
      <c r="JF187" s="274"/>
      <c r="JG187" s="274"/>
      <c r="JH187" s="230"/>
      <c r="JI187" s="266"/>
      <c r="JJ187" s="279"/>
      <c r="JK187" s="274"/>
      <c r="JL187" s="274"/>
      <c r="JM187" s="274"/>
      <c r="JN187" s="274"/>
      <c r="JO187" s="274"/>
      <c r="JP187" s="274"/>
      <c r="JQ187" s="274"/>
      <c r="JR187" s="274"/>
      <c r="JS187" s="274"/>
      <c r="JT187" s="274"/>
      <c r="JU187" s="274"/>
      <c r="JV187" s="230"/>
      <c r="JW187" s="266"/>
      <c r="JX187" s="279"/>
      <c r="JY187" s="274"/>
      <c r="JZ187" s="274"/>
      <c r="KA187" s="274"/>
      <c r="KB187" s="274"/>
      <c r="KC187" s="274"/>
      <c r="KD187" s="274"/>
      <c r="KE187" s="274"/>
      <c r="KF187" s="274"/>
      <c r="KG187" s="274"/>
      <c r="KH187" s="274"/>
      <c r="KI187" s="274"/>
      <c r="KJ187" s="230"/>
      <c r="KK187" s="266"/>
      <c r="KL187" s="279"/>
      <c r="KM187" s="274"/>
      <c r="KN187" s="274"/>
      <c r="KO187" s="274"/>
      <c r="KP187" s="274"/>
      <c r="KQ187" s="274"/>
      <c r="KR187" s="274"/>
      <c r="KS187" s="274"/>
      <c r="KT187" s="274"/>
      <c r="KU187" s="274"/>
      <c r="KV187" s="274"/>
      <c r="KW187" s="274"/>
      <c r="KX187" s="230"/>
      <c r="KY187" s="266"/>
      <c r="KZ187" s="279"/>
      <c r="LA187" s="274"/>
      <c r="LB187" s="274"/>
      <c r="LC187" s="274"/>
      <c r="LD187" s="274"/>
      <c r="LE187" s="274"/>
      <c r="LF187" s="274"/>
      <c r="LG187" s="274"/>
      <c r="LH187" s="274"/>
      <c r="LI187" s="274"/>
      <c r="LJ187" s="274"/>
      <c r="LK187" s="274"/>
      <c r="LL187" s="230"/>
      <c r="LM187" s="266"/>
      <c r="LN187" s="279"/>
      <c r="LO187" s="274"/>
      <c r="LP187" s="274"/>
      <c r="LQ187" s="274"/>
      <c r="LR187" s="274"/>
      <c r="LS187" s="274"/>
      <c r="LT187" s="274"/>
      <c r="LU187" s="274"/>
      <c r="LV187" s="274"/>
      <c r="LW187" s="274"/>
      <c r="LX187" s="274"/>
      <c r="LY187" s="274"/>
      <c r="LZ187" s="230"/>
      <c r="MA187" s="266"/>
      <c r="MB187" s="230"/>
      <c r="MC187" s="230"/>
      <c r="MD187" s="230"/>
      <c r="ME187" s="230"/>
      <c r="MF187" s="230"/>
      <c r="MG187" s="230"/>
      <c r="MH187" s="230"/>
      <c r="MI187" s="230"/>
      <c r="MJ187" s="230"/>
      <c r="MK187" s="230"/>
      <c r="ML187" s="230"/>
      <c r="MM187" s="230"/>
      <c r="MN187" s="230"/>
    </row>
    <row r="188" spans="1:352" x14ac:dyDescent="0.3">
      <c r="A188" s="262"/>
      <c r="B188" s="166" t="s">
        <v>210</v>
      </c>
      <c r="C188" s="172"/>
      <c r="D188" s="277">
        <f>SUM(D176:D187)</f>
        <v>40529.207284179691</v>
      </c>
      <c r="E188" s="278">
        <f t="shared" ref="E188:O188" si="798">SUM(E176:E187)</f>
        <v>38655.815959108193</v>
      </c>
      <c r="F188" s="278">
        <f t="shared" si="798"/>
        <v>38959.676778936606</v>
      </c>
      <c r="G188" s="278">
        <f t="shared" si="798"/>
        <v>38655.815959108193</v>
      </c>
      <c r="H188" s="278">
        <f t="shared" si="798"/>
        <v>38655.815959108193</v>
      </c>
      <c r="I188" s="278">
        <f t="shared" si="798"/>
        <v>38655.815959108193</v>
      </c>
      <c r="J188" s="278">
        <f t="shared" si="798"/>
        <v>38776.466578745945</v>
      </c>
      <c r="K188" s="278">
        <f t="shared" si="798"/>
        <v>40027.658189804097</v>
      </c>
      <c r="L188" s="278">
        <f t="shared" si="798"/>
        <v>39848.916531081501</v>
      </c>
      <c r="M188" s="278">
        <f t="shared" si="798"/>
        <v>40090.813575886081</v>
      </c>
      <c r="N188" s="278">
        <f t="shared" si="798"/>
        <v>39080.327398574358</v>
      </c>
      <c r="O188" s="278">
        <f t="shared" si="798"/>
        <v>39085.859878487201</v>
      </c>
      <c r="P188" s="271">
        <f>+SUBTOTAL(9,D188:O188)</f>
        <v>471022.19005212816</v>
      </c>
      <c r="Q188" s="266"/>
      <c r="R188" s="277">
        <f>SUM(R176:R187)</f>
        <v>3353.6114961149692</v>
      </c>
      <c r="S188" s="278">
        <f t="shared" ref="S188:AC188" si="799">SUM(S176:S187)</f>
        <v>3166.4689794324149</v>
      </c>
      <c r="T188" s="278">
        <f t="shared" si="799"/>
        <v>3196.8550614152555</v>
      </c>
      <c r="U188" s="278">
        <f t="shared" si="799"/>
        <v>3166.4689794324149</v>
      </c>
      <c r="V188" s="278">
        <f t="shared" si="799"/>
        <v>3166.4689794324149</v>
      </c>
      <c r="W188" s="278">
        <f t="shared" si="799"/>
        <v>3166.4689794324149</v>
      </c>
      <c r="X188" s="278">
        <f t="shared" si="799"/>
        <v>3176.6095895372764</v>
      </c>
      <c r="Y188" s="278">
        <f t="shared" si="799"/>
        <v>3301.7287506430912</v>
      </c>
      <c r="Z188" s="278">
        <f t="shared" si="799"/>
        <v>3283.8545847708319</v>
      </c>
      <c r="AA188" s="278">
        <f t="shared" si="799"/>
        <v>3308.8784169919954</v>
      </c>
      <c r="AB188" s="278">
        <f t="shared" si="799"/>
        <v>3206.995671520117</v>
      </c>
      <c r="AC188" s="278">
        <f t="shared" si="799"/>
        <v>3207.5063619736102</v>
      </c>
      <c r="AD188" s="271">
        <f>+SUBTOTAL(9,R188:AC188)</f>
        <v>38701.915850696809</v>
      </c>
      <c r="AE188" s="266"/>
      <c r="AF188" s="277">
        <f>SUM(AF176:AF187)</f>
        <v>3374.8579212817954</v>
      </c>
      <c r="AG188" s="278">
        <f t="shared" ref="AG188:AQ188" si="800">SUM(AG176:AG187)</f>
        <v>3187.7154045992411</v>
      </c>
      <c r="AH188" s="278">
        <f t="shared" si="800"/>
        <v>3218.1014865820816</v>
      </c>
      <c r="AI188" s="278">
        <f t="shared" si="800"/>
        <v>3187.7154045992411</v>
      </c>
      <c r="AJ188" s="278">
        <f t="shared" si="800"/>
        <v>3187.7154045992411</v>
      </c>
      <c r="AK188" s="278">
        <f t="shared" si="800"/>
        <v>3187.7154045992411</v>
      </c>
      <c r="AL188" s="278">
        <f t="shared" si="800"/>
        <v>3197.8560147041026</v>
      </c>
      <c r="AM188" s="278">
        <f t="shared" si="800"/>
        <v>3322.9751758099173</v>
      </c>
      <c r="AN188" s="278">
        <f t="shared" si="800"/>
        <v>3305.1010099376581</v>
      </c>
      <c r="AO188" s="278">
        <f t="shared" si="800"/>
        <v>3330.1248421588216</v>
      </c>
      <c r="AP188" s="278">
        <f t="shared" si="800"/>
        <v>3228.2420966869431</v>
      </c>
      <c r="AQ188" s="278">
        <f t="shared" si="800"/>
        <v>3228.7527871404363</v>
      </c>
      <c r="AR188" s="271">
        <f>+SUBTOTAL(9,AF188:AQ188)</f>
        <v>38956.872952698723</v>
      </c>
      <c r="AS188" s="266"/>
      <c r="AT188" s="277">
        <f>SUM(AT176:AT187)</f>
        <v>9585.598004083</v>
      </c>
      <c r="AU188" s="278">
        <f t="shared" ref="AU188:BE188" si="801">SUM(AU176:AU187)</f>
        <v>9460.8363262946295</v>
      </c>
      <c r="AV188" s="278">
        <f t="shared" si="801"/>
        <v>9481.0937142831899</v>
      </c>
      <c r="AW188" s="278">
        <f t="shared" si="801"/>
        <v>9460.8363262946295</v>
      </c>
      <c r="AX188" s="278">
        <f t="shared" si="801"/>
        <v>9460.8363262946295</v>
      </c>
      <c r="AY188" s="278">
        <f t="shared" si="801"/>
        <v>9460.8363262946295</v>
      </c>
      <c r="AZ188" s="278">
        <f t="shared" si="801"/>
        <v>9475.5288906416281</v>
      </c>
      <c r="BA188" s="278">
        <f t="shared" si="801"/>
        <v>9558.9416647121725</v>
      </c>
      <c r="BB188" s="278">
        <f t="shared" si="801"/>
        <v>9547.0255541306651</v>
      </c>
      <c r="BC188" s="278">
        <f t="shared" si="801"/>
        <v>9563.7081089447747</v>
      </c>
      <c r="BD188" s="278">
        <f t="shared" si="801"/>
        <v>9495.7862786301885</v>
      </c>
      <c r="BE188" s="278">
        <f t="shared" si="801"/>
        <v>9496.1267389325167</v>
      </c>
      <c r="BF188" s="271">
        <f>+SUBTOTAL(9,AT188:BE188)</f>
        <v>114047.15425953665</v>
      </c>
      <c r="BG188" s="224"/>
      <c r="BH188" s="277">
        <f>SUM(BH176:BH187)</f>
        <v>55344.296756075317</v>
      </c>
      <c r="BI188" s="278">
        <f t="shared" ref="BI188:BS188" si="802">SUM(BI176:BI187)</f>
        <v>54404.651856170647</v>
      </c>
      <c r="BJ188" s="278">
        <f t="shared" si="802"/>
        <v>54556.58226608485</v>
      </c>
      <c r="BK188" s="278">
        <f t="shared" si="802"/>
        <v>54404.651856170647</v>
      </c>
      <c r="BL188" s="278">
        <f t="shared" si="802"/>
        <v>54404.651856170647</v>
      </c>
      <c r="BM188" s="278">
        <f t="shared" si="802"/>
        <v>54404.651856170647</v>
      </c>
      <c r="BN188" s="278">
        <f t="shared" si="802"/>
        <v>54474.313438630132</v>
      </c>
      <c r="BO188" s="278">
        <f t="shared" si="802"/>
        <v>55099.909244159207</v>
      </c>
      <c r="BP188" s="278">
        <f t="shared" si="802"/>
        <v>55010.538414797913</v>
      </c>
      <c r="BQ188" s="278">
        <f t="shared" si="802"/>
        <v>55118.975021089616</v>
      </c>
      <c r="BR188" s="278">
        <f t="shared" si="802"/>
        <v>54626.243848544334</v>
      </c>
      <c r="BS188" s="278">
        <f t="shared" si="802"/>
        <v>54628.797300811799</v>
      </c>
      <c r="BT188" s="271">
        <f>+SUBTOTAL(9,BH188:BS188)</f>
        <v>656478.26371487579</v>
      </c>
      <c r="BU188" s="266"/>
      <c r="BV188" s="277">
        <f>SUM(BV176:BV187)</f>
        <v>8488.9620144342571</v>
      </c>
      <c r="BW188" s="278">
        <f t="shared" ref="BW188:CG188" si="803">SUM(BW176:BW187)</f>
        <v>8408.7070096678126</v>
      </c>
      <c r="BX188" s="278">
        <f t="shared" si="803"/>
        <v>8418.8357036620928</v>
      </c>
      <c r="BY188" s="278">
        <f t="shared" si="803"/>
        <v>8408.7070096678126</v>
      </c>
      <c r="BZ188" s="278">
        <f t="shared" si="803"/>
        <v>8408.7070096678126</v>
      </c>
      <c r="CA188" s="278">
        <f t="shared" si="803"/>
        <v>8408.7070096678126</v>
      </c>
      <c r="CB188" s="278">
        <f t="shared" si="803"/>
        <v>8419.5864186287272</v>
      </c>
      <c r="CC188" s="278">
        <f t="shared" si="803"/>
        <v>8479.1669715362586</v>
      </c>
      <c r="CD188" s="278">
        <f t="shared" si="803"/>
        <v>8455.3347503732457</v>
      </c>
      <c r="CE188" s="278">
        <f t="shared" si="803"/>
        <v>8463.6760277803005</v>
      </c>
      <c r="CF188" s="278">
        <f t="shared" si="803"/>
        <v>8429.7151126230074</v>
      </c>
      <c r="CG188" s="278">
        <f t="shared" si="803"/>
        <v>8429.8853427741724</v>
      </c>
      <c r="CH188" s="271">
        <f>+SUBTOTAL(9,BV188:CG188)</f>
        <v>101219.99038048332</v>
      </c>
      <c r="CI188" s="266"/>
      <c r="CJ188" s="277">
        <f>SUM(CJ176:CJ187)</f>
        <v>24221.944885182918</v>
      </c>
      <c r="CK188" s="278">
        <f t="shared" ref="CK188:CU188" si="804">SUM(CK176:CK187)</f>
        <v>23535.755657346883</v>
      </c>
      <c r="CL188" s="278">
        <f t="shared" si="804"/>
        <v>23647.171291283965</v>
      </c>
      <c r="CM188" s="278">
        <f t="shared" si="804"/>
        <v>23535.755657346883</v>
      </c>
      <c r="CN188" s="278">
        <f t="shared" si="804"/>
        <v>23535.755657346883</v>
      </c>
      <c r="CO188" s="278">
        <f t="shared" si="804"/>
        <v>23535.755657346883</v>
      </c>
      <c r="CP188" s="278">
        <f t="shared" si="804"/>
        <v>23581.704179749173</v>
      </c>
      <c r="CQ188" s="278">
        <f t="shared" si="804"/>
        <v>24040.47443713716</v>
      </c>
      <c r="CR188" s="278">
        <f t="shared" si="804"/>
        <v>23974.935828938877</v>
      </c>
      <c r="CS188" s="278">
        <f t="shared" si="804"/>
        <v>24066.689880416474</v>
      </c>
      <c r="CT188" s="278">
        <f t="shared" si="804"/>
        <v>23693.119813686255</v>
      </c>
      <c r="CU188" s="278">
        <f t="shared" si="804"/>
        <v>23694.992345349063</v>
      </c>
      <c r="CV188" s="271">
        <f>+SUBTOTAL(9,CJ188:CU188)</f>
        <v>285064.05529113143</v>
      </c>
      <c r="CW188" s="266"/>
      <c r="CX188" s="277">
        <f>SUM(CX176:CX187)</f>
        <v>53988.672343148675</v>
      </c>
      <c r="CY188" s="278">
        <f t="shared" ref="CY188:DI188" si="805">SUM(CY176:CY187)</f>
        <v>52150.850608162975</v>
      </c>
      <c r="CZ188" s="278">
        <f t="shared" si="805"/>
        <v>52444.5827339971</v>
      </c>
      <c r="DA188" s="278">
        <f t="shared" si="805"/>
        <v>52150.850608162975</v>
      </c>
      <c r="DB188" s="278">
        <f t="shared" si="805"/>
        <v>52150.850608162975</v>
      </c>
      <c r="DC188" s="278">
        <f t="shared" si="805"/>
        <v>52150.850608162975</v>
      </c>
      <c r="DD188" s="278">
        <f t="shared" si="805"/>
        <v>52281.939740670125</v>
      </c>
      <c r="DE188" s="278">
        <f t="shared" si="805"/>
        <v>53518.23621350139</v>
      </c>
      <c r="DF188" s="278">
        <f t="shared" si="805"/>
        <v>53318.641361261158</v>
      </c>
      <c r="DG188" s="278">
        <f t="shared" si="805"/>
        <v>53560.538406065738</v>
      </c>
      <c r="DH188" s="278">
        <f t="shared" si="805"/>
        <v>52575.67186650425</v>
      </c>
      <c r="DI188" s="278">
        <f t="shared" si="805"/>
        <v>52581.034116265924</v>
      </c>
      <c r="DJ188" s="271">
        <f>+SUBTOTAL(9,CX188:DI188)</f>
        <v>632872.71921406628</v>
      </c>
      <c r="DK188" s="266"/>
      <c r="DL188" s="277">
        <f>SUM(DL176:DL187)</f>
        <v>31542.640407972318</v>
      </c>
      <c r="DM188" s="278">
        <f t="shared" ref="DM188:DW188" si="806">SUM(DM176:DM187)</f>
        <v>29783.107519507113</v>
      </c>
      <c r="DN188" s="278">
        <f t="shared" si="806"/>
        <v>30066.710951346962</v>
      </c>
      <c r="DO188" s="278">
        <f t="shared" si="806"/>
        <v>29783.107519507113</v>
      </c>
      <c r="DP188" s="278">
        <f t="shared" si="806"/>
        <v>29783.107519507113</v>
      </c>
      <c r="DQ188" s="278">
        <f t="shared" si="806"/>
        <v>29783.107519507113</v>
      </c>
      <c r="DR188" s="278">
        <f t="shared" si="806"/>
        <v>29872.466432757828</v>
      </c>
      <c r="DS188" s="278">
        <f t="shared" si="806"/>
        <v>31049.182352681568</v>
      </c>
      <c r="DT188" s="278">
        <f t="shared" si="806"/>
        <v>30873.41972160435</v>
      </c>
      <c r="DU188" s="278">
        <f t="shared" si="806"/>
        <v>31090.292934187761</v>
      </c>
      <c r="DV188" s="278">
        <f t="shared" si="806"/>
        <v>30156.069864597677</v>
      </c>
      <c r="DW188" s="278">
        <f t="shared" si="806"/>
        <v>30160.836308830279</v>
      </c>
      <c r="DX188" s="271">
        <f>+SUBTOTAL(9,DL188:DW188)</f>
        <v>363944.04905200721</v>
      </c>
      <c r="DY188" s="266"/>
      <c r="DZ188" s="277">
        <f>SUM(DZ176:DZ187)</f>
        <v>4674.8295072845885</v>
      </c>
      <c r="EA188" s="278">
        <f t="shared" ref="EA188:EK188" si="807">SUM(EA176:EA187)</f>
        <v>4612.4486683904033</v>
      </c>
      <c r="EB188" s="278">
        <f t="shared" si="807"/>
        <v>4622.5773623846835</v>
      </c>
      <c r="EC188" s="278">
        <f t="shared" si="807"/>
        <v>4612.4486683904033</v>
      </c>
      <c r="ED188" s="278">
        <f t="shared" si="807"/>
        <v>4612.4486683904033</v>
      </c>
      <c r="EE188" s="278">
        <f t="shared" si="807"/>
        <v>4612.4486683904033</v>
      </c>
      <c r="EF188" s="278">
        <f t="shared" si="807"/>
        <v>4619.8247408403558</v>
      </c>
      <c r="EG188" s="278">
        <f t="shared" si="807"/>
        <v>4661.531127875628</v>
      </c>
      <c r="EH188" s="278">
        <f t="shared" si="807"/>
        <v>4655.5730725848744</v>
      </c>
      <c r="EI188" s="278">
        <f t="shared" si="807"/>
        <v>4663.9143499919292</v>
      </c>
      <c r="EJ188" s="278">
        <f t="shared" si="807"/>
        <v>4629.953434834636</v>
      </c>
      <c r="EK188" s="278">
        <f t="shared" si="807"/>
        <v>4630.123664985801</v>
      </c>
      <c r="EL188" s="271">
        <f>+SUBTOTAL(9,DZ188:EK188)</f>
        <v>55608.121934344112</v>
      </c>
      <c r="EM188" s="266"/>
      <c r="EN188" s="277">
        <f>SUM(EN176:EN187)</f>
        <v>6706.4869459323818</v>
      </c>
      <c r="EO188" s="278">
        <f t="shared" ref="EO188:EY188" si="808">SUM(EO176:EO187)</f>
        <v>6581.7252681440123</v>
      </c>
      <c r="EP188" s="278">
        <f t="shared" si="808"/>
        <v>6601.9826561325726</v>
      </c>
      <c r="EQ188" s="278">
        <f t="shared" si="808"/>
        <v>6581.7252681440123</v>
      </c>
      <c r="ER188" s="278">
        <f t="shared" si="808"/>
        <v>6581.7252681440123</v>
      </c>
      <c r="ES188" s="278">
        <f t="shared" si="808"/>
        <v>6581.7252681440123</v>
      </c>
      <c r="ET188" s="278">
        <f t="shared" si="808"/>
        <v>6596.417832491009</v>
      </c>
      <c r="EU188" s="278">
        <f t="shared" si="808"/>
        <v>6679.8306065615516</v>
      </c>
      <c r="EV188" s="278">
        <f t="shared" si="808"/>
        <v>6667.914495980046</v>
      </c>
      <c r="EW188" s="278">
        <f t="shared" si="808"/>
        <v>6684.5970507941556</v>
      </c>
      <c r="EX188" s="278">
        <f t="shared" si="808"/>
        <v>6616.6752204795694</v>
      </c>
      <c r="EY188" s="278">
        <f t="shared" si="808"/>
        <v>6617.0156807818985</v>
      </c>
      <c r="EZ188" s="271">
        <f>+SUBTOTAL(9,EN188:EY188)</f>
        <v>79497.82156172923</v>
      </c>
      <c r="FA188" s="266"/>
      <c r="FB188" s="277">
        <f>SUM(FB176:FB187)</f>
        <v>1235.6612518031786</v>
      </c>
      <c r="FC188" s="278">
        <f t="shared" ref="FC188:FM188" si="809">SUM(FC176:FC187)</f>
        <v>1173.2804129089936</v>
      </c>
      <c r="FD188" s="278">
        <f t="shared" si="809"/>
        <v>1183.4091069032738</v>
      </c>
      <c r="FE188" s="278">
        <f t="shared" si="809"/>
        <v>1173.2804129089936</v>
      </c>
      <c r="FF188" s="278">
        <f t="shared" si="809"/>
        <v>1173.2804129089936</v>
      </c>
      <c r="FG188" s="278">
        <f t="shared" si="809"/>
        <v>1173.2804129089936</v>
      </c>
      <c r="FH188" s="278">
        <f t="shared" si="809"/>
        <v>1177.0935682950756</v>
      </c>
      <c r="FI188" s="278">
        <f t="shared" si="809"/>
        <v>1218.7999553303473</v>
      </c>
      <c r="FJ188" s="278">
        <f t="shared" si="809"/>
        <v>1212.8419000395941</v>
      </c>
      <c r="FK188" s="278">
        <f t="shared" si="809"/>
        <v>1221.1831774466486</v>
      </c>
      <c r="FL188" s="278">
        <f t="shared" si="809"/>
        <v>1187.2222622893557</v>
      </c>
      <c r="FM188" s="278">
        <f t="shared" si="809"/>
        <v>1187.3924924405203</v>
      </c>
      <c r="FN188" s="271">
        <f>+SUBTOTAL(9,FB188:FM188)</f>
        <v>14316.725366183966</v>
      </c>
      <c r="FO188" s="266"/>
      <c r="FP188" s="277">
        <f>SUM(FP176:FP187)</f>
        <v>19927.345635834834</v>
      </c>
      <c r="FQ188" s="278">
        <f t="shared" ref="FQ188:GA188" si="810">SUM(FQ176:FQ187)</f>
        <v>19428.298924681352</v>
      </c>
      <c r="FR188" s="278">
        <f t="shared" si="810"/>
        <v>19509.328476635597</v>
      </c>
      <c r="FS188" s="278">
        <f t="shared" si="810"/>
        <v>19428.298924681352</v>
      </c>
      <c r="FT188" s="278">
        <f t="shared" si="810"/>
        <v>19428.298924681352</v>
      </c>
      <c r="FU188" s="278">
        <f t="shared" si="810"/>
        <v>19428.298924681352</v>
      </c>
      <c r="FV188" s="278">
        <f t="shared" si="810"/>
        <v>19475.319897035974</v>
      </c>
      <c r="FW188" s="278">
        <f t="shared" si="810"/>
        <v>19808.970993318148</v>
      </c>
      <c r="FX188" s="278">
        <f t="shared" si="810"/>
        <v>19761.306550992122</v>
      </c>
      <c r="FY188" s="278">
        <f t="shared" si="810"/>
        <v>19828.036770248556</v>
      </c>
      <c r="FZ188" s="278">
        <f t="shared" si="810"/>
        <v>19556.349448990219</v>
      </c>
      <c r="GA188" s="278">
        <f t="shared" si="810"/>
        <v>19558.136865577449</v>
      </c>
      <c r="GB188" s="271">
        <f>+SUBTOTAL(9,FP188:GA188)</f>
        <v>235137.99033735832</v>
      </c>
      <c r="GC188" s="266"/>
      <c r="GD188" s="277">
        <f>SUM(GD176:GD187)</f>
        <v>10033.325694129206</v>
      </c>
      <c r="GE188" s="278">
        <f t="shared" ref="GE188:GO188" si="811">SUM(GE176:GE187)</f>
        <v>10033.325694129206</v>
      </c>
      <c r="GF188" s="278">
        <f t="shared" si="811"/>
        <v>10033.325694129206</v>
      </c>
      <c r="GG188" s="278">
        <f t="shared" si="811"/>
        <v>10033.325694129206</v>
      </c>
      <c r="GH188" s="278">
        <f t="shared" si="811"/>
        <v>10033.325694129206</v>
      </c>
      <c r="GI188" s="278">
        <f t="shared" si="811"/>
        <v>10033.325694129206</v>
      </c>
      <c r="GJ188" s="278">
        <f t="shared" si="811"/>
        <v>10033.325694129206</v>
      </c>
      <c r="GK188" s="278">
        <f t="shared" si="811"/>
        <v>10033.325694129206</v>
      </c>
      <c r="GL188" s="278">
        <f t="shared" si="811"/>
        <v>10033.325694129206</v>
      </c>
      <c r="GM188" s="278">
        <f t="shared" si="811"/>
        <v>10033.325694129206</v>
      </c>
      <c r="GN188" s="278">
        <f t="shared" si="811"/>
        <v>10033.325694129206</v>
      </c>
      <c r="GO188" s="278">
        <f t="shared" si="811"/>
        <v>10032.900118751293</v>
      </c>
      <c r="GP188" s="271">
        <f>+SUBTOTAL(9,GD188:GO188)</f>
        <v>120399.48275417255</v>
      </c>
      <c r="GQ188" s="266"/>
      <c r="GR188" s="277">
        <f>SUM(GR176:GR187)</f>
        <v>-22129.507653103516</v>
      </c>
      <c r="GS188" s="278">
        <f t="shared" ref="GS188:HC188" si="812">SUM(GS176:GS187)</f>
        <v>-22129.507653103516</v>
      </c>
      <c r="GT188" s="278">
        <f t="shared" si="812"/>
        <v>-21531.020999147368</v>
      </c>
      <c r="GU188" s="278">
        <f t="shared" si="812"/>
        <v>-21531.020999147368</v>
      </c>
      <c r="GV188" s="278">
        <f t="shared" si="812"/>
        <v>-21531.020999147368</v>
      </c>
      <c r="GW188" s="278">
        <f t="shared" si="812"/>
        <v>-21531.020999147368</v>
      </c>
      <c r="GX188" s="278">
        <f t="shared" si="812"/>
        <v>-21531.020999147368</v>
      </c>
      <c r="GY188" s="278">
        <f t="shared" si="812"/>
        <v>-21531.020999147368</v>
      </c>
      <c r="GZ188" s="278">
        <f t="shared" si="812"/>
        <v>-21531.020999147368</v>
      </c>
      <c r="HA188" s="278">
        <f t="shared" si="812"/>
        <v>-21531.020999147368</v>
      </c>
      <c r="HB188" s="278">
        <f t="shared" si="812"/>
        <v>-21531.020999147368</v>
      </c>
      <c r="HC188" s="278">
        <f t="shared" si="812"/>
        <v>-21531.020999147368</v>
      </c>
      <c r="HD188" s="271">
        <f>+SUBTOTAL(9,GR188:HC188)*0</f>
        <v>0</v>
      </c>
      <c r="HE188" s="266"/>
      <c r="HF188" s="277">
        <f>SUM(HF176:HF187)</f>
        <v>8772.4233675558971</v>
      </c>
      <c r="HG188" s="278">
        <f t="shared" ref="HG188:HQ188" si="813">SUM(HG176:HG187)</f>
        <v>8522.9000119791581</v>
      </c>
      <c r="HH188" s="278">
        <f t="shared" si="813"/>
        <v>8563.4147879562788</v>
      </c>
      <c r="HI188" s="278">
        <f t="shared" si="813"/>
        <v>8522.9000119791581</v>
      </c>
      <c r="HJ188" s="278">
        <f t="shared" si="813"/>
        <v>8522.9000119791581</v>
      </c>
      <c r="HK188" s="278">
        <f t="shared" si="813"/>
        <v>8522.9000119791581</v>
      </c>
      <c r="HL188" s="278">
        <f t="shared" si="813"/>
        <v>8543.920031044936</v>
      </c>
      <c r="HM188" s="278">
        <f t="shared" si="813"/>
        <v>8710.7455791860211</v>
      </c>
      <c r="HN188" s="278">
        <f t="shared" si="813"/>
        <v>8686.91335802301</v>
      </c>
      <c r="HO188" s="278">
        <f t="shared" si="813"/>
        <v>8720.2784676512274</v>
      </c>
      <c r="HP188" s="278">
        <f t="shared" si="813"/>
        <v>8584.4348070220567</v>
      </c>
      <c r="HQ188" s="278">
        <f t="shared" si="813"/>
        <v>8585.1157276267131</v>
      </c>
      <c r="HR188" s="271">
        <f>+SUBTOTAL(9,HF188:HQ188)</f>
        <v>103258.84617398279</v>
      </c>
      <c r="HS188" s="266"/>
      <c r="HT188" s="277">
        <f>SUM(HT176:HT187)</f>
        <v>2276.819497751701</v>
      </c>
      <c r="HU188" s="278">
        <f t="shared" ref="HU188:IE188" si="814">SUM(HU176:HU187)</f>
        <v>2214.4386588575162</v>
      </c>
      <c r="HV188" s="278">
        <f t="shared" si="814"/>
        <v>2224.5673528517964</v>
      </c>
      <c r="HW188" s="278">
        <f t="shared" si="814"/>
        <v>2214.4386588575162</v>
      </c>
      <c r="HX188" s="278">
        <f t="shared" si="814"/>
        <v>2214.4386588575162</v>
      </c>
      <c r="HY188" s="278">
        <f t="shared" si="814"/>
        <v>2214.4386588575162</v>
      </c>
      <c r="HZ188" s="278">
        <f t="shared" si="814"/>
        <v>2218.6569620033692</v>
      </c>
      <c r="IA188" s="278">
        <f t="shared" si="814"/>
        <v>2260.3633490386405</v>
      </c>
      <c r="IB188" s="278">
        <f t="shared" si="814"/>
        <v>2254.4052937478878</v>
      </c>
      <c r="IC188" s="278">
        <f t="shared" si="814"/>
        <v>2262.7465711549421</v>
      </c>
      <c r="ID188" s="278">
        <f t="shared" si="814"/>
        <v>2228.7856559976494</v>
      </c>
      <c r="IE188" s="278">
        <f t="shared" si="814"/>
        <v>2228.955886148814</v>
      </c>
      <c r="IF188" s="271">
        <f>+SUBTOTAL(9,HT188:IE188)</f>
        <v>26813.055204124867</v>
      </c>
      <c r="IG188" s="266"/>
      <c r="IH188" s="277">
        <f>SUM(IH176:IH187)</f>
        <v>7324.3528628613285</v>
      </c>
      <c r="II188" s="278">
        <f t="shared" ref="II188:IS188" si="815">SUM(II176:II187)</f>
        <v>7261.9720239671433</v>
      </c>
      <c r="IJ188" s="278">
        <f t="shared" si="815"/>
        <v>7272.1007179614235</v>
      </c>
      <c r="IK188" s="278">
        <f t="shared" si="815"/>
        <v>7261.9720239671433</v>
      </c>
      <c r="IL188" s="278">
        <f t="shared" si="815"/>
        <v>7261.9720239671433</v>
      </c>
      <c r="IM188" s="278">
        <f t="shared" si="815"/>
        <v>7261.9720239671433</v>
      </c>
      <c r="IN188" s="278">
        <f t="shared" si="815"/>
        <v>7272.8514329280588</v>
      </c>
      <c r="IO188" s="278">
        <f t="shared" si="815"/>
        <v>7314.557819963331</v>
      </c>
      <c r="IP188" s="278">
        <f t="shared" si="815"/>
        <v>7308.5997646725773</v>
      </c>
      <c r="IQ188" s="278">
        <f t="shared" si="815"/>
        <v>7316.9410420796321</v>
      </c>
      <c r="IR188" s="278">
        <f t="shared" si="815"/>
        <v>7282.980126922339</v>
      </c>
      <c r="IS188" s="278">
        <f t="shared" si="815"/>
        <v>7283.150357073504</v>
      </c>
      <c r="IT188" s="271">
        <f>+SUBTOTAL(9,IH188:IS188)</f>
        <v>87423.422220330773</v>
      </c>
      <c r="IU188" s="266"/>
      <c r="IV188" s="277">
        <f>SUM(IV176:IV187)</f>
        <v>21740.941918008331</v>
      </c>
      <c r="IW188" s="278">
        <f t="shared" ref="IW188:JG188" si="816">SUM(IW176:IW187)</f>
        <v>21304.27604574904</v>
      </c>
      <c r="IX188" s="278">
        <f t="shared" si="816"/>
        <v>21375.176903709002</v>
      </c>
      <c r="IY188" s="278">
        <f t="shared" si="816"/>
        <v>21304.27604574904</v>
      </c>
      <c r="IZ188" s="278">
        <f t="shared" si="816"/>
        <v>21304.27604574904</v>
      </c>
      <c r="JA188" s="278">
        <f t="shared" si="816"/>
        <v>21304.27604574904</v>
      </c>
      <c r="JB188" s="278">
        <f t="shared" si="816"/>
        <v>21345.505788361046</v>
      </c>
      <c r="JC188" s="278">
        <f t="shared" si="816"/>
        <v>21637.450497607948</v>
      </c>
      <c r="JD188" s="278">
        <f t="shared" si="816"/>
        <v>21595.744110572676</v>
      </c>
      <c r="JE188" s="278">
        <f t="shared" si="816"/>
        <v>21654.133052422058</v>
      </c>
      <c r="JF188" s="278">
        <f t="shared" si="816"/>
        <v>21416.406646321007</v>
      </c>
      <c r="JG188" s="278">
        <f t="shared" si="816"/>
        <v>21417.598257379163</v>
      </c>
      <c r="JH188" s="271">
        <f>+SUBTOTAL(9,IV188:JG188)</f>
        <v>257400.06135737739</v>
      </c>
      <c r="JI188" s="266"/>
      <c r="JJ188" s="277">
        <f>SUM(JJ176:JJ187)</f>
        <v>29628.236591569952</v>
      </c>
      <c r="JK188" s="278">
        <f t="shared" ref="JK188:JU188" si="817">SUM(JK176:JK187)</f>
        <v>28800.483970025627</v>
      </c>
      <c r="JL188" s="278">
        <f t="shared" si="817"/>
        <v>28932.156991951269</v>
      </c>
      <c r="JM188" s="278">
        <f t="shared" si="817"/>
        <v>28800.483970025627</v>
      </c>
      <c r="JN188" s="278">
        <f t="shared" si="817"/>
        <v>28800.483970025627</v>
      </c>
      <c r="JO188" s="278">
        <f t="shared" si="817"/>
        <v>28800.483970025627</v>
      </c>
      <c r="JP188" s="278">
        <f t="shared" si="817"/>
        <v>28849.340023409801</v>
      </c>
      <c r="JQ188" s="278">
        <f t="shared" si="817"/>
        <v>29400.460137804461</v>
      </c>
      <c r="JR188" s="278">
        <f t="shared" si="817"/>
        <v>29314.068336088541</v>
      </c>
      <c r="JS188" s="278">
        <f t="shared" si="817"/>
        <v>29389.139832752029</v>
      </c>
      <c r="JT188" s="278">
        <f t="shared" si="817"/>
        <v>28981.013045335443</v>
      </c>
      <c r="JU188" s="278">
        <f t="shared" si="817"/>
        <v>28984.077188056403</v>
      </c>
      <c r="JV188" s="271">
        <f>+SUBTOTAL(9,JJ188:JU188)</f>
        <v>348680.42802707036</v>
      </c>
      <c r="JW188" s="266"/>
      <c r="JX188" s="277">
        <f>SUM(JX176:JX187)</f>
        <v>15805.284333372421</v>
      </c>
      <c r="JY188" s="278">
        <f t="shared" ref="JY188:KI188" si="818">SUM(JY176:JY187)</f>
        <v>15491.413980655547</v>
      </c>
      <c r="JZ188" s="278">
        <f t="shared" si="818"/>
        <v>15542.057450626948</v>
      </c>
      <c r="KA188" s="278">
        <f t="shared" si="818"/>
        <v>15491.413980655547</v>
      </c>
      <c r="KB188" s="278">
        <f t="shared" si="818"/>
        <v>15491.413980655547</v>
      </c>
      <c r="KC188" s="278">
        <f t="shared" si="818"/>
        <v>15491.413980655547</v>
      </c>
      <c r="KD188" s="278">
        <f t="shared" si="818"/>
        <v>15516.533141761362</v>
      </c>
      <c r="KE188" s="278">
        <f t="shared" si="818"/>
        <v>15725.065076937721</v>
      </c>
      <c r="KF188" s="278">
        <f t="shared" si="818"/>
        <v>15695.274800483954</v>
      </c>
      <c r="KG188" s="278">
        <f t="shared" si="818"/>
        <v>15728.639910112173</v>
      </c>
      <c r="KH188" s="278">
        <f t="shared" si="818"/>
        <v>15567.176611732762</v>
      </c>
      <c r="KI188" s="278">
        <f t="shared" si="818"/>
        <v>15568.027762488586</v>
      </c>
      <c r="KJ188" s="271">
        <f>+SUBTOTAL(9,JX188:KI188)</f>
        <v>187113.71501013811</v>
      </c>
      <c r="KK188" s="266"/>
      <c r="KL188" s="277">
        <f>SUM(KL176:KL187)</f>
        <v>2614.9712166664144</v>
      </c>
      <c r="KM188" s="278">
        <f t="shared" ref="KM188:KW188" si="819">SUM(KM176:KM187)</f>
        <v>2492.1756971239934</v>
      </c>
      <c r="KN188" s="278">
        <f t="shared" si="819"/>
        <v>2512.4330851125537</v>
      </c>
      <c r="KO188" s="278">
        <f t="shared" si="819"/>
        <v>2492.1756971239934</v>
      </c>
      <c r="KP188" s="278">
        <f t="shared" si="819"/>
        <v>2492.1756971239934</v>
      </c>
      <c r="KQ188" s="278">
        <f t="shared" si="819"/>
        <v>2492.1756971239934</v>
      </c>
      <c r="KR188" s="278">
        <f t="shared" si="819"/>
        <v>2502.3163072288548</v>
      </c>
      <c r="KS188" s="278">
        <f t="shared" si="819"/>
        <v>2585.7290812993979</v>
      </c>
      <c r="KT188" s="278">
        <f t="shared" si="819"/>
        <v>2573.8129707178919</v>
      </c>
      <c r="KU188" s="278">
        <f t="shared" si="819"/>
        <v>2590.4478610896749</v>
      </c>
      <c r="KV188" s="278">
        <f t="shared" si="819"/>
        <v>2522.5736952174152</v>
      </c>
      <c r="KW188" s="278">
        <f t="shared" si="819"/>
        <v>2522.9141555197439</v>
      </c>
      <c r="KX188" s="271">
        <f>+SUBTOTAL(9,KL188:KW188)</f>
        <v>30393.901161347923</v>
      </c>
      <c r="KY188" s="266"/>
      <c r="KZ188" s="277">
        <f>SUM(KZ176:KZ187)</f>
        <v>2389.1645883141414</v>
      </c>
      <c r="LA188" s="278">
        <f t="shared" ref="LA188:LK188" si="820">SUM(LA176:LA187)</f>
        <v>2324.8175911740077</v>
      </c>
      <c r="LB188" s="278">
        <f t="shared" si="820"/>
        <v>2334.9462851682879</v>
      </c>
      <c r="LC188" s="278">
        <f t="shared" si="820"/>
        <v>2324.8175911740077</v>
      </c>
      <c r="LD188" s="278">
        <f t="shared" si="820"/>
        <v>2324.8175911740077</v>
      </c>
      <c r="LE188" s="278">
        <f t="shared" si="820"/>
        <v>2324.8175911740077</v>
      </c>
      <c r="LF188" s="278">
        <f t="shared" si="820"/>
        <v>2324.8175911740077</v>
      </c>
      <c r="LG188" s="278">
        <f t="shared" si="820"/>
        <v>2366.5239782092794</v>
      </c>
      <c r="LH188" s="278">
        <f t="shared" si="820"/>
        <v>2360.5659229185262</v>
      </c>
      <c r="LI188" s="278">
        <f t="shared" si="820"/>
        <v>2368.9548647679067</v>
      </c>
      <c r="LJ188" s="278">
        <f t="shared" si="820"/>
        <v>2334.9462851682879</v>
      </c>
      <c r="LK188" s="278">
        <f t="shared" si="820"/>
        <v>2335.116515319452</v>
      </c>
      <c r="LL188" s="271">
        <f>+SUBTOTAL(9,KZ188:LK188)</f>
        <v>28114.306395735919</v>
      </c>
      <c r="LM188" s="266"/>
      <c r="LN188" s="277">
        <f>SUM(LN176:LN187)</f>
        <v>0</v>
      </c>
      <c r="LO188" s="278">
        <f t="shared" ref="LO188:LY188" si="821">SUM(LO176:LO187)</f>
        <v>0</v>
      </c>
      <c r="LP188" s="278">
        <f t="shared" si="821"/>
        <v>0</v>
      </c>
      <c r="LQ188" s="278">
        <f t="shared" si="821"/>
        <v>0</v>
      </c>
      <c r="LR188" s="278">
        <f t="shared" si="821"/>
        <v>0</v>
      </c>
      <c r="LS188" s="278">
        <f t="shared" si="821"/>
        <v>0</v>
      </c>
      <c r="LT188" s="278">
        <f t="shared" si="821"/>
        <v>0</v>
      </c>
      <c r="LU188" s="278">
        <f t="shared" si="821"/>
        <v>0</v>
      </c>
      <c r="LV188" s="278">
        <f t="shared" si="821"/>
        <v>0</v>
      </c>
      <c r="LW188" s="278">
        <f t="shared" si="821"/>
        <v>0</v>
      </c>
      <c r="LX188" s="278">
        <f t="shared" si="821"/>
        <v>0</v>
      </c>
      <c r="LY188" s="278">
        <f t="shared" si="821"/>
        <v>0</v>
      </c>
      <c r="LZ188" s="271">
        <f>+SUBTOTAL(9,LN188:LY188)</f>
        <v>0</v>
      </c>
      <c r="MA188" s="266"/>
      <c r="MB188" s="271">
        <f t="shared" ref="MB188:MC188" si="822">SUM(MB176:MB187)</f>
        <v>341430.12687045377</v>
      </c>
      <c r="MC188" s="271">
        <f t="shared" si="822"/>
        <v>330865.95861497236</v>
      </c>
      <c r="MD188" s="271">
        <f t="shared" ref="MD188:MN188" si="823">SUM(MD176:MD187)</f>
        <v>333166.06585996755</v>
      </c>
      <c r="ME188" s="271">
        <f t="shared" si="823"/>
        <v>331464.44526892848</v>
      </c>
      <c r="MF188" s="271">
        <f t="shared" si="823"/>
        <v>331464.44526892848</v>
      </c>
      <c r="MG188" s="271">
        <f t="shared" si="823"/>
        <v>331464.44526892848</v>
      </c>
      <c r="MH188" s="271">
        <f t="shared" si="823"/>
        <v>332201.37329562055</v>
      </c>
      <c r="MI188" s="271">
        <f t="shared" si="823"/>
        <v>339270.60589809908</v>
      </c>
      <c r="MJ188" s="271">
        <f t="shared" si="823"/>
        <v>338207.09302869969</v>
      </c>
      <c r="MK188" s="271">
        <f t="shared" si="823"/>
        <v>339525.01485901425</v>
      </c>
      <c r="ML188" s="271">
        <f t="shared" si="823"/>
        <v>333902.99388665962</v>
      </c>
      <c r="MM188" s="271">
        <f t="shared" si="823"/>
        <v>333933.29485356691</v>
      </c>
      <c r="MN188" s="271">
        <f t="shared" si="823"/>
        <v>4016895.8629738386</v>
      </c>
    </row>
    <row r="189" spans="1:352" x14ac:dyDescent="0.25">
      <c r="A189" s="262"/>
      <c r="B189" s="183"/>
      <c r="C189" s="98"/>
      <c r="D189" s="28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23"/>
      <c r="Q189" s="284"/>
      <c r="R189" s="283"/>
      <c r="S189" s="273"/>
      <c r="T189" s="273"/>
      <c r="U189" s="273"/>
      <c r="V189" s="273"/>
      <c r="W189" s="273"/>
      <c r="X189" s="273"/>
      <c r="Y189" s="273"/>
      <c r="Z189" s="273"/>
      <c r="AA189" s="273"/>
      <c r="AB189" s="273"/>
      <c r="AC189" s="273"/>
      <c r="AD189" s="223"/>
      <c r="AE189" s="284"/>
      <c r="AF189" s="283"/>
      <c r="AG189" s="273"/>
      <c r="AH189" s="273"/>
      <c r="AI189" s="273"/>
      <c r="AJ189" s="273"/>
      <c r="AK189" s="273"/>
      <c r="AL189" s="273"/>
      <c r="AM189" s="273"/>
      <c r="AN189" s="273"/>
      <c r="AO189" s="273"/>
      <c r="AP189" s="273"/>
      <c r="AQ189" s="273"/>
      <c r="AR189" s="223"/>
      <c r="AS189" s="266"/>
      <c r="AT189" s="283"/>
      <c r="AU189" s="273"/>
      <c r="AV189" s="273"/>
      <c r="AW189" s="273"/>
      <c r="AX189" s="273"/>
      <c r="AY189" s="273"/>
      <c r="AZ189" s="273"/>
      <c r="BA189" s="273"/>
      <c r="BB189" s="273"/>
      <c r="BC189" s="273"/>
      <c r="BD189" s="273"/>
      <c r="BE189" s="273"/>
      <c r="BF189" s="223"/>
      <c r="BG189" s="224"/>
      <c r="BH189" s="283"/>
      <c r="BI189" s="273"/>
      <c r="BJ189" s="273"/>
      <c r="BK189" s="273"/>
      <c r="BL189" s="273"/>
      <c r="BM189" s="273"/>
      <c r="BN189" s="273"/>
      <c r="BO189" s="273"/>
      <c r="BP189" s="273"/>
      <c r="BQ189" s="273"/>
      <c r="BR189" s="273"/>
      <c r="BS189" s="273"/>
      <c r="BT189" s="223"/>
      <c r="BU189" s="266"/>
      <c r="BV189" s="283"/>
      <c r="BW189" s="273"/>
      <c r="BX189" s="273"/>
      <c r="BY189" s="273"/>
      <c r="BZ189" s="273"/>
      <c r="CA189" s="273"/>
      <c r="CB189" s="273"/>
      <c r="CC189" s="273"/>
      <c r="CD189" s="273"/>
      <c r="CE189" s="273"/>
      <c r="CF189" s="273"/>
      <c r="CG189" s="273"/>
      <c r="CH189" s="223"/>
      <c r="CI189" s="284"/>
      <c r="CJ189" s="283"/>
      <c r="CK189" s="273"/>
      <c r="CL189" s="273"/>
      <c r="CM189" s="273"/>
      <c r="CN189" s="273"/>
      <c r="CO189" s="273"/>
      <c r="CP189" s="273"/>
      <c r="CQ189" s="273"/>
      <c r="CR189" s="273"/>
      <c r="CS189" s="273"/>
      <c r="CT189" s="273"/>
      <c r="CU189" s="273"/>
      <c r="CV189" s="223"/>
      <c r="CW189" s="284"/>
      <c r="CX189" s="283"/>
      <c r="CY189" s="273"/>
      <c r="CZ189" s="273"/>
      <c r="DA189" s="273"/>
      <c r="DB189" s="273"/>
      <c r="DC189" s="273"/>
      <c r="DD189" s="273"/>
      <c r="DE189" s="273"/>
      <c r="DF189" s="273"/>
      <c r="DG189" s="273"/>
      <c r="DH189" s="273"/>
      <c r="DI189" s="273"/>
      <c r="DJ189" s="223"/>
      <c r="DK189" s="284"/>
      <c r="DL189" s="283"/>
      <c r="DM189" s="273"/>
      <c r="DN189" s="273"/>
      <c r="DO189" s="273"/>
      <c r="DP189" s="273"/>
      <c r="DQ189" s="273"/>
      <c r="DR189" s="273"/>
      <c r="DS189" s="273"/>
      <c r="DT189" s="273"/>
      <c r="DU189" s="273"/>
      <c r="DV189" s="273"/>
      <c r="DW189" s="273"/>
      <c r="DX189" s="223"/>
      <c r="DY189" s="284"/>
      <c r="DZ189" s="283"/>
      <c r="EA189" s="273"/>
      <c r="EB189" s="273"/>
      <c r="EC189" s="273"/>
      <c r="ED189" s="273"/>
      <c r="EE189" s="273"/>
      <c r="EF189" s="273"/>
      <c r="EG189" s="273"/>
      <c r="EH189" s="273"/>
      <c r="EI189" s="273"/>
      <c r="EJ189" s="273"/>
      <c r="EK189" s="273"/>
      <c r="EL189" s="223"/>
      <c r="EM189" s="284"/>
      <c r="EN189" s="283"/>
      <c r="EO189" s="273"/>
      <c r="EP189" s="273"/>
      <c r="EQ189" s="273"/>
      <c r="ER189" s="273"/>
      <c r="ES189" s="273"/>
      <c r="ET189" s="273"/>
      <c r="EU189" s="273"/>
      <c r="EV189" s="273"/>
      <c r="EW189" s="273"/>
      <c r="EX189" s="273"/>
      <c r="EY189" s="273"/>
      <c r="EZ189" s="223"/>
      <c r="FA189" s="284"/>
      <c r="FB189" s="283"/>
      <c r="FC189" s="273"/>
      <c r="FD189" s="273"/>
      <c r="FE189" s="273"/>
      <c r="FF189" s="273"/>
      <c r="FG189" s="273"/>
      <c r="FH189" s="273"/>
      <c r="FI189" s="273"/>
      <c r="FJ189" s="273"/>
      <c r="FK189" s="273"/>
      <c r="FL189" s="273"/>
      <c r="FM189" s="273"/>
      <c r="FN189" s="223"/>
      <c r="FO189" s="284"/>
      <c r="FP189" s="283"/>
      <c r="FQ189" s="273"/>
      <c r="FR189" s="273"/>
      <c r="FS189" s="273"/>
      <c r="FT189" s="273"/>
      <c r="FU189" s="273"/>
      <c r="FV189" s="273"/>
      <c r="FW189" s="273"/>
      <c r="FX189" s="273"/>
      <c r="FY189" s="273"/>
      <c r="FZ189" s="273"/>
      <c r="GA189" s="273"/>
      <c r="GB189" s="223"/>
      <c r="GC189" s="284"/>
      <c r="GD189" s="283">
        <f>+GD188+GR188</f>
        <v>-12096.18195897431</v>
      </c>
      <c r="GE189" s="273">
        <f>+GD189/83.92</f>
        <v>-144.13944183715813</v>
      </c>
      <c r="GF189" s="273">
        <f>+GE189-'[1]Actual YTD feb'!KL205</f>
        <v>-166.68944183715814</v>
      </c>
      <c r="GG189" s="273"/>
      <c r="GH189" s="273"/>
      <c r="GI189" s="273"/>
      <c r="GJ189" s="273"/>
      <c r="GK189" s="273"/>
      <c r="GL189" s="273"/>
      <c r="GM189" s="273"/>
      <c r="GN189" s="273"/>
      <c r="GO189" s="273"/>
      <c r="GP189" s="223"/>
      <c r="GQ189" s="284"/>
      <c r="GR189" s="283"/>
      <c r="GS189" s="273"/>
      <c r="GT189" s="273"/>
      <c r="GU189" s="273"/>
      <c r="GV189" s="273"/>
      <c r="GW189" s="273"/>
      <c r="GX189" s="273"/>
      <c r="GY189" s="273"/>
      <c r="GZ189" s="273"/>
      <c r="HA189" s="273"/>
      <c r="HB189" s="273"/>
      <c r="HC189" s="273"/>
      <c r="HD189" s="223"/>
      <c r="HE189" s="284"/>
      <c r="HF189" s="283"/>
      <c r="HG189" s="273"/>
      <c r="HH189" s="273"/>
      <c r="HI189" s="273"/>
      <c r="HJ189" s="273"/>
      <c r="HK189" s="273"/>
      <c r="HL189" s="273"/>
      <c r="HM189" s="273"/>
      <c r="HN189" s="273"/>
      <c r="HO189" s="273"/>
      <c r="HP189" s="273"/>
      <c r="HQ189" s="273"/>
      <c r="HR189" s="223"/>
      <c r="HS189" s="284"/>
      <c r="HT189" s="283"/>
      <c r="HU189" s="273"/>
      <c r="HV189" s="273"/>
      <c r="HW189" s="273"/>
      <c r="HX189" s="273"/>
      <c r="HY189" s="273"/>
      <c r="HZ189" s="273"/>
      <c r="IA189" s="273"/>
      <c r="IB189" s="273"/>
      <c r="IC189" s="273"/>
      <c r="ID189" s="273"/>
      <c r="IE189" s="273"/>
      <c r="IF189" s="223"/>
      <c r="IG189" s="284"/>
      <c r="IH189" s="283"/>
      <c r="II189" s="273"/>
      <c r="IJ189" s="273"/>
      <c r="IK189" s="273"/>
      <c r="IL189" s="273"/>
      <c r="IM189" s="273"/>
      <c r="IN189" s="273"/>
      <c r="IO189" s="273"/>
      <c r="IP189" s="273"/>
      <c r="IQ189" s="273"/>
      <c r="IR189" s="273"/>
      <c r="IS189" s="273"/>
      <c r="IT189" s="223"/>
      <c r="IU189" s="284"/>
      <c r="IV189" s="283"/>
      <c r="IW189" s="273"/>
      <c r="IX189" s="273"/>
      <c r="IY189" s="273"/>
      <c r="IZ189" s="273"/>
      <c r="JA189" s="273"/>
      <c r="JB189" s="273"/>
      <c r="JC189" s="273"/>
      <c r="JD189" s="273"/>
      <c r="JE189" s="273"/>
      <c r="JF189" s="273"/>
      <c r="JG189" s="273"/>
      <c r="JH189" s="223"/>
      <c r="JI189" s="284"/>
      <c r="JJ189" s="283"/>
      <c r="JK189" s="273"/>
      <c r="JL189" s="273"/>
      <c r="JM189" s="273"/>
      <c r="JN189" s="273"/>
      <c r="JO189" s="273"/>
      <c r="JP189" s="273"/>
      <c r="JQ189" s="273"/>
      <c r="JR189" s="273"/>
      <c r="JS189" s="273"/>
      <c r="JT189" s="273"/>
      <c r="JU189" s="273"/>
      <c r="JV189" s="223"/>
      <c r="JW189" s="284"/>
      <c r="JX189" s="283"/>
      <c r="JY189" s="273"/>
      <c r="JZ189" s="273"/>
      <c r="KA189" s="273"/>
      <c r="KB189" s="273"/>
      <c r="KC189" s="273"/>
      <c r="KD189" s="273"/>
      <c r="KE189" s="273"/>
      <c r="KF189" s="273"/>
      <c r="KG189" s="273"/>
      <c r="KH189" s="273"/>
      <c r="KI189" s="273"/>
      <c r="KJ189" s="223"/>
      <c r="KK189" s="284"/>
      <c r="KL189" s="283"/>
      <c r="KM189" s="273"/>
      <c r="KN189" s="273"/>
      <c r="KO189" s="273"/>
      <c r="KP189" s="273"/>
      <c r="KQ189" s="273"/>
      <c r="KR189" s="273"/>
      <c r="KS189" s="273"/>
      <c r="KT189" s="273"/>
      <c r="KU189" s="273"/>
      <c r="KV189" s="273"/>
      <c r="KW189" s="273"/>
      <c r="KX189" s="223"/>
      <c r="KY189" s="284"/>
      <c r="KZ189" s="283"/>
      <c r="LA189" s="273"/>
      <c r="LB189" s="273"/>
      <c r="LC189" s="273"/>
      <c r="LD189" s="273"/>
      <c r="LE189" s="273"/>
      <c r="LF189" s="273"/>
      <c r="LG189" s="273"/>
      <c r="LH189" s="273"/>
      <c r="LI189" s="273"/>
      <c r="LJ189" s="273"/>
      <c r="LK189" s="273"/>
      <c r="LL189" s="223"/>
      <c r="LM189" s="284"/>
      <c r="LN189" s="283"/>
      <c r="LO189" s="273"/>
      <c r="LP189" s="273"/>
      <c r="LQ189" s="273"/>
      <c r="LR189" s="273"/>
      <c r="LS189" s="273"/>
      <c r="LT189" s="273"/>
      <c r="LU189" s="273"/>
      <c r="LV189" s="273"/>
      <c r="LW189" s="273"/>
      <c r="LX189" s="273"/>
      <c r="LY189" s="273"/>
      <c r="LZ189" s="223"/>
      <c r="MA189" s="284"/>
      <c r="MB189" s="223"/>
      <c r="MC189" s="223"/>
      <c r="MD189" s="223"/>
      <c r="ME189" s="223"/>
      <c r="MF189" s="223"/>
      <c r="MG189" s="223"/>
      <c r="MH189" s="223"/>
      <c r="MI189" s="223"/>
      <c r="MJ189" s="223"/>
      <c r="MK189" s="223"/>
      <c r="ML189" s="223"/>
      <c r="MM189" s="223"/>
      <c r="MN189" s="223"/>
    </row>
    <row r="190" spans="1:352" x14ac:dyDescent="0.3">
      <c r="A190" s="262"/>
      <c r="B190" s="206" t="s">
        <v>64</v>
      </c>
      <c r="C190" s="172"/>
      <c r="D190" s="222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72"/>
      <c r="Q190" s="224"/>
      <c r="R190" s="222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72"/>
      <c r="AE190" s="224"/>
      <c r="AF190" s="222"/>
      <c r="AG190" s="221"/>
      <c r="AH190" s="221"/>
      <c r="AI190" s="221"/>
      <c r="AJ190" s="221"/>
      <c r="AK190" s="221"/>
      <c r="AL190" s="221"/>
      <c r="AM190" s="221"/>
      <c r="AN190" s="221"/>
      <c r="AO190" s="221"/>
      <c r="AP190" s="221"/>
      <c r="AQ190" s="221"/>
      <c r="AR190" s="272"/>
      <c r="AS190" s="266"/>
      <c r="AT190" s="222"/>
      <c r="AU190" s="221"/>
      <c r="AV190" s="221"/>
      <c r="AW190" s="221"/>
      <c r="AX190" s="221"/>
      <c r="AY190" s="221"/>
      <c r="AZ190" s="221"/>
      <c r="BA190" s="221"/>
      <c r="BB190" s="221"/>
      <c r="BC190" s="221"/>
      <c r="BD190" s="221"/>
      <c r="BE190" s="221"/>
      <c r="BF190" s="272"/>
      <c r="BG190" s="224"/>
      <c r="BH190" s="222"/>
      <c r="BI190" s="221"/>
      <c r="BJ190" s="221"/>
      <c r="BK190" s="221"/>
      <c r="BL190" s="221"/>
      <c r="BM190" s="221"/>
      <c r="BN190" s="221"/>
      <c r="BO190" s="221"/>
      <c r="BP190" s="221"/>
      <c r="BQ190" s="221"/>
      <c r="BR190" s="221"/>
      <c r="BS190" s="221"/>
      <c r="BT190" s="272"/>
      <c r="BU190" s="266"/>
      <c r="BV190" s="222"/>
      <c r="BW190" s="221"/>
      <c r="BX190" s="221"/>
      <c r="BY190" s="221"/>
      <c r="BZ190" s="221"/>
      <c r="CA190" s="221"/>
      <c r="CB190" s="221"/>
      <c r="CC190" s="221"/>
      <c r="CD190" s="221"/>
      <c r="CE190" s="221"/>
      <c r="CF190" s="221"/>
      <c r="CG190" s="221"/>
      <c r="CH190" s="272"/>
      <c r="CI190" s="224"/>
      <c r="CJ190" s="222"/>
      <c r="CK190" s="221"/>
      <c r="CL190" s="221"/>
      <c r="CM190" s="221"/>
      <c r="CN190" s="221"/>
      <c r="CO190" s="221"/>
      <c r="CP190" s="221"/>
      <c r="CQ190" s="221"/>
      <c r="CR190" s="221"/>
      <c r="CS190" s="221"/>
      <c r="CT190" s="221"/>
      <c r="CU190" s="221"/>
      <c r="CV190" s="272"/>
      <c r="CW190" s="224"/>
      <c r="CX190" s="222"/>
      <c r="CY190" s="221"/>
      <c r="CZ190" s="221"/>
      <c r="DA190" s="221"/>
      <c r="DB190" s="221"/>
      <c r="DC190" s="221"/>
      <c r="DD190" s="221"/>
      <c r="DE190" s="221"/>
      <c r="DF190" s="221"/>
      <c r="DG190" s="221"/>
      <c r="DH190" s="221"/>
      <c r="DI190" s="221"/>
      <c r="DJ190" s="272"/>
      <c r="DK190" s="224"/>
      <c r="DL190" s="222"/>
      <c r="DM190" s="221"/>
      <c r="DN190" s="221"/>
      <c r="DO190" s="221"/>
      <c r="DP190" s="221"/>
      <c r="DQ190" s="221"/>
      <c r="DR190" s="221"/>
      <c r="DS190" s="221"/>
      <c r="DT190" s="221"/>
      <c r="DU190" s="221"/>
      <c r="DV190" s="221"/>
      <c r="DW190" s="221"/>
      <c r="DX190" s="272"/>
      <c r="DY190" s="224"/>
      <c r="DZ190" s="222"/>
      <c r="EA190" s="221"/>
      <c r="EB190" s="221"/>
      <c r="EC190" s="221"/>
      <c r="ED190" s="221"/>
      <c r="EE190" s="221"/>
      <c r="EF190" s="221"/>
      <c r="EG190" s="221"/>
      <c r="EH190" s="221"/>
      <c r="EI190" s="221"/>
      <c r="EJ190" s="221"/>
      <c r="EK190" s="221"/>
      <c r="EL190" s="272"/>
      <c r="EM190" s="224"/>
      <c r="EN190" s="222"/>
      <c r="EO190" s="221"/>
      <c r="EP190" s="221"/>
      <c r="EQ190" s="221"/>
      <c r="ER190" s="221"/>
      <c r="ES190" s="221"/>
      <c r="ET190" s="221"/>
      <c r="EU190" s="221"/>
      <c r="EV190" s="221"/>
      <c r="EW190" s="221"/>
      <c r="EX190" s="221"/>
      <c r="EY190" s="221"/>
      <c r="EZ190" s="272"/>
      <c r="FA190" s="224"/>
      <c r="FB190" s="222"/>
      <c r="FC190" s="221"/>
      <c r="FD190" s="221"/>
      <c r="FE190" s="221"/>
      <c r="FF190" s="221"/>
      <c r="FG190" s="221"/>
      <c r="FH190" s="221"/>
      <c r="FI190" s="221"/>
      <c r="FJ190" s="221"/>
      <c r="FK190" s="221"/>
      <c r="FL190" s="221"/>
      <c r="FM190" s="221"/>
      <c r="FN190" s="272"/>
      <c r="FO190" s="224"/>
      <c r="FP190" s="222"/>
      <c r="FQ190" s="221"/>
      <c r="FR190" s="221"/>
      <c r="FS190" s="221"/>
      <c r="FT190" s="221"/>
      <c r="FU190" s="221"/>
      <c r="FV190" s="221"/>
      <c r="FW190" s="221"/>
      <c r="FX190" s="221"/>
      <c r="FY190" s="221"/>
      <c r="FZ190" s="221"/>
      <c r="GA190" s="221"/>
      <c r="GB190" s="272"/>
      <c r="GC190" s="224"/>
      <c r="GD190" s="222"/>
      <c r="GE190" s="221"/>
      <c r="GF190" s="221"/>
      <c r="GG190" s="221"/>
      <c r="GH190" s="221"/>
      <c r="GI190" s="221"/>
      <c r="GJ190" s="221"/>
      <c r="GK190" s="221"/>
      <c r="GL190" s="221"/>
      <c r="GM190" s="221"/>
      <c r="GN190" s="221"/>
      <c r="GO190" s="221"/>
      <c r="GP190" s="272"/>
      <c r="GQ190" s="224"/>
      <c r="GR190" s="222"/>
      <c r="GS190" s="221"/>
      <c r="GT190" s="221"/>
      <c r="GU190" s="221"/>
      <c r="GV190" s="221"/>
      <c r="GW190" s="221"/>
      <c r="GX190" s="221"/>
      <c r="GY190" s="221"/>
      <c r="GZ190" s="221"/>
      <c r="HA190" s="221"/>
      <c r="HB190" s="221"/>
      <c r="HC190" s="221"/>
      <c r="HD190" s="272"/>
      <c r="HE190" s="224"/>
      <c r="HF190" s="222"/>
      <c r="HG190" s="221"/>
      <c r="HH190" s="221"/>
      <c r="HI190" s="221"/>
      <c r="HJ190" s="221"/>
      <c r="HK190" s="221"/>
      <c r="HL190" s="221"/>
      <c r="HM190" s="221"/>
      <c r="HN190" s="221"/>
      <c r="HO190" s="221"/>
      <c r="HP190" s="221"/>
      <c r="HQ190" s="221"/>
      <c r="HR190" s="272"/>
      <c r="HS190" s="224"/>
      <c r="HT190" s="222"/>
      <c r="HU190" s="221"/>
      <c r="HV190" s="221"/>
      <c r="HW190" s="221"/>
      <c r="HX190" s="221"/>
      <c r="HY190" s="221"/>
      <c r="HZ190" s="221"/>
      <c r="IA190" s="221"/>
      <c r="IB190" s="221"/>
      <c r="IC190" s="221"/>
      <c r="ID190" s="221"/>
      <c r="IE190" s="221"/>
      <c r="IF190" s="272"/>
      <c r="IG190" s="224"/>
      <c r="IH190" s="222"/>
      <c r="II190" s="221"/>
      <c r="IJ190" s="221"/>
      <c r="IK190" s="221"/>
      <c r="IL190" s="221"/>
      <c r="IM190" s="221"/>
      <c r="IN190" s="221"/>
      <c r="IO190" s="221"/>
      <c r="IP190" s="221"/>
      <c r="IQ190" s="221"/>
      <c r="IR190" s="221"/>
      <c r="IS190" s="221"/>
      <c r="IT190" s="272"/>
      <c r="IU190" s="224"/>
      <c r="IV190" s="222"/>
      <c r="IW190" s="221"/>
      <c r="IX190" s="221"/>
      <c r="IY190" s="221"/>
      <c r="IZ190" s="221"/>
      <c r="JA190" s="221"/>
      <c r="JB190" s="221"/>
      <c r="JC190" s="221"/>
      <c r="JD190" s="221"/>
      <c r="JE190" s="221"/>
      <c r="JF190" s="221"/>
      <c r="JG190" s="221"/>
      <c r="JH190" s="272"/>
      <c r="JI190" s="224"/>
      <c r="JJ190" s="222"/>
      <c r="JK190" s="221"/>
      <c r="JL190" s="221"/>
      <c r="JM190" s="221"/>
      <c r="JN190" s="221"/>
      <c r="JO190" s="221"/>
      <c r="JP190" s="221"/>
      <c r="JQ190" s="221"/>
      <c r="JR190" s="221"/>
      <c r="JS190" s="221"/>
      <c r="JT190" s="221"/>
      <c r="JU190" s="221"/>
      <c r="JV190" s="272"/>
      <c r="JW190" s="224"/>
      <c r="JX190" s="222"/>
      <c r="JY190" s="221"/>
      <c r="JZ190" s="221"/>
      <c r="KA190" s="221"/>
      <c r="KB190" s="221"/>
      <c r="KC190" s="221"/>
      <c r="KD190" s="221"/>
      <c r="KE190" s="221"/>
      <c r="KF190" s="221"/>
      <c r="KG190" s="221"/>
      <c r="KH190" s="221"/>
      <c r="KI190" s="221"/>
      <c r="KJ190" s="272"/>
      <c r="KK190" s="224"/>
      <c r="KL190" s="222"/>
      <c r="KM190" s="221"/>
      <c r="KN190" s="221"/>
      <c r="KO190" s="221"/>
      <c r="KP190" s="221"/>
      <c r="KQ190" s="221"/>
      <c r="KR190" s="221"/>
      <c r="KS190" s="221"/>
      <c r="KT190" s="221"/>
      <c r="KU190" s="221"/>
      <c r="KV190" s="221"/>
      <c r="KW190" s="221"/>
      <c r="KX190" s="272"/>
      <c r="KY190" s="224"/>
      <c r="KZ190" s="222"/>
      <c r="LA190" s="221"/>
      <c r="LB190" s="221"/>
      <c r="LC190" s="221"/>
      <c r="LD190" s="221"/>
      <c r="LE190" s="221"/>
      <c r="LF190" s="221"/>
      <c r="LG190" s="221"/>
      <c r="LH190" s="221"/>
      <c r="LI190" s="221"/>
      <c r="LJ190" s="221"/>
      <c r="LK190" s="221"/>
      <c r="LL190" s="272"/>
      <c r="LM190" s="224"/>
      <c r="LN190" s="222"/>
      <c r="LO190" s="221"/>
      <c r="LP190" s="221"/>
      <c r="LQ190" s="221"/>
      <c r="LR190" s="221"/>
      <c r="LS190" s="221"/>
      <c r="LT190" s="221"/>
      <c r="LU190" s="221"/>
      <c r="LV190" s="221"/>
      <c r="LW190" s="221"/>
      <c r="LX190" s="221"/>
      <c r="LY190" s="221"/>
      <c r="LZ190" s="272"/>
      <c r="MA190" s="224"/>
      <c r="MB190" s="272"/>
      <c r="MC190" s="272"/>
      <c r="MD190" s="272"/>
      <c r="ME190" s="272"/>
      <c r="MF190" s="272"/>
      <c r="MG190" s="272"/>
      <c r="MH190" s="272"/>
      <c r="MI190" s="272"/>
      <c r="MJ190" s="272"/>
      <c r="MK190" s="272"/>
      <c r="ML190" s="272"/>
      <c r="MM190" s="272"/>
      <c r="MN190" s="272"/>
    </row>
    <row r="191" spans="1:352" x14ac:dyDescent="0.25">
      <c r="A191" s="262"/>
      <c r="B191" s="64" t="s">
        <v>65</v>
      </c>
      <c r="C191" s="98"/>
      <c r="D191" s="263">
        <f t="shared" ref="D191:O198" si="824">+D48/$D$144</f>
        <v>1056.7321357642199</v>
      </c>
      <c r="E191" s="263">
        <f t="shared" si="824"/>
        <v>1056.7321357642199</v>
      </c>
      <c r="F191" s="263">
        <f t="shared" si="824"/>
        <v>1056.7321357642199</v>
      </c>
      <c r="G191" s="263">
        <f t="shared" si="824"/>
        <v>1056.7321357642199</v>
      </c>
      <c r="H191" s="263">
        <f t="shared" si="824"/>
        <v>1056.7321357642199</v>
      </c>
      <c r="I191" s="263">
        <f t="shared" si="824"/>
        <v>1056.7321357642199</v>
      </c>
      <c r="J191" s="263">
        <f t="shared" si="824"/>
        <v>1056.7321357642199</v>
      </c>
      <c r="K191" s="263">
        <f t="shared" si="824"/>
        <v>1056.7321357642199</v>
      </c>
      <c r="L191" s="263">
        <f t="shared" si="824"/>
        <v>1056.7321357642199</v>
      </c>
      <c r="M191" s="263">
        <f t="shared" si="824"/>
        <v>1056.7321357642199</v>
      </c>
      <c r="N191" s="263">
        <f t="shared" si="824"/>
        <v>1056.7321357642199</v>
      </c>
      <c r="O191" s="263">
        <f t="shared" si="824"/>
        <v>1056.7321357642199</v>
      </c>
      <c r="P191" s="230">
        <f t="shared" ref="P191:P198" si="825">+SUBTOTAL(9,D191:O191)</f>
        <v>12680.785629170636</v>
      </c>
      <c r="Q191" s="266"/>
      <c r="R191" s="263">
        <f t="shared" ref="R191:AC198" si="826">+R48/$D$144</f>
        <v>109.31711749285033</v>
      </c>
      <c r="S191" s="263">
        <f t="shared" si="826"/>
        <v>109.31711749285033</v>
      </c>
      <c r="T191" s="263">
        <f t="shared" si="826"/>
        <v>109.31711749285033</v>
      </c>
      <c r="U191" s="263">
        <f t="shared" si="826"/>
        <v>109.31711749285033</v>
      </c>
      <c r="V191" s="263">
        <f t="shared" si="826"/>
        <v>109.31711749285033</v>
      </c>
      <c r="W191" s="263">
        <f t="shared" si="826"/>
        <v>109.31711749285033</v>
      </c>
      <c r="X191" s="263">
        <f t="shared" si="826"/>
        <v>109.31711749285033</v>
      </c>
      <c r="Y191" s="263">
        <f t="shared" si="826"/>
        <v>109.31711749285033</v>
      </c>
      <c r="Z191" s="263">
        <f t="shared" si="826"/>
        <v>109.31711749285033</v>
      </c>
      <c r="AA191" s="263">
        <f t="shared" si="826"/>
        <v>109.31711749285033</v>
      </c>
      <c r="AB191" s="263">
        <f t="shared" si="826"/>
        <v>109.31711749285033</v>
      </c>
      <c r="AC191" s="263">
        <f t="shared" si="826"/>
        <v>109.31711749285033</v>
      </c>
      <c r="AD191" s="230">
        <f t="shared" ref="AD191:AD198" si="827">+SUBTOTAL(9,R191:AC191)</f>
        <v>1311.8054099142037</v>
      </c>
      <c r="AE191" s="266"/>
      <c r="AF191" s="263">
        <f t="shared" ref="AF191:AQ198" si="828">+AF48/$D$144</f>
        <v>109.31711749285033</v>
      </c>
      <c r="AG191" s="263">
        <f t="shared" si="828"/>
        <v>109.31711749285033</v>
      </c>
      <c r="AH191" s="263">
        <f t="shared" si="828"/>
        <v>109.31711749285033</v>
      </c>
      <c r="AI191" s="263">
        <f t="shared" si="828"/>
        <v>109.31711749285033</v>
      </c>
      <c r="AJ191" s="263">
        <f t="shared" si="828"/>
        <v>109.31711749285033</v>
      </c>
      <c r="AK191" s="263">
        <f t="shared" si="828"/>
        <v>109.31711749285033</v>
      </c>
      <c r="AL191" s="263">
        <f t="shared" si="828"/>
        <v>109.31711749285033</v>
      </c>
      <c r="AM191" s="263">
        <f t="shared" si="828"/>
        <v>109.31711749285033</v>
      </c>
      <c r="AN191" s="263">
        <f t="shared" si="828"/>
        <v>109.31711749285033</v>
      </c>
      <c r="AO191" s="263">
        <f t="shared" si="828"/>
        <v>109.31711749285033</v>
      </c>
      <c r="AP191" s="263">
        <f t="shared" si="828"/>
        <v>109.31711749285033</v>
      </c>
      <c r="AQ191" s="263">
        <f t="shared" si="828"/>
        <v>109.31711749285033</v>
      </c>
      <c r="AR191" s="230">
        <f t="shared" ref="AR191:AR198" si="829">+SUBTOTAL(9,AF191:AQ191)</f>
        <v>1311.8054099142037</v>
      </c>
      <c r="AS191" s="266"/>
      <c r="AT191" s="263">
        <f t="shared" ref="AT191:BE198" si="830">+AT48/$D$144</f>
        <v>72.878078328566886</v>
      </c>
      <c r="AU191" s="263">
        <f t="shared" si="830"/>
        <v>72.878078328566886</v>
      </c>
      <c r="AV191" s="263">
        <f t="shared" si="830"/>
        <v>72.878078328566886</v>
      </c>
      <c r="AW191" s="263">
        <f t="shared" si="830"/>
        <v>72.878078328566886</v>
      </c>
      <c r="AX191" s="263">
        <f t="shared" si="830"/>
        <v>72.878078328566886</v>
      </c>
      <c r="AY191" s="263">
        <f t="shared" si="830"/>
        <v>72.878078328566886</v>
      </c>
      <c r="AZ191" s="263">
        <f t="shared" si="830"/>
        <v>72.878078328566886</v>
      </c>
      <c r="BA191" s="263">
        <f t="shared" si="830"/>
        <v>72.878078328566886</v>
      </c>
      <c r="BB191" s="263">
        <f t="shared" si="830"/>
        <v>72.878078328566886</v>
      </c>
      <c r="BC191" s="263">
        <f t="shared" si="830"/>
        <v>72.878078328566886</v>
      </c>
      <c r="BD191" s="263">
        <f t="shared" si="830"/>
        <v>72.878078328566886</v>
      </c>
      <c r="BE191" s="263">
        <f t="shared" si="830"/>
        <v>72.878078328566886</v>
      </c>
      <c r="BF191" s="230">
        <f t="shared" ref="BF191:BF198" si="831">+SUBTOTAL(9,AT191:BE191)</f>
        <v>874.53693994280241</v>
      </c>
      <c r="BG191" s="224"/>
      <c r="BH191" s="263">
        <f t="shared" ref="BH191:BS198" si="832">+BH48/$D$144</f>
        <v>546.58558746425172</v>
      </c>
      <c r="BI191" s="263">
        <f t="shared" si="832"/>
        <v>546.58558746425172</v>
      </c>
      <c r="BJ191" s="263">
        <f t="shared" si="832"/>
        <v>546.58558746425172</v>
      </c>
      <c r="BK191" s="263">
        <f t="shared" si="832"/>
        <v>546.58558746425172</v>
      </c>
      <c r="BL191" s="263">
        <f t="shared" si="832"/>
        <v>546.58558746425172</v>
      </c>
      <c r="BM191" s="263">
        <f t="shared" si="832"/>
        <v>546.58558746425172</v>
      </c>
      <c r="BN191" s="263">
        <f t="shared" si="832"/>
        <v>546.58558746425172</v>
      </c>
      <c r="BO191" s="263">
        <f t="shared" si="832"/>
        <v>546.58558746425172</v>
      </c>
      <c r="BP191" s="263">
        <f t="shared" si="832"/>
        <v>546.58558746425172</v>
      </c>
      <c r="BQ191" s="263">
        <f t="shared" si="832"/>
        <v>546.58558746425172</v>
      </c>
      <c r="BR191" s="263">
        <f t="shared" si="832"/>
        <v>546.58558746425172</v>
      </c>
      <c r="BS191" s="263">
        <f t="shared" si="832"/>
        <v>546.58558746425172</v>
      </c>
      <c r="BT191" s="230">
        <f t="shared" ref="BT191:BT198" si="833">+SUBTOTAL(9,BH191:BS191)</f>
        <v>6559.027049571022</v>
      </c>
      <c r="BU191" s="266"/>
      <c r="BV191" s="263">
        <f t="shared" ref="BV191:CG198" si="834">+BV48/$D$144</f>
        <v>36.439039164283443</v>
      </c>
      <c r="BW191" s="263">
        <f t="shared" si="834"/>
        <v>36.439039164283443</v>
      </c>
      <c r="BX191" s="263">
        <f t="shared" si="834"/>
        <v>36.439039164283443</v>
      </c>
      <c r="BY191" s="263">
        <f t="shared" si="834"/>
        <v>36.439039164283443</v>
      </c>
      <c r="BZ191" s="263">
        <f t="shared" si="834"/>
        <v>36.439039164283443</v>
      </c>
      <c r="CA191" s="263">
        <f t="shared" si="834"/>
        <v>36.439039164283443</v>
      </c>
      <c r="CB191" s="263">
        <f t="shared" si="834"/>
        <v>36.439039164283443</v>
      </c>
      <c r="CC191" s="263">
        <f t="shared" si="834"/>
        <v>36.439039164283443</v>
      </c>
      <c r="CD191" s="263">
        <f t="shared" si="834"/>
        <v>36.439039164283443</v>
      </c>
      <c r="CE191" s="263">
        <f t="shared" si="834"/>
        <v>36.439039164283443</v>
      </c>
      <c r="CF191" s="263">
        <f t="shared" si="834"/>
        <v>36.439039164283443</v>
      </c>
      <c r="CG191" s="263">
        <f t="shared" si="834"/>
        <v>36.439039164283443</v>
      </c>
      <c r="CH191" s="230">
        <f t="shared" ref="CH191:CH198" si="835">+SUBTOTAL(9,BV191:CG191)</f>
        <v>437.2684699714012</v>
      </c>
      <c r="CI191" s="266"/>
      <c r="CJ191" s="263">
        <f t="shared" ref="CJ191:CU198" si="836">+CJ48/$D$144</f>
        <v>400.82943080711789</v>
      </c>
      <c r="CK191" s="263">
        <f t="shared" si="836"/>
        <v>400.82943080711789</v>
      </c>
      <c r="CL191" s="263">
        <f t="shared" si="836"/>
        <v>400.82943080711789</v>
      </c>
      <c r="CM191" s="263">
        <f t="shared" si="836"/>
        <v>400.82943080711789</v>
      </c>
      <c r="CN191" s="263">
        <f t="shared" si="836"/>
        <v>400.82943080711789</v>
      </c>
      <c r="CO191" s="263">
        <f t="shared" si="836"/>
        <v>400.82943080711789</v>
      </c>
      <c r="CP191" s="263">
        <f t="shared" si="836"/>
        <v>400.82943080711789</v>
      </c>
      <c r="CQ191" s="263">
        <f t="shared" si="836"/>
        <v>400.82943080711789</v>
      </c>
      <c r="CR191" s="263">
        <f t="shared" si="836"/>
        <v>400.82943080711789</v>
      </c>
      <c r="CS191" s="263">
        <f t="shared" si="836"/>
        <v>400.82943080711789</v>
      </c>
      <c r="CT191" s="263">
        <f t="shared" si="836"/>
        <v>400.82943080711789</v>
      </c>
      <c r="CU191" s="263">
        <f t="shared" si="836"/>
        <v>400.82943080711789</v>
      </c>
      <c r="CV191" s="230">
        <f t="shared" ref="CV191:CV198" si="837">+SUBTOTAL(9,CJ191:CU191)</f>
        <v>4809.9531696854156</v>
      </c>
      <c r="CW191" s="266"/>
      <c r="CX191" s="263">
        <f t="shared" ref="CX191:DI198" si="838">+CX48/$D$144</f>
        <v>1020.2930965999365</v>
      </c>
      <c r="CY191" s="263">
        <f t="shared" si="838"/>
        <v>1020.2930965999365</v>
      </c>
      <c r="CZ191" s="263">
        <f t="shared" si="838"/>
        <v>1020.2930965999365</v>
      </c>
      <c r="DA191" s="263">
        <f t="shared" si="838"/>
        <v>1020.2930965999365</v>
      </c>
      <c r="DB191" s="263">
        <f t="shared" si="838"/>
        <v>1020.2930965999365</v>
      </c>
      <c r="DC191" s="263">
        <f t="shared" si="838"/>
        <v>1020.2930965999365</v>
      </c>
      <c r="DD191" s="263">
        <f t="shared" si="838"/>
        <v>1020.2930965999365</v>
      </c>
      <c r="DE191" s="263">
        <f t="shared" si="838"/>
        <v>1020.2930965999365</v>
      </c>
      <c r="DF191" s="263">
        <f t="shared" si="838"/>
        <v>1020.2930965999365</v>
      </c>
      <c r="DG191" s="263">
        <f t="shared" si="838"/>
        <v>1020.2930965999365</v>
      </c>
      <c r="DH191" s="263">
        <f t="shared" si="838"/>
        <v>1020.2930965999365</v>
      </c>
      <c r="DI191" s="263">
        <f t="shared" si="838"/>
        <v>1020.2930965999365</v>
      </c>
      <c r="DJ191" s="230">
        <f t="shared" ref="DJ191:DJ198" si="839">+SUBTOTAL(9,CX191:DI191)</f>
        <v>12243.517159199238</v>
      </c>
      <c r="DK191" s="266"/>
      <c r="DL191" s="263">
        <f t="shared" ref="DL191:DW198" si="840">+DL48/$D$144</f>
        <v>1020.2930965999365</v>
      </c>
      <c r="DM191" s="263">
        <f t="shared" si="840"/>
        <v>1020.2930965999365</v>
      </c>
      <c r="DN191" s="263">
        <f t="shared" si="840"/>
        <v>1020.2930965999365</v>
      </c>
      <c r="DO191" s="263">
        <f t="shared" si="840"/>
        <v>1020.2930965999365</v>
      </c>
      <c r="DP191" s="263">
        <f t="shared" si="840"/>
        <v>1020.2930965999365</v>
      </c>
      <c r="DQ191" s="263">
        <f t="shared" si="840"/>
        <v>1020.2930965999365</v>
      </c>
      <c r="DR191" s="263">
        <f t="shared" si="840"/>
        <v>1020.2930965999365</v>
      </c>
      <c r="DS191" s="263">
        <f t="shared" si="840"/>
        <v>1020.2930965999365</v>
      </c>
      <c r="DT191" s="263">
        <f t="shared" si="840"/>
        <v>1020.2930965999365</v>
      </c>
      <c r="DU191" s="263">
        <f t="shared" si="840"/>
        <v>1020.2930965999365</v>
      </c>
      <c r="DV191" s="263">
        <f t="shared" si="840"/>
        <v>1020.2930965999365</v>
      </c>
      <c r="DW191" s="263">
        <f t="shared" si="840"/>
        <v>1020.2930965999365</v>
      </c>
      <c r="DX191" s="230">
        <f t="shared" ref="DX191:DX198" si="841">+SUBTOTAL(9,DL191:DW191)</f>
        <v>12243.517159199238</v>
      </c>
      <c r="DY191" s="266"/>
      <c r="DZ191" s="263">
        <f t="shared" ref="DZ191:EK198" si="842">+DZ48/$D$144</f>
        <v>36.439039164283443</v>
      </c>
      <c r="EA191" s="263">
        <f t="shared" si="842"/>
        <v>36.439039164283443</v>
      </c>
      <c r="EB191" s="263">
        <f t="shared" si="842"/>
        <v>36.439039164283443</v>
      </c>
      <c r="EC191" s="263">
        <f t="shared" si="842"/>
        <v>36.439039164283443</v>
      </c>
      <c r="ED191" s="263">
        <f t="shared" si="842"/>
        <v>36.439039164283443</v>
      </c>
      <c r="EE191" s="263">
        <f t="shared" si="842"/>
        <v>36.439039164283443</v>
      </c>
      <c r="EF191" s="263">
        <f t="shared" si="842"/>
        <v>36.439039164283443</v>
      </c>
      <c r="EG191" s="263">
        <f t="shared" si="842"/>
        <v>36.439039164283443</v>
      </c>
      <c r="EH191" s="263">
        <f t="shared" si="842"/>
        <v>36.439039164283443</v>
      </c>
      <c r="EI191" s="263">
        <f t="shared" si="842"/>
        <v>36.439039164283443</v>
      </c>
      <c r="EJ191" s="263">
        <f t="shared" si="842"/>
        <v>36.439039164283443</v>
      </c>
      <c r="EK191" s="263">
        <f t="shared" si="842"/>
        <v>36.439039164283443</v>
      </c>
      <c r="EL191" s="230">
        <f t="shared" ref="EL191:EL198" si="843">+SUBTOTAL(9,DZ191:EK191)</f>
        <v>437.2684699714012</v>
      </c>
      <c r="EM191" s="266"/>
      <c r="EN191" s="263">
        <f t="shared" ref="EN191:EY198" si="844">+EN48/$D$144</f>
        <v>72.878078328566886</v>
      </c>
      <c r="EO191" s="263">
        <f t="shared" si="844"/>
        <v>72.878078328566886</v>
      </c>
      <c r="EP191" s="263">
        <f t="shared" si="844"/>
        <v>72.878078328566886</v>
      </c>
      <c r="EQ191" s="263">
        <f t="shared" si="844"/>
        <v>72.878078328566886</v>
      </c>
      <c r="ER191" s="263">
        <f t="shared" si="844"/>
        <v>72.878078328566886</v>
      </c>
      <c r="ES191" s="263">
        <f t="shared" si="844"/>
        <v>72.878078328566886</v>
      </c>
      <c r="ET191" s="263">
        <f t="shared" si="844"/>
        <v>72.878078328566886</v>
      </c>
      <c r="EU191" s="263">
        <f t="shared" si="844"/>
        <v>72.878078328566886</v>
      </c>
      <c r="EV191" s="263">
        <f t="shared" si="844"/>
        <v>72.878078328566886</v>
      </c>
      <c r="EW191" s="263">
        <f t="shared" si="844"/>
        <v>72.878078328566886</v>
      </c>
      <c r="EX191" s="263">
        <f t="shared" si="844"/>
        <v>72.878078328566886</v>
      </c>
      <c r="EY191" s="263">
        <f t="shared" si="844"/>
        <v>72.878078328566886</v>
      </c>
      <c r="EZ191" s="230">
        <f t="shared" ref="EZ191:EZ198" si="845">+SUBTOTAL(9,EN191:EY191)</f>
        <v>874.53693994280241</v>
      </c>
      <c r="FA191" s="266"/>
      <c r="FB191" s="263">
        <f t="shared" ref="FB191:FM198" si="846">+FB48/$D$144</f>
        <v>36.439039164283443</v>
      </c>
      <c r="FC191" s="263">
        <f t="shared" si="846"/>
        <v>36.439039164283443</v>
      </c>
      <c r="FD191" s="263">
        <f t="shared" si="846"/>
        <v>36.439039164283443</v>
      </c>
      <c r="FE191" s="263">
        <f t="shared" si="846"/>
        <v>36.439039164283443</v>
      </c>
      <c r="FF191" s="263">
        <f t="shared" si="846"/>
        <v>36.439039164283443</v>
      </c>
      <c r="FG191" s="263">
        <f t="shared" si="846"/>
        <v>36.439039164283443</v>
      </c>
      <c r="FH191" s="263">
        <f t="shared" si="846"/>
        <v>36.439039164283443</v>
      </c>
      <c r="FI191" s="263">
        <f t="shared" si="846"/>
        <v>36.439039164283443</v>
      </c>
      <c r="FJ191" s="263">
        <f t="shared" si="846"/>
        <v>36.439039164283443</v>
      </c>
      <c r="FK191" s="263">
        <f t="shared" si="846"/>
        <v>36.439039164283443</v>
      </c>
      <c r="FL191" s="263">
        <f t="shared" si="846"/>
        <v>36.439039164283443</v>
      </c>
      <c r="FM191" s="263">
        <f t="shared" si="846"/>
        <v>36.439039164283443</v>
      </c>
      <c r="FN191" s="230">
        <f t="shared" ref="FN191:FN198" si="847">+SUBTOTAL(9,FB191:FM191)</f>
        <v>437.2684699714012</v>
      </c>
      <c r="FO191" s="266"/>
      <c r="FP191" s="263">
        <f t="shared" ref="FP191:GA198" si="848">+FP48/$D$144</f>
        <v>255.07327414998412</v>
      </c>
      <c r="FQ191" s="263">
        <f t="shared" si="848"/>
        <v>255.07327414998412</v>
      </c>
      <c r="FR191" s="263">
        <f t="shared" si="848"/>
        <v>255.07327414998412</v>
      </c>
      <c r="FS191" s="263">
        <f t="shared" si="848"/>
        <v>255.07327414998412</v>
      </c>
      <c r="FT191" s="263">
        <f t="shared" si="848"/>
        <v>255.07327414998412</v>
      </c>
      <c r="FU191" s="263">
        <f t="shared" si="848"/>
        <v>255.07327414998412</v>
      </c>
      <c r="FV191" s="263">
        <f t="shared" si="848"/>
        <v>255.07327414998412</v>
      </c>
      <c r="FW191" s="263">
        <f t="shared" si="848"/>
        <v>255.07327414998412</v>
      </c>
      <c r="FX191" s="263">
        <f t="shared" si="848"/>
        <v>255.07327414998412</v>
      </c>
      <c r="FY191" s="263">
        <f t="shared" si="848"/>
        <v>255.07327414998412</v>
      </c>
      <c r="FZ191" s="263">
        <f t="shared" si="848"/>
        <v>255.07327414998412</v>
      </c>
      <c r="GA191" s="263">
        <f t="shared" si="848"/>
        <v>255.07327414998412</v>
      </c>
      <c r="GB191" s="230">
        <f t="shared" ref="GB191:GB198" si="849">+SUBTOTAL(9,FP191:GA191)</f>
        <v>3060.8792897998096</v>
      </c>
      <c r="GC191" s="266"/>
      <c r="GD191" s="263">
        <f t="shared" ref="GD191:GO198" si="850">+GD48/$D$144</f>
        <v>36.439039164283443</v>
      </c>
      <c r="GE191" s="263">
        <f t="shared" si="850"/>
        <v>36.439039164283443</v>
      </c>
      <c r="GF191" s="263">
        <f t="shared" si="850"/>
        <v>36.439039164283443</v>
      </c>
      <c r="GG191" s="263">
        <f t="shared" si="850"/>
        <v>36.439039164283443</v>
      </c>
      <c r="GH191" s="263">
        <f t="shared" si="850"/>
        <v>36.439039164283443</v>
      </c>
      <c r="GI191" s="263">
        <f t="shared" si="850"/>
        <v>36.439039164283443</v>
      </c>
      <c r="GJ191" s="263">
        <f t="shared" si="850"/>
        <v>36.439039164283443</v>
      </c>
      <c r="GK191" s="263">
        <f t="shared" si="850"/>
        <v>36.439039164283443</v>
      </c>
      <c r="GL191" s="263">
        <f t="shared" si="850"/>
        <v>36.439039164283443</v>
      </c>
      <c r="GM191" s="263">
        <f t="shared" si="850"/>
        <v>36.439039164283443</v>
      </c>
      <c r="GN191" s="263">
        <f t="shared" si="850"/>
        <v>36.439039164283443</v>
      </c>
      <c r="GO191" s="263">
        <f t="shared" si="850"/>
        <v>36.439039164283443</v>
      </c>
      <c r="GP191" s="230">
        <f t="shared" ref="GP191:GP198" si="851">+SUBTOTAL(9,GD191:GO191)</f>
        <v>437.2684699714012</v>
      </c>
      <c r="GQ191" s="266"/>
      <c r="GR191" s="263">
        <f t="shared" ref="GR191:HC198" si="852">+GR48/$D$144</f>
        <v>12230.784437559581</v>
      </c>
      <c r="GS191" s="263">
        <f t="shared" si="852"/>
        <v>12230.784437559581</v>
      </c>
      <c r="GT191" s="263">
        <f t="shared" si="852"/>
        <v>12230.784437559581</v>
      </c>
      <c r="GU191" s="263">
        <f t="shared" si="852"/>
        <v>12230.784437559581</v>
      </c>
      <c r="GV191" s="263">
        <f t="shared" si="852"/>
        <v>12230.784437559581</v>
      </c>
      <c r="GW191" s="263">
        <f t="shared" si="852"/>
        <v>12230.784437559581</v>
      </c>
      <c r="GX191" s="263">
        <f t="shared" si="852"/>
        <v>12230.784437559581</v>
      </c>
      <c r="GY191" s="263">
        <f t="shared" si="852"/>
        <v>12230.784437559581</v>
      </c>
      <c r="GZ191" s="263">
        <f t="shared" si="852"/>
        <v>12230.784437559581</v>
      </c>
      <c r="HA191" s="263">
        <f t="shared" si="852"/>
        <v>12230.784437559581</v>
      </c>
      <c r="HB191" s="263">
        <f t="shared" si="852"/>
        <v>12230.784437559581</v>
      </c>
      <c r="HC191" s="263">
        <f t="shared" si="852"/>
        <v>12230.784437559581</v>
      </c>
      <c r="HD191" s="230">
        <f>+SUBTOTAL(9,GR191:HC191)*0</f>
        <v>0</v>
      </c>
      <c r="HE191" s="266"/>
      <c r="HF191" s="263">
        <f t="shared" ref="HF191:HQ198" si="853">+HF48/$D$144</f>
        <v>145.75615665713377</v>
      </c>
      <c r="HG191" s="263">
        <f t="shared" si="853"/>
        <v>145.75615665713377</v>
      </c>
      <c r="HH191" s="263">
        <f t="shared" si="853"/>
        <v>145.75615665713377</v>
      </c>
      <c r="HI191" s="263">
        <f t="shared" si="853"/>
        <v>145.75615665713377</v>
      </c>
      <c r="HJ191" s="263">
        <f t="shared" si="853"/>
        <v>145.75615665713377</v>
      </c>
      <c r="HK191" s="263">
        <f t="shared" si="853"/>
        <v>145.75615665713377</v>
      </c>
      <c r="HL191" s="263">
        <f t="shared" si="853"/>
        <v>145.75615665713377</v>
      </c>
      <c r="HM191" s="263">
        <f t="shared" si="853"/>
        <v>145.75615665713377</v>
      </c>
      <c r="HN191" s="263">
        <f t="shared" si="853"/>
        <v>145.75615665713377</v>
      </c>
      <c r="HO191" s="263">
        <f t="shared" si="853"/>
        <v>145.75615665713377</v>
      </c>
      <c r="HP191" s="263">
        <f t="shared" si="853"/>
        <v>145.75615665713377</v>
      </c>
      <c r="HQ191" s="263">
        <f t="shared" si="853"/>
        <v>145.75615665713377</v>
      </c>
      <c r="HR191" s="230">
        <f t="shared" ref="HR191:HR198" si="854">+SUBTOTAL(9,HF191:HQ191)</f>
        <v>1749.0738798856048</v>
      </c>
      <c r="HS191" s="266"/>
      <c r="HT191" s="263">
        <f t="shared" ref="HT191:IE198" si="855">+HT48/$D$144</f>
        <v>36.439039164283443</v>
      </c>
      <c r="HU191" s="263">
        <f t="shared" si="855"/>
        <v>36.439039164283443</v>
      </c>
      <c r="HV191" s="263">
        <f t="shared" si="855"/>
        <v>36.439039164283443</v>
      </c>
      <c r="HW191" s="263">
        <f t="shared" si="855"/>
        <v>36.439039164283443</v>
      </c>
      <c r="HX191" s="263">
        <f t="shared" si="855"/>
        <v>36.439039164283443</v>
      </c>
      <c r="HY191" s="263">
        <f t="shared" si="855"/>
        <v>36.439039164283443</v>
      </c>
      <c r="HZ191" s="263">
        <f t="shared" si="855"/>
        <v>36.439039164283443</v>
      </c>
      <c r="IA191" s="263">
        <f t="shared" si="855"/>
        <v>36.439039164283443</v>
      </c>
      <c r="IB191" s="263">
        <f t="shared" si="855"/>
        <v>36.439039164283443</v>
      </c>
      <c r="IC191" s="263">
        <f t="shared" si="855"/>
        <v>36.439039164283443</v>
      </c>
      <c r="ID191" s="263">
        <f t="shared" si="855"/>
        <v>36.439039164283443</v>
      </c>
      <c r="IE191" s="263">
        <f t="shared" si="855"/>
        <v>36.439039164283443</v>
      </c>
      <c r="IF191" s="230">
        <f t="shared" ref="IF191:IF198" si="856">+SUBTOTAL(9,HT191:IE191)</f>
        <v>437.2684699714012</v>
      </c>
      <c r="IG191" s="266"/>
      <c r="IH191" s="263">
        <f t="shared" ref="IH191:IS198" si="857">+IH48/$D$144</f>
        <v>36.439039164283443</v>
      </c>
      <c r="II191" s="263">
        <f t="shared" si="857"/>
        <v>36.439039164283443</v>
      </c>
      <c r="IJ191" s="263">
        <f t="shared" si="857"/>
        <v>36.439039164283443</v>
      </c>
      <c r="IK191" s="263">
        <f t="shared" si="857"/>
        <v>36.439039164283443</v>
      </c>
      <c r="IL191" s="263">
        <f t="shared" si="857"/>
        <v>36.439039164283443</v>
      </c>
      <c r="IM191" s="263">
        <f t="shared" si="857"/>
        <v>36.439039164283443</v>
      </c>
      <c r="IN191" s="263">
        <f t="shared" si="857"/>
        <v>36.439039164283443</v>
      </c>
      <c r="IO191" s="263">
        <f t="shared" si="857"/>
        <v>36.439039164283443</v>
      </c>
      <c r="IP191" s="263">
        <f t="shared" si="857"/>
        <v>36.439039164283443</v>
      </c>
      <c r="IQ191" s="263">
        <f t="shared" si="857"/>
        <v>36.439039164283443</v>
      </c>
      <c r="IR191" s="263">
        <f t="shared" si="857"/>
        <v>36.439039164283443</v>
      </c>
      <c r="IS191" s="263">
        <f t="shared" si="857"/>
        <v>36.439039164283443</v>
      </c>
      <c r="IT191" s="230">
        <f t="shared" ref="IT191:IT198" si="858">+SUBTOTAL(9,IH191:IS191)</f>
        <v>437.2684699714012</v>
      </c>
      <c r="IU191" s="266"/>
      <c r="IV191" s="263">
        <f t="shared" ref="IV191:JG198" si="859">+IV48/$D$144</f>
        <v>255.07327414998412</v>
      </c>
      <c r="IW191" s="263">
        <f t="shared" si="859"/>
        <v>255.07327414998412</v>
      </c>
      <c r="IX191" s="263">
        <f t="shared" si="859"/>
        <v>255.07327414998412</v>
      </c>
      <c r="IY191" s="263">
        <f t="shared" si="859"/>
        <v>255.07327414998412</v>
      </c>
      <c r="IZ191" s="263">
        <f t="shared" si="859"/>
        <v>255.07327414998412</v>
      </c>
      <c r="JA191" s="263">
        <f t="shared" si="859"/>
        <v>255.07327414998412</v>
      </c>
      <c r="JB191" s="263">
        <f t="shared" si="859"/>
        <v>255.07327414998412</v>
      </c>
      <c r="JC191" s="263">
        <f t="shared" si="859"/>
        <v>255.07327414998412</v>
      </c>
      <c r="JD191" s="263">
        <f t="shared" si="859"/>
        <v>255.07327414998412</v>
      </c>
      <c r="JE191" s="263">
        <f t="shared" si="859"/>
        <v>255.07327414998412</v>
      </c>
      <c r="JF191" s="263">
        <f t="shared" si="859"/>
        <v>255.07327414998412</v>
      </c>
      <c r="JG191" s="263">
        <f t="shared" si="859"/>
        <v>255.07327414998412</v>
      </c>
      <c r="JH191" s="230">
        <f t="shared" ref="JH191:JH198" si="860">+SUBTOTAL(9,IV191:JG191)</f>
        <v>3060.8792897998096</v>
      </c>
      <c r="JI191" s="266"/>
      <c r="JJ191" s="263">
        <f t="shared" ref="JJ191:JU198" si="861">+JJ48/$D$144</f>
        <v>400.82943080711789</v>
      </c>
      <c r="JK191" s="263">
        <f t="shared" si="861"/>
        <v>400.82943080711789</v>
      </c>
      <c r="JL191" s="263">
        <f t="shared" si="861"/>
        <v>400.82943080711789</v>
      </c>
      <c r="JM191" s="263">
        <f t="shared" si="861"/>
        <v>400.82943080711789</v>
      </c>
      <c r="JN191" s="263">
        <f t="shared" si="861"/>
        <v>400.82943080711789</v>
      </c>
      <c r="JO191" s="263">
        <f t="shared" si="861"/>
        <v>400.82943080711789</v>
      </c>
      <c r="JP191" s="263">
        <f t="shared" si="861"/>
        <v>400.82943080711789</v>
      </c>
      <c r="JQ191" s="263">
        <f t="shared" si="861"/>
        <v>400.82943080711789</v>
      </c>
      <c r="JR191" s="263">
        <f t="shared" si="861"/>
        <v>400.82943080711789</v>
      </c>
      <c r="JS191" s="263">
        <f t="shared" si="861"/>
        <v>400.82943080711789</v>
      </c>
      <c r="JT191" s="263">
        <f t="shared" si="861"/>
        <v>400.82943080711789</v>
      </c>
      <c r="JU191" s="263">
        <f t="shared" si="861"/>
        <v>400.82943080711789</v>
      </c>
      <c r="JV191" s="230">
        <f t="shared" ref="JV191:JV198" si="862">+SUBTOTAL(9,JJ191:JU191)</f>
        <v>4809.9531696854156</v>
      </c>
      <c r="JW191" s="266"/>
      <c r="JX191" s="263">
        <f t="shared" ref="JX191:KI198" si="863">+JX48/$D$144</f>
        <v>182.19519582141723</v>
      </c>
      <c r="JY191" s="263">
        <f t="shared" si="863"/>
        <v>182.19519582141723</v>
      </c>
      <c r="JZ191" s="263">
        <f t="shared" si="863"/>
        <v>182.19519582141723</v>
      </c>
      <c r="KA191" s="263">
        <f t="shared" si="863"/>
        <v>182.19519582141723</v>
      </c>
      <c r="KB191" s="263">
        <f t="shared" si="863"/>
        <v>182.19519582141723</v>
      </c>
      <c r="KC191" s="263">
        <f t="shared" si="863"/>
        <v>182.19519582141723</v>
      </c>
      <c r="KD191" s="263">
        <f t="shared" si="863"/>
        <v>182.19519582141723</v>
      </c>
      <c r="KE191" s="263">
        <f t="shared" si="863"/>
        <v>182.19519582141723</v>
      </c>
      <c r="KF191" s="263">
        <f t="shared" si="863"/>
        <v>182.19519582141723</v>
      </c>
      <c r="KG191" s="263">
        <f t="shared" si="863"/>
        <v>182.19519582141723</v>
      </c>
      <c r="KH191" s="263">
        <f t="shared" si="863"/>
        <v>182.19519582141723</v>
      </c>
      <c r="KI191" s="263">
        <f t="shared" si="863"/>
        <v>182.19519582141723</v>
      </c>
      <c r="KJ191" s="230">
        <f t="shared" ref="KJ191:KJ198" si="864">+SUBTOTAL(9,JX191:KI191)</f>
        <v>2186.3423498570069</v>
      </c>
      <c r="KK191" s="266"/>
      <c r="KL191" s="263">
        <f t="shared" ref="KL191:KW198" si="865">+KL48/$D$144</f>
        <v>72.878078328566886</v>
      </c>
      <c r="KM191" s="263">
        <f t="shared" si="865"/>
        <v>72.878078328566886</v>
      </c>
      <c r="KN191" s="263">
        <f t="shared" si="865"/>
        <v>72.878078328566886</v>
      </c>
      <c r="KO191" s="263">
        <f t="shared" si="865"/>
        <v>72.878078328566886</v>
      </c>
      <c r="KP191" s="263">
        <f t="shared" si="865"/>
        <v>72.878078328566886</v>
      </c>
      <c r="KQ191" s="263">
        <f t="shared" si="865"/>
        <v>72.878078328566886</v>
      </c>
      <c r="KR191" s="263">
        <f t="shared" si="865"/>
        <v>72.878078328566886</v>
      </c>
      <c r="KS191" s="263">
        <f t="shared" si="865"/>
        <v>72.878078328566886</v>
      </c>
      <c r="KT191" s="263">
        <f t="shared" si="865"/>
        <v>72.878078328566886</v>
      </c>
      <c r="KU191" s="263">
        <f t="shared" si="865"/>
        <v>72.878078328566886</v>
      </c>
      <c r="KV191" s="263">
        <f t="shared" si="865"/>
        <v>72.878078328566886</v>
      </c>
      <c r="KW191" s="263">
        <f t="shared" si="865"/>
        <v>72.878078328566886</v>
      </c>
      <c r="KX191" s="230">
        <f t="shared" ref="KX191:KX198" si="866">+SUBTOTAL(9,KL191:KW191)</f>
        <v>874.53693994280241</v>
      </c>
      <c r="KY191" s="266"/>
      <c r="KZ191" s="263">
        <f t="shared" ref="KZ191:LK198" si="867">+KZ48/$D$144</f>
        <v>36.439039164283443</v>
      </c>
      <c r="LA191" s="263">
        <f t="shared" si="867"/>
        <v>36.439039164283443</v>
      </c>
      <c r="LB191" s="263">
        <f t="shared" si="867"/>
        <v>36.439039164283443</v>
      </c>
      <c r="LC191" s="263">
        <f t="shared" si="867"/>
        <v>36.439039164283443</v>
      </c>
      <c r="LD191" s="263">
        <f t="shared" si="867"/>
        <v>36.439039164283443</v>
      </c>
      <c r="LE191" s="263">
        <f t="shared" si="867"/>
        <v>36.439039164283443</v>
      </c>
      <c r="LF191" s="263">
        <f t="shared" si="867"/>
        <v>36.439039164283443</v>
      </c>
      <c r="LG191" s="263">
        <f t="shared" si="867"/>
        <v>36.439039164283443</v>
      </c>
      <c r="LH191" s="263">
        <f t="shared" si="867"/>
        <v>36.439039164283443</v>
      </c>
      <c r="LI191" s="263">
        <f t="shared" si="867"/>
        <v>36.439039164283443</v>
      </c>
      <c r="LJ191" s="263">
        <f t="shared" si="867"/>
        <v>36.439039164283443</v>
      </c>
      <c r="LK191" s="263">
        <f t="shared" si="867"/>
        <v>36.439039164283443</v>
      </c>
      <c r="LL191" s="230">
        <f t="shared" ref="LL191:LL198" si="868">+SUBTOTAL(9,KZ191:LK191)</f>
        <v>437.2684699714012</v>
      </c>
      <c r="LM191" s="266"/>
      <c r="LN191" s="263">
        <v>0</v>
      </c>
      <c r="LO191" s="264">
        <v>0</v>
      </c>
      <c r="LP191" s="265">
        <v>0</v>
      </c>
      <c r="LQ191" s="265">
        <v>0</v>
      </c>
      <c r="LR191" s="265">
        <v>0</v>
      </c>
      <c r="LS191" s="265">
        <v>0</v>
      </c>
      <c r="LT191" s="265">
        <v>0</v>
      </c>
      <c r="LU191" s="265">
        <v>0</v>
      </c>
      <c r="LV191" s="265">
        <v>0</v>
      </c>
      <c r="LW191" s="265">
        <v>0</v>
      </c>
      <c r="LX191" s="265">
        <v>0</v>
      </c>
      <c r="LY191" s="265">
        <v>0</v>
      </c>
      <c r="LZ191" s="230">
        <f t="shared" ref="LZ191:LZ198" si="869">+SUBTOTAL(9,LN191:LY191)</f>
        <v>0</v>
      </c>
      <c r="MA191" s="266"/>
      <c r="MB191" s="230">
        <f t="shared" ref="MB191:MM198" si="870">SUMIF($D$6:$LY$6,MB$3,$D191:$LY191)</f>
        <v>18206.78686050207</v>
      </c>
      <c r="MC191" s="230">
        <f t="shared" si="870"/>
        <v>18206.78686050207</v>
      </c>
      <c r="MD191" s="230">
        <f t="shared" si="870"/>
        <v>18206.78686050207</v>
      </c>
      <c r="ME191" s="230">
        <f t="shared" si="870"/>
        <v>18206.78686050207</v>
      </c>
      <c r="MF191" s="230">
        <f t="shared" si="870"/>
        <v>18206.78686050207</v>
      </c>
      <c r="MG191" s="230">
        <f t="shared" si="870"/>
        <v>18206.78686050207</v>
      </c>
      <c r="MH191" s="230">
        <f t="shared" si="870"/>
        <v>18206.78686050207</v>
      </c>
      <c r="MI191" s="230">
        <f t="shared" si="870"/>
        <v>18206.78686050207</v>
      </c>
      <c r="MJ191" s="230">
        <f t="shared" si="870"/>
        <v>18206.78686050207</v>
      </c>
      <c r="MK191" s="230">
        <f t="shared" si="870"/>
        <v>18206.78686050207</v>
      </c>
      <c r="ML191" s="230">
        <f t="shared" si="870"/>
        <v>18206.78686050207</v>
      </c>
      <c r="MM191" s="230">
        <f t="shared" si="870"/>
        <v>18206.78686050207</v>
      </c>
      <c r="MN191" s="230">
        <f t="shared" ref="MN191:MN198" si="871">SUM(MB191:MM191)</f>
        <v>218481.44232602479</v>
      </c>
    </row>
    <row r="192" spans="1:352" x14ac:dyDescent="0.25">
      <c r="A192" s="262"/>
      <c r="B192" s="64" t="s">
        <v>66</v>
      </c>
      <c r="C192" s="98"/>
      <c r="D192" s="263">
        <f t="shared" si="824"/>
        <v>248.75456547808193</v>
      </c>
      <c r="E192" s="263">
        <f t="shared" si="824"/>
        <v>241.03370273276136</v>
      </c>
      <c r="F192" s="263">
        <f t="shared" si="824"/>
        <v>233.26219793605398</v>
      </c>
      <c r="G192" s="263">
        <f t="shared" si="824"/>
        <v>225.43973568931861</v>
      </c>
      <c r="H192" s="263">
        <f t="shared" si="824"/>
        <v>217.56597316794529</v>
      </c>
      <c r="I192" s="263">
        <f t="shared" si="824"/>
        <v>209.64058126030835</v>
      </c>
      <c r="J192" s="263">
        <f t="shared" si="824"/>
        <v>201.6632171417979</v>
      </c>
      <c r="K192" s="263">
        <f t="shared" si="824"/>
        <v>193.63353798780392</v>
      </c>
      <c r="L192" s="263">
        <f t="shared" si="824"/>
        <v>185.55121468670086</v>
      </c>
      <c r="M192" s="263">
        <f t="shared" si="824"/>
        <v>177.41587698790988</v>
      </c>
      <c r="N192" s="263">
        <f t="shared" si="824"/>
        <v>169.22719577980538</v>
      </c>
      <c r="O192" s="263">
        <f t="shared" si="824"/>
        <v>159.86257130751889</v>
      </c>
      <c r="P192" s="230">
        <f t="shared" si="825"/>
        <v>2463.0503701560065</v>
      </c>
      <c r="Q192" s="266"/>
      <c r="R192" s="263">
        <f t="shared" si="826"/>
        <v>25.733230911525716</v>
      </c>
      <c r="S192" s="263">
        <f t="shared" si="826"/>
        <v>24.934520972354623</v>
      </c>
      <c r="T192" s="263">
        <f t="shared" si="826"/>
        <v>24.130572200281446</v>
      </c>
      <c r="U192" s="263">
        <f t="shared" si="826"/>
        <v>23.321351967860544</v>
      </c>
      <c r="V192" s="263">
        <f t="shared" si="826"/>
        <v>22.506824810477099</v>
      </c>
      <c r="W192" s="263">
        <f t="shared" si="826"/>
        <v>21.686956682100863</v>
      </c>
      <c r="X192" s="263">
        <f t="shared" si="826"/>
        <v>20.861712118117026</v>
      </c>
      <c r="Y192" s="263">
        <f t="shared" si="826"/>
        <v>20.031055653910748</v>
      </c>
      <c r="Z192" s="263">
        <f t="shared" si="826"/>
        <v>19.194953243451813</v>
      </c>
      <c r="AA192" s="263">
        <f t="shared" si="826"/>
        <v>18.353366584956195</v>
      </c>
      <c r="AB192" s="263">
        <f t="shared" si="826"/>
        <v>17.506261632393663</v>
      </c>
      <c r="AC192" s="263">
        <f t="shared" si="826"/>
        <v>16.537507376639883</v>
      </c>
      <c r="AD192" s="230">
        <f t="shared" si="827"/>
        <v>254.79831415406963</v>
      </c>
      <c r="AE192" s="266"/>
      <c r="AF192" s="263">
        <f t="shared" si="828"/>
        <v>25.733230911525716</v>
      </c>
      <c r="AG192" s="263">
        <f t="shared" si="828"/>
        <v>24.934520972354623</v>
      </c>
      <c r="AH192" s="263">
        <f t="shared" si="828"/>
        <v>24.130572200281446</v>
      </c>
      <c r="AI192" s="263">
        <f t="shared" si="828"/>
        <v>23.321351967860544</v>
      </c>
      <c r="AJ192" s="263">
        <f t="shared" si="828"/>
        <v>22.506824810477099</v>
      </c>
      <c r="AK192" s="263">
        <f t="shared" si="828"/>
        <v>21.686956682100863</v>
      </c>
      <c r="AL192" s="263">
        <f t="shared" si="828"/>
        <v>20.861712118117026</v>
      </c>
      <c r="AM192" s="263">
        <f t="shared" si="828"/>
        <v>20.031055653910748</v>
      </c>
      <c r="AN192" s="263">
        <f t="shared" si="828"/>
        <v>19.194953243451813</v>
      </c>
      <c r="AO192" s="263">
        <f t="shared" si="828"/>
        <v>18.353366584956195</v>
      </c>
      <c r="AP192" s="263">
        <f t="shared" si="828"/>
        <v>17.506261632393663</v>
      </c>
      <c r="AQ192" s="263">
        <f t="shared" si="828"/>
        <v>16.537507376639883</v>
      </c>
      <c r="AR192" s="230">
        <f t="shared" si="829"/>
        <v>254.79831415406963</v>
      </c>
      <c r="AS192" s="266"/>
      <c r="AT192" s="263">
        <f t="shared" si="830"/>
        <v>17.155487274350477</v>
      </c>
      <c r="AU192" s="263">
        <f t="shared" si="830"/>
        <v>16.623013981569748</v>
      </c>
      <c r="AV192" s="263">
        <f t="shared" si="830"/>
        <v>16.087048133520966</v>
      </c>
      <c r="AW192" s="263">
        <f t="shared" si="830"/>
        <v>15.547567978573696</v>
      </c>
      <c r="AX192" s="263">
        <f t="shared" si="830"/>
        <v>15.004549873651399</v>
      </c>
      <c r="AY192" s="263">
        <f t="shared" si="830"/>
        <v>14.457971121400577</v>
      </c>
      <c r="AZ192" s="263">
        <f t="shared" si="830"/>
        <v>13.907808078744685</v>
      </c>
      <c r="BA192" s="263">
        <f t="shared" si="830"/>
        <v>13.354037102607167</v>
      </c>
      <c r="BB192" s="263">
        <f t="shared" si="830"/>
        <v>12.796635495634542</v>
      </c>
      <c r="BC192" s="263">
        <f t="shared" si="830"/>
        <v>12.235577723304131</v>
      </c>
      <c r="BD192" s="263">
        <f t="shared" si="830"/>
        <v>11.67084108826244</v>
      </c>
      <c r="BE192" s="263">
        <f t="shared" si="830"/>
        <v>11.025004917759922</v>
      </c>
      <c r="BF192" s="230">
        <f t="shared" si="831"/>
        <v>169.86554276937974</v>
      </c>
      <c r="BG192" s="224"/>
      <c r="BH192" s="263">
        <f t="shared" si="832"/>
        <v>128.66615455762857</v>
      </c>
      <c r="BI192" s="263">
        <f t="shared" si="832"/>
        <v>124.67260486177311</v>
      </c>
      <c r="BJ192" s="263">
        <f t="shared" si="832"/>
        <v>120.65286100140725</v>
      </c>
      <c r="BK192" s="263">
        <f t="shared" si="832"/>
        <v>116.60675983930271</v>
      </c>
      <c r="BL192" s="263">
        <f t="shared" si="832"/>
        <v>112.53412405238548</v>
      </c>
      <c r="BM192" s="263">
        <f t="shared" si="832"/>
        <v>108.43478341050432</v>
      </c>
      <c r="BN192" s="263">
        <f t="shared" si="832"/>
        <v>104.30856059058513</v>
      </c>
      <c r="BO192" s="263">
        <f t="shared" si="832"/>
        <v>100.15527826955376</v>
      </c>
      <c r="BP192" s="263">
        <f t="shared" si="832"/>
        <v>95.974766217259059</v>
      </c>
      <c r="BQ192" s="263">
        <f t="shared" si="832"/>
        <v>91.766832924780971</v>
      </c>
      <c r="BR192" s="263">
        <f t="shared" si="832"/>
        <v>87.531308161968312</v>
      </c>
      <c r="BS192" s="263">
        <f t="shared" si="832"/>
        <v>82.687536883199428</v>
      </c>
      <c r="BT192" s="230">
        <f t="shared" si="833"/>
        <v>1273.9915707703483</v>
      </c>
      <c r="BU192" s="266"/>
      <c r="BV192" s="263">
        <f t="shared" si="834"/>
        <v>8.5777436371752387</v>
      </c>
      <c r="BW192" s="263">
        <f t="shared" si="834"/>
        <v>8.3115069907848742</v>
      </c>
      <c r="BX192" s="263">
        <f t="shared" si="834"/>
        <v>8.043524066760483</v>
      </c>
      <c r="BY192" s="263">
        <f t="shared" si="834"/>
        <v>7.7737839892868479</v>
      </c>
      <c r="BZ192" s="263">
        <f t="shared" si="834"/>
        <v>7.5022749368256996</v>
      </c>
      <c r="CA192" s="263">
        <f t="shared" si="834"/>
        <v>7.2289855607002886</v>
      </c>
      <c r="CB192" s="263">
        <f t="shared" si="834"/>
        <v>6.9539040393723424</v>
      </c>
      <c r="CC192" s="263">
        <f t="shared" si="834"/>
        <v>6.6770185513035836</v>
      </c>
      <c r="CD192" s="263">
        <f t="shared" si="834"/>
        <v>6.3983177478172708</v>
      </c>
      <c r="CE192" s="263">
        <f t="shared" si="834"/>
        <v>6.1177888616520653</v>
      </c>
      <c r="CF192" s="263">
        <f t="shared" si="834"/>
        <v>5.8354205441312201</v>
      </c>
      <c r="CG192" s="263">
        <f t="shared" si="834"/>
        <v>5.5125024588799612</v>
      </c>
      <c r="CH192" s="230">
        <f t="shared" si="835"/>
        <v>84.932771384689872</v>
      </c>
      <c r="CI192" s="266"/>
      <c r="CJ192" s="263">
        <f t="shared" si="836"/>
        <v>94.355180008927633</v>
      </c>
      <c r="CK192" s="263">
        <f t="shared" si="836"/>
        <v>91.426576898633613</v>
      </c>
      <c r="CL192" s="263">
        <f t="shared" si="836"/>
        <v>88.478764734365299</v>
      </c>
      <c r="CM192" s="263">
        <f t="shared" si="836"/>
        <v>85.51162388215532</v>
      </c>
      <c r="CN192" s="263">
        <f t="shared" si="836"/>
        <v>82.525024305082695</v>
      </c>
      <c r="CO192" s="263">
        <f t="shared" si="836"/>
        <v>79.518841167703172</v>
      </c>
      <c r="CP192" s="263">
        <f t="shared" si="836"/>
        <v>76.492944433095758</v>
      </c>
      <c r="CQ192" s="263">
        <f t="shared" si="836"/>
        <v>73.447204064339417</v>
      </c>
      <c r="CR192" s="263">
        <f t="shared" si="836"/>
        <v>70.38149522598998</v>
      </c>
      <c r="CS192" s="263">
        <f t="shared" si="836"/>
        <v>67.295677478172706</v>
      </c>
      <c r="CT192" s="263">
        <f t="shared" si="836"/>
        <v>64.189625985443428</v>
      </c>
      <c r="CU192" s="263">
        <f t="shared" si="836"/>
        <v>60.637527047679576</v>
      </c>
      <c r="CV192" s="230">
        <f t="shared" si="837"/>
        <v>934.26048523158863</v>
      </c>
      <c r="CW192" s="266"/>
      <c r="CX192" s="263">
        <f t="shared" si="838"/>
        <v>240.17682184090671</v>
      </c>
      <c r="CY192" s="263">
        <f t="shared" si="838"/>
        <v>232.72219574197646</v>
      </c>
      <c r="CZ192" s="263">
        <f t="shared" si="838"/>
        <v>225.2186738692935</v>
      </c>
      <c r="DA192" s="263">
        <f t="shared" si="838"/>
        <v>217.66595170003174</v>
      </c>
      <c r="DB192" s="263">
        <f t="shared" si="838"/>
        <v>210.06369823111959</v>
      </c>
      <c r="DC192" s="263">
        <f t="shared" si="838"/>
        <v>202.41159569960809</v>
      </c>
      <c r="DD192" s="263">
        <f t="shared" si="838"/>
        <v>194.7093131024256</v>
      </c>
      <c r="DE192" s="263">
        <f t="shared" si="838"/>
        <v>186.95651943650034</v>
      </c>
      <c r="DF192" s="263">
        <f t="shared" si="838"/>
        <v>179.1528969388836</v>
      </c>
      <c r="DG192" s="263">
        <f t="shared" si="838"/>
        <v>171.29808812625782</v>
      </c>
      <c r="DH192" s="263">
        <f t="shared" si="838"/>
        <v>163.39177523567417</v>
      </c>
      <c r="DI192" s="263">
        <f t="shared" si="838"/>
        <v>154.35006884863893</v>
      </c>
      <c r="DJ192" s="230">
        <f t="shared" si="839"/>
        <v>2378.1175987713168</v>
      </c>
      <c r="DK192" s="266"/>
      <c r="DL192" s="263">
        <f t="shared" si="840"/>
        <v>240.17682184090671</v>
      </c>
      <c r="DM192" s="263">
        <f t="shared" si="840"/>
        <v>232.72219574197646</v>
      </c>
      <c r="DN192" s="263">
        <f t="shared" si="840"/>
        <v>225.2186738692935</v>
      </c>
      <c r="DO192" s="263">
        <f t="shared" si="840"/>
        <v>217.66595170003174</v>
      </c>
      <c r="DP192" s="263">
        <f t="shared" si="840"/>
        <v>210.06369823111959</v>
      </c>
      <c r="DQ192" s="263">
        <f t="shared" si="840"/>
        <v>202.41159569960809</v>
      </c>
      <c r="DR192" s="263">
        <f t="shared" si="840"/>
        <v>194.7093131024256</v>
      </c>
      <c r="DS192" s="263">
        <f t="shared" si="840"/>
        <v>186.95651943650034</v>
      </c>
      <c r="DT192" s="263">
        <f t="shared" si="840"/>
        <v>179.1528969388836</v>
      </c>
      <c r="DU192" s="263">
        <f t="shared" si="840"/>
        <v>171.29808812625782</v>
      </c>
      <c r="DV192" s="263">
        <f t="shared" si="840"/>
        <v>163.39177523567417</v>
      </c>
      <c r="DW192" s="263">
        <f t="shared" si="840"/>
        <v>154.35006884863893</v>
      </c>
      <c r="DX192" s="230">
        <f t="shared" si="841"/>
        <v>2378.1175987713168</v>
      </c>
      <c r="DY192" s="266"/>
      <c r="DZ192" s="263">
        <f t="shared" si="842"/>
        <v>8.5777436371752387</v>
      </c>
      <c r="EA192" s="263">
        <f t="shared" si="842"/>
        <v>8.3115069907848742</v>
      </c>
      <c r="EB192" s="263">
        <f t="shared" si="842"/>
        <v>8.043524066760483</v>
      </c>
      <c r="EC192" s="263">
        <f t="shared" si="842"/>
        <v>7.7737839892868479</v>
      </c>
      <c r="ED192" s="263">
        <f t="shared" si="842"/>
        <v>7.5022749368256996</v>
      </c>
      <c r="EE192" s="263">
        <f t="shared" si="842"/>
        <v>7.2289855607002886</v>
      </c>
      <c r="EF192" s="263">
        <f t="shared" si="842"/>
        <v>6.9539040393723424</v>
      </c>
      <c r="EG192" s="263">
        <f t="shared" si="842"/>
        <v>6.6770185513035836</v>
      </c>
      <c r="EH192" s="263">
        <f t="shared" si="842"/>
        <v>6.3983177478172708</v>
      </c>
      <c r="EI192" s="263">
        <f t="shared" si="842"/>
        <v>6.1177888616520653</v>
      </c>
      <c r="EJ192" s="263">
        <f t="shared" si="842"/>
        <v>5.8354205441312201</v>
      </c>
      <c r="EK192" s="263">
        <f t="shared" si="842"/>
        <v>5.5125024588799612</v>
      </c>
      <c r="EL192" s="230">
        <f t="shared" si="843"/>
        <v>84.932771384689872</v>
      </c>
      <c r="EM192" s="266"/>
      <c r="EN192" s="263">
        <f t="shared" si="844"/>
        <v>17.155487274350477</v>
      </c>
      <c r="EO192" s="263">
        <f t="shared" si="844"/>
        <v>16.623013981569748</v>
      </c>
      <c r="EP192" s="263">
        <f t="shared" si="844"/>
        <v>16.087048133520966</v>
      </c>
      <c r="EQ192" s="263">
        <f t="shared" si="844"/>
        <v>15.547567978573696</v>
      </c>
      <c r="ER192" s="263">
        <f t="shared" si="844"/>
        <v>15.004549873651399</v>
      </c>
      <c r="ES192" s="263">
        <f t="shared" si="844"/>
        <v>14.457971121400577</v>
      </c>
      <c r="ET192" s="263">
        <f t="shared" si="844"/>
        <v>13.907808078744685</v>
      </c>
      <c r="EU192" s="263">
        <f t="shared" si="844"/>
        <v>13.354037102607167</v>
      </c>
      <c r="EV192" s="263">
        <f t="shared" si="844"/>
        <v>12.796635495634542</v>
      </c>
      <c r="EW192" s="263">
        <f t="shared" si="844"/>
        <v>12.235577723304131</v>
      </c>
      <c r="EX192" s="263">
        <f t="shared" si="844"/>
        <v>11.67084108826244</v>
      </c>
      <c r="EY192" s="263">
        <f t="shared" si="844"/>
        <v>11.025004917759922</v>
      </c>
      <c r="EZ192" s="230">
        <f t="shared" si="845"/>
        <v>169.86554276937974</v>
      </c>
      <c r="FA192" s="266"/>
      <c r="FB192" s="263">
        <f t="shared" si="846"/>
        <v>8.5777436371752387</v>
      </c>
      <c r="FC192" s="263">
        <f t="shared" si="846"/>
        <v>8.3115069907848742</v>
      </c>
      <c r="FD192" s="263">
        <f t="shared" si="846"/>
        <v>8.043524066760483</v>
      </c>
      <c r="FE192" s="263">
        <f t="shared" si="846"/>
        <v>7.7737839892868479</v>
      </c>
      <c r="FF192" s="263">
        <f t="shared" si="846"/>
        <v>7.5022749368256996</v>
      </c>
      <c r="FG192" s="263">
        <f t="shared" si="846"/>
        <v>7.2289855607002886</v>
      </c>
      <c r="FH192" s="263">
        <f t="shared" si="846"/>
        <v>6.9539040393723424</v>
      </c>
      <c r="FI192" s="263">
        <f t="shared" si="846"/>
        <v>6.6770185513035836</v>
      </c>
      <c r="FJ192" s="263">
        <f t="shared" si="846"/>
        <v>6.3983177478172708</v>
      </c>
      <c r="FK192" s="263">
        <f t="shared" si="846"/>
        <v>6.1177888616520653</v>
      </c>
      <c r="FL192" s="263">
        <f t="shared" si="846"/>
        <v>5.8354205441312201</v>
      </c>
      <c r="FM192" s="263">
        <f t="shared" si="846"/>
        <v>5.5125024588799612</v>
      </c>
      <c r="FN192" s="230">
        <f t="shared" si="847"/>
        <v>84.932771384689872</v>
      </c>
      <c r="FO192" s="266"/>
      <c r="FP192" s="263">
        <f t="shared" si="848"/>
        <v>60.044205460226678</v>
      </c>
      <c r="FQ192" s="263">
        <f t="shared" si="848"/>
        <v>58.180548935494116</v>
      </c>
      <c r="FR192" s="263">
        <f t="shared" si="848"/>
        <v>56.304668467323374</v>
      </c>
      <c r="FS192" s="263">
        <f t="shared" si="848"/>
        <v>54.416487925007935</v>
      </c>
      <c r="FT192" s="263">
        <f t="shared" si="848"/>
        <v>52.515924557779897</v>
      </c>
      <c r="FU192" s="263">
        <f t="shared" si="848"/>
        <v>50.602898924902021</v>
      </c>
      <c r="FV192" s="263">
        <f t="shared" si="848"/>
        <v>48.677328275606399</v>
      </c>
      <c r="FW192" s="263">
        <f t="shared" si="848"/>
        <v>46.739129859125086</v>
      </c>
      <c r="FX192" s="263">
        <f t="shared" si="848"/>
        <v>44.7882242347209</v>
      </c>
      <c r="FY192" s="263">
        <f t="shared" si="848"/>
        <v>42.824522031564456</v>
      </c>
      <c r="FZ192" s="263">
        <f t="shared" si="848"/>
        <v>40.847943808918544</v>
      </c>
      <c r="GA192" s="263">
        <f t="shared" si="848"/>
        <v>38.587517212159732</v>
      </c>
      <c r="GB192" s="230">
        <f t="shared" si="849"/>
        <v>594.5293996928292</v>
      </c>
      <c r="GC192" s="266"/>
      <c r="GD192" s="263">
        <f t="shared" si="850"/>
        <v>8.5777436371752387</v>
      </c>
      <c r="GE192" s="263">
        <f t="shared" si="850"/>
        <v>8.3115069907848742</v>
      </c>
      <c r="GF192" s="263">
        <f t="shared" si="850"/>
        <v>8.043524066760483</v>
      </c>
      <c r="GG192" s="263">
        <f t="shared" si="850"/>
        <v>7.7737839892868479</v>
      </c>
      <c r="GH192" s="263">
        <f t="shared" si="850"/>
        <v>7.5022749368256996</v>
      </c>
      <c r="GI192" s="263">
        <f t="shared" si="850"/>
        <v>7.2289855607002886</v>
      </c>
      <c r="GJ192" s="263">
        <f t="shared" si="850"/>
        <v>6.9539040393723424</v>
      </c>
      <c r="GK192" s="263">
        <f t="shared" si="850"/>
        <v>6.6770185513035836</v>
      </c>
      <c r="GL192" s="263">
        <f t="shared" si="850"/>
        <v>6.3983177478172708</v>
      </c>
      <c r="GM192" s="263">
        <f t="shared" si="850"/>
        <v>6.1177888616520653</v>
      </c>
      <c r="GN192" s="263">
        <f t="shared" si="850"/>
        <v>5.8354205441312201</v>
      </c>
      <c r="GO192" s="263">
        <f t="shared" si="850"/>
        <v>5.5125024588799612</v>
      </c>
      <c r="GP192" s="230">
        <f t="shared" si="851"/>
        <v>84.932771384689872</v>
      </c>
      <c r="GQ192" s="266"/>
      <c r="GR192" s="263">
        <f t="shared" si="852"/>
        <v>4814.687797902764</v>
      </c>
      <c r="GS192" s="263">
        <f t="shared" si="852"/>
        <v>4738.594971401335</v>
      </c>
      <c r="GT192" s="263">
        <f t="shared" si="852"/>
        <v>4661.9716396568156</v>
      </c>
      <c r="GU192" s="263">
        <f t="shared" si="852"/>
        <v>4584.8142278360338</v>
      </c>
      <c r="GV192" s="263">
        <f t="shared" si="852"/>
        <v>4507.1188036224976</v>
      </c>
      <c r="GW192" s="263">
        <f t="shared" si="852"/>
        <v>4428.881673021926</v>
      </c>
      <c r="GX192" s="263">
        <f t="shared" si="852"/>
        <v>4350.0991420400378</v>
      </c>
      <c r="GY192" s="263">
        <f t="shared" si="852"/>
        <v>4270.7673975214484</v>
      </c>
      <c r="GZ192" s="263">
        <f t="shared" si="852"/>
        <v>4190.8826263107721</v>
      </c>
      <c r="HA192" s="263">
        <f t="shared" si="852"/>
        <v>4110.4407769304098</v>
      </c>
      <c r="HB192" s="263">
        <f t="shared" si="852"/>
        <v>4029.438274547188</v>
      </c>
      <c r="HC192" s="263">
        <f t="shared" si="852"/>
        <v>3947.8709485224026</v>
      </c>
      <c r="HD192" s="230">
        <f t="shared" ref="HD192:HD198" si="872">+SUBTOTAL(9,GR192:HC192)*0</f>
        <v>0</v>
      </c>
      <c r="HE192" s="266"/>
      <c r="HF192" s="263">
        <f t="shared" si="853"/>
        <v>34.310974548700955</v>
      </c>
      <c r="HG192" s="263">
        <f t="shared" si="853"/>
        <v>33.246027963139497</v>
      </c>
      <c r="HH192" s="263">
        <f t="shared" si="853"/>
        <v>32.174096267041932</v>
      </c>
      <c r="HI192" s="263">
        <f t="shared" si="853"/>
        <v>31.095135957147392</v>
      </c>
      <c r="HJ192" s="263">
        <f t="shared" si="853"/>
        <v>30.009099747302798</v>
      </c>
      <c r="HK192" s="263">
        <f t="shared" si="853"/>
        <v>28.915942242801155</v>
      </c>
      <c r="HL192" s="263">
        <f t="shared" si="853"/>
        <v>27.815616157489369</v>
      </c>
      <c r="HM192" s="263">
        <f t="shared" si="853"/>
        <v>26.708074205214334</v>
      </c>
      <c r="HN192" s="263">
        <f t="shared" si="853"/>
        <v>25.593270991269083</v>
      </c>
      <c r="HO192" s="263">
        <f t="shared" si="853"/>
        <v>24.471155446608261</v>
      </c>
      <c r="HP192" s="263">
        <f t="shared" si="853"/>
        <v>23.341682176524881</v>
      </c>
      <c r="HQ192" s="263">
        <f t="shared" si="853"/>
        <v>22.050009835519845</v>
      </c>
      <c r="HR192" s="230">
        <f t="shared" si="854"/>
        <v>339.73108553875949</v>
      </c>
      <c r="HS192" s="266"/>
      <c r="HT192" s="263">
        <f t="shared" si="855"/>
        <v>8.5777436371752387</v>
      </c>
      <c r="HU192" s="263">
        <f t="shared" si="855"/>
        <v>8.3115069907848742</v>
      </c>
      <c r="HV192" s="263">
        <f t="shared" si="855"/>
        <v>8.043524066760483</v>
      </c>
      <c r="HW192" s="263">
        <f t="shared" si="855"/>
        <v>7.7737839892868479</v>
      </c>
      <c r="HX192" s="263">
        <f t="shared" si="855"/>
        <v>7.5022749368256996</v>
      </c>
      <c r="HY192" s="263">
        <f t="shared" si="855"/>
        <v>7.2289855607002886</v>
      </c>
      <c r="HZ192" s="263">
        <f t="shared" si="855"/>
        <v>6.9539040393723424</v>
      </c>
      <c r="IA192" s="263">
        <f t="shared" si="855"/>
        <v>6.6770185513035836</v>
      </c>
      <c r="IB192" s="263">
        <f t="shared" si="855"/>
        <v>6.3983177478172708</v>
      </c>
      <c r="IC192" s="263">
        <f t="shared" si="855"/>
        <v>6.1177888616520653</v>
      </c>
      <c r="ID192" s="263">
        <f t="shared" si="855"/>
        <v>5.8354205441312201</v>
      </c>
      <c r="IE192" s="263">
        <f t="shared" si="855"/>
        <v>5.5125024588799612</v>
      </c>
      <c r="IF192" s="230">
        <f t="shared" si="856"/>
        <v>84.932771384689872</v>
      </c>
      <c r="IG192" s="266"/>
      <c r="IH192" s="263">
        <f t="shared" si="857"/>
        <v>8.5777436371752387</v>
      </c>
      <c r="II192" s="263">
        <f t="shared" si="857"/>
        <v>8.3115069907848742</v>
      </c>
      <c r="IJ192" s="263">
        <f t="shared" si="857"/>
        <v>8.043524066760483</v>
      </c>
      <c r="IK192" s="263">
        <f t="shared" si="857"/>
        <v>7.7737839892868479</v>
      </c>
      <c r="IL192" s="263">
        <f t="shared" si="857"/>
        <v>7.5022749368256996</v>
      </c>
      <c r="IM192" s="263">
        <f t="shared" si="857"/>
        <v>7.2289855607002886</v>
      </c>
      <c r="IN192" s="263">
        <f t="shared" si="857"/>
        <v>6.9539040393723424</v>
      </c>
      <c r="IO192" s="263">
        <f t="shared" si="857"/>
        <v>6.6770185513035836</v>
      </c>
      <c r="IP192" s="263">
        <f t="shared" si="857"/>
        <v>6.3983177478172708</v>
      </c>
      <c r="IQ192" s="263">
        <f t="shared" si="857"/>
        <v>6.1177888616520653</v>
      </c>
      <c r="IR192" s="263">
        <f t="shared" si="857"/>
        <v>5.8354205441312201</v>
      </c>
      <c r="IS192" s="263">
        <f t="shared" si="857"/>
        <v>5.5125024588799612</v>
      </c>
      <c r="IT192" s="230">
        <f t="shared" si="858"/>
        <v>84.932771384689872</v>
      </c>
      <c r="IU192" s="266"/>
      <c r="IV192" s="263">
        <f t="shared" si="859"/>
        <v>60.044205460226678</v>
      </c>
      <c r="IW192" s="263">
        <f t="shared" si="859"/>
        <v>58.180548935494116</v>
      </c>
      <c r="IX192" s="263">
        <f t="shared" si="859"/>
        <v>56.304668467323374</v>
      </c>
      <c r="IY192" s="263">
        <f t="shared" si="859"/>
        <v>54.416487925007935</v>
      </c>
      <c r="IZ192" s="263">
        <f t="shared" si="859"/>
        <v>52.515924557779897</v>
      </c>
      <c r="JA192" s="263">
        <f t="shared" si="859"/>
        <v>50.602898924902021</v>
      </c>
      <c r="JB192" s="263">
        <f t="shared" si="859"/>
        <v>48.677328275606399</v>
      </c>
      <c r="JC192" s="263">
        <f t="shared" si="859"/>
        <v>46.739129859125086</v>
      </c>
      <c r="JD192" s="263">
        <f t="shared" si="859"/>
        <v>44.7882242347209</v>
      </c>
      <c r="JE192" s="263">
        <f t="shared" si="859"/>
        <v>42.824522031564456</v>
      </c>
      <c r="JF192" s="263">
        <f t="shared" si="859"/>
        <v>40.847943808918544</v>
      </c>
      <c r="JG192" s="263">
        <f t="shared" si="859"/>
        <v>38.587517212159732</v>
      </c>
      <c r="JH192" s="230">
        <f t="shared" si="860"/>
        <v>594.5293996928292</v>
      </c>
      <c r="JI192" s="266"/>
      <c r="JJ192" s="263">
        <f t="shared" si="861"/>
        <v>94.355180008927633</v>
      </c>
      <c r="JK192" s="263">
        <f t="shared" si="861"/>
        <v>91.426576898633613</v>
      </c>
      <c r="JL192" s="263">
        <f t="shared" si="861"/>
        <v>88.478764734365299</v>
      </c>
      <c r="JM192" s="263">
        <f t="shared" si="861"/>
        <v>85.51162388215532</v>
      </c>
      <c r="JN192" s="263">
        <f t="shared" si="861"/>
        <v>82.525024305082695</v>
      </c>
      <c r="JO192" s="263">
        <f t="shared" si="861"/>
        <v>79.518841167703172</v>
      </c>
      <c r="JP192" s="263">
        <f t="shared" si="861"/>
        <v>76.492944433095758</v>
      </c>
      <c r="JQ192" s="263">
        <f t="shared" si="861"/>
        <v>73.447204064339417</v>
      </c>
      <c r="JR192" s="263">
        <f t="shared" si="861"/>
        <v>70.38149522598998</v>
      </c>
      <c r="JS192" s="263">
        <f t="shared" si="861"/>
        <v>67.295677478172706</v>
      </c>
      <c r="JT192" s="263">
        <f t="shared" si="861"/>
        <v>64.189625985443428</v>
      </c>
      <c r="JU192" s="263">
        <f t="shared" si="861"/>
        <v>60.637527047679576</v>
      </c>
      <c r="JV192" s="230">
        <f t="shared" si="862"/>
        <v>934.26048523158863</v>
      </c>
      <c r="JW192" s="266"/>
      <c r="JX192" s="263">
        <f t="shared" si="863"/>
        <v>42.888718185876193</v>
      </c>
      <c r="JY192" s="263">
        <f t="shared" si="863"/>
        <v>41.557534953924367</v>
      </c>
      <c r="JZ192" s="263">
        <f t="shared" si="863"/>
        <v>40.217620333802408</v>
      </c>
      <c r="KA192" s="263">
        <f t="shared" si="863"/>
        <v>38.868919946434239</v>
      </c>
      <c r="KB192" s="263">
        <f t="shared" si="863"/>
        <v>37.511374684128491</v>
      </c>
      <c r="KC192" s="263">
        <f t="shared" si="863"/>
        <v>36.144927803501446</v>
      </c>
      <c r="KD192" s="263">
        <f t="shared" si="863"/>
        <v>34.769520196861713</v>
      </c>
      <c r="KE192" s="263">
        <f t="shared" si="863"/>
        <v>33.385092756517921</v>
      </c>
      <c r="KF192" s="263">
        <f t="shared" si="863"/>
        <v>31.991588739086353</v>
      </c>
      <c r="KG192" s="263">
        <f t="shared" si="863"/>
        <v>30.588944308260324</v>
      </c>
      <c r="KH192" s="263">
        <f t="shared" si="863"/>
        <v>29.177102720656102</v>
      </c>
      <c r="KI192" s="263">
        <f t="shared" si="863"/>
        <v>27.562512294399809</v>
      </c>
      <c r="KJ192" s="230">
        <f t="shared" si="864"/>
        <v>424.66385692344937</v>
      </c>
      <c r="KK192" s="266"/>
      <c r="KL192" s="263">
        <f t="shared" si="865"/>
        <v>17.155487274350477</v>
      </c>
      <c r="KM192" s="263">
        <f t="shared" si="865"/>
        <v>16.623013981569748</v>
      </c>
      <c r="KN192" s="263">
        <f t="shared" si="865"/>
        <v>16.087048133520966</v>
      </c>
      <c r="KO192" s="263">
        <f t="shared" si="865"/>
        <v>15.547567978573696</v>
      </c>
      <c r="KP192" s="263">
        <f t="shared" si="865"/>
        <v>15.004549873651399</v>
      </c>
      <c r="KQ192" s="263">
        <f t="shared" si="865"/>
        <v>14.457971121400577</v>
      </c>
      <c r="KR192" s="263">
        <f t="shared" si="865"/>
        <v>13.907808078744685</v>
      </c>
      <c r="KS192" s="263">
        <f t="shared" si="865"/>
        <v>13.354037102607167</v>
      </c>
      <c r="KT192" s="263">
        <f t="shared" si="865"/>
        <v>12.796635495634542</v>
      </c>
      <c r="KU192" s="263">
        <f t="shared" si="865"/>
        <v>12.235577723304131</v>
      </c>
      <c r="KV192" s="263">
        <f t="shared" si="865"/>
        <v>11.67084108826244</v>
      </c>
      <c r="KW192" s="263">
        <f t="shared" si="865"/>
        <v>11.025004917759922</v>
      </c>
      <c r="KX192" s="230">
        <f t="shared" si="866"/>
        <v>169.86554276937974</v>
      </c>
      <c r="KY192" s="266"/>
      <c r="KZ192" s="263">
        <f t="shared" si="867"/>
        <v>8.5777436371752387</v>
      </c>
      <c r="LA192" s="263">
        <f t="shared" si="867"/>
        <v>8.3115069907848742</v>
      </c>
      <c r="LB192" s="263">
        <f t="shared" si="867"/>
        <v>8.043524066760483</v>
      </c>
      <c r="LC192" s="263">
        <f t="shared" si="867"/>
        <v>7.7737839892868479</v>
      </c>
      <c r="LD192" s="263">
        <f t="shared" si="867"/>
        <v>7.5022749368256996</v>
      </c>
      <c r="LE192" s="263">
        <f t="shared" si="867"/>
        <v>7.2289855607002886</v>
      </c>
      <c r="LF192" s="263">
        <f t="shared" si="867"/>
        <v>6.9539040393723424</v>
      </c>
      <c r="LG192" s="263">
        <f t="shared" si="867"/>
        <v>6.6770185513035836</v>
      </c>
      <c r="LH192" s="263">
        <f t="shared" si="867"/>
        <v>6.3983177478172708</v>
      </c>
      <c r="LI192" s="263">
        <f t="shared" si="867"/>
        <v>6.1177888616520653</v>
      </c>
      <c r="LJ192" s="263">
        <f t="shared" si="867"/>
        <v>5.8354205441312201</v>
      </c>
      <c r="LK192" s="263">
        <f t="shared" si="867"/>
        <v>5.5125024588799612</v>
      </c>
      <c r="LL192" s="230">
        <f t="shared" si="868"/>
        <v>84.932771384689872</v>
      </c>
      <c r="LM192" s="266"/>
      <c r="LN192" s="263">
        <v>0</v>
      </c>
      <c r="LO192" s="264">
        <v>0</v>
      </c>
      <c r="LP192" s="265">
        <v>0</v>
      </c>
      <c r="LQ192" s="265">
        <v>0</v>
      </c>
      <c r="LR192" s="265">
        <v>0</v>
      </c>
      <c r="LS192" s="265">
        <v>0</v>
      </c>
      <c r="LT192" s="265">
        <v>0</v>
      </c>
      <c r="LU192" s="265">
        <v>0</v>
      </c>
      <c r="LV192" s="265">
        <v>0</v>
      </c>
      <c r="LW192" s="265">
        <v>0</v>
      </c>
      <c r="LX192" s="265">
        <v>0</v>
      </c>
      <c r="LY192" s="265">
        <v>0</v>
      </c>
      <c r="LZ192" s="230">
        <f t="shared" si="869"/>
        <v>0</v>
      </c>
      <c r="MA192" s="266"/>
      <c r="MB192" s="230">
        <f t="shared" si="870"/>
        <v>6221.4377543995042</v>
      </c>
      <c r="MC192" s="230">
        <f t="shared" si="870"/>
        <v>6101.6821178900527</v>
      </c>
      <c r="MD192" s="230">
        <f t="shared" si="870"/>
        <v>5981.1095866055339</v>
      </c>
      <c r="ME192" s="230">
        <f t="shared" si="870"/>
        <v>5859.7148020790783</v>
      </c>
      <c r="MF192" s="230">
        <f t="shared" si="870"/>
        <v>5737.4918932619112</v>
      </c>
      <c r="MG192" s="230">
        <f t="shared" si="870"/>
        <v>5614.4353049767742</v>
      </c>
      <c r="MH192" s="230">
        <f t="shared" si="870"/>
        <v>5490.5394044971017</v>
      </c>
      <c r="MI192" s="230">
        <f t="shared" si="870"/>
        <v>5365.7984399352354</v>
      </c>
      <c r="MJ192" s="230">
        <f t="shared" si="870"/>
        <v>5240.2067369528049</v>
      </c>
      <c r="MK192" s="230">
        <f t="shared" si="870"/>
        <v>5113.7581502413495</v>
      </c>
      <c r="ML192" s="230">
        <f t="shared" si="870"/>
        <v>4986.447243784708</v>
      </c>
      <c r="MM192" s="230">
        <f t="shared" si="870"/>
        <v>4851.9213517787157</v>
      </c>
      <c r="MN192" s="230">
        <f t="shared" si="871"/>
        <v>66564.542786402773</v>
      </c>
    </row>
    <row r="193" spans="1:352" x14ac:dyDescent="0.25">
      <c r="A193" s="262"/>
      <c r="B193" s="64" t="s">
        <v>67</v>
      </c>
      <c r="C193" s="98"/>
      <c r="D193" s="263">
        <f t="shared" si="824"/>
        <v>678.65559792394879</v>
      </c>
      <c r="E193" s="263">
        <f t="shared" si="824"/>
        <v>678.65559792394879</v>
      </c>
      <c r="F193" s="263">
        <f t="shared" si="824"/>
        <v>678.65559792394879</v>
      </c>
      <c r="G193" s="263">
        <f t="shared" si="824"/>
        <v>678.65559792394879</v>
      </c>
      <c r="H193" s="263">
        <f t="shared" si="824"/>
        <v>678.65559792394879</v>
      </c>
      <c r="I193" s="263">
        <f t="shared" si="824"/>
        <v>678.65559792394879</v>
      </c>
      <c r="J193" s="263">
        <f t="shared" si="824"/>
        <v>678.65559792394879</v>
      </c>
      <c r="K193" s="263">
        <f t="shared" si="824"/>
        <v>678.65559792394879</v>
      </c>
      <c r="L193" s="263">
        <f t="shared" si="824"/>
        <v>678.65559792394879</v>
      </c>
      <c r="M193" s="263">
        <f t="shared" si="824"/>
        <v>678.65559792394879</v>
      </c>
      <c r="N193" s="263">
        <f t="shared" si="824"/>
        <v>678.65559792394879</v>
      </c>
      <c r="O193" s="263">
        <f t="shared" si="824"/>
        <v>658.0861213249201</v>
      </c>
      <c r="P193" s="230">
        <f t="shared" si="825"/>
        <v>8123.297698488358</v>
      </c>
      <c r="Q193" s="266"/>
      <c r="R193" s="263">
        <f t="shared" si="826"/>
        <v>70.205751509374011</v>
      </c>
      <c r="S193" s="263">
        <f t="shared" si="826"/>
        <v>70.205751509374011</v>
      </c>
      <c r="T193" s="263">
        <f t="shared" si="826"/>
        <v>70.205751509374011</v>
      </c>
      <c r="U193" s="263">
        <f t="shared" si="826"/>
        <v>70.205751509374011</v>
      </c>
      <c r="V193" s="263">
        <f t="shared" si="826"/>
        <v>70.205751509374011</v>
      </c>
      <c r="W193" s="263">
        <f t="shared" si="826"/>
        <v>70.205751509374011</v>
      </c>
      <c r="X193" s="263">
        <f t="shared" si="826"/>
        <v>70.205751509374011</v>
      </c>
      <c r="Y193" s="263">
        <f t="shared" si="826"/>
        <v>70.205751509374011</v>
      </c>
      <c r="Z193" s="263">
        <f t="shared" si="826"/>
        <v>70.205751509374011</v>
      </c>
      <c r="AA193" s="263">
        <f t="shared" si="826"/>
        <v>70.205751509374011</v>
      </c>
      <c r="AB193" s="263">
        <f t="shared" si="826"/>
        <v>70.205751509374011</v>
      </c>
      <c r="AC193" s="263">
        <f t="shared" si="826"/>
        <v>68.077874619819326</v>
      </c>
      <c r="AD193" s="230">
        <f t="shared" si="827"/>
        <v>840.34114122293363</v>
      </c>
      <c r="AE193" s="266"/>
      <c r="AF193" s="263">
        <f t="shared" si="828"/>
        <v>70.205751509374011</v>
      </c>
      <c r="AG193" s="263">
        <f t="shared" si="828"/>
        <v>70.205751509374011</v>
      </c>
      <c r="AH193" s="263">
        <f t="shared" si="828"/>
        <v>70.205751509374011</v>
      </c>
      <c r="AI193" s="263">
        <f t="shared" si="828"/>
        <v>70.205751509374011</v>
      </c>
      <c r="AJ193" s="263">
        <f t="shared" si="828"/>
        <v>70.205751509374011</v>
      </c>
      <c r="AK193" s="263">
        <f t="shared" si="828"/>
        <v>70.205751509374011</v>
      </c>
      <c r="AL193" s="263">
        <f t="shared" si="828"/>
        <v>70.205751509374011</v>
      </c>
      <c r="AM193" s="263">
        <f t="shared" si="828"/>
        <v>70.205751509374011</v>
      </c>
      <c r="AN193" s="263">
        <f t="shared" si="828"/>
        <v>70.205751509374011</v>
      </c>
      <c r="AO193" s="263">
        <f t="shared" si="828"/>
        <v>70.205751509374011</v>
      </c>
      <c r="AP193" s="263">
        <f t="shared" si="828"/>
        <v>70.205751509374011</v>
      </c>
      <c r="AQ193" s="263">
        <f t="shared" si="828"/>
        <v>68.077874619819326</v>
      </c>
      <c r="AR193" s="230">
        <f t="shared" si="829"/>
        <v>840.34114122293363</v>
      </c>
      <c r="AS193" s="266"/>
      <c r="AT193" s="263">
        <f t="shared" si="830"/>
        <v>46.803834339582671</v>
      </c>
      <c r="AU193" s="263">
        <f t="shared" si="830"/>
        <v>46.803834339582671</v>
      </c>
      <c r="AV193" s="263">
        <f t="shared" si="830"/>
        <v>46.803834339582671</v>
      </c>
      <c r="AW193" s="263">
        <f t="shared" si="830"/>
        <v>46.803834339582671</v>
      </c>
      <c r="AX193" s="263">
        <f t="shared" si="830"/>
        <v>46.803834339582671</v>
      </c>
      <c r="AY193" s="263">
        <f t="shared" si="830"/>
        <v>46.803834339582671</v>
      </c>
      <c r="AZ193" s="263">
        <f t="shared" si="830"/>
        <v>46.803834339582671</v>
      </c>
      <c r="BA193" s="263">
        <f t="shared" si="830"/>
        <v>46.803834339582671</v>
      </c>
      <c r="BB193" s="263">
        <f t="shared" si="830"/>
        <v>46.803834339582671</v>
      </c>
      <c r="BC193" s="263">
        <f t="shared" si="830"/>
        <v>46.803834339582671</v>
      </c>
      <c r="BD193" s="263">
        <f t="shared" si="830"/>
        <v>46.803834339582671</v>
      </c>
      <c r="BE193" s="263">
        <f t="shared" si="830"/>
        <v>45.385249746546215</v>
      </c>
      <c r="BF193" s="230">
        <f t="shared" si="831"/>
        <v>560.22742748195571</v>
      </c>
      <c r="BG193" s="224"/>
      <c r="BH193" s="263">
        <f t="shared" si="832"/>
        <v>351.02875754687</v>
      </c>
      <c r="BI193" s="263">
        <f t="shared" si="832"/>
        <v>351.02875754687</v>
      </c>
      <c r="BJ193" s="263">
        <f t="shared" si="832"/>
        <v>351.02875754687</v>
      </c>
      <c r="BK193" s="263">
        <f t="shared" si="832"/>
        <v>351.02875754687</v>
      </c>
      <c r="BL193" s="263">
        <f t="shared" si="832"/>
        <v>351.02875754687</v>
      </c>
      <c r="BM193" s="263">
        <f t="shared" si="832"/>
        <v>351.02875754687</v>
      </c>
      <c r="BN193" s="263">
        <f t="shared" si="832"/>
        <v>351.02875754687</v>
      </c>
      <c r="BO193" s="263">
        <f t="shared" si="832"/>
        <v>351.02875754687</v>
      </c>
      <c r="BP193" s="263">
        <f t="shared" si="832"/>
        <v>351.02875754687</v>
      </c>
      <c r="BQ193" s="263">
        <f t="shared" si="832"/>
        <v>351.02875754687</v>
      </c>
      <c r="BR193" s="263">
        <f t="shared" si="832"/>
        <v>351.02875754687</v>
      </c>
      <c r="BS193" s="263">
        <f t="shared" si="832"/>
        <v>340.38937309909664</v>
      </c>
      <c r="BT193" s="230">
        <f t="shared" si="833"/>
        <v>4201.705706114667</v>
      </c>
      <c r="BU193" s="266"/>
      <c r="BV193" s="263">
        <f t="shared" si="834"/>
        <v>23.401917169791336</v>
      </c>
      <c r="BW193" s="263">
        <f t="shared" si="834"/>
        <v>23.401917169791336</v>
      </c>
      <c r="BX193" s="263">
        <f t="shared" si="834"/>
        <v>23.401917169791336</v>
      </c>
      <c r="BY193" s="263">
        <f t="shared" si="834"/>
        <v>23.401917169791336</v>
      </c>
      <c r="BZ193" s="263">
        <f t="shared" si="834"/>
        <v>23.401917169791336</v>
      </c>
      <c r="CA193" s="263">
        <f t="shared" si="834"/>
        <v>23.401917169791336</v>
      </c>
      <c r="CB193" s="263">
        <f t="shared" si="834"/>
        <v>23.401917169791336</v>
      </c>
      <c r="CC193" s="263">
        <f t="shared" si="834"/>
        <v>23.401917169791336</v>
      </c>
      <c r="CD193" s="263">
        <f t="shared" si="834"/>
        <v>23.401917169791336</v>
      </c>
      <c r="CE193" s="263">
        <f t="shared" si="834"/>
        <v>23.401917169791336</v>
      </c>
      <c r="CF193" s="263">
        <f t="shared" si="834"/>
        <v>23.401917169791336</v>
      </c>
      <c r="CG193" s="263">
        <f t="shared" si="834"/>
        <v>22.692624873273108</v>
      </c>
      <c r="CH193" s="230">
        <f t="shared" si="835"/>
        <v>280.11371374097786</v>
      </c>
      <c r="CI193" s="266"/>
      <c r="CJ193" s="263">
        <f t="shared" si="836"/>
        <v>257.42108886770467</v>
      </c>
      <c r="CK193" s="263">
        <f t="shared" si="836"/>
        <v>257.42108886770467</v>
      </c>
      <c r="CL193" s="263">
        <f t="shared" si="836"/>
        <v>257.42108886770467</v>
      </c>
      <c r="CM193" s="263">
        <f t="shared" si="836"/>
        <v>257.42108886770467</v>
      </c>
      <c r="CN193" s="263">
        <f t="shared" si="836"/>
        <v>257.42108886770467</v>
      </c>
      <c r="CO193" s="263">
        <f t="shared" si="836"/>
        <v>257.42108886770467</v>
      </c>
      <c r="CP193" s="263">
        <f t="shared" si="836"/>
        <v>257.42108886770467</v>
      </c>
      <c r="CQ193" s="263">
        <f t="shared" si="836"/>
        <v>257.42108886770467</v>
      </c>
      <c r="CR193" s="263">
        <f t="shared" si="836"/>
        <v>257.42108886770467</v>
      </c>
      <c r="CS193" s="263">
        <f t="shared" si="836"/>
        <v>257.42108886770467</v>
      </c>
      <c r="CT193" s="263">
        <f t="shared" si="836"/>
        <v>257.42108886770467</v>
      </c>
      <c r="CU193" s="263">
        <f t="shared" si="836"/>
        <v>249.6188736060042</v>
      </c>
      <c r="CV193" s="230">
        <f t="shared" si="837"/>
        <v>3081.2508511507563</v>
      </c>
      <c r="CW193" s="266"/>
      <c r="CX193" s="263">
        <f t="shared" si="838"/>
        <v>655.25368075415736</v>
      </c>
      <c r="CY193" s="263">
        <f t="shared" si="838"/>
        <v>655.25368075415736</v>
      </c>
      <c r="CZ193" s="263">
        <f t="shared" si="838"/>
        <v>655.25368075415736</v>
      </c>
      <c r="DA193" s="263">
        <f t="shared" si="838"/>
        <v>655.25368075415736</v>
      </c>
      <c r="DB193" s="263">
        <f t="shared" si="838"/>
        <v>655.25368075415736</v>
      </c>
      <c r="DC193" s="263">
        <f t="shared" si="838"/>
        <v>655.25368075415736</v>
      </c>
      <c r="DD193" s="263">
        <f t="shared" si="838"/>
        <v>655.25368075415736</v>
      </c>
      <c r="DE193" s="263">
        <f t="shared" si="838"/>
        <v>655.25368075415736</v>
      </c>
      <c r="DF193" s="263">
        <f t="shared" si="838"/>
        <v>655.25368075415736</v>
      </c>
      <c r="DG193" s="263">
        <f t="shared" si="838"/>
        <v>655.25368075415736</v>
      </c>
      <c r="DH193" s="263">
        <f t="shared" si="838"/>
        <v>655.25368075415736</v>
      </c>
      <c r="DI193" s="263">
        <f t="shared" si="838"/>
        <v>635.39349645164702</v>
      </c>
      <c r="DJ193" s="230">
        <f t="shared" si="839"/>
        <v>7843.1839847473784</v>
      </c>
      <c r="DK193" s="266"/>
      <c r="DL193" s="263">
        <f t="shared" si="840"/>
        <v>655.25368075415736</v>
      </c>
      <c r="DM193" s="263">
        <f t="shared" si="840"/>
        <v>655.25368075415736</v>
      </c>
      <c r="DN193" s="263">
        <f t="shared" si="840"/>
        <v>655.25368075415736</v>
      </c>
      <c r="DO193" s="263">
        <f t="shared" si="840"/>
        <v>655.25368075415736</v>
      </c>
      <c r="DP193" s="263">
        <f t="shared" si="840"/>
        <v>655.25368075415736</v>
      </c>
      <c r="DQ193" s="263">
        <f t="shared" si="840"/>
        <v>655.25368075415736</v>
      </c>
      <c r="DR193" s="263">
        <f t="shared" si="840"/>
        <v>655.25368075415736</v>
      </c>
      <c r="DS193" s="263">
        <f t="shared" si="840"/>
        <v>655.25368075415736</v>
      </c>
      <c r="DT193" s="263">
        <f t="shared" si="840"/>
        <v>655.25368075415736</v>
      </c>
      <c r="DU193" s="263">
        <f t="shared" si="840"/>
        <v>655.25368075415736</v>
      </c>
      <c r="DV193" s="263">
        <f t="shared" si="840"/>
        <v>655.25368075415736</v>
      </c>
      <c r="DW193" s="263">
        <f t="shared" si="840"/>
        <v>635.39349645164702</v>
      </c>
      <c r="DX193" s="230">
        <f t="shared" si="841"/>
        <v>7843.1839847473784</v>
      </c>
      <c r="DY193" s="266"/>
      <c r="DZ193" s="263">
        <f t="shared" si="842"/>
        <v>23.401917169791336</v>
      </c>
      <c r="EA193" s="263">
        <f t="shared" si="842"/>
        <v>23.401917169791336</v>
      </c>
      <c r="EB193" s="263">
        <f t="shared" si="842"/>
        <v>23.401917169791336</v>
      </c>
      <c r="EC193" s="263">
        <f t="shared" si="842"/>
        <v>23.401917169791336</v>
      </c>
      <c r="ED193" s="263">
        <f t="shared" si="842"/>
        <v>23.401917169791336</v>
      </c>
      <c r="EE193" s="263">
        <f t="shared" si="842"/>
        <v>23.401917169791336</v>
      </c>
      <c r="EF193" s="263">
        <f t="shared" si="842"/>
        <v>23.401917169791336</v>
      </c>
      <c r="EG193" s="263">
        <f t="shared" si="842"/>
        <v>23.401917169791336</v>
      </c>
      <c r="EH193" s="263">
        <f t="shared" si="842"/>
        <v>23.401917169791336</v>
      </c>
      <c r="EI193" s="263">
        <f t="shared" si="842"/>
        <v>23.401917169791336</v>
      </c>
      <c r="EJ193" s="263">
        <f t="shared" si="842"/>
        <v>23.401917169791336</v>
      </c>
      <c r="EK193" s="263">
        <f t="shared" si="842"/>
        <v>22.692624873273108</v>
      </c>
      <c r="EL193" s="230">
        <f t="shared" si="843"/>
        <v>280.11371374097786</v>
      </c>
      <c r="EM193" s="266"/>
      <c r="EN193" s="263">
        <f t="shared" si="844"/>
        <v>46.803834339582671</v>
      </c>
      <c r="EO193" s="263">
        <f t="shared" si="844"/>
        <v>46.803834339582671</v>
      </c>
      <c r="EP193" s="263">
        <f t="shared" si="844"/>
        <v>46.803834339582671</v>
      </c>
      <c r="EQ193" s="263">
        <f t="shared" si="844"/>
        <v>46.803834339582671</v>
      </c>
      <c r="ER193" s="263">
        <f t="shared" si="844"/>
        <v>46.803834339582671</v>
      </c>
      <c r="ES193" s="263">
        <f t="shared" si="844"/>
        <v>46.803834339582671</v>
      </c>
      <c r="ET193" s="263">
        <f t="shared" si="844"/>
        <v>46.803834339582671</v>
      </c>
      <c r="EU193" s="263">
        <f t="shared" si="844"/>
        <v>46.803834339582671</v>
      </c>
      <c r="EV193" s="263">
        <f t="shared" si="844"/>
        <v>46.803834339582671</v>
      </c>
      <c r="EW193" s="263">
        <f t="shared" si="844"/>
        <v>46.803834339582671</v>
      </c>
      <c r="EX193" s="263">
        <f t="shared" si="844"/>
        <v>46.803834339582671</v>
      </c>
      <c r="EY193" s="263">
        <f t="shared" si="844"/>
        <v>45.385249746546215</v>
      </c>
      <c r="EZ193" s="230">
        <f t="shared" si="845"/>
        <v>560.22742748195571</v>
      </c>
      <c r="FA193" s="266"/>
      <c r="FB193" s="263">
        <f t="shared" si="846"/>
        <v>23.401917169791336</v>
      </c>
      <c r="FC193" s="263">
        <f t="shared" si="846"/>
        <v>23.401917169791336</v>
      </c>
      <c r="FD193" s="263">
        <f t="shared" si="846"/>
        <v>23.401917169791336</v>
      </c>
      <c r="FE193" s="263">
        <f t="shared" si="846"/>
        <v>23.401917169791336</v>
      </c>
      <c r="FF193" s="263">
        <f t="shared" si="846"/>
        <v>23.401917169791336</v>
      </c>
      <c r="FG193" s="263">
        <f t="shared" si="846"/>
        <v>23.401917169791336</v>
      </c>
      <c r="FH193" s="263">
        <f t="shared" si="846"/>
        <v>23.401917169791336</v>
      </c>
      <c r="FI193" s="263">
        <f t="shared" si="846"/>
        <v>23.401917169791336</v>
      </c>
      <c r="FJ193" s="263">
        <f t="shared" si="846"/>
        <v>23.401917169791336</v>
      </c>
      <c r="FK193" s="263">
        <f t="shared" si="846"/>
        <v>23.401917169791336</v>
      </c>
      <c r="FL193" s="263">
        <f t="shared" si="846"/>
        <v>23.401917169791336</v>
      </c>
      <c r="FM193" s="263">
        <f t="shared" si="846"/>
        <v>22.692624873273108</v>
      </c>
      <c r="FN193" s="230">
        <f t="shared" si="847"/>
        <v>280.11371374097786</v>
      </c>
      <c r="FO193" s="266"/>
      <c r="FP193" s="263">
        <f t="shared" si="848"/>
        <v>163.81342018853934</v>
      </c>
      <c r="FQ193" s="263">
        <f t="shared" si="848"/>
        <v>163.81342018853934</v>
      </c>
      <c r="FR193" s="263">
        <f t="shared" si="848"/>
        <v>163.81342018853934</v>
      </c>
      <c r="FS193" s="263">
        <f t="shared" si="848"/>
        <v>163.81342018853934</v>
      </c>
      <c r="FT193" s="263">
        <f t="shared" si="848"/>
        <v>163.81342018853934</v>
      </c>
      <c r="FU193" s="263">
        <f t="shared" si="848"/>
        <v>163.81342018853934</v>
      </c>
      <c r="FV193" s="263">
        <f t="shared" si="848"/>
        <v>163.81342018853934</v>
      </c>
      <c r="FW193" s="263">
        <f t="shared" si="848"/>
        <v>163.81342018853934</v>
      </c>
      <c r="FX193" s="263">
        <f t="shared" si="848"/>
        <v>163.81342018853934</v>
      </c>
      <c r="FY193" s="263">
        <f t="shared" si="848"/>
        <v>163.81342018853934</v>
      </c>
      <c r="FZ193" s="263">
        <f t="shared" si="848"/>
        <v>163.81342018853934</v>
      </c>
      <c r="GA193" s="263">
        <f t="shared" si="848"/>
        <v>158.84837411291176</v>
      </c>
      <c r="GB193" s="230">
        <f t="shared" si="849"/>
        <v>1960.7959961868446</v>
      </c>
      <c r="GC193" s="266"/>
      <c r="GD193" s="263">
        <f t="shared" si="850"/>
        <v>23.401917169791336</v>
      </c>
      <c r="GE193" s="263">
        <f t="shared" si="850"/>
        <v>23.401917169791336</v>
      </c>
      <c r="GF193" s="263">
        <f t="shared" si="850"/>
        <v>23.401917169791336</v>
      </c>
      <c r="GG193" s="263">
        <f t="shared" si="850"/>
        <v>23.401917169791336</v>
      </c>
      <c r="GH193" s="263">
        <f t="shared" si="850"/>
        <v>23.401917169791336</v>
      </c>
      <c r="GI193" s="263">
        <f t="shared" si="850"/>
        <v>23.401917169791336</v>
      </c>
      <c r="GJ193" s="263">
        <f t="shared" si="850"/>
        <v>23.401917169791336</v>
      </c>
      <c r="GK193" s="263">
        <f t="shared" si="850"/>
        <v>23.401917169791336</v>
      </c>
      <c r="GL193" s="263">
        <f t="shared" si="850"/>
        <v>23.401917169791336</v>
      </c>
      <c r="GM193" s="263">
        <f t="shared" si="850"/>
        <v>23.401917169791336</v>
      </c>
      <c r="GN193" s="263">
        <f t="shared" si="850"/>
        <v>23.401917169791336</v>
      </c>
      <c r="GO193" s="263">
        <f t="shared" si="850"/>
        <v>22.692624873273108</v>
      </c>
      <c r="GP193" s="230">
        <f t="shared" si="851"/>
        <v>280.11371374097786</v>
      </c>
      <c r="GQ193" s="266"/>
      <c r="GR193" s="263">
        <f t="shared" si="852"/>
        <v>0</v>
      </c>
      <c r="GS193" s="263">
        <f t="shared" si="852"/>
        <v>0</v>
      </c>
      <c r="GT193" s="263">
        <f t="shared" si="852"/>
        <v>4802.1925643469967</v>
      </c>
      <c r="GU193" s="263">
        <f t="shared" si="852"/>
        <v>4802.1925643469967</v>
      </c>
      <c r="GV193" s="263">
        <f t="shared" si="852"/>
        <v>4802.1925643469967</v>
      </c>
      <c r="GW193" s="263">
        <f t="shared" si="852"/>
        <v>4802.1925643469967</v>
      </c>
      <c r="GX193" s="263">
        <f t="shared" si="852"/>
        <v>4802.1925643469967</v>
      </c>
      <c r="GY193" s="263">
        <f t="shared" si="852"/>
        <v>4802.1925643469967</v>
      </c>
      <c r="GZ193" s="263">
        <f t="shared" si="852"/>
        <v>4802.1925643469967</v>
      </c>
      <c r="HA193" s="263">
        <f t="shared" si="852"/>
        <v>4802.1925643469967</v>
      </c>
      <c r="HB193" s="263">
        <f t="shared" si="852"/>
        <v>4802.1925643469967</v>
      </c>
      <c r="HC193" s="263">
        <f t="shared" si="852"/>
        <v>4802.1925643469967</v>
      </c>
      <c r="HD193" s="230">
        <f t="shared" si="872"/>
        <v>0</v>
      </c>
      <c r="HE193" s="266"/>
      <c r="HF193" s="263">
        <f t="shared" si="853"/>
        <v>93.607668679165343</v>
      </c>
      <c r="HG193" s="263">
        <f t="shared" si="853"/>
        <v>93.607668679165343</v>
      </c>
      <c r="HH193" s="263">
        <f t="shared" si="853"/>
        <v>93.607668679165343</v>
      </c>
      <c r="HI193" s="263">
        <f t="shared" si="853"/>
        <v>93.607668679165343</v>
      </c>
      <c r="HJ193" s="263">
        <f t="shared" si="853"/>
        <v>93.607668679165343</v>
      </c>
      <c r="HK193" s="263">
        <f t="shared" si="853"/>
        <v>93.607668679165343</v>
      </c>
      <c r="HL193" s="263">
        <f t="shared" si="853"/>
        <v>93.607668679165343</v>
      </c>
      <c r="HM193" s="263">
        <f t="shared" si="853"/>
        <v>93.607668679165343</v>
      </c>
      <c r="HN193" s="263">
        <f t="shared" si="853"/>
        <v>93.607668679165343</v>
      </c>
      <c r="HO193" s="263">
        <f t="shared" si="853"/>
        <v>93.607668679165343</v>
      </c>
      <c r="HP193" s="263">
        <f t="shared" si="853"/>
        <v>93.607668679165343</v>
      </c>
      <c r="HQ193" s="263">
        <f t="shared" si="853"/>
        <v>90.77049949309243</v>
      </c>
      <c r="HR193" s="230">
        <f t="shared" si="854"/>
        <v>1120.4548549639114</v>
      </c>
      <c r="HS193" s="266"/>
      <c r="HT193" s="263">
        <f t="shared" si="855"/>
        <v>23.401917169791336</v>
      </c>
      <c r="HU193" s="263">
        <f t="shared" si="855"/>
        <v>23.401917169791336</v>
      </c>
      <c r="HV193" s="263">
        <f t="shared" si="855"/>
        <v>23.401917169791336</v>
      </c>
      <c r="HW193" s="263">
        <f t="shared" si="855"/>
        <v>23.401917169791336</v>
      </c>
      <c r="HX193" s="263">
        <f t="shared" si="855"/>
        <v>23.401917169791336</v>
      </c>
      <c r="HY193" s="263">
        <f t="shared" si="855"/>
        <v>23.401917169791336</v>
      </c>
      <c r="HZ193" s="263">
        <f t="shared" si="855"/>
        <v>23.401917169791336</v>
      </c>
      <c r="IA193" s="263">
        <f t="shared" si="855"/>
        <v>23.401917169791336</v>
      </c>
      <c r="IB193" s="263">
        <f t="shared" si="855"/>
        <v>23.401917169791336</v>
      </c>
      <c r="IC193" s="263">
        <f t="shared" si="855"/>
        <v>23.401917169791336</v>
      </c>
      <c r="ID193" s="263">
        <f t="shared" si="855"/>
        <v>23.401917169791336</v>
      </c>
      <c r="IE193" s="263">
        <f t="shared" si="855"/>
        <v>22.692624873273108</v>
      </c>
      <c r="IF193" s="230">
        <f t="shared" si="856"/>
        <v>280.11371374097786</v>
      </c>
      <c r="IG193" s="266"/>
      <c r="IH193" s="263">
        <f t="shared" si="857"/>
        <v>23.401917169791336</v>
      </c>
      <c r="II193" s="263">
        <f t="shared" si="857"/>
        <v>23.401917169791336</v>
      </c>
      <c r="IJ193" s="263">
        <f t="shared" si="857"/>
        <v>23.401917169791336</v>
      </c>
      <c r="IK193" s="263">
        <f t="shared" si="857"/>
        <v>23.401917169791336</v>
      </c>
      <c r="IL193" s="263">
        <f t="shared" si="857"/>
        <v>23.401917169791336</v>
      </c>
      <c r="IM193" s="263">
        <f t="shared" si="857"/>
        <v>23.401917169791336</v>
      </c>
      <c r="IN193" s="263">
        <f t="shared" si="857"/>
        <v>23.401917169791336</v>
      </c>
      <c r="IO193" s="263">
        <f t="shared" si="857"/>
        <v>23.401917169791336</v>
      </c>
      <c r="IP193" s="263">
        <f t="shared" si="857"/>
        <v>23.401917169791336</v>
      </c>
      <c r="IQ193" s="263">
        <f t="shared" si="857"/>
        <v>23.401917169791336</v>
      </c>
      <c r="IR193" s="263">
        <f t="shared" si="857"/>
        <v>23.401917169791336</v>
      </c>
      <c r="IS193" s="263">
        <f t="shared" si="857"/>
        <v>22.692624873273108</v>
      </c>
      <c r="IT193" s="230">
        <f t="shared" si="858"/>
        <v>280.11371374097786</v>
      </c>
      <c r="IU193" s="266"/>
      <c r="IV193" s="263">
        <f t="shared" si="859"/>
        <v>163.81342018853934</v>
      </c>
      <c r="IW193" s="263">
        <f t="shared" si="859"/>
        <v>163.81342018853934</v>
      </c>
      <c r="IX193" s="263">
        <f t="shared" si="859"/>
        <v>163.81342018853934</v>
      </c>
      <c r="IY193" s="263">
        <f t="shared" si="859"/>
        <v>163.81342018853934</v>
      </c>
      <c r="IZ193" s="263">
        <f t="shared" si="859"/>
        <v>163.81342018853934</v>
      </c>
      <c r="JA193" s="263">
        <f t="shared" si="859"/>
        <v>163.81342018853934</v>
      </c>
      <c r="JB193" s="263">
        <f t="shared" si="859"/>
        <v>163.81342018853934</v>
      </c>
      <c r="JC193" s="263">
        <f t="shared" si="859"/>
        <v>163.81342018853934</v>
      </c>
      <c r="JD193" s="263">
        <f t="shared" si="859"/>
        <v>163.81342018853934</v>
      </c>
      <c r="JE193" s="263">
        <f t="shared" si="859"/>
        <v>163.81342018853934</v>
      </c>
      <c r="JF193" s="263">
        <f t="shared" si="859"/>
        <v>163.81342018853934</v>
      </c>
      <c r="JG193" s="263">
        <f t="shared" si="859"/>
        <v>158.84837411291176</v>
      </c>
      <c r="JH193" s="230">
        <f t="shared" si="860"/>
        <v>1960.7959961868446</v>
      </c>
      <c r="JI193" s="266"/>
      <c r="JJ193" s="263">
        <f t="shared" si="861"/>
        <v>257.42108886770467</v>
      </c>
      <c r="JK193" s="263">
        <f t="shared" si="861"/>
        <v>257.42108886770467</v>
      </c>
      <c r="JL193" s="263">
        <f t="shared" si="861"/>
        <v>257.42108886770467</v>
      </c>
      <c r="JM193" s="263">
        <f t="shared" si="861"/>
        <v>257.42108886770467</v>
      </c>
      <c r="JN193" s="263">
        <f t="shared" si="861"/>
        <v>257.42108886770467</v>
      </c>
      <c r="JO193" s="263">
        <f t="shared" si="861"/>
        <v>257.42108886770467</v>
      </c>
      <c r="JP193" s="263">
        <f t="shared" si="861"/>
        <v>257.42108886770467</v>
      </c>
      <c r="JQ193" s="263">
        <f t="shared" si="861"/>
        <v>257.42108886770467</v>
      </c>
      <c r="JR193" s="263">
        <f t="shared" si="861"/>
        <v>257.42108886770467</v>
      </c>
      <c r="JS193" s="263">
        <f t="shared" si="861"/>
        <v>257.42108886770467</v>
      </c>
      <c r="JT193" s="263">
        <f t="shared" si="861"/>
        <v>257.42108886770467</v>
      </c>
      <c r="JU193" s="263">
        <f t="shared" si="861"/>
        <v>249.6188736060042</v>
      </c>
      <c r="JV193" s="230">
        <f t="shared" si="862"/>
        <v>3081.2508511507563</v>
      </c>
      <c r="JW193" s="266"/>
      <c r="JX193" s="263">
        <f t="shared" si="863"/>
        <v>117.00958584895669</v>
      </c>
      <c r="JY193" s="263">
        <f t="shared" si="863"/>
        <v>117.00958584895669</v>
      </c>
      <c r="JZ193" s="263">
        <f t="shared" si="863"/>
        <v>117.00958584895669</v>
      </c>
      <c r="KA193" s="263">
        <f t="shared" si="863"/>
        <v>117.00958584895669</v>
      </c>
      <c r="KB193" s="263">
        <f t="shared" si="863"/>
        <v>117.00958584895669</v>
      </c>
      <c r="KC193" s="263">
        <f t="shared" si="863"/>
        <v>117.00958584895669</v>
      </c>
      <c r="KD193" s="263">
        <f t="shared" si="863"/>
        <v>117.00958584895669</v>
      </c>
      <c r="KE193" s="263">
        <f t="shared" si="863"/>
        <v>117.00958584895669</v>
      </c>
      <c r="KF193" s="263">
        <f t="shared" si="863"/>
        <v>117.00958584895669</v>
      </c>
      <c r="KG193" s="263">
        <f t="shared" si="863"/>
        <v>117.00958584895669</v>
      </c>
      <c r="KH193" s="263">
        <f t="shared" si="863"/>
        <v>117.00958584895669</v>
      </c>
      <c r="KI193" s="263">
        <f t="shared" si="863"/>
        <v>113.46312436636553</v>
      </c>
      <c r="KJ193" s="230">
        <f t="shared" si="864"/>
        <v>1400.568568704889</v>
      </c>
      <c r="KK193" s="266"/>
      <c r="KL193" s="263">
        <f t="shared" si="865"/>
        <v>46.803834339582671</v>
      </c>
      <c r="KM193" s="263">
        <f t="shared" si="865"/>
        <v>46.803834339582671</v>
      </c>
      <c r="KN193" s="263">
        <f t="shared" si="865"/>
        <v>46.803834339582671</v>
      </c>
      <c r="KO193" s="263">
        <f t="shared" si="865"/>
        <v>46.803834339582671</v>
      </c>
      <c r="KP193" s="263">
        <f t="shared" si="865"/>
        <v>46.803834339582671</v>
      </c>
      <c r="KQ193" s="263">
        <f t="shared" si="865"/>
        <v>46.803834339582671</v>
      </c>
      <c r="KR193" s="263">
        <f t="shared" si="865"/>
        <v>46.803834339582671</v>
      </c>
      <c r="KS193" s="263">
        <f t="shared" si="865"/>
        <v>46.803834339582671</v>
      </c>
      <c r="KT193" s="263">
        <f t="shared" si="865"/>
        <v>46.803834339582671</v>
      </c>
      <c r="KU193" s="263">
        <f t="shared" si="865"/>
        <v>46.803834339582671</v>
      </c>
      <c r="KV193" s="263">
        <f t="shared" si="865"/>
        <v>46.803834339582671</v>
      </c>
      <c r="KW193" s="263">
        <f t="shared" si="865"/>
        <v>45.385249746546215</v>
      </c>
      <c r="KX193" s="230">
        <f t="shared" si="866"/>
        <v>560.22742748195571</v>
      </c>
      <c r="KY193" s="266"/>
      <c r="KZ193" s="263">
        <f t="shared" si="867"/>
        <v>23.401917169791336</v>
      </c>
      <c r="LA193" s="263">
        <f t="shared" si="867"/>
        <v>23.401917169791336</v>
      </c>
      <c r="LB193" s="263">
        <f t="shared" si="867"/>
        <v>23.401917169791336</v>
      </c>
      <c r="LC193" s="263">
        <f t="shared" si="867"/>
        <v>23.401917169791336</v>
      </c>
      <c r="LD193" s="263">
        <f t="shared" si="867"/>
        <v>23.401917169791336</v>
      </c>
      <c r="LE193" s="263">
        <f t="shared" si="867"/>
        <v>23.401917169791336</v>
      </c>
      <c r="LF193" s="263">
        <f t="shared" si="867"/>
        <v>23.401917169791336</v>
      </c>
      <c r="LG193" s="263">
        <f t="shared" si="867"/>
        <v>23.401917169791336</v>
      </c>
      <c r="LH193" s="263">
        <f t="shared" si="867"/>
        <v>23.401917169791336</v>
      </c>
      <c r="LI193" s="263">
        <f t="shared" si="867"/>
        <v>23.401917169791336</v>
      </c>
      <c r="LJ193" s="263">
        <f t="shared" si="867"/>
        <v>23.401917169791336</v>
      </c>
      <c r="LK193" s="263">
        <f t="shared" si="867"/>
        <v>22.692624873273108</v>
      </c>
      <c r="LL193" s="230">
        <f t="shared" si="868"/>
        <v>280.11371374097786</v>
      </c>
      <c r="LM193" s="266"/>
      <c r="LN193" s="263">
        <v>0</v>
      </c>
      <c r="LO193" s="264">
        <v>0</v>
      </c>
      <c r="LP193" s="265">
        <v>0</v>
      </c>
      <c r="LQ193" s="265">
        <v>0</v>
      </c>
      <c r="LR193" s="265">
        <v>0</v>
      </c>
      <c r="LS193" s="265">
        <v>0</v>
      </c>
      <c r="LT193" s="265">
        <v>0</v>
      </c>
      <c r="LU193" s="265">
        <v>0</v>
      </c>
      <c r="LV193" s="265">
        <v>0</v>
      </c>
      <c r="LW193" s="265">
        <v>0</v>
      </c>
      <c r="LX193" s="265">
        <v>0</v>
      </c>
      <c r="LY193" s="265">
        <v>0</v>
      </c>
      <c r="LZ193" s="230">
        <f t="shared" si="869"/>
        <v>0</v>
      </c>
      <c r="MA193" s="266"/>
      <c r="MB193" s="230">
        <f t="shared" si="870"/>
        <v>3837.9144158457802</v>
      </c>
      <c r="MC193" s="230">
        <f t="shared" si="870"/>
        <v>3837.9144158457802</v>
      </c>
      <c r="MD193" s="230">
        <f t="shared" si="870"/>
        <v>8640.1069801927733</v>
      </c>
      <c r="ME193" s="230">
        <f t="shared" si="870"/>
        <v>8640.1069801927733</v>
      </c>
      <c r="MF193" s="230">
        <f t="shared" si="870"/>
        <v>8640.1069801927733</v>
      </c>
      <c r="MG193" s="230">
        <f t="shared" si="870"/>
        <v>8640.1069801927733</v>
      </c>
      <c r="MH193" s="230">
        <f t="shared" si="870"/>
        <v>8640.1069801927733</v>
      </c>
      <c r="MI193" s="230">
        <f t="shared" si="870"/>
        <v>8640.1069801927733</v>
      </c>
      <c r="MJ193" s="230">
        <f t="shared" si="870"/>
        <v>8640.1069801927733</v>
      </c>
      <c r="MK193" s="230">
        <f t="shared" si="870"/>
        <v>8640.1069801927733</v>
      </c>
      <c r="ML193" s="230">
        <f t="shared" si="870"/>
        <v>8640.1069801927733</v>
      </c>
      <c r="MM193" s="230">
        <f t="shared" si="870"/>
        <v>8523.7830435637879</v>
      </c>
      <c r="MN193" s="230">
        <f t="shared" si="871"/>
        <v>93960.574696990298</v>
      </c>
    </row>
    <row r="194" spans="1:352" x14ac:dyDescent="0.25">
      <c r="A194" s="262"/>
      <c r="B194" s="182" t="s">
        <v>68</v>
      </c>
      <c r="C194" s="98"/>
      <c r="D194" s="263">
        <f t="shared" si="824"/>
        <v>211.17995975002648</v>
      </c>
      <c r="E194" s="263">
        <f t="shared" si="824"/>
        <v>211.17995975002648</v>
      </c>
      <c r="F194" s="263">
        <f t="shared" si="824"/>
        <v>211.17995975002648</v>
      </c>
      <c r="G194" s="263">
        <f t="shared" si="824"/>
        <v>211.17995975002648</v>
      </c>
      <c r="H194" s="263">
        <f t="shared" si="824"/>
        <v>211.17995975002648</v>
      </c>
      <c r="I194" s="263">
        <f t="shared" si="824"/>
        <v>211.17995975002648</v>
      </c>
      <c r="J194" s="263">
        <f t="shared" si="824"/>
        <v>211.17995975002648</v>
      </c>
      <c r="K194" s="263">
        <f t="shared" si="824"/>
        <v>211.17995975002648</v>
      </c>
      <c r="L194" s="263">
        <f t="shared" si="824"/>
        <v>211.17995975002648</v>
      </c>
      <c r="M194" s="263">
        <f t="shared" si="824"/>
        <v>211.17995975002648</v>
      </c>
      <c r="N194" s="263">
        <f t="shared" si="824"/>
        <v>211.17995975002648</v>
      </c>
      <c r="O194" s="263">
        <f t="shared" si="824"/>
        <v>211.17995975002648</v>
      </c>
      <c r="P194" s="230">
        <f t="shared" si="825"/>
        <v>2534.1595170003184</v>
      </c>
      <c r="Q194" s="266"/>
      <c r="R194" s="263">
        <f t="shared" si="826"/>
        <v>21.846202732761359</v>
      </c>
      <c r="S194" s="263">
        <f t="shared" si="826"/>
        <v>21.846202732761359</v>
      </c>
      <c r="T194" s="263">
        <f t="shared" si="826"/>
        <v>21.846202732761359</v>
      </c>
      <c r="U194" s="263">
        <f t="shared" si="826"/>
        <v>21.846202732761359</v>
      </c>
      <c r="V194" s="263">
        <f t="shared" si="826"/>
        <v>21.846202732761359</v>
      </c>
      <c r="W194" s="263">
        <f t="shared" si="826"/>
        <v>21.846202732761359</v>
      </c>
      <c r="X194" s="263">
        <f t="shared" si="826"/>
        <v>21.846202732761359</v>
      </c>
      <c r="Y194" s="263">
        <f t="shared" si="826"/>
        <v>21.846202732761359</v>
      </c>
      <c r="Z194" s="263">
        <f t="shared" si="826"/>
        <v>21.846202732761359</v>
      </c>
      <c r="AA194" s="263">
        <f t="shared" si="826"/>
        <v>21.846202732761359</v>
      </c>
      <c r="AB194" s="263">
        <f t="shared" si="826"/>
        <v>21.846202732761359</v>
      </c>
      <c r="AC194" s="263">
        <f t="shared" si="826"/>
        <v>21.846202732761359</v>
      </c>
      <c r="AD194" s="230">
        <f t="shared" si="827"/>
        <v>262.15443279313632</v>
      </c>
      <c r="AE194" s="266"/>
      <c r="AF194" s="263">
        <f t="shared" si="828"/>
        <v>21.846202732761359</v>
      </c>
      <c r="AG194" s="263">
        <f t="shared" si="828"/>
        <v>21.846202732761359</v>
      </c>
      <c r="AH194" s="263">
        <f t="shared" si="828"/>
        <v>21.846202732761359</v>
      </c>
      <c r="AI194" s="263">
        <f t="shared" si="828"/>
        <v>21.846202732761359</v>
      </c>
      <c r="AJ194" s="263">
        <f t="shared" si="828"/>
        <v>21.846202732761359</v>
      </c>
      <c r="AK194" s="263">
        <f t="shared" si="828"/>
        <v>21.846202732761359</v>
      </c>
      <c r="AL194" s="263">
        <f t="shared" si="828"/>
        <v>21.846202732761359</v>
      </c>
      <c r="AM194" s="263">
        <f t="shared" si="828"/>
        <v>21.846202732761359</v>
      </c>
      <c r="AN194" s="263">
        <f t="shared" si="828"/>
        <v>21.846202732761359</v>
      </c>
      <c r="AO194" s="263">
        <f t="shared" si="828"/>
        <v>21.846202732761359</v>
      </c>
      <c r="AP194" s="263">
        <f t="shared" si="828"/>
        <v>21.846202732761359</v>
      </c>
      <c r="AQ194" s="263">
        <f t="shared" si="828"/>
        <v>21.846202732761359</v>
      </c>
      <c r="AR194" s="230">
        <f t="shared" si="829"/>
        <v>262.15443279313632</v>
      </c>
      <c r="AS194" s="266"/>
      <c r="AT194" s="263">
        <f t="shared" si="830"/>
        <v>14.56413515517424</v>
      </c>
      <c r="AU194" s="263">
        <f t="shared" si="830"/>
        <v>14.56413515517424</v>
      </c>
      <c r="AV194" s="263">
        <f t="shared" si="830"/>
        <v>14.56413515517424</v>
      </c>
      <c r="AW194" s="263">
        <f t="shared" si="830"/>
        <v>14.56413515517424</v>
      </c>
      <c r="AX194" s="263">
        <f t="shared" si="830"/>
        <v>14.56413515517424</v>
      </c>
      <c r="AY194" s="263">
        <f t="shared" si="830"/>
        <v>14.56413515517424</v>
      </c>
      <c r="AZ194" s="263">
        <f t="shared" si="830"/>
        <v>14.56413515517424</v>
      </c>
      <c r="BA194" s="263">
        <f t="shared" si="830"/>
        <v>14.56413515517424</v>
      </c>
      <c r="BB194" s="263">
        <f t="shared" si="830"/>
        <v>14.56413515517424</v>
      </c>
      <c r="BC194" s="263">
        <f t="shared" si="830"/>
        <v>14.56413515517424</v>
      </c>
      <c r="BD194" s="263">
        <f t="shared" si="830"/>
        <v>14.56413515517424</v>
      </c>
      <c r="BE194" s="263">
        <f t="shared" si="830"/>
        <v>14.56413515517424</v>
      </c>
      <c r="BF194" s="230">
        <f t="shared" si="831"/>
        <v>174.76962186209084</v>
      </c>
      <c r="BG194" s="224"/>
      <c r="BH194" s="263">
        <f t="shared" si="832"/>
        <v>109.23101366380679</v>
      </c>
      <c r="BI194" s="263">
        <f t="shared" si="832"/>
        <v>109.23101366380679</v>
      </c>
      <c r="BJ194" s="263">
        <f t="shared" si="832"/>
        <v>109.23101366380679</v>
      </c>
      <c r="BK194" s="263">
        <f t="shared" si="832"/>
        <v>109.23101366380679</v>
      </c>
      <c r="BL194" s="263">
        <f t="shared" si="832"/>
        <v>109.23101366380679</v>
      </c>
      <c r="BM194" s="263">
        <f t="shared" si="832"/>
        <v>109.23101366380679</v>
      </c>
      <c r="BN194" s="263">
        <f t="shared" si="832"/>
        <v>109.23101366380679</v>
      </c>
      <c r="BO194" s="263">
        <f t="shared" si="832"/>
        <v>109.23101366380679</v>
      </c>
      <c r="BP194" s="263">
        <f t="shared" si="832"/>
        <v>109.23101366380679</v>
      </c>
      <c r="BQ194" s="263">
        <f t="shared" si="832"/>
        <v>109.23101366380679</v>
      </c>
      <c r="BR194" s="263">
        <f t="shared" si="832"/>
        <v>109.23101366380679</v>
      </c>
      <c r="BS194" s="263">
        <f t="shared" si="832"/>
        <v>109.23101366380679</v>
      </c>
      <c r="BT194" s="230">
        <f t="shared" si="833"/>
        <v>1310.7721639656818</v>
      </c>
      <c r="BU194" s="266"/>
      <c r="BV194" s="263">
        <f t="shared" si="834"/>
        <v>7.28206757758712</v>
      </c>
      <c r="BW194" s="263">
        <f t="shared" si="834"/>
        <v>7.28206757758712</v>
      </c>
      <c r="BX194" s="263">
        <f t="shared" si="834"/>
        <v>7.28206757758712</v>
      </c>
      <c r="BY194" s="263">
        <f t="shared" si="834"/>
        <v>7.28206757758712</v>
      </c>
      <c r="BZ194" s="263">
        <f t="shared" si="834"/>
        <v>7.28206757758712</v>
      </c>
      <c r="CA194" s="263">
        <f t="shared" si="834"/>
        <v>7.28206757758712</v>
      </c>
      <c r="CB194" s="263">
        <f t="shared" si="834"/>
        <v>7.28206757758712</v>
      </c>
      <c r="CC194" s="263">
        <f t="shared" si="834"/>
        <v>7.28206757758712</v>
      </c>
      <c r="CD194" s="263">
        <f t="shared" si="834"/>
        <v>7.28206757758712</v>
      </c>
      <c r="CE194" s="263">
        <f t="shared" si="834"/>
        <v>7.28206757758712</v>
      </c>
      <c r="CF194" s="263">
        <f t="shared" si="834"/>
        <v>7.28206757758712</v>
      </c>
      <c r="CG194" s="263">
        <f t="shared" si="834"/>
        <v>7.28206757758712</v>
      </c>
      <c r="CH194" s="230">
        <f t="shared" si="835"/>
        <v>87.384810931045422</v>
      </c>
      <c r="CI194" s="266"/>
      <c r="CJ194" s="263">
        <f t="shared" si="836"/>
        <v>80.102743353458308</v>
      </c>
      <c r="CK194" s="263">
        <f t="shared" si="836"/>
        <v>80.102743353458308</v>
      </c>
      <c r="CL194" s="263">
        <f t="shared" si="836"/>
        <v>80.102743353458308</v>
      </c>
      <c r="CM194" s="263">
        <f t="shared" si="836"/>
        <v>80.102743353458308</v>
      </c>
      <c r="CN194" s="263">
        <f t="shared" si="836"/>
        <v>80.102743353458308</v>
      </c>
      <c r="CO194" s="263">
        <f t="shared" si="836"/>
        <v>80.102743353458308</v>
      </c>
      <c r="CP194" s="263">
        <f t="shared" si="836"/>
        <v>80.102743353458308</v>
      </c>
      <c r="CQ194" s="263">
        <f t="shared" si="836"/>
        <v>80.102743353458308</v>
      </c>
      <c r="CR194" s="263">
        <f t="shared" si="836"/>
        <v>80.102743353458308</v>
      </c>
      <c r="CS194" s="263">
        <f t="shared" si="836"/>
        <v>80.102743353458308</v>
      </c>
      <c r="CT194" s="263">
        <f t="shared" si="836"/>
        <v>80.102743353458308</v>
      </c>
      <c r="CU194" s="263">
        <f t="shared" si="836"/>
        <v>80.102743353458308</v>
      </c>
      <c r="CV194" s="230">
        <f t="shared" si="837"/>
        <v>961.23292024149976</v>
      </c>
      <c r="CW194" s="266"/>
      <c r="CX194" s="263">
        <f t="shared" si="838"/>
        <v>203.89789217243933</v>
      </c>
      <c r="CY194" s="263">
        <f t="shared" si="838"/>
        <v>203.89789217243933</v>
      </c>
      <c r="CZ194" s="263">
        <f t="shared" si="838"/>
        <v>203.89789217243933</v>
      </c>
      <c r="DA194" s="263">
        <f t="shared" si="838"/>
        <v>203.89789217243933</v>
      </c>
      <c r="DB194" s="263">
        <f t="shared" si="838"/>
        <v>203.89789217243933</v>
      </c>
      <c r="DC194" s="263">
        <f t="shared" si="838"/>
        <v>203.89789217243933</v>
      </c>
      <c r="DD194" s="263">
        <f t="shared" si="838"/>
        <v>203.89789217243933</v>
      </c>
      <c r="DE194" s="263">
        <f t="shared" si="838"/>
        <v>203.89789217243933</v>
      </c>
      <c r="DF194" s="263">
        <f t="shared" si="838"/>
        <v>203.89789217243933</v>
      </c>
      <c r="DG194" s="263">
        <f t="shared" si="838"/>
        <v>203.89789217243933</v>
      </c>
      <c r="DH194" s="263">
        <f t="shared" si="838"/>
        <v>203.89789217243933</v>
      </c>
      <c r="DI194" s="263">
        <f t="shared" si="838"/>
        <v>203.89789217243933</v>
      </c>
      <c r="DJ194" s="230">
        <f t="shared" si="839"/>
        <v>2446.7747060692714</v>
      </c>
      <c r="DK194" s="266"/>
      <c r="DL194" s="263">
        <f t="shared" si="840"/>
        <v>203.89789217243933</v>
      </c>
      <c r="DM194" s="263">
        <f t="shared" si="840"/>
        <v>203.89789217243933</v>
      </c>
      <c r="DN194" s="263">
        <f t="shared" si="840"/>
        <v>203.89789217243933</v>
      </c>
      <c r="DO194" s="263">
        <f t="shared" si="840"/>
        <v>203.89789217243933</v>
      </c>
      <c r="DP194" s="263">
        <f t="shared" si="840"/>
        <v>203.89789217243933</v>
      </c>
      <c r="DQ194" s="263">
        <f t="shared" si="840"/>
        <v>203.89789217243933</v>
      </c>
      <c r="DR194" s="263">
        <f t="shared" si="840"/>
        <v>203.89789217243933</v>
      </c>
      <c r="DS194" s="263">
        <f t="shared" si="840"/>
        <v>203.89789217243933</v>
      </c>
      <c r="DT194" s="263">
        <f t="shared" si="840"/>
        <v>203.89789217243933</v>
      </c>
      <c r="DU194" s="263">
        <f t="shared" si="840"/>
        <v>203.89789217243933</v>
      </c>
      <c r="DV194" s="263">
        <f t="shared" si="840"/>
        <v>203.89789217243933</v>
      </c>
      <c r="DW194" s="263">
        <f t="shared" si="840"/>
        <v>203.89789217243933</v>
      </c>
      <c r="DX194" s="230">
        <f t="shared" si="841"/>
        <v>2446.7747060692714</v>
      </c>
      <c r="DY194" s="266"/>
      <c r="DZ194" s="263">
        <f t="shared" si="842"/>
        <v>7.28206757758712</v>
      </c>
      <c r="EA194" s="263">
        <f t="shared" si="842"/>
        <v>7.28206757758712</v>
      </c>
      <c r="EB194" s="263">
        <f t="shared" si="842"/>
        <v>7.28206757758712</v>
      </c>
      <c r="EC194" s="263">
        <f t="shared" si="842"/>
        <v>7.28206757758712</v>
      </c>
      <c r="ED194" s="263">
        <f t="shared" si="842"/>
        <v>7.28206757758712</v>
      </c>
      <c r="EE194" s="263">
        <f t="shared" si="842"/>
        <v>7.28206757758712</v>
      </c>
      <c r="EF194" s="263">
        <f t="shared" si="842"/>
        <v>7.28206757758712</v>
      </c>
      <c r="EG194" s="263">
        <f t="shared" si="842"/>
        <v>7.28206757758712</v>
      </c>
      <c r="EH194" s="263">
        <f t="shared" si="842"/>
        <v>7.28206757758712</v>
      </c>
      <c r="EI194" s="263">
        <f t="shared" si="842"/>
        <v>7.28206757758712</v>
      </c>
      <c r="EJ194" s="263">
        <f t="shared" si="842"/>
        <v>7.28206757758712</v>
      </c>
      <c r="EK194" s="263">
        <f t="shared" si="842"/>
        <v>7.28206757758712</v>
      </c>
      <c r="EL194" s="230">
        <f t="shared" si="843"/>
        <v>87.384810931045422</v>
      </c>
      <c r="EM194" s="266"/>
      <c r="EN194" s="263">
        <f t="shared" si="844"/>
        <v>14.56413515517424</v>
      </c>
      <c r="EO194" s="263">
        <f t="shared" si="844"/>
        <v>14.56413515517424</v>
      </c>
      <c r="EP194" s="263">
        <f t="shared" si="844"/>
        <v>14.56413515517424</v>
      </c>
      <c r="EQ194" s="263">
        <f t="shared" si="844"/>
        <v>14.56413515517424</v>
      </c>
      <c r="ER194" s="263">
        <f t="shared" si="844"/>
        <v>14.56413515517424</v>
      </c>
      <c r="ES194" s="263">
        <f t="shared" si="844"/>
        <v>14.56413515517424</v>
      </c>
      <c r="ET194" s="263">
        <f t="shared" si="844"/>
        <v>14.56413515517424</v>
      </c>
      <c r="EU194" s="263">
        <f t="shared" si="844"/>
        <v>14.56413515517424</v>
      </c>
      <c r="EV194" s="263">
        <f t="shared" si="844"/>
        <v>14.56413515517424</v>
      </c>
      <c r="EW194" s="263">
        <f t="shared" si="844"/>
        <v>14.56413515517424</v>
      </c>
      <c r="EX194" s="263">
        <f t="shared" si="844"/>
        <v>14.56413515517424</v>
      </c>
      <c r="EY194" s="263">
        <f t="shared" si="844"/>
        <v>14.56413515517424</v>
      </c>
      <c r="EZ194" s="230">
        <f t="shared" si="845"/>
        <v>174.76962186209084</v>
      </c>
      <c r="FA194" s="266"/>
      <c r="FB194" s="263">
        <f t="shared" si="846"/>
        <v>7.28206757758712</v>
      </c>
      <c r="FC194" s="263">
        <f t="shared" si="846"/>
        <v>7.28206757758712</v>
      </c>
      <c r="FD194" s="263">
        <f t="shared" si="846"/>
        <v>7.28206757758712</v>
      </c>
      <c r="FE194" s="263">
        <f t="shared" si="846"/>
        <v>7.28206757758712</v>
      </c>
      <c r="FF194" s="263">
        <f t="shared" si="846"/>
        <v>7.28206757758712</v>
      </c>
      <c r="FG194" s="263">
        <f t="shared" si="846"/>
        <v>7.28206757758712</v>
      </c>
      <c r="FH194" s="263">
        <f t="shared" si="846"/>
        <v>7.28206757758712</v>
      </c>
      <c r="FI194" s="263">
        <f t="shared" si="846"/>
        <v>7.28206757758712</v>
      </c>
      <c r="FJ194" s="263">
        <f t="shared" si="846"/>
        <v>7.28206757758712</v>
      </c>
      <c r="FK194" s="263">
        <f t="shared" si="846"/>
        <v>7.28206757758712</v>
      </c>
      <c r="FL194" s="263">
        <f t="shared" si="846"/>
        <v>7.28206757758712</v>
      </c>
      <c r="FM194" s="263">
        <f t="shared" si="846"/>
        <v>7.28206757758712</v>
      </c>
      <c r="FN194" s="230">
        <f t="shared" si="847"/>
        <v>87.384810931045422</v>
      </c>
      <c r="FO194" s="266"/>
      <c r="FP194" s="263">
        <f t="shared" si="848"/>
        <v>50.974473043109832</v>
      </c>
      <c r="FQ194" s="263">
        <f t="shared" si="848"/>
        <v>50.974473043109832</v>
      </c>
      <c r="FR194" s="263">
        <f t="shared" si="848"/>
        <v>50.974473043109832</v>
      </c>
      <c r="FS194" s="263">
        <f t="shared" si="848"/>
        <v>50.974473043109832</v>
      </c>
      <c r="FT194" s="263">
        <f t="shared" si="848"/>
        <v>50.974473043109832</v>
      </c>
      <c r="FU194" s="263">
        <f t="shared" si="848"/>
        <v>50.974473043109832</v>
      </c>
      <c r="FV194" s="263">
        <f t="shared" si="848"/>
        <v>50.974473043109832</v>
      </c>
      <c r="FW194" s="263">
        <f t="shared" si="848"/>
        <v>50.974473043109832</v>
      </c>
      <c r="FX194" s="263">
        <f t="shared" si="848"/>
        <v>50.974473043109832</v>
      </c>
      <c r="FY194" s="263">
        <f t="shared" si="848"/>
        <v>50.974473043109832</v>
      </c>
      <c r="FZ194" s="263">
        <f t="shared" si="848"/>
        <v>50.974473043109832</v>
      </c>
      <c r="GA194" s="263">
        <f t="shared" si="848"/>
        <v>50.974473043109832</v>
      </c>
      <c r="GB194" s="230">
        <f t="shared" si="849"/>
        <v>611.69367651731784</v>
      </c>
      <c r="GC194" s="266"/>
      <c r="GD194" s="263">
        <f t="shared" si="850"/>
        <v>7.28206757758712</v>
      </c>
      <c r="GE194" s="263">
        <f t="shared" si="850"/>
        <v>7.28206757758712</v>
      </c>
      <c r="GF194" s="263">
        <f t="shared" si="850"/>
        <v>7.28206757758712</v>
      </c>
      <c r="GG194" s="263">
        <f t="shared" si="850"/>
        <v>7.28206757758712</v>
      </c>
      <c r="GH194" s="263">
        <f t="shared" si="850"/>
        <v>7.28206757758712</v>
      </c>
      <c r="GI194" s="263">
        <f t="shared" si="850"/>
        <v>7.28206757758712</v>
      </c>
      <c r="GJ194" s="263">
        <f t="shared" si="850"/>
        <v>7.28206757758712</v>
      </c>
      <c r="GK194" s="263">
        <f t="shared" si="850"/>
        <v>7.28206757758712</v>
      </c>
      <c r="GL194" s="263">
        <f t="shared" si="850"/>
        <v>7.28206757758712</v>
      </c>
      <c r="GM194" s="263">
        <f t="shared" si="850"/>
        <v>7.28206757758712</v>
      </c>
      <c r="GN194" s="263">
        <f t="shared" si="850"/>
        <v>7.28206757758712</v>
      </c>
      <c r="GO194" s="263">
        <f t="shared" si="850"/>
        <v>7.28206757758712</v>
      </c>
      <c r="GP194" s="230">
        <f t="shared" si="851"/>
        <v>87.384810931045422</v>
      </c>
      <c r="GQ194" s="266"/>
      <c r="GR194" s="263">
        <f t="shared" si="852"/>
        <v>0</v>
      </c>
      <c r="GS194" s="263">
        <f t="shared" si="852"/>
        <v>0</v>
      </c>
      <c r="GT194" s="263">
        <f t="shared" si="852"/>
        <v>1101.0486177311725</v>
      </c>
      <c r="GU194" s="263">
        <f t="shared" si="852"/>
        <v>1101.0486177311725</v>
      </c>
      <c r="GV194" s="263">
        <f t="shared" si="852"/>
        <v>1101.0486177311725</v>
      </c>
      <c r="GW194" s="263">
        <f t="shared" si="852"/>
        <v>1101.0486177311725</v>
      </c>
      <c r="GX194" s="263">
        <f t="shared" si="852"/>
        <v>1101.0486177311725</v>
      </c>
      <c r="GY194" s="263">
        <f t="shared" si="852"/>
        <v>1101.0486177311725</v>
      </c>
      <c r="GZ194" s="263">
        <f t="shared" si="852"/>
        <v>1101.0486177311725</v>
      </c>
      <c r="HA194" s="263">
        <f t="shared" si="852"/>
        <v>1101.0486177311725</v>
      </c>
      <c r="HB194" s="263">
        <f t="shared" si="852"/>
        <v>1101.0486177311725</v>
      </c>
      <c r="HC194" s="263">
        <f t="shared" si="852"/>
        <v>1101.0486177311725</v>
      </c>
      <c r="HD194" s="230">
        <f t="shared" si="872"/>
        <v>0</v>
      </c>
      <c r="HE194" s="266"/>
      <c r="HF194" s="263">
        <f t="shared" si="853"/>
        <v>29.12827031034848</v>
      </c>
      <c r="HG194" s="263">
        <f t="shared" si="853"/>
        <v>29.12827031034848</v>
      </c>
      <c r="HH194" s="263">
        <f t="shared" si="853"/>
        <v>29.12827031034848</v>
      </c>
      <c r="HI194" s="263">
        <f t="shared" si="853"/>
        <v>29.12827031034848</v>
      </c>
      <c r="HJ194" s="263">
        <f t="shared" si="853"/>
        <v>29.12827031034848</v>
      </c>
      <c r="HK194" s="263">
        <f t="shared" si="853"/>
        <v>29.12827031034848</v>
      </c>
      <c r="HL194" s="263">
        <f t="shared" si="853"/>
        <v>29.12827031034848</v>
      </c>
      <c r="HM194" s="263">
        <f t="shared" si="853"/>
        <v>29.12827031034848</v>
      </c>
      <c r="HN194" s="263">
        <f t="shared" si="853"/>
        <v>29.12827031034848</v>
      </c>
      <c r="HO194" s="263">
        <f t="shared" si="853"/>
        <v>29.12827031034848</v>
      </c>
      <c r="HP194" s="263">
        <f t="shared" si="853"/>
        <v>29.12827031034848</v>
      </c>
      <c r="HQ194" s="263">
        <f t="shared" si="853"/>
        <v>29.12827031034848</v>
      </c>
      <c r="HR194" s="230">
        <f t="shared" si="854"/>
        <v>349.53924372418169</v>
      </c>
      <c r="HS194" s="266"/>
      <c r="HT194" s="263">
        <f t="shared" si="855"/>
        <v>7.28206757758712</v>
      </c>
      <c r="HU194" s="263">
        <f t="shared" si="855"/>
        <v>7.28206757758712</v>
      </c>
      <c r="HV194" s="263">
        <f t="shared" si="855"/>
        <v>7.28206757758712</v>
      </c>
      <c r="HW194" s="263">
        <f t="shared" si="855"/>
        <v>7.28206757758712</v>
      </c>
      <c r="HX194" s="263">
        <f t="shared" si="855"/>
        <v>7.28206757758712</v>
      </c>
      <c r="HY194" s="263">
        <f t="shared" si="855"/>
        <v>7.28206757758712</v>
      </c>
      <c r="HZ194" s="263">
        <f t="shared" si="855"/>
        <v>7.28206757758712</v>
      </c>
      <c r="IA194" s="263">
        <f t="shared" si="855"/>
        <v>7.28206757758712</v>
      </c>
      <c r="IB194" s="263">
        <f t="shared" si="855"/>
        <v>7.28206757758712</v>
      </c>
      <c r="IC194" s="263">
        <f t="shared" si="855"/>
        <v>7.28206757758712</v>
      </c>
      <c r="ID194" s="263">
        <f t="shared" si="855"/>
        <v>7.28206757758712</v>
      </c>
      <c r="IE194" s="263">
        <f t="shared" si="855"/>
        <v>7.28206757758712</v>
      </c>
      <c r="IF194" s="230">
        <f t="shared" si="856"/>
        <v>87.384810931045422</v>
      </c>
      <c r="IG194" s="266"/>
      <c r="IH194" s="263">
        <f t="shared" si="857"/>
        <v>7.28206757758712</v>
      </c>
      <c r="II194" s="263">
        <f t="shared" si="857"/>
        <v>7.28206757758712</v>
      </c>
      <c r="IJ194" s="263">
        <f t="shared" si="857"/>
        <v>7.28206757758712</v>
      </c>
      <c r="IK194" s="263">
        <f t="shared" si="857"/>
        <v>7.28206757758712</v>
      </c>
      <c r="IL194" s="263">
        <f t="shared" si="857"/>
        <v>7.28206757758712</v>
      </c>
      <c r="IM194" s="263">
        <f t="shared" si="857"/>
        <v>7.28206757758712</v>
      </c>
      <c r="IN194" s="263">
        <f t="shared" si="857"/>
        <v>7.28206757758712</v>
      </c>
      <c r="IO194" s="263">
        <f t="shared" si="857"/>
        <v>7.28206757758712</v>
      </c>
      <c r="IP194" s="263">
        <f t="shared" si="857"/>
        <v>7.28206757758712</v>
      </c>
      <c r="IQ194" s="263">
        <f t="shared" si="857"/>
        <v>7.28206757758712</v>
      </c>
      <c r="IR194" s="263">
        <f t="shared" si="857"/>
        <v>7.28206757758712</v>
      </c>
      <c r="IS194" s="263">
        <f t="shared" si="857"/>
        <v>7.28206757758712</v>
      </c>
      <c r="IT194" s="230">
        <f t="shared" si="858"/>
        <v>87.384810931045422</v>
      </c>
      <c r="IU194" s="266"/>
      <c r="IV194" s="263">
        <f t="shared" si="859"/>
        <v>50.974473043109832</v>
      </c>
      <c r="IW194" s="263">
        <f t="shared" si="859"/>
        <v>50.974473043109832</v>
      </c>
      <c r="IX194" s="263">
        <f t="shared" si="859"/>
        <v>50.974473043109832</v>
      </c>
      <c r="IY194" s="263">
        <f t="shared" si="859"/>
        <v>50.974473043109832</v>
      </c>
      <c r="IZ194" s="263">
        <f t="shared" si="859"/>
        <v>50.974473043109832</v>
      </c>
      <c r="JA194" s="263">
        <f t="shared" si="859"/>
        <v>50.974473043109832</v>
      </c>
      <c r="JB194" s="263">
        <f t="shared" si="859"/>
        <v>50.974473043109832</v>
      </c>
      <c r="JC194" s="263">
        <f t="shared" si="859"/>
        <v>50.974473043109832</v>
      </c>
      <c r="JD194" s="263">
        <f t="shared" si="859"/>
        <v>50.974473043109832</v>
      </c>
      <c r="JE194" s="263">
        <f t="shared" si="859"/>
        <v>50.974473043109832</v>
      </c>
      <c r="JF194" s="263">
        <f t="shared" si="859"/>
        <v>50.974473043109832</v>
      </c>
      <c r="JG194" s="263">
        <f t="shared" si="859"/>
        <v>50.974473043109832</v>
      </c>
      <c r="JH194" s="230">
        <f t="shared" si="860"/>
        <v>611.69367651731784</v>
      </c>
      <c r="JI194" s="266"/>
      <c r="JJ194" s="263">
        <f t="shared" si="861"/>
        <v>80.102743353458308</v>
      </c>
      <c r="JK194" s="263">
        <f t="shared" si="861"/>
        <v>80.102743353458308</v>
      </c>
      <c r="JL194" s="263">
        <f t="shared" si="861"/>
        <v>80.102743353458308</v>
      </c>
      <c r="JM194" s="263">
        <f t="shared" si="861"/>
        <v>80.102743353458308</v>
      </c>
      <c r="JN194" s="263">
        <f t="shared" si="861"/>
        <v>80.102743353458308</v>
      </c>
      <c r="JO194" s="263">
        <f t="shared" si="861"/>
        <v>80.102743353458308</v>
      </c>
      <c r="JP194" s="263">
        <f t="shared" si="861"/>
        <v>80.102743353458308</v>
      </c>
      <c r="JQ194" s="263">
        <f t="shared" si="861"/>
        <v>80.102743353458308</v>
      </c>
      <c r="JR194" s="263">
        <f t="shared" si="861"/>
        <v>80.102743353458308</v>
      </c>
      <c r="JS194" s="263">
        <f t="shared" si="861"/>
        <v>80.102743353458308</v>
      </c>
      <c r="JT194" s="263">
        <f t="shared" si="861"/>
        <v>80.102743353458308</v>
      </c>
      <c r="JU194" s="263">
        <f t="shared" si="861"/>
        <v>80.102743353458308</v>
      </c>
      <c r="JV194" s="230">
        <f t="shared" si="862"/>
        <v>961.23292024149976</v>
      </c>
      <c r="JW194" s="266"/>
      <c r="JX194" s="263">
        <f t="shared" si="863"/>
        <v>36.410337887935597</v>
      </c>
      <c r="JY194" s="263">
        <f t="shared" si="863"/>
        <v>36.410337887935597</v>
      </c>
      <c r="JZ194" s="263">
        <f t="shared" si="863"/>
        <v>36.410337887935597</v>
      </c>
      <c r="KA194" s="263">
        <f t="shared" si="863"/>
        <v>36.410337887935597</v>
      </c>
      <c r="KB194" s="263">
        <f t="shared" si="863"/>
        <v>36.410337887935597</v>
      </c>
      <c r="KC194" s="263">
        <f t="shared" si="863"/>
        <v>36.410337887935597</v>
      </c>
      <c r="KD194" s="263">
        <f t="shared" si="863"/>
        <v>36.410337887935597</v>
      </c>
      <c r="KE194" s="263">
        <f t="shared" si="863"/>
        <v>36.410337887935597</v>
      </c>
      <c r="KF194" s="263">
        <f t="shared" si="863"/>
        <v>36.410337887935597</v>
      </c>
      <c r="KG194" s="263">
        <f t="shared" si="863"/>
        <v>36.410337887935597</v>
      </c>
      <c r="KH194" s="263">
        <f t="shared" si="863"/>
        <v>36.410337887935597</v>
      </c>
      <c r="KI194" s="263">
        <f t="shared" si="863"/>
        <v>36.410337887935597</v>
      </c>
      <c r="KJ194" s="230">
        <f t="shared" si="864"/>
        <v>436.92405465522728</v>
      </c>
      <c r="KK194" s="266"/>
      <c r="KL194" s="263">
        <f t="shared" si="865"/>
        <v>14.56413515517424</v>
      </c>
      <c r="KM194" s="263">
        <f t="shared" si="865"/>
        <v>14.56413515517424</v>
      </c>
      <c r="KN194" s="263">
        <f t="shared" si="865"/>
        <v>14.56413515517424</v>
      </c>
      <c r="KO194" s="263">
        <f t="shared" si="865"/>
        <v>14.56413515517424</v>
      </c>
      <c r="KP194" s="263">
        <f t="shared" si="865"/>
        <v>14.56413515517424</v>
      </c>
      <c r="KQ194" s="263">
        <f t="shared" si="865"/>
        <v>14.56413515517424</v>
      </c>
      <c r="KR194" s="263">
        <f t="shared" si="865"/>
        <v>14.56413515517424</v>
      </c>
      <c r="KS194" s="263">
        <f t="shared" si="865"/>
        <v>14.56413515517424</v>
      </c>
      <c r="KT194" s="263">
        <f t="shared" si="865"/>
        <v>14.56413515517424</v>
      </c>
      <c r="KU194" s="263">
        <f t="shared" si="865"/>
        <v>14.56413515517424</v>
      </c>
      <c r="KV194" s="263">
        <f t="shared" si="865"/>
        <v>14.56413515517424</v>
      </c>
      <c r="KW194" s="263">
        <f t="shared" si="865"/>
        <v>14.56413515517424</v>
      </c>
      <c r="KX194" s="230">
        <f t="shared" si="866"/>
        <v>174.76962186209084</v>
      </c>
      <c r="KY194" s="266"/>
      <c r="KZ194" s="263">
        <f t="shared" si="867"/>
        <v>7.28206757758712</v>
      </c>
      <c r="LA194" s="263">
        <f t="shared" si="867"/>
        <v>7.28206757758712</v>
      </c>
      <c r="LB194" s="263">
        <f t="shared" si="867"/>
        <v>7.28206757758712</v>
      </c>
      <c r="LC194" s="263">
        <f t="shared" si="867"/>
        <v>7.28206757758712</v>
      </c>
      <c r="LD194" s="263">
        <f t="shared" si="867"/>
        <v>7.28206757758712</v>
      </c>
      <c r="LE194" s="263">
        <f t="shared" si="867"/>
        <v>7.28206757758712</v>
      </c>
      <c r="LF194" s="263">
        <f t="shared" si="867"/>
        <v>7.28206757758712</v>
      </c>
      <c r="LG194" s="263">
        <f t="shared" si="867"/>
        <v>7.28206757758712</v>
      </c>
      <c r="LH194" s="263">
        <f t="shared" si="867"/>
        <v>7.28206757758712</v>
      </c>
      <c r="LI194" s="263">
        <f t="shared" si="867"/>
        <v>7.28206757758712</v>
      </c>
      <c r="LJ194" s="263">
        <f t="shared" si="867"/>
        <v>7.28206757758712</v>
      </c>
      <c r="LK194" s="263">
        <f t="shared" si="867"/>
        <v>7.28206757758712</v>
      </c>
      <c r="LL194" s="230">
        <f t="shared" si="868"/>
        <v>87.384810931045422</v>
      </c>
      <c r="LM194" s="266"/>
      <c r="LN194" s="263">
        <v>0</v>
      </c>
      <c r="LO194" s="264">
        <v>0</v>
      </c>
      <c r="LP194" s="265">
        <v>0</v>
      </c>
      <c r="LQ194" s="265">
        <v>0</v>
      </c>
      <c r="LR194" s="265">
        <v>0</v>
      </c>
      <c r="LS194" s="265">
        <v>0</v>
      </c>
      <c r="LT194" s="265">
        <v>0</v>
      </c>
      <c r="LU194" s="265">
        <v>0</v>
      </c>
      <c r="LV194" s="265">
        <v>0</v>
      </c>
      <c r="LW194" s="265">
        <v>0</v>
      </c>
      <c r="LX194" s="265">
        <v>0</v>
      </c>
      <c r="LY194" s="265">
        <v>0</v>
      </c>
      <c r="LZ194" s="230">
        <f t="shared" si="869"/>
        <v>0</v>
      </c>
      <c r="MA194" s="266"/>
      <c r="MB194" s="230">
        <f t="shared" si="870"/>
        <v>1194.2590827242875</v>
      </c>
      <c r="MC194" s="230">
        <f t="shared" si="870"/>
        <v>1194.2590827242875</v>
      </c>
      <c r="MD194" s="230">
        <f t="shared" si="870"/>
        <v>2295.3077004554593</v>
      </c>
      <c r="ME194" s="230">
        <f t="shared" si="870"/>
        <v>2295.3077004554593</v>
      </c>
      <c r="MF194" s="230">
        <f t="shared" si="870"/>
        <v>2295.3077004554593</v>
      </c>
      <c r="MG194" s="230">
        <f t="shared" si="870"/>
        <v>2295.3077004554593</v>
      </c>
      <c r="MH194" s="230">
        <f t="shared" si="870"/>
        <v>2295.3077004554593</v>
      </c>
      <c r="MI194" s="230">
        <f t="shared" si="870"/>
        <v>2295.3077004554593</v>
      </c>
      <c r="MJ194" s="230">
        <f t="shared" si="870"/>
        <v>2295.3077004554593</v>
      </c>
      <c r="MK194" s="230">
        <f t="shared" si="870"/>
        <v>2295.3077004554593</v>
      </c>
      <c r="ML194" s="230">
        <f t="shared" si="870"/>
        <v>2295.3077004554593</v>
      </c>
      <c r="MM194" s="230">
        <f t="shared" si="870"/>
        <v>2295.3077004554593</v>
      </c>
      <c r="MN194" s="230">
        <f t="shared" si="871"/>
        <v>25341.595170003166</v>
      </c>
    </row>
    <row r="195" spans="1:352" x14ac:dyDescent="0.25">
      <c r="A195" s="262"/>
      <c r="B195" s="64" t="s">
        <v>69</v>
      </c>
      <c r="C195" s="98"/>
      <c r="D195" s="263">
        <f t="shared" si="824"/>
        <v>269.80296805725789</v>
      </c>
      <c r="E195" s="263">
        <f t="shared" si="824"/>
        <v>269.80296805725789</v>
      </c>
      <c r="F195" s="263">
        <f t="shared" si="824"/>
        <v>269.80296805725789</v>
      </c>
      <c r="G195" s="263">
        <f t="shared" si="824"/>
        <v>269.80296805725789</v>
      </c>
      <c r="H195" s="263">
        <f t="shared" si="824"/>
        <v>269.80296805725789</v>
      </c>
      <c r="I195" s="263">
        <f t="shared" si="824"/>
        <v>269.80296805725789</v>
      </c>
      <c r="J195" s="263">
        <f t="shared" si="824"/>
        <v>269.80296805725789</v>
      </c>
      <c r="K195" s="263">
        <f t="shared" si="824"/>
        <v>269.80296805725789</v>
      </c>
      <c r="L195" s="263">
        <f t="shared" si="824"/>
        <v>269.80296805725789</v>
      </c>
      <c r="M195" s="263">
        <f t="shared" si="824"/>
        <v>269.80296805725789</v>
      </c>
      <c r="N195" s="263">
        <f t="shared" si="824"/>
        <v>269.80296805725789</v>
      </c>
      <c r="O195" s="263">
        <f t="shared" si="824"/>
        <v>269.80296805725789</v>
      </c>
      <c r="P195" s="230">
        <f t="shared" si="825"/>
        <v>3237.6356166870955</v>
      </c>
      <c r="Q195" s="266"/>
      <c r="R195" s="263">
        <f t="shared" si="826"/>
        <v>27.910651867992193</v>
      </c>
      <c r="S195" s="263">
        <f t="shared" si="826"/>
        <v>27.910651867992193</v>
      </c>
      <c r="T195" s="263">
        <f t="shared" si="826"/>
        <v>27.910651867992193</v>
      </c>
      <c r="U195" s="263">
        <f t="shared" si="826"/>
        <v>27.910651867992193</v>
      </c>
      <c r="V195" s="263">
        <f t="shared" si="826"/>
        <v>27.910651867992193</v>
      </c>
      <c r="W195" s="263">
        <f t="shared" si="826"/>
        <v>27.910651867992193</v>
      </c>
      <c r="X195" s="263">
        <f t="shared" si="826"/>
        <v>27.910651867992193</v>
      </c>
      <c r="Y195" s="263">
        <f t="shared" si="826"/>
        <v>27.910651867992193</v>
      </c>
      <c r="Z195" s="263">
        <f t="shared" si="826"/>
        <v>27.910651867992193</v>
      </c>
      <c r="AA195" s="263">
        <f t="shared" si="826"/>
        <v>27.910651867992193</v>
      </c>
      <c r="AB195" s="263">
        <f t="shared" si="826"/>
        <v>27.910651867992193</v>
      </c>
      <c r="AC195" s="263">
        <f t="shared" si="826"/>
        <v>27.910651867992193</v>
      </c>
      <c r="AD195" s="230">
        <f t="shared" si="827"/>
        <v>334.92782241590635</v>
      </c>
      <c r="AE195" s="266"/>
      <c r="AF195" s="263">
        <f t="shared" si="828"/>
        <v>27.910651867992193</v>
      </c>
      <c r="AG195" s="263">
        <f t="shared" si="828"/>
        <v>27.910651867992193</v>
      </c>
      <c r="AH195" s="263">
        <f t="shared" si="828"/>
        <v>27.910651867992193</v>
      </c>
      <c r="AI195" s="263">
        <f t="shared" si="828"/>
        <v>27.910651867992193</v>
      </c>
      <c r="AJ195" s="263">
        <f t="shared" si="828"/>
        <v>27.910651867992193</v>
      </c>
      <c r="AK195" s="263">
        <f t="shared" si="828"/>
        <v>27.910651867992193</v>
      </c>
      <c r="AL195" s="263">
        <f t="shared" si="828"/>
        <v>27.910651867992193</v>
      </c>
      <c r="AM195" s="263">
        <f t="shared" si="828"/>
        <v>27.910651867992193</v>
      </c>
      <c r="AN195" s="263">
        <f t="shared" si="828"/>
        <v>27.910651867992193</v>
      </c>
      <c r="AO195" s="263">
        <f t="shared" si="828"/>
        <v>27.910651867992193</v>
      </c>
      <c r="AP195" s="263">
        <f t="shared" si="828"/>
        <v>27.910651867992193</v>
      </c>
      <c r="AQ195" s="263">
        <f t="shared" si="828"/>
        <v>27.910651867992193</v>
      </c>
      <c r="AR195" s="230">
        <f t="shared" si="829"/>
        <v>334.92782241590635</v>
      </c>
      <c r="AS195" s="266"/>
      <c r="AT195" s="263">
        <f t="shared" si="830"/>
        <v>18.607101245328128</v>
      </c>
      <c r="AU195" s="263">
        <f t="shared" si="830"/>
        <v>18.607101245328128</v>
      </c>
      <c r="AV195" s="263">
        <f t="shared" si="830"/>
        <v>18.607101245328128</v>
      </c>
      <c r="AW195" s="263">
        <f t="shared" si="830"/>
        <v>18.607101245328128</v>
      </c>
      <c r="AX195" s="263">
        <f t="shared" si="830"/>
        <v>18.607101245328128</v>
      </c>
      <c r="AY195" s="263">
        <f t="shared" si="830"/>
        <v>18.607101245328128</v>
      </c>
      <c r="AZ195" s="263">
        <f t="shared" si="830"/>
        <v>18.607101245328128</v>
      </c>
      <c r="BA195" s="263">
        <f t="shared" si="830"/>
        <v>18.607101245328128</v>
      </c>
      <c r="BB195" s="263">
        <f t="shared" si="830"/>
        <v>18.607101245328128</v>
      </c>
      <c r="BC195" s="263">
        <f t="shared" si="830"/>
        <v>18.607101245328128</v>
      </c>
      <c r="BD195" s="263">
        <f t="shared" si="830"/>
        <v>18.607101245328128</v>
      </c>
      <c r="BE195" s="263">
        <f t="shared" si="830"/>
        <v>18.607101245328128</v>
      </c>
      <c r="BF195" s="230">
        <f t="shared" si="831"/>
        <v>223.28521494393752</v>
      </c>
      <c r="BG195" s="224"/>
      <c r="BH195" s="263">
        <f t="shared" si="832"/>
        <v>139.55325933996096</v>
      </c>
      <c r="BI195" s="263">
        <f t="shared" si="832"/>
        <v>139.55325933996096</v>
      </c>
      <c r="BJ195" s="263">
        <f t="shared" si="832"/>
        <v>139.55325933996096</v>
      </c>
      <c r="BK195" s="263">
        <f t="shared" si="832"/>
        <v>139.55325933996096</v>
      </c>
      <c r="BL195" s="263">
        <f t="shared" si="832"/>
        <v>139.55325933996096</v>
      </c>
      <c r="BM195" s="263">
        <f t="shared" si="832"/>
        <v>139.55325933996096</v>
      </c>
      <c r="BN195" s="263">
        <f t="shared" si="832"/>
        <v>139.55325933996096</v>
      </c>
      <c r="BO195" s="263">
        <f t="shared" si="832"/>
        <v>139.55325933996096</v>
      </c>
      <c r="BP195" s="263">
        <f t="shared" si="832"/>
        <v>139.55325933996096</v>
      </c>
      <c r="BQ195" s="263">
        <f t="shared" si="832"/>
        <v>139.55325933996096</v>
      </c>
      <c r="BR195" s="263">
        <f t="shared" si="832"/>
        <v>139.55325933996096</v>
      </c>
      <c r="BS195" s="263">
        <f t="shared" si="832"/>
        <v>139.55325933996096</v>
      </c>
      <c r="BT195" s="230">
        <f t="shared" si="833"/>
        <v>1674.6391120795315</v>
      </c>
      <c r="BU195" s="266"/>
      <c r="BV195" s="263">
        <f t="shared" si="834"/>
        <v>9.3035506226640639</v>
      </c>
      <c r="BW195" s="263">
        <f t="shared" si="834"/>
        <v>9.3035506226640639</v>
      </c>
      <c r="BX195" s="263">
        <f t="shared" si="834"/>
        <v>9.3035506226640639</v>
      </c>
      <c r="BY195" s="263">
        <f t="shared" si="834"/>
        <v>9.3035506226640639</v>
      </c>
      <c r="BZ195" s="263">
        <f t="shared" si="834"/>
        <v>9.3035506226640639</v>
      </c>
      <c r="CA195" s="263">
        <f t="shared" si="834"/>
        <v>9.3035506226640639</v>
      </c>
      <c r="CB195" s="263">
        <f t="shared" si="834"/>
        <v>9.3035506226640639</v>
      </c>
      <c r="CC195" s="263">
        <f t="shared" si="834"/>
        <v>9.3035506226640639</v>
      </c>
      <c r="CD195" s="263">
        <f t="shared" si="834"/>
        <v>9.3035506226640639</v>
      </c>
      <c r="CE195" s="263">
        <f t="shared" si="834"/>
        <v>9.3035506226640639</v>
      </c>
      <c r="CF195" s="263">
        <f t="shared" si="834"/>
        <v>9.3035506226640639</v>
      </c>
      <c r="CG195" s="263">
        <f t="shared" si="834"/>
        <v>9.3035506226640639</v>
      </c>
      <c r="CH195" s="230">
        <f t="shared" si="835"/>
        <v>111.64260747196876</v>
      </c>
      <c r="CI195" s="266"/>
      <c r="CJ195" s="263">
        <f t="shared" si="836"/>
        <v>102.33905684930471</v>
      </c>
      <c r="CK195" s="263">
        <f t="shared" si="836"/>
        <v>102.33905684930471</v>
      </c>
      <c r="CL195" s="263">
        <f t="shared" si="836"/>
        <v>102.33905684930471</v>
      </c>
      <c r="CM195" s="263">
        <f t="shared" si="836"/>
        <v>102.33905684930471</v>
      </c>
      <c r="CN195" s="263">
        <f t="shared" si="836"/>
        <v>102.33905684930471</v>
      </c>
      <c r="CO195" s="263">
        <f t="shared" si="836"/>
        <v>102.33905684930471</v>
      </c>
      <c r="CP195" s="263">
        <f t="shared" si="836"/>
        <v>102.33905684930471</v>
      </c>
      <c r="CQ195" s="263">
        <f t="shared" si="836"/>
        <v>102.33905684930471</v>
      </c>
      <c r="CR195" s="263">
        <f t="shared" si="836"/>
        <v>102.33905684930471</v>
      </c>
      <c r="CS195" s="263">
        <f t="shared" si="836"/>
        <v>102.33905684930471</v>
      </c>
      <c r="CT195" s="263">
        <f t="shared" si="836"/>
        <v>102.33905684930471</v>
      </c>
      <c r="CU195" s="263">
        <f t="shared" si="836"/>
        <v>102.33905684930471</v>
      </c>
      <c r="CV195" s="230">
        <f t="shared" si="837"/>
        <v>1228.0686821916565</v>
      </c>
      <c r="CW195" s="266"/>
      <c r="CX195" s="263">
        <f t="shared" si="838"/>
        <v>260.49941743459379</v>
      </c>
      <c r="CY195" s="263">
        <f t="shared" si="838"/>
        <v>260.49941743459379</v>
      </c>
      <c r="CZ195" s="263">
        <f t="shared" si="838"/>
        <v>260.49941743459379</v>
      </c>
      <c r="DA195" s="263">
        <f t="shared" si="838"/>
        <v>260.49941743459379</v>
      </c>
      <c r="DB195" s="263">
        <f t="shared" si="838"/>
        <v>260.49941743459379</v>
      </c>
      <c r="DC195" s="263">
        <f t="shared" si="838"/>
        <v>260.49941743459379</v>
      </c>
      <c r="DD195" s="263">
        <f t="shared" si="838"/>
        <v>260.49941743459379</v>
      </c>
      <c r="DE195" s="263">
        <f t="shared" si="838"/>
        <v>260.49941743459379</v>
      </c>
      <c r="DF195" s="263">
        <f t="shared" si="838"/>
        <v>260.49941743459379</v>
      </c>
      <c r="DG195" s="263">
        <f t="shared" si="838"/>
        <v>260.49941743459379</v>
      </c>
      <c r="DH195" s="263">
        <f t="shared" si="838"/>
        <v>260.49941743459379</v>
      </c>
      <c r="DI195" s="263">
        <f t="shared" si="838"/>
        <v>260.49941743459379</v>
      </c>
      <c r="DJ195" s="230">
        <f t="shared" si="839"/>
        <v>3125.9930092151258</v>
      </c>
      <c r="DK195" s="266"/>
      <c r="DL195" s="263">
        <f t="shared" si="840"/>
        <v>260.49941743459379</v>
      </c>
      <c r="DM195" s="263">
        <f t="shared" si="840"/>
        <v>260.49941743459379</v>
      </c>
      <c r="DN195" s="263">
        <f t="shared" si="840"/>
        <v>260.49941743459379</v>
      </c>
      <c r="DO195" s="263">
        <f t="shared" si="840"/>
        <v>260.49941743459379</v>
      </c>
      <c r="DP195" s="263">
        <f t="shared" si="840"/>
        <v>260.49941743459379</v>
      </c>
      <c r="DQ195" s="263">
        <f t="shared" si="840"/>
        <v>260.49941743459379</v>
      </c>
      <c r="DR195" s="263">
        <f t="shared" si="840"/>
        <v>260.49941743459379</v>
      </c>
      <c r="DS195" s="263">
        <f t="shared" si="840"/>
        <v>260.49941743459379</v>
      </c>
      <c r="DT195" s="263">
        <f t="shared" si="840"/>
        <v>260.49941743459379</v>
      </c>
      <c r="DU195" s="263">
        <f t="shared" si="840"/>
        <v>260.49941743459379</v>
      </c>
      <c r="DV195" s="263">
        <f t="shared" si="840"/>
        <v>260.49941743459379</v>
      </c>
      <c r="DW195" s="263">
        <f t="shared" si="840"/>
        <v>260.49941743459379</v>
      </c>
      <c r="DX195" s="230">
        <f t="shared" si="841"/>
        <v>3125.9930092151258</v>
      </c>
      <c r="DY195" s="266"/>
      <c r="DZ195" s="263">
        <f t="shared" si="842"/>
        <v>9.3035506226640639</v>
      </c>
      <c r="EA195" s="263">
        <f t="shared" si="842"/>
        <v>9.3035506226640639</v>
      </c>
      <c r="EB195" s="263">
        <f t="shared" si="842"/>
        <v>9.3035506226640639</v>
      </c>
      <c r="EC195" s="263">
        <f t="shared" si="842"/>
        <v>9.3035506226640639</v>
      </c>
      <c r="ED195" s="263">
        <f t="shared" si="842"/>
        <v>9.3035506226640639</v>
      </c>
      <c r="EE195" s="263">
        <f t="shared" si="842"/>
        <v>9.3035506226640639</v>
      </c>
      <c r="EF195" s="263">
        <f t="shared" si="842"/>
        <v>9.3035506226640639</v>
      </c>
      <c r="EG195" s="263">
        <f t="shared" si="842"/>
        <v>9.3035506226640639</v>
      </c>
      <c r="EH195" s="263">
        <f t="shared" si="842"/>
        <v>9.3035506226640639</v>
      </c>
      <c r="EI195" s="263">
        <f t="shared" si="842"/>
        <v>9.3035506226640639</v>
      </c>
      <c r="EJ195" s="263">
        <f t="shared" si="842"/>
        <v>9.3035506226640639</v>
      </c>
      <c r="EK195" s="263">
        <f t="shared" si="842"/>
        <v>9.3035506226640639</v>
      </c>
      <c r="EL195" s="230">
        <f t="shared" si="843"/>
        <v>111.64260747196876</v>
      </c>
      <c r="EM195" s="266"/>
      <c r="EN195" s="263">
        <f t="shared" si="844"/>
        <v>18.607101245328128</v>
      </c>
      <c r="EO195" s="263">
        <f t="shared" si="844"/>
        <v>18.607101245328128</v>
      </c>
      <c r="EP195" s="263">
        <f t="shared" si="844"/>
        <v>18.607101245328128</v>
      </c>
      <c r="EQ195" s="263">
        <f t="shared" si="844"/>
        <v>18.607101245328128</v>
      </c>
      <c r="ER195" s="263">
        <f t="shared" si="844"/>
        <v>18.607101245328128</v>
      </c>
      <c r="ES195" s="263">
        <f t="shared" si="844"/>
        <v>18.607101245328128</v>
      </c>
      <c r="ET195" s="263">
        <f t="shared" si="844"/>
        <v>18.607101245328128</v>
      </c>
      <c r="EU195" s="263">
        <f t="shared" si="844"/>
        <v>18.607101245328128</v>
      </c>
      <c r="EV195" s="263">
        <f t="shared" si="844"/>
        <v>18.607101245328128</v>
      </c>
      <c r="EW195" s="263">
        <f t="shared" si="844"/>
        <v>18.607101245328128</v>
      </c>
      <c r="EX195" s="263">
        <f t="shared" si="844"/>
        <v>18.607101245328128</v>
      </c>
      <c r="EY195" s="263">
        <f t="shared" si="844"/>
        <v>18.607101245328128</v>
      </c>
      <c r="EZ195" s="230">
        <f t="shared" si="845"/>
        <v>223.28521494393752</v>
      </c>
      <c r="FA195" s="266"/>
      <c r="FB195" s="263">
        <f t="shared" si="846"/>
        <v>9.3035506226640639</v>
      </c>
      <c r="FC195" s="263">
        <f t="shared" si="846"/>
        <v>9.3035506226640639</v>
      </c>
      <c r="FD195" s="263">
        <f t="shared" si="846"/>
        <v>9.3035506226640639</v>
      </c>
      <c r="FE195" s="263">
        <f t="shared" si="846"/>
        <v>9.3035506226640639</v>
      </c>
      <c r="FF195" s="263">
        <f t="shared" si="846"/>
        <v>9.3035506226640639</v>
      </c>
      <c r="FG195" s="263">
        <f t="shared" si="846"/>
        <v>9.3035506226640639</v>
      </c>
      <c r="FH195" s="263">
        <f t="shared" si="846"/>
        <v>9.3035506226640639</v>
      </c>
      <c r="FI195" s="263">
        <f t="shared" si="846"/>
        <v>9.3035506226640639</v>
      </c>
      <c r="FJ195" s="263">
        <f t="shared" si="846"/>
        <v>9.3035506226640639</v>
      </c>
      <c r="FK195" s="263">
        <f t="shared" si="846"/>
        <v>9.3035506226640639</v>
      </c>
      <c r="FL195" s="263">
        <f t="shared" si="846"/>
        <v>9.3035506226640639</v>
      </c>
      <c r="FM195" s="263">
        <f t="shared" si="846"/>
        <v>9.3035506226640639</v>
      </c>
      <c r="FN195" s="230">
        <f t="shared" si="847"/>
        <v>111.64260747196876</v>
      </c>
      <c r="FO195" s="266"/>
      <c r="FP195" s="263">
        <f t="shared" si="848"/>
        <v>65.124854358648449</v>
      </c>
      <c r="FQ195" s="263">
        <f t="shared" si="848"/>
        <v>65.124854358648449</v>
      </c>
      <c r="FR195" s="263">
        <f t="shared" si="848"/>
        <v>65.124854358648449</v>
      </c>
      <c r="FS195" s="263">
        <f t="shared" si="848"/>
        <v>65.124854358648449</v>
      </c>
      <c r="FT195" s="263">
        <f t="shared" si="848"/>
        <v>65.124854358648449</v>
      </c>
      <c r="FU195" s="263">
        <f t="shared" si="848"/>
        <v>65.124854358648449</v>
      </c>
      <c r="FV195" s="263">
        <f t="shared" si="848"/>
        <v>65.124854358648449</v>
      </c>
      <c r="FW195" s="263">
        <f t="shared" si="848"/>
        <v>65.124854358648449</v>
      </c>
      <c r="FX195" s="263">
        <f t="shared" si="848"/>
        <v>65.124854358648449</v>
      </c>
      <c r="FY195" s="263">
        <f t="shared" si="848"/>
        <v>65.124854358648449</v>
      </c>
      <c r="FZ195" s="263">
        <f t="shared" si="848"/>
        <v>65.124854358648449</v>
      </c>
      <c r="GA195" s="263">
        <f t="shared" si="848"/>
        <v>65.124854358648449</v>
      </c>
      <c r="GB195" s="230">
        <f t="shared" si="849"/>
        <v>781.49825230378144</v>
      </c>
      <c r="GC195" s="266"/>
      <c r="GD195" s="263">
        <f t="shared" si="850"/>
        <v>9.3035506226640639</v>
      </c>
      <c r="GE195" s="263">
        <f t="shared" si="850"/>
        <v>9.3035506226640639</v>
      </c>
      <c r="GF195" s="263">
        <f t="shared" si="850"/>
        <v>9.3035506226640639</v>
      </c>
      <c r="GG195" s="263">
        <f t="shared" si="850"/>
        <v>9.3035506226640639</v>
      </c>
      <c r="GH195" s="263">
        <f t="shared" si="850"/>
        <v>9.3035506226640639</v>
      </c>
      <c r="GI195" s="263">
        <f t="shared" si="850"/>
        <v>9.3035506226640639</v>
      </c>
      <c r="GJ195" s="263">
        <f t="shared" si="850"/>
        <v>9.3035506226640639</v>
      </c>
      <c r="GK195" s="263">
        <f t="shared" si="850"/>
        <v>9.3035506226640639</v>
      </c>
      <c r="GL195" s="263">
        <f t="shared" si="850"/>
        <v>9.3035506226640639</v>
      </c>
      <c r="GM195" s="263">
        <f t="shared" si="850"/>
        <v>9.3035506226640639</v>
      </c>
      <c r="GN195" s="263">
        <f t="shared" si="850"/>
        <v>9.3035506226640639</v>
      </c>
      <c r="GO195" s="263">
        <f t="shared" si="850"/>
        <v>9.3035506226640639</v>
      </c>
      <c r="GP195" s="230">
        <f t="shared" si="851"/>
        <v>111.64260747196876</v>
      </c>
      <c r="GQ195" s="266"/>
      <c r="GR195" s="263">
        <f t="shared" si="852"/>
        <v>0</v>
      </c>
      <c r="GS195" s="263">
        <f t="shared" si="852"/>
        <v>0</v>
      </c>
      <c r="GT195" s="263">
        <f t="shared" si="852"/>
        <v>1922.2175881792182</v>
      </c>
      <c r="GU195" s="263">
        <f t="shared" si="852"/>
        <v>1922.2175881792182</v>
      </c>
      <c r="GV195" s="263">
        <f t="shared" si="852"/>
        <v>1922.2175881792182</v>
      </c>
      <c r="GW195" s="263">
        <f t="shared" si="852"/>
        <v>1922.2175881792182</v>
      </c>
      <c r="GX195" s="263">
        <f t="shared" si="852"/>
        <v>1922.2175881792182</v>
      </c>
      <c r="GY195" s="263">
        <f t="shared" si="852"/>
        <v>1922.2175881792182</v>
      </c>
      <c r="GZ195" s="263">
        <f t="shared" si="852"/>
        <v>1922.2175881792182</v>
      </c>
      <c r="HA195" s="263">
        <f t="shared" si="852"/>
        <v>1922.2175881792182</v>
      </c>
      <c r="HB195" s="263">
        <f t="shared" si="852"/>
        <v>1922.2175881792182</v>
      </c>
      <c r="HC195" s="263">
        <f t="shared" si="852"/>
        <v>1922.2175881792182</v>
      </c>
      <c r="HD195" s="230">
        <f t="shared" si="872"/>
        <v>0</v>
      </c>
      <c r="HE195" s="266"/>
      <c r="HF195" s="263">
        <f t="shared" si="853"/>
        <v>37.214202490656255</v>
      </c>
      <c r="HG195" s="263">
        <f t="shared" si="853"/>
        <v>37.214202490656255</v>
      </c>
      <c r="HH195" s="263">
        <f t="shared" si="853"/>
        <v>37.214202490656255</v>
      </c>
      <c r="HI195" s="263">
        <f t="shared" si="853"/>
        <v>37.214202490656255</v>
      </c>
      <c r="HJ195" s="263">
        <f t="shared" si="853"/>
        <v>37.214202490656255</v>
      </c>
      <c r="HK195" s="263">
        <f t="shared" si="853"/>
        <v>37.214202490656255</v>
      </c>
      <c r="HL195" s="263">
        <f t="shared" si="853"/>
        <v>37.214202490656255</v>
      </c>
      <c r="HM195" s="263">
        <f t="shared" si="853"/>
        <v>37.214202490656255</v>
      </c>
      <c r="HN195" s="263">
        <f t="shared" si="853"/>
        <v>37.214202490656255</v>
      </c>
      <c r="HO195" s="263">
        <f t="shared" si="853"/>
        <v>37.214202490656255</v>
      </c>
      <c r="HP195" s="263">
        <f t="shared" si="853"/>
        <v>37.214202490656255</v>
      </c>
      <c r="HQ195" s="263">
        <f t="shared" si="853"/>
        <v>37.214202490656255</v>
      </c>
      <c r="HR195" s="230">
        <f t="shared" si="854"/>
        <v>446.57042988787504</v>
      </c>
      <c r="HS195" s="266"/>
      <c r="HT195" s="263">
        <f t="shared" si="855"/>
        <v>9.3035506226640639</v>
      </c>
      <c r="HU195" s="263">
        <f t="shared" si="855"/>
        <v>9.3035506226640639</v>
      </c>
      <c r="HV195" s="263">
        <f t="shared" si="855"/>
        <v>9.3035506226640639</v>
      </c>
      <c r="HW195" s="263">
        <f t="shared" si="855"/>
        <v>9.3035506226640639</v>
      </c>
      <c r="HX195" s="263">
        <f t="shared" si="855"/>
        <v>9.3035506226640639</v>
      </c>
      <c r="HY195" s="263">
        <f t="shared" si="855"/>
        <v>9.3035506226640639</v>
      </c>
      <c r="HZ195" s="263">
        <f t="shared" si="855"/>
        <v>9.3035506226640639</v>
      </c>
      <c r="IA195" s="263">
        <f t="shared" si="855"/>
        <v>9.3035506226640639</v>
      </c>
      <c r="IB195" s="263">
        <f t="shared" si="855"/>
        <v>9.3035506226640639</v>
      </c>
      <c r="IC195" s="263">
        <f t="shared" si="855"/>
        <v>9.3035506226640639</v>
      </c>
      <c r="ID195" s="263">
        <f t="shared" si="855"/>
        <v>9.3035506226640639</v>
      </c>
      <c r="IE195" s="263">
        <f t="shared" si="855"/>
        <v>9.3035506226640639</v>
      </c>
      <c r="IF195" s="230">
        <f t="shared" si="856"/>
        <v>111.64260747196876</v>
      </c>
      <c r="IG195" s="266"/>
      <c r="IH195" s="263">
        <f t="shared" si="857"/>
        <v>9.3035506226640639</v>
      </c>
      <c r="II195" s="263">
        <f t="shared" si="857"/>
        <v>9.3035506226640639</v>
      </c>
      <c r="IJ195" s="263">
        <f t="shared" si="857"/>
        <v>9.3035506226640639</v>
      </c>
      <c r="IK195" s="263">
        <f t="shared" si="857"/>
        <v>9.3035506226640639</v>
      </c>
      <c r="IL195" s="263">
        <f t="shared" si="857"/>
        <v>9.3035506226640639</v>
      </c>
      <c r="IM195" s="263">
        <f t="shared" si="857"/>
        <v>9.3035506226640639</v>
      </c>
      <c r="IN195" s="263">
        <f t="shared" si="857"/>
        <v>9.3035506226640639</v>
      </c>
      <c r="IO195" s="263">
        <f t="shared" si="857"/>
        <v>9.3035506226640639</v>
      </c>
      <c r="IP195" s="263">
        <f t="shared" si="857"/>
        <v>9.3035506226640639</v>
      </c>
      <c r="IQ195" s="263">
        <f t="shared" si="857"/>
        <v>9.3035506226640639</v>
      </c>
      <c r="IR195" s="263">
        <f t="shared" si="857"/>
        <v>9.3035506226640639</v>
      </c>
      <c r="IS195" s="263">
        <f t="shared" si="857"/>
        <v>9.3035506226640639</v>
      </c>
      <c r="IT195" s="230">
        <f t="shared" si="858"/>
        <v>111.64260747196876</v>
      </c>
      <c r="IU195" s="266"/>
      <c r="IV195" s="263">
        <f t="shared" si="859"/>
        <v>65.124854358648449</v>
      </c>
      <c r="IW195" s="263">
        <f t="shared" si="859"/>
        <v>65.124854358648449</v>
      </c>
      <c r="IX195" s="263">
        <f t="shared" si="859"/>
        <v>65.124854358648449</v>
      </c>
      <c r="IY195" s="263">
        <f t="shared" si="859"/>
        <v>65.124854358648449</v>
      </c>
      <c r="IZ195" s="263">
        <f t="shared" si="859"/>
        <v>65.124854358648449</v>
      </c>
      <c r="JA195" s="263">
        <f t="shared" si="859"/>
        <v>65.124854358648449</v>
      </c>
      <c r="JB195" s="263">
        <f t="shared" si="859"/>
        <v>65.124854358648449</v>
      </c>
      <c r="JC195" s="263">
        <f t="shared" si="859"/>
        <v>65.124854358648449</v>
      </c>
      <c r="JD195" s="263">
        <f t="shared" si="859"/>
        <v>65.124854358648449</v>
      </c>
      <c r="JE195" s="263">
        <f t="shared" si="859"/>
        <v>65.124854358648449</v>
      </c>
      <c r="JF195" s="263">
        <f t="shared" si="859"/>
        <v>65.124854358648449</v>
      </c>
      <c r="JG195" s="263">
        <f t="shared" si="859"/>
        <v>65.124854358648449</v>
      </c>
      <c r="JH195" s="230">
        <f t="shared" si="860"/>
        <v>781.49825230378144</v>
      </c>
      <c r="JI195" s="266"/>
      <c r="JJ195" s="263">
        <f t="shared" si="861"/>
        <v>102.33905684930471</v>
      </c>
      <c r="JK195" s="263">
        <f t="shared" si="861"/>
        <v>102.33905684930471</v>
      </c>
      <c r="JL195" s="263">
        <f t="shared" si="861"/>
        <v>102.33905684930471</v>
      </c>
      <c r="JM195" s="263">
        <f t="shared" si="861"/>
        <v>102.33905684930471</v>
      </c>
      <c r="JN195" s="263">
        <f t="shared" si="861"/>
        <v>102.33905684930471</v>
      </c>
      <c r="JO195" s="263">
        <f t="shared" si="861"/>
        <v>102.33905684930471</v>
      </c>
      <c r="JP195" s="263">
        <f t="shared" si="861"/>
        <v>102.33905684930471</v>
      </c>
      <c r="JQ195" s="263">
        <f t="shared" si="861"/>
        <v>102.33905684930471</v>
      </c>
      <c r="JR195" s="263">
        <f t="shared" si="861"/>
        <v>102.33905684930471</v>
      </c>
      <c r="JS195" s="263">
        <f t="shared" si="861"/>
        <v>102.33905684930471</v>
      </c>
      <c r="JT195" s="263">
        <f t="shared" si="861"/>
        <v>102.33905684930471</v>
      </c>
      <c r="JU195" s="263">
        <f t="shared" si="861"/>
        <v>102.33905684930471</v>
      </c>
      <c r="JV195" s="230">
        <f t="shared" si="862"/>
        <v>1228.0686821916565</v>
      </c>
      <c r="JW195" s="266"/>
      <c r="JX195" s="263">
        <f t="shared" si="863"/>
        <v>46.517753113320325</v>
      </c>
      <c r="JY195" s="263">
        <f t="shared" si="863"/>
        <v>46.517753113320325</v>
      </c>
      <c r="JZ195" s="263">
        <f t="shared" si="863"/>
        <v>46.517753113320325</v>
      </c>
      <c r="KA195" s="263">
        <f t="shared" si="863"/>
        <v>46.517753113320325</v>
      </c>
      <c r="KB195" s="263">
        <f t="shared" si="863"/>
        <v>46.517753113320325</v>
      </c>
      <c r="KC195" s="263">
        <f t="shared" si="863"/>
        <v>46.517753113320325</v>
      </c>
      <c r="KD195" s="263">
        <f t="shared" si="863"/>
        <v>46.517753113320325</v>
      </c>
      <c r="KE195" s="263">
        <f t="shared" si="863"/>
        <v>46.517753113320325</v>
      </c>
      <c r="KF195" s="263">
        <f t="shared" si="863"/>
        <v>46.517753113320325</v>
      </c>
      <c r="KG195" s="263">
        <f t="shared" si="863"/>
        <v>46.517753113320325</v>
      </c>
      <c r="KH195" s="263">
        <f t="shared" si="863"/>
        <v>46.517753113320325</v>
      </c>
      <c r="KI195" s="263">
        <f t="shared" si="863"/>
        <v>46.517753113320325</v>
      </c>
      <c r="KJ195" s="230">
        <f t="shared" si="864"/>
        <v>558.21303735984395</v>
      </c>
      <c r="KK195" s="266"/>
      <c r="KL195" s="263">
        <f t="shared" si="865"/>
        <v>18.607101245328128</v>
      </c>
      <c r="KM195" s="263">
        <f t="shared" si="865"/>
        <v>18.607101245328128</v>
      </c>
      <c r="KN195" s="263">
        <f t="shared" si="865"/>
        <v>18.607101245328128</v>
      </c>
      <c r="KO195" s="263">
        <f t="shared" si="865"/>
        <v>18.607101245328128</v>
      </c>
      <c r="KP195" s="263">
        <f t="shared" si="865"/>
        <v>18.607101245328128</v>
      </c>
      <c r="KQ195" s="263">
        <f t="shared" si="865"/>
        <v>18.607101245328128</v>
      </c>
      <c r="KR195" s="263">
        <f t="shared" si="865"/>
        <v>18.607101245328128</v>
      </c>
      <c r="KS195" s="263">
        <f t="shared" si="865"/>
        <v>18.607101245328128</v>
      </c>
      <c r="KT195" s="263">
        <f t="shared" si="865"/>
        <v>18.607101245328128</v>
      </c>
      <c r="KU195" s="263">
        <f t="shared" si="865"/>
        <v>18.607101245328128</v>
      </c>
      <c r="KV195" s="263">
        <f t="shared" si="865"/>
        <v>18.607101245328128</v>
      </c>
      <c r="KW195" s="263">
        <f t="shared" si="865"/>
        <v>18.607101245328128</v>
      </c>
      <c r="KX195" s="230">
        <f t="shared" si="866"/>
        <v>223.28521494393752</v>
      </c>
      <c r="KY195" s="266"/>
      <c r="KZ195" s="263">
        <f t="shared" si="867"/>
        <v>9.3035506226640639</v>
      </c>
      <c r="LA195" s="263">
        <f t="shared" si="867"/>
        <v>9.3035506226640639</v>
      </c>
      <c r="LB195" s="263">
        <f t="shared" si="867"/>
        <v>9.3035506226640639</v>
      </c>
      <c r="LC195" s="263">
        <f t="shared" si="867"/>
        <v>9.3035506226640639</v>
      </c>
      <c r="LD195" s="263">
        <f t="shared" si="867"/>
        <v>9.3035506226640639</v>
      </c>
      <c r="LE195" s="263">
        <f t="shared" si="867"/>
        <v>9.3035506226640639</v>
      </c>
      <c r="LF195" s="263">
        <f t="shared" si="867"/>
        <v>9.3035506226640639</v>
      </c>
      <c r="LG195" s="263">
        <f t="shared" si="867"/>
        <v>9.3035506226640639</v>
      </c>
      <c r="LH195" s="263">
        <f t="shared" si="867"/>
        <v>9.3035506226640639</v>
      </c>
      <c r="LI195" s="263">
        <f t="shared" si="867"/>
        <v>9.3035506226640639</v>
      </c>
      <c r="LJ195" s="263">
        <f t="shared" si="867"/>
        <v>9.3035506226640639</v>
      </c>
      <c r="LK195" s="263">
        <f t="shared" si="867"/>
        <v>9.3035506226640639</v>
      </c>
      <c r="LL195" s="230">
        <f t="shared" si="868"/>
        <v>111.64260747196876</v>
      </c>
      <c r="LM195" s="266"/>
      <c r="LN195" s="263">
        <v>0</v>
      </c>
      <c r="LO195" s="264">
        <v>0</v>
      </c>
      <c r="LP195" s="265">
        <v>0</v>
      </c>
      <c r="LQ195" s="265">
        <v>0</v>
      </c>
      <c r="LR195" s="265">
        <v>0</v>
      </c>
      <c r="LS195" s="265">
        <v>0</v>
      </c>
      <c r="LT195" s="265">
        <v>0</v>
      </c>
      <c r="LU195" s="265">
        <v>0</v>
      </c>
      <c r="LV195" s="265">
        <v>0</v>
      </c>
      <c r="LW195" s="265">
        <v>0</v>
      </c>
      <c r="LX195" s="265">
        <v>0</v>
      </c>
      <c r="LY195" s="265">
        <v>0</v>
      </c>
      <c r="LZ195" s="230">
        <f t="shared" si="869"/>
        <v>0</v>
      </c>
      <c r="MA195" s="266"/>
      <c r="MB195" s="230">
        <f t="shared" si="870"/>
        <v>1525.7823021169067</v>
      </c>
      <c r="MC195" s="230">
        <f t="shared" si="870"/>
        <v>1525.7823021169067</v>
      </c>
      <c r="MD195" s="230">
        <f t="shared" si="870"/>
        <v>3447.9998902961252</v>
      </c>
      <c r="ME195" s="230">
        <f t="shared" si="870"/>
        <v>3447.9998902961252</v>
      </c>
      <c r="MF195" s="230">
        <f t="shared" si="870"/>
        <v>3447.9998902961252</v>
      </c>
      <c r="MG195" s="230">
        <f t="shared" si="870"/>
        <v>3447.9998902961252</v>
      </c>
      <c r="MH195" s="230">
        <f t="shared" si="870"/>
        <v>3447.9998902961252</v>
      </c>
      <c r="MI195" s="230">
        <f t="shared" si="870"/>
        <v>3447.9998902961252</v>
      </c>
      <c r="MJ195" s="230">
        <f t="shared" si="870"/>
        <v>3447.9998902961252</v>
      </c>
      <c r="MK195" s="230">
        <f t="shared" si="870"/>
        <v>3447.9998902961252</v>
      </c>
      <c r="ML195" s="230">
        <f t="shared" si="870"/>
        <v>3447.9998902961252</v>
      </c>
      <c r="MM195" s="230">
        <f t="shared" si="870"/>
        <v>3447.9998902961252</v>
      </c>
      <c r="MN195" s="230">
        <f t="shared" si="871"/>
        <v>37531.563507195053</v>
      </c>
    </row>
    <row r="196" spans="1:352" x14ac:dyDescent="0.25">
      <c r="A196" s="262"/>
      <c r="B196" s="64" t="s">
        <v>70</v>
      </c>
      <c r="C196" s="98"/>
      <c r="D196" s="263">
        <f t="shared" si="824"/>
        <v>5.5907837396159605</v>
      </c>
      <c r="E196" s="263">
        <f t="shared" si="824"/>
        <v>5.5907837396159605</v>
      </c>
      <c r="F196" s="263">
        <f t="shared" si="824"/>
        <v>5.5907837396159605</v>
      </c>
      <c r="G196" s="263">
        <f t="shared" si="824"/>
        <v>8.3923464524036486</v>
      </c>
      <c r="H196" s="263">
        <f t="shared" si="824"/>
        <v>8.3923464524036486</v>
      </c>
      <c r="I196" s="263">
        <f t="shared" si="824"/>
        <v>8.3923464524036486</v>
      </c>
      <c r="J196" s="263">
        <f t="shared" si="824"/>
        <v>8.3923464524036486</v>
      </c>
      <c r="K196" s="263">
        <f t="shared" si="824"/>
        <v>8.3923464524036486</v>
      </c>
      <c r="L196" s="263">
        <f t="shared" si="824"/>
        <v>8.3923464524036486</v>
      </c>
      <c r="M196" s="263">
        <f t="shared" si="824"/>
        <v>8.3923464524036486</v>
      </c>
      <c r="N196" s="263">
        <f t="shared" si="824"/>
        <v>8.3923464524036486</v>
      </c>
      <c r="O196" s="263">
        <f t="shared" si="824"/>
        <v>0</v>
      </c>
      <c r="P196" s="230">
        <f t="shared" si="825"/>
        <v>83.911122838077063</v>
      </c>
      <c r="Q196" s="266"/>
      <c r="R196" s="263">
        <f t="shared" si="826"/>
        <v>0.57835693858096138</v>
      </c>
      <c r="S196" s="263">
        <f t="shared" si="826"/>
        <v>0.57835693858096138</v>
      </c>
      <c r="T196" s="263">
        <f t="shared" si="826"/>
        <v>0.57835693858096138</v>
      </c>
      <c r="U196" s="263">
        <f t="shared" si="826"/>
        <v>0.86817377093830861</v>
      </c>
      <c r="V196" s="263">
        <f t="shared" si="826"/>
        <v>0.86817377093830861</v>
      </c>
      <c r="W196" s="263">
        <f t="shared" si="826"/>
        <v>0.86817377093830861</v>
      </c>
      <c r="X196" s="263">
        <f t="shared" si="826"/>
        <v>0.86817377093830861</v>
      </c>
      <c r="Y196" s="263">
        <f t="shared" si="826"/>
        <v>0.86817377093830861</v>
      </c>
      <c r="Z196" s="263">
        <f t="shared" si="826"/>
        <v>0.86817377093830861</v>
      </c>
      <c r="AA196" s="263">
        <f t="shared" si="826"/>
        <v>0.86817377093830861</v>
      </c>
      <c r="AB196" s="263">
        <f t="shared" si="826"/>
        <v>0.86817377093830861</v>
      </c>
      <c r="AC196" s="263">
        <f t="shared" si="826"/>
        <v>0</v>
      </c>
      <c r="AD196" s="230">
        <f t="shared" si="827"/>
        <v>8.6804609832493522</v>
      </c>
      <c r="AE196" s="266"/>
      <c r="AF196" s="263">
        <f t="shared" si="828"/>
        <v>0.57835693858096138</v>
      </c>
      <c r="AG196" s="263">
        <f t="shared" si="828"/>
        <v>0.57835693858096138</v>
      </c>
      <c r="AH196" s="263">
        <f t="shared" si="828"/>
        <v>0.57835693858096138</v>
      </c>
      <c r="AI196" s="263">
        <f t="shared" si="828"/>
        <v>0.86817377093830861</v>
      </c>
      <c r="AJ196" s="263">
        <f t="shared" si="828"/>
        <v>0.86817377093830861</v>
      </c>
      <c r="AK196" s="263">
        <f t="shared" si="828"/>
        <v>0.86817377093830861</v>
      </c>
      <c r="AL196" s="263">
        <f t="shared" si="828"/>
        <v>0.86817377093830861</v>
      </c>
      <c r="AM196" s="263">
        <f t="shared" si="828"/>
        <v>0.86817377093830861</v>
      </c>
      <c r="AN196" s="263">
        <f t="shared" si="828"/>
        <v>0.86817377093830861</v>
      </c>
      <c r="AO196" s="263">
        <f t="shared" si="828"/>
        <v>0.86817377093830861</v>
      </c>
      <c r="AP196" s="263">
        <f t="shared" si="828"/>
        <v>0.86817377093830861</v>
      </c>
      <c r="AQ196" s="263">
        <f t="shared" si="828"/>
        <v>0</v>
      </c>
      <c r="AR196" s="230">
        <f t="shared" si="829"/>
        <v>8.6804609832493522</v>
      </c>
      <c r="AS196" s="266"/>
      <c r="AT196" s="263">
        <f t="shared" si="830"/>
        <v>0.38557129238730758</v>
      </c>
      <c r="AU196" s="263">
        <f t="shared" si="830"/>
        <v>0.38557129238730758</v>
      </c>
      <c r="AV196" s="263">
        <f t="shared" si="830"/>
        <v>0.38557129238730758</v>
      </c>
      <c r="AW196" s="263">
        <f t="shared" si="830"/>
        <v>0.57878251395887237</v>
      </c>
      <c r="AX196" s="263">
        <f t="shared" si="830"/>
        <v>0.57878251395887237</v>
      </c>
      <c r="AY196" s="263">
        <f t="shared" si="830"/>
        <v>0.57878251395887237</v>
      </c>
      <c r="AZ196" s="263">
        <f t="shared" si="830"/>
        <v>0.57878251395887237</v>
      </c>
      <c r="BA196" s="263">
        <f t="shared" si="830"/>
        <v>0.57878251395887237</v>
      </c>
      <c r="BB196" s="263">
        <f t="shared" si="830"/>
        <v>0.57878251395887237</v>
      </c>
      <c r="BC196" s="263">
        <f t="shared" si="830"/>
        <v>0.57878251395887237</v>
      </c>
      <c r="BD196" s="263">
        <f t="shared" si="830"/>
        <v>0.57878251395887237</v>
      </c>
      <c r="BE196" s="263">
        <f t="shared" si="830"/>
        <v>0</v>
      </c>
      <c r="BF196" s="230">
        <f t="shared" si="831"/>
        <v>5.7869739888329015</v>
      </c>
      <c r="BG196" s="224"/>
      <c r="BH196" s="263">
        <f t="shared" si="832"/>
        <v>2.8917846929048072</v>
      </c>
      <c r="BI196" s="263">
        <f t="shared" si="832"/>
        <v>2.8917846929048072</v>
      </c>
      <c r="BJ196" s="263">
        <f t="shared" si="832"/>
        <v>2.8917846929048072</v>
      </c>
      <c r="BK196" s="263">
        <f t="shared" si="832"/>
        <v>4.3408688546915428</v>
      </c>
      <c r="BL196" s="263">
        <f t="shared" si="832"/>
        <v>4.3408688546915428</v>
      </c>
      <c r="BM196" s="263">
        <f t="shared" si="832"/>
        <v>4.3408688546915428</v>
      </c>
      <c r="BN196" s="263">
        <f t="shared" si="832"/>
        <v>4.3408688546915428</v>
      </c>
      <c r="BO196" s="263">
        <f t="shared" si="832"/>
        <v>4.3408688546915428</v>
      </c>
      <c r="BP196" s="263">
        <f t="shared" si="832"/>
        <v>4.3408688546915428</v>
      </c>
      <c r="BQ196" s="263">
        <f t="shared" si="832"/>
        <v>4.3408688546915428</v>
      </c>
      <c r="BR196" s="263">
        <f t="shared" si="832"/>
        <v>4.3408688546915428</v>
      </c>
      <c r="BS196" s="263">
        <f t="shared" si="832"/>
        <v>0</v>
      </c>
      <c r="BT196" s="230">
        <f t="shared" si="833"/>
        <v>43.402304916246763</v>
      </c>
      <c r="BU196" s="266"/>
      <c r="BV196" s="263">
        <f t="shared" si="834"/>
        <v>0.19278564619365379</v>
      </c>
      <c r="BW196" s="263">
        <f t="shared" si="834"/>
        <v>0.19278564619365379</v>
      </c>
      <c r="BX196" s="263">
        <f t="shared" si="834"/>
        <v>0.19278564619365379</v>
      </c>
      <c r="BY196" s="263">
        <f t="shared" si="834"/>
        <v>0.28939125697943618</v>
      </c>
      <c r="BZ196" s="263">
        <f t="shared" si="834"/>
        <v>0.28939125697943618</v>
      </c>
      <c r="CA196" s="263">
        <f t="shared" si="834"/>
        <v>0.28939125697943618</v>
      </c>
      <c r="CB196" s="263">
        <f t="shared" si="834"/>
        <v>0.28939125697943618</v>
      </c>
      <c r="CC196" s="263">
        <f t="shared" si="834"/>
        <v>0.28939125697943618</v>
      </c>
      <c r="CD196" s="263">
        <f t="shared" si="834"/>
        <v>0.28939125697943618</v>
      </c>
      <c r="CE196" s="263">
        <f t="shared" si="834"/>
        <v>0.28939125697943618</v>
      </c>
      <c r="CF196" s="263">
        <f t="shared" si="834"/>
        <v>0.28939125697943618</v>
      </c>
      <c r="CG196" s="263">
        <f t="shared" si="834"/>
        <v>0</v>
      </c>
      <c r="CH196" s="230">
        <f t="shared" si="835"/>
        <v>2.8934869944164507</v>
      </c>
      <c r="CI196" s="266"/>
      <c r="CJ196" s="263">
        <f t="shared" si="836"/>
        <v>2.1206421081301916</v>
      </c>
      <c r="CK196" s="263">
        <f t="shared" si="836"/>
        <v>2.1206421081301916</v>
      </c>
      <c r="CL196" s="263">
        <f t="shared" si="836"/>
        <v>2.1206421081301916</v>
      </c>
      <c r="CM196" s="263">
        <f t="shared" si="836"/>
        <v>3.1833038267737979</v>
      </c>
      <c r="CN196" s="263">
        <f t="shared" si="836"/>
        <v>3.1833038267737979</v>
      </c>
      <c r="CO196" s="263">
        <f t="shared" si="836"/>
        <v>3.1833038267737979</v>
      </c>
      <c r="CP196" s="263">
        <f t="shared" si="836"/>
        <v>3.1833038267737979</v>
      </c>
      <c r="CQ196" s="263">
        <f t="shared" si="836"/>
        <v>3.1833038267737979</v>
      </c>
      <c r="CR196" s="263">
        <f t="shared" si="836"/>
        <v>3.1833038267737979</v>
      </c>
      <c r="CS196" s="263">
        <f t="shared" si="836"/>
        <v>3.1833038267737979</v>
      </c>
      <c r="CT196" s="263">
        <f t="shared" si="836"/>
        <v>3.1833038267737979</v>
      </c>
      <c r="CU196" s="263">
        <f t="shared" si="836"/>
        <v>0</v>
      </c>
      <c r="CV196" s="230">
        <f t="shared" si="837"/>
        <v>31.82835693858096</v>
      </c>
      <c r="CW196" s="266"/>
      <c r="CX196" s="263">
        <f t="shared" si="838"/>
        <v>5.3979980934223057</v>
      </c>
      <c r="CY196" s="263">
        <f t="shared" si="838"/>
        <v>5.3979980934223057</v>
      </c>
      <c r="CZ196" s="263">
        <f t="shared" si="838"/>
        <v>5.3979980934223057</v>
      </c>
      <c r="DA196" s="263">
        <f t="shared" si="838"/>
        <v>8.1029551954242134</v>
      </c>
      <c r="DB196" s="263">
        <f t="shared" si="838"/>
        <v>8.1029551954242134</v>
      </c>
      <c r="DC196" s="263">
        <f t="shared" si="838"/>
        <v>8.1029551954242134</v>
      </c>
      <c r="DD196" s="263">
        <f t="shared" si="838"/>
        <v>8.1029551954242134</v>
      </c>
      <c r="DE196" s="263">
        <f t="shared" si="838"/>
        <v>8.1029551954242134</v>
      </c>
      <c r="DF196" s="263">
        <f t="shared" si="838"/>
        <v>8.1029551954242134</v>
      </c>
      <c r="DG196" s="263">
        <f t="shared" si="838"/>
        <v>8.1029551954242134</v>
      </c>
      <c r="DH196" s="263">
        <f t="shared" si="838"/>
        <v>8.1029551954242134</v>
      </c>
      <c r="DI196" s="263">
        <f t="shared" si="838"/>
        <v>0</v>
      </c>
      <c r="DJ196" s="230">
        <f t="shared" si="839"/>
        <v>81.017635843660628</v>
      </c>
      <c r="DK196" s="266"/>
      <c r="DL196" s="263">
        <f t="shared" si="840"/>
        <v>5.3979980934223057</v>
      </c>
      <c r="DM196" s="263">
        <f t="shared" si="840"/>
        <v>5.3979980934223057</v>
      </c>
      <c r="DN196" s="263">
        <f t="shared" si="840"/>
        <v>5.3979980934223057</v>
      </c>
      <c r="DO196" s="263">
        <f t="shared" si="840"/>
        <v>8.1029551954242134</v>
      </c>
      <c r="DP196" s="263">
        <f t="shared" si="840"/>
        <v>8.1029551954242134</v>
      </c>
      <c r="DQ196" s="263">
        <f t="shared" si="840"/>
        <v>8.1029551954242134</v>
      </c>
      <c r="DR196" s="263">
        <f t="shared" si="840"/>
        <v>8.1029551954242134</v>
      </c>
      <c r="DS196" s="263">
        <f t="shared" si="840"/>
        <v>8.1029551954242134</v>
      </c>
      <c r="DT196" s="263">
        <f t="shared" si="840"/>
        <v>8.1029551954242134</v>
      </c>
      <c r="DU196" s="263">
        <f t="shared" si="840"/>
        <v>8.1029551954242134</v>
      </c>
      <c r="DV196" s="263">
        <f t="shared" si="840"/>
        <v>8.1029551954242134</v>
      </c>
      <c r="DW196" s="263">
        <f t="shared" si="840"/>
        <v>0</v>
      </c>
      <c r="DX196" s="230">
        <f t="shared" si="841"/>
        <v>81.017635843660628</v>
      </c>
      <c r="DY196" s="266"/>
      <c r="DZ196" s="263">
        <f t="shared" si="842"/>
        <v>0.19278564619365379</v>
      </c>
      <c r="EA196" s="263">
        <f t="shared" si="842"/>
        <v>0.19278564619365379</v>
      </c>
      <c r="EB196" s="263">
        <f t="shared" si="842"/>
        <v>0.19278564619365379</v>
      </c>
      <c r="EC196" s="263">
        <f t="shared" si="842"/>
        <v>0.28939125697943618</v>
      </c>
      <c r="ED196" s="263">
        <f t="shared" si="842"/>
        <v>0.28939125697943618</v>
      </c>
      <c r="EE196" s="263">
        <f t="shared" si="842"/>
        <v>0.28939125697943618</v>
      </c>
      <c r="EF196" s="263">
        <f t="shared" si="842"/>
        <v>0.28939125697943618</v>
      </c>
      <c r="EG196" s="263">
        <f t="shared" si="842"/>
        <v>0.28939125697943618</v>
      </c>
      <c r="EH196" s="263">
        <f t="shared" si="842"/>
        <v>0.28939125697943618</v>
      </c>
      <c r="EI196" s="263">
        <f t="shared" si="842"/>
        <v>0.28939125697943618</v>
      </c>
      <c r="EJ196" s="263">
        <f t="shared" si="842"/>
        <v>0.28939125697943618</v>
      </c>
      <c r="EK196" s="263">
        <f t="shared" si="842"/>
        <v>0</v>
      </c>
      <c r="EL196" s="230">
        <f t="shared" si="843"/>
        <v>2.8934869944164507</v>
      </c>
      <c r="EM196" s="266"/>
      <c r="EN196" s="263">
        <f t="shared" si="844"/>
        <v>0.38557129238730758</v>
      </c>
      <c r="EO196" s="263">
        <f t="shared" si="844"/>
        <v>0.38557129238730758</v>
      </c>
      <c r="EP196" s="263">
        <f t="shared" si="844"/>
        <v>0.38557129238730758</v>
      </c>
      <c r="EQ196" s="263">
        <f t="shared" si="844"/>
        <v>0.57878251395887237</v>
      </c>
      <c r="ER196" s="263">
        <f t="shared" si="844"/>
        <v>0.57878251395887237</v>
      </c>
      <c r="ES196" s="263">
        <f t="shared" si="844"/>
        <v>0.57878251395887237</v>
      </c>
      <c r="ET196" s="263">
        <f t="shared" si="844"/>
        <v>0.57878251395887237</v>
      </c>
      <c r="EU196" s="263">
        <f t="shared" si="844"/>
        <v>0.57878251395887237</v>
      </c>
      <c r="EV196" s="263">
        <f t="shared" si="844"/>
        <v>0.57878251395887237</v>
      </c>
      <c r="EW196" s="263">
        <f t="shared" si="844"/>
        <v>0.57878251395887237</v>
      </c>
      <c r="EX196" s="263">
        <f t="shared" si="844"/>
        <v>0.57878251395887237</v>
      </c>
      <c r="EY196" s="263">
        <f t="shared" si="844"/>
        <v>0</v>
      </c>
      <c r="EZ196" s="230">
        <f t="shared" si="845"/>
        <v>5.7869739888329015</v>
      </c>
      <c r="FA196" s="266"/>
      <c r="FB196" s="263">
        <f t="shared" si="846"/>
        <v>0.19278564619365379</v>
      </c>
      <c r="FC196" s="263">
        <f t="shared" si="846"/>
        <v>0.19278564619365379</v>
      </c>
      <c r="FD196" s="263">
        <f t="shared" si="846"/>
        <v>0.19278564619365379</v>
      </c>
      <c r="FE196" s="263">
        <f t="shared" si="846"/>
        <v>0.28939125697943618</v>
      </c>
      <c r="FF196" s="263">
        <f t="shared" si="846"/>
        <v>0.28939125697943618</v>
      </c>
      <c r="FG196" s="263">
        <f t="shared" si="846"/>
        <v>0.28939125697943618</v>
      </c>
      <c r="FH196" s="263">
        <f t="shared" si="846"/>
        <v>0.28939125697943618</v>
      </c>
      <c r="FI196" s="263">
        <f t="shared" si="846"/>
        <v>0.28939125697943618</v>
      </c>
      <c r="FJ196" s="263">
        <f t="shared" si="846"/>
        <v>0.28939125697943618</v>
      </c>
      <c r="FK196" s="263">
        <f t="shared" si="846"/>
        <v>0.28939125697943618</v>
      </c>
      <c r="FL196" s="263">
        <f t="shared" si="846"/>
        <v>0.28939125697943618</v>
      </c>
      <c r="FM196" s="263">
        <f t="shared" si="846"/>
        <v>0</v>
      </c>
      <c r="FN196" s="230">
        <f t="shared" si="847"/>
        <v>2.8934869944164507</v>
      </c>
      <c r="FO196" s="266"/>
      <c r="FP196" s="263">
        <f t="shared" si="848"/>
        <v>1.3494995233555764</v>
      </c>
      <c r="FQ196" s="263">
        <f t="shared" si="848"/>
        <v>1.3494995233555764</v>
      </c>
      <c r="FR196" s="263">
        <f t="shared" si="848"/>
        <v>1.3494995233555764</v>
      </c>
      <c r="FS196" s="263">
        <f t="shared" si="848"/>
        <v>2.0257387988560533</v>
      </c>
      <c r="FT196" s="263">
        <f t="shared" si="848"/>
        <v>2.0257387988560533</v>
      </c>
      <c r="FU196" s="263">
        <f t="shared" si="848"/>
        <v>2.0257387988560533</v>
      </c>
      <c r="FV196" s="263">
        <f t="shared" si="848"/>
        <v>2.0257387988560533</v>
      </c>
      <c r="FW196" s="263">
        <f t="shared" si="848"/>
        <v>2.0257387988560533</v>
      </c>
      <c r="FX196" s="263">
        <f t="shared" si="848"/>
        <v>2.0257387988560533</v>
      </c>
      <c r="FY196" s="263">
        <f t="shared" si="848"/>
        <v>2.0257387988560533</v>
      </c>
      <c r="FZ196" s="263">
        <f t="shared" si="848"/>
        <v>2.0257387988560533</v>
      </c>
      <c r="GA196" s="263">
        <f t="shared" si="848"/>
        <v>0</v>
      </c>
      <c r="GB196" s="230">
        <f t="shared" si="849"/>
        <v>20.254408960915157</v>
      </c>
      <c r="GC196" s="266"/>
      <c r="GD196" s="263">
        <f t="shared" si="850"/>
        <v>0.19278564619365379</v>
      </c>
      <c r="GE196" s="263">
        <f t="shared" si="850"/>
        <v>0.19278564619365379</v>
      </c>
      <c r="GF196" s="263">
        <f t="shared" si="850"/>
        <v>0.19278564619365379</v>
      </c>
      <c r="GG196" s="263">
        <f t="shared" si="850"/>
        <v>0.28939125697943618</v>
      </c>
      <c r="GH196" s="263">
        <f t="shared" si="850"/>
        <v>0.28939125697943618</v>
      </c>
      <c r="GI196" s="263">
        <f t="shared" si="850"/>
        <v>0.28939125697943618</v>
      </c>
      <c r="GJ196" s="263">
        <f t="shared" si="850"/>
        <v>0.28939125697943618</v>
      </c>
      <c r="GK196" s="263">
        <f t="shared" si="850"/>
        <v>0.28939125697943618</v>
      </c>
      <c r="GL196" s="263">
        <f t="shared" si="850"/>
        <v>0.28939125697943618</v>
      </c>
      <c r="GM196" s="263">
        <f t="shared" si="850"/>
        <v>0.28939125697943618</v>
      </c>
      <c r="GN196" s="263">
        <f t="shared" si="850"/>
        <v>0.28939125697943618</v>
      </c>
      <c r="GO196" s="263">
        <f t="shared" si="850"/>
        <v>0</v>
      </c>
      <c r="GP196" s="230">
        <f t="shared" si="851"/>
        <v>2.8934869944164507</v>
      </c>
      <c r="GQ196" s="266"/>
      <c r="GR196" s="263">
        <f t="shared" si="852"/>
        <v>0</v>
      </c>
      <c r="GS196" s="263">
        <f t="shared" si="852"/>
        <v>0</v>
      </c>
      <c r="GT196" s="263">
        <f t="shared" si="852"/>
        <v>0</v>
      </c>
      <c r="GU196" s="263">
        <f t="shared" si="852"/>
        <v>0</v>
      </c>
      <c r="GV196" s="263">
        <f t="shared" si="852"/>
        <v>0</v>
      </c>
      <c r="GW196" s="263">
        <f t="shared" si="852"/>
        <v>0</v>
      </c>
      <c r="GX196" s="263">
        <f t="shared" si="852"/>
        <v>0</v>
      </c>
      <c r="GY196" s="263">
        <f t="shared" si="852"/>
        <v>0</v>
      </c>
      <c r="GZ196" s="263">
        <f t="shared" si="852"/>
        <v>0</v>
      </c>
      <c r="HA196" s="263">
        <f t="shared" si="852"/>
        <v>0</v>
      </c>
      <c r="HB196" s="263">
        <f t="shared" si="852"/>
        <v>0</v>
      </c>
      <c r="HC196" s="263">
        <f t="shared" si="852"/>
        <v>0</v>
      </c>
      <c r="HD196" s="230">
        <f t="shared" si="872"/>
        <v>0</v>
      </c>
      <c r="HE196" s="266"/>
      <c r="HF196" s="263">
        <f t="shared" si="853"/>
        <v>0.77114258477461517</v>
      </c>
      <c r="HG196" s="263">
        <f t="shared" si="853"/>
        <v>0.77114258477461517</v>
      </c>
      <c r="HH196" s="263">
        <f t="shared" si="853"/>
        <v>0.77114258477461517</v>
      </c>
      <c r="HI196" s="263">
        <f t="shared" si="853"/>
        <v>1.1575650279177447</v>
      </c>
      <c r="HJ196" s="263">
        <f t="shared" si="853"/>
        <v>1.1575650279177447</v>
      </c>
      <c r="HK196" s="263">
        <f t="shared" si="853"/>
        <v>1.1575650279177447</v>
      </c>
      <c r="HL196" s="263">
        <f t="shared" si="853"/>
        <v>1.1575650279177447</v>
      </c>
      <c r="HM196" s="263">
        <f t="shared" si="853"/>
        <v>1.1575650279177447</v>
      </c>
      <c r="HN196" s="263">
        <f t="shared" si="853"/>
        <v>1.1575650279177447</v>
      </c>
      <c r="HO196" s="263">
        <f t="shared" si="853"/>
        <v>1.1575650279177447</v>
      </c>
      <c r="HP196" s="263">
        <f t="shared" si="853"/>
        <v>1.1575650279177447</v>
      </c>
      <c r="HQ196" s="263">
        <f t="shared" si="853"/>
        <v>0</v>
      </c>
      <c r="HR196" s="230">
        <f t="shared" si="854"/>
        <v>11.573947977665803</v>
      </c>
      <c r="HS196" s="266"/>
      <c r="HT196" s="263">
        <f t="shared" si="855"/>
        <v>0.19278564619365379</v>
      </c>
      <c r="HU196" s="263">
        <f t="shared" si="855"/>
        <v>0.19278564619365379</v>
      </c>
      <c r="HV196" s="263">
        <f t="shared" si="855"/>
        <v>0.19278564619365379</v>
      </c>
      <c r="HW196" s="263">
        <f t="shared" si="855"/>
        <v>0.28939125697943618</v>
      </c>
      <c r="HX196" s="263">
        <f t="shared" si="855"/>
        <v>0.28939125697943618</v>
      </c>
      <c r="HY196" s="263">
        <f t="shared" si="855"/>
        <v>0.28939125697943618</v>
      </c>
      <c r="HZ196" s="263">
        <f t="shared" si="855"/>
        <v>0.28939125697943618</v>
      </c>
      <c r="IA196" s="263">
        <f t="shared" si="855"/>
        <v>0.28939125697943618</v>
      </c>
      <c r="IB196" s="263">
        <f t="shared" si="855"/>
        <v>0.28939125697943618</v>
      </c>
      <c r="IC196" s="263">
        <f t="shared" si="855"/>
        <v>0.28939125697943618</v>
      </c>
      <c r="ID196" s="263">
        <f t="shared" si="855"/>
        <v>0.28939125697943618</v>
      </c>
      <c r="IE196" s="263">
        <f t="shared" si="855"/>
        <v>0</v>
      </c>
      <c r="IF196" s="230">
        <f t="shared" si="856"/>
        <v>2.8934869944164507</v>
      </c>
      <c r="IG196" s="266"/>
      <c r="IH196" s="263">
        <f t="shared" si="857"/>
        <v>0.19278564619365379</v>
      </c>
      <c r="II196" s="263">
        <f t="shared" si="857"/>
        <v>0.19278564619365379</v>
      </c>
      <c r="IJ196" s="263">
        <f t="shared" si="857"/>
        <v>0.19278564619365379</v>
      </c>
      <c r="IK196" s="263">
        <f t="shared" si="857"/>
        <v>0.28939125697943618</v>
      </c>
      <c r="IL196" s="263">
        <f t="shared" si="857"/>
        <v>0.28939125697943618</v>
      </c>
      <c r="IM196" s="263">
        <f t="shared" si="857"/>
        <v>0.28939125697943618</v>
      </c>
      <c r="IN196" s="263">
        <f t="shared" si="857"/>
        <v>0.28939125697943618</v>
      </c>
      <c r="IO196" s="263">
        <f t="shared" si="857"/>
        <v>0.28939125697943618</v>
      </c>
      <c r="IP196" s="263">
        <f t="shared" si="857"/>
        <v>0.28939125697943618</v>
      </c>
      <c r="IQ196" s="263">
        <f t="shared" si="857"/>
        <v>0.28939125697943618</v>
      </c>
      <c r="IR196" s="263">
        <f t="shared" si="857"/>
        <v>0.28939125697943618</v>
      </c>
      <c r="IS196" s="263">
        <f t="shared" si="857"/>
        <v>0</v>
      </c>
      <c r="IT196" s="230">
        <f t="shared" si="858"/>
        <v>2.8934869944164507</v>
      </c>
      <c r="IU196" s="266"/>
      <c r="IV196" s="263">
        <f t="shared" si="859"/>
        <v>1.3494995233555764</v>
      </c>
      <c r="IW196" s="263">
        <f t="shared" si="859"/>
        <v>1.3494995233555764</v>
      </c>
      <c r="IX196" s="263">
        <f t="shared" si="859"/>
        <v>1.3494995233555764</v>
      </c>
      <c r="IY196" s="263">
        <f t="shared" si="859"/>
        <v>2.0257387988560533</v>
      </c>
      <c r="IZ196" s="263">
        <f t="shared" si="859"/>
        <v>2.0257387988560533</v>
      </c>
      <c r="JA196" s="263">
        <f t="shared" si="859"/>
        <v>2.0257387988560533</v>
      </c>
      <c r="JB196" s="263">
        <f t="shared" si="859"/>
        <v>2.0257387988560533</v>
      </c>
      <c r="JC196" s="263">
        <f t="shared" si="859"/>
        <v>2.0257387988560533</v>
      </c>
      <c r="JD196" s="263">
        <f t="shared" si="859"/>
        <v>2.0257387988560533</v>
      </c>
      <c r="JE196" s="263">
        <f t="shared" si="859"/>
        <v>2.0257387988560533</v>
      </c>
      <c r="JF196" s="263">
        <f t="shared" si="859"/>
        <v>2.0257387988560533</v>
      </c>
      <c r="JG196" s="263">
        <f t="shared" si="859"/>
        <v>0</v>
      </c>
      <c r="JH196" s="230">
        <f t="shared" si="860"/>
        <v>20.254408960915157</v>
      </c>
      <c r="JI196" s="266"/>
      <c r="JJ196" s="263">
        <f t="shared" si="861"/>
        <v>2.1206421081301916</v>
      </c>
      <c r="JK196" s="263">
        <f t="shared" si="861"/>
        <v>2.1206421081301916</v>
      </c>
      <c r="JL196" s="263">
        <f t="shared" si="861"/>
        <v>2.1206421081301916</v>
      </c>
      <c r="JM196" s="263">
        <f t="shared" si="861"/>
        <v>3.1833038267737979</v>
      </c>
      <c r="JN196" s="263">
        <f t="shared" si="861"/>
        <v>3.1833038267737979</v>
      </c>
      <c r="JO196" s="263">
        <f t="shared" si="861"/>
        <v>3.1833038267737979</v>
      </c>
      <c r="JP196" s="263">
        <f t="shared" si="861"/>
        <v>3.1833038267737979</v>
      </c>
      <c r="JQ196" s="263">
        <f t="shared" si="861"/>
        <v>3.1833038267737979</v>
      </c>
      <c r="JR196" s="263">
        <f t="shared" si="861"/>
        <v>3.1833038267737979</v>
      </c>
      <c r="JS196" s="263">
        <f t="shared" si="861"/>
        <v>3.1833038267737979</v>
      </c>
      <c r="JT196" s="263">
        <f t="shared" si="861"/>
        <v>3.1833038267737979</v>
      </c>
      <c r="JU196" s="263">
        <f t="shared" si="861"/>
        <v>0</v>
      </c>
      <c r="JV196" s="230">
        <f t="shared" si="862"/>
        <v>31.82835693858096</v>
      </c>
      <c r="JW196" s="266"/>
      <c r="JX196" s="263">
        <f t="shared" si="863"/>
        <v>0.96392823096826907</v>
      </c>
      <c r="JY196" s="263">
        <f t="shared" si="863"/>
        <v>0.96392823096826907</v>
      </c>
      <c r="JZ196" s="263">
        <f t="shared" si="863"/>
        <v>0.96392823096826907</v>
      </c>
      <c r="KA196" s="263">
        <f t="shared" si="863"/>
        <v>1.4469562848971809</v>
      </c>
      <c r="KB196" s="263">
        <f t="shared" si="863"/>
        <v>1.4469562848971809</v>
      </c>
      <c r="KC196" s="263">
        <f t="shared" si="863"/>
        <v>1.4469562848971809</v>
      </c>
      <c r="KD196" s="263">
        <f t="shared" si="863"/>
        <v>1.4469562848971809</v>
      </c>
      <c r="KE196" s="263">
        <f t="shared" si="863"/>
        <v>1.4469562848971809</v>
      </c>
      <c r="KF196" s="263">
        <f t="shared" si="863"/>
        <v>1.4469562848971809</v>
      </c>
      <c r="KG196" s="263">
        <f t="shared" si="863"/>
        <v>1.4469562848971809</v>
      </c>
      <c r="KH196" s="263">
        <f t="shared" si="863"/>
        <v>1.4469562848971809</v>
      </c>
      <c r="KI196" s="263">
        <f t="shared" si="863"/>
        <v>0</v>
      </c>
      <c r="KJ196" s="230">
        <f t="shared" si="864"/>
        <v>14.467434972082257</v>
      </c>
      <c r="KK196" s="266"/>
      <c r="KL196" s="263">
        <f t="shared" si="865"/>
        <v>0.38557129238730758</v>
      </c>
      <c r="KM196" s="263">
        <f t="shared" si="865"/>
        <v>0.38557129238730758</v>
      </c>
      <c r="KN196" s="263">
        <f t="shared" si="865"/>
        <v>0.38557129238730758</v>
      </c>
      <c r="KO196" s="263">
        <f t="shared" si="865"/>
        <v>0.57878251395887237</v>
      </c>
      <c r="KP196" s="263">
        <f t="shared" si="865"/>
        <v>0.57878251395887237</v>
      </c>
      <c r="KQ196" s="263">
        <f t="shared" si="865"/>
        <v>0.57878251395887237</v>
      </c>
      <c r="KR196" s="263">
        <f t="shared" si="865"/>
        <v>0.57878251395887237</v>
      </c>
      <c r="KS196" s="263">
        <f t="shared" si="865"/>
        <v>0.57878251395887237</v>
      </c>
      <c r="KT196" s="263">
        <f t="shared" si="865"/>
        <v>0.57878251395887237</v>
      </c>
      <c r="KU196" s="263">
        <f t="shared" si="865"/>
        <v>0.57878251395887237</v>
      </c>
      <c r="KV196" s="263">
        <f t="shared" si="865"/>
        <v>0.57878251395887237</v>
      </c>
      <c r="KW196" s="263">
        <f t="shared" si="865"/>
        <v>0</v>
      </c>
      <c r="KX196" s="230">
        <f t="shared" si="866"/>
        <v>5.7869739888329015</v>
      </c>
      <c r="KY196" s="266"/>
      <c r="KZ196" s="263">
        <f t="shared" si="867"/>
        <v>0.19278564619365379</v>
      </c>
      <c r="LA196" s="263">
        <f t="shared" si="867"/>
        <v>0.19278564619365379</v>
      </c>
      <c r="LB196" s="263">
        <f t="shared" si="867"/>
        <v>0.19278564619365379</v>
      </c>
      <c r="LC196" s="263">
        <f t="shared" si="867"/>
        <v>0.28939125697943618</v>
      </c>
      <c r="LD196" s="263">
        <f t="shared" si="867"/>
        <v>0.28939125697943618</v>
      </c>
      <c r="LE196" s="263">
        <f t="shared" si="867"/>
        <v>0.28939125697943618</v>
      </c>
      <c r="LF196" s="263">
        <f t="shared" si="867"/>
        <v>0.28939125697943618</v>
      </c>
      <c r="LG196" s="263">
        <f t="shared" si="867"/>
        <v>0.28939125697943618</v>
      </c>
      <c r="LH196" s="263">
        <f t="shared" si="867"/>
        <v>0.28939125697943618</v>
      </c>
      <c r="LI196" s="263">
        <f t="shared" si="867"/>
        <v>0.28939125697943618</v>
      </c>
      <c r="LJ196" s="263">
        <f t="shared" si="867"/>
        <v>0.28939125697943618</v>
      </c>
      <c r="LK196" s="263">
        <f t="shared" si="867"/>
        <v>0</v>
      </c>
      <c r="LL196" s="230">
        <f t="shared" si="868"/>
        <v>2.8934869944164507</v>
      </c>
      <c r="LM196" s="266"/>
      <c r="LN196" s="263">
        <v>0</v>
      </c>
      <c r="LO196" s="264">
        <v>0</v>
      </c>
      <c r="LP196" s="265">
        <v>0</v>
      </c>
      <c r="LQ196" s="265">
        <v>0</v>
      </c>
      <c r="LR196" s="265">
        <v>0</v>
      </c>
      <c r="LS196" s="265">
        <v>0</v>
      </c>
      <c r="LT196" s="265">
        <v>0</v>
      </c>
      <c r="LU196" s="265">
        <v>0</v>
      </c>
      <c r="LV196" s="265">
        <v>0</v>
      </c>
      <c r="LW196" s="265">
        <v>0</v>
      </c>
      <c r="LX196" s="265">
        <v>0</v>
      </c>
      <c r="LY196" s="265">
        <v>0</v>
      </c>
      <c r="LZ196" s="230">
        <f t="shared" si="869"/>
        <v>0</v>
      </c>
      <c r="MA196" s="266"/>
      <c r="MB196" s="230">
        <f t="shared" si="870"/>
        <v>31.616845975759212</v>
      </c>
      <c r="MC196" s="230">
        <f t="shared" si="870"/>
        <v>31.616845975759212</v>
      </c>
      <c r="MD196" s="230">
        <f t="shared" si="870"/>
        <v>31.616845975759212</v>
      </c>
      <c r="ME196" s="230">
        <f t="shared" si="870"/>
        <v>47.460166144627529</v>
      </c>
      <c r="MF196" s="230">
        <f t="shared" si="870"/>
        <v>47.460166144627529</v>
      </c>
      <c r="MG196" s="230">
        <f t="shared" si="870"/>
        <v>47.460166144627529</v>
      </c>
      <c r="MH196" s="230">
        <f t="shared" si="870"/>
        <v>47.460166144627529</v>
      </c>
      <c r="MI196" s="230">
        <f t="shared" si="870"/>
        <v>47.460166144627529</v>
      </c>
      <c r="MJ196" s="230">
        <f t="shared" si="870"/>
        <v>47.460166144627529</v>
      </c>
      <c r="MK196" s="230">
        <f t="shared" si="870"/>
        <v>47.460166144627529</v>
      </c>
      <c r="ML196" s="230">
        <f t="shared" si="870"/>
        <v>47.460166144627529</v>
      </c>
      <c r="MM196" s="230">
        <f t="shared" si="870"/>
        <v>0</v>
      </c>
      <c r="MN196" s="230">
        <f t="shared" si="871"/>
        <v>474.5318670842978</v>
      </c>
    </row>
    <row r="197" spans="1:352" x14ac:dyDescent="0.25">
      <c r="A197" s="262"/>
      <c r="B197" s="64" t="s">
        <v>71</v>
      </c>
      <c r="C197" s="98"/>
      <c r="D197" s="263">
        <f t="shared" si="824"/>
        <v>46.85315379726724</v>
      </c>
      <c r="E197" s="263">
        <f t="shared" si="824"/>
        <v>46.85315379726724</v>
      </c>
      <c r="F197" s="263">
        <f t="shared" si="824"/>
        <v>46.85315379726724</v>
      </c>
      <c r="G197" s="263">
        <f t="shared" si="824"/>
        <v>46.85315379726724</v>
      </c>
      <c r="H197" s="263">
        <f t="shared" si="824"/>
        <v>46.85315379726724</v>
      </c>
      <c r="I197" s="263">
        <f t="shared" si="824"/>
        <v>46.85315379726724</v>
      </c>
      <c r="J197" s="263">
        <f t="shared" si="824"/>
        <v>46.85315379726724</v>
      </c>
      <c r="K197" s="263">
        <f t="shared" si="824"/>
        <v>46.85315379726724</v>
      </c>
      <c r="L197" s="263">
        <f t="shared" si="824"/>
        <v>46.85315379726724</v>
      </c>
      <c r="M197" s="263">
        <f t="shared" si="824"/>
        <v>46.85315379726724</v>
      </c>
      <c r="N197" s="263">
        <f t="shared" si="824"/>
        <v>46.85315379726724</v>
      </c>
      <c r="O197" s="263">
        <f t="shared" si="824"/>
        <v>46.85315379726724</v>
      </c>
      <c r="P197" s="230">
        <f t="shared" si="825"/>
        <v>562.23784556720682</v>
      </c>
      <c r="Q197" s="266"/>
      <c r="R197" s="263">
        <f t="shared" si="826"/>
        <v>4.8468779790276457</v>
      </c>
      <c r="S197" s="263">
        <f t="shared" si="826"/>
        <v>4.8468779790276457</v>
      </c>
      <c r="T197" s="263">
        <f t="shared" si="826"/>
        <v>4.8468779790276457</v>
      </c>
      <c r="U197" s="263">
        <f t="shared" si="826"/>
        <v>4.8468779790276457</v>
      </c>
      <c r="V197" s="263">
        <f t="shared" si="826"/>
        <v>4.8468779790276457</v>
      </c>
      <c r="W197" s="263">
        <f t="shared" si="826"/>
        <v>4.8468779790276457</v>
      </c>
      <c r="X197" s="263">
        <f t="shared" si="826"/>
        <v>4.8468779790276457</v>
      </c>
      <c r="Y197" s="263">
        <f t="shared" si="826"/>
        <v>4.8468779790276457</v>
      </c>
      <c r="Z197" s="263">
        <f t="shared" si="826"/>
        <v>4.8468779790276457</v>
      </c>
      <c r="AA197" s="263">
        <f t="shared" si="826"/>
        <v>4.8468779790276457</v>
      </c>
      <c r="AB197" s="263">
        <f t="shared" si="826"/>
        <v>4.8468779790276457</v>
      </c>
      <c r="AC197" s="263">
        <f t="shared" si="826"/>
        <v>4.8468779790276457</v>
      </c>
      <c r="AD197" s="230">
        <f t="shared" si="827"/>
        <v>58.162535748331749</v>
      </c>
      <c r="AE197" s="266"/>
      <c r="AF197" s="263">
        <f t="shared" si="828"/>
        <v>4.8468779790276457</v>
      </c>
      <c r="AG197" s="263">
        <f t="shared" si="828"/>
        <v>4.8468779790276457</v>
      </c>
      <c r="AH197" s="263">
        <f t="shared" si="828"/>
        <v>4.8468779790276457</v>
      </c>
      <c r="AI197" s="263">
        <f t="shared" si="828"/>
        <v>4.8468779790276457</v>
      </c>
      <c r="AJ197" s="263">
        <f t="shared" si="828"/>
        <v>4.8468779790276457</v>
      </c>
      <c r="AK197" s="263">
        <f t="shared" si="828"/>
        <v>4.8468779790276457</v>
      </c>
      <c r="AL197" s="263">
        <f t="shared" si="828"/>
        <v>4.8468779790276457</v>
      </c>
      <c r="AM197" s="263">
        <f t="shared" si="828"/>
        <v>4.8468779790276457</v>
      </c>
      <c r="AN197" s="263">
        <f t="shared" si="828"/>
        <v>4.8468779790276457</v>
      </c>
      <c r="AO197" s="263">
        <f t="shared" si="828"/>
        <v>4.8468779790276457</v>
      </c>
      <c r="AP197" s="263">
        <f t="shared" si="828"/>
        <v>4.8468779790276457</v>
      </c>
      <c r="AQ197" s="263">
        <f t="shared" si="828"/>
        <v>4.8468779790276457</v>
      </c>
      <c r="AR197" s="230">
        <f t="shared" si="829"/>
        <v>58.162535748331749</v>
      </c>
      <c r="AS197" s="266"/>
      <c r="AT197" s="263">
        <f t="shared" si="830"/>
        <v>3.2312519860184303</v>
      </c>
      <c r="AU197" s="263">
        <f t="shared" si="830"/>
        <v>3.2312519860184303</v>
      </c>
      <c r="AV197" s="263">
        <f t="shared" si="830"/>
        <v>3.2312519860184303</v>
      </c>
      <c r="AW197" s="263">
        <f t="shared" si="830"/>
        <v>3.2312519860184303</v>
      </c>
      <c r="AX197" s="263">
        <f t="shared" si="830"/>
        <v>3.2312519860184303</v>
      </c>
      <c r="AY197" s="263">
        <f t="shared" si="830"/>
        <v>3.2312519860184303</v>
      </c>
      <c r="AZ197" s="263">
        <f t="shared" si="830"/>
        <v>3.2312519860184303</v>
      </c>
      <c r="BA197" s="263">
        <f t="shared" si="830"/>
        <v>3.2312519860184303</v>
      </c>
      <c r="BB197" s="263">
        <f t="shared" si="830"/>
        <v>3.2312519860184303</v>
      </c>
      <c r="BC197" s="263">
        <f t="shared" si="830"/>
        <v>3.2312519860184303</v>
      </c>
      <c r="BD197" s="263">
        <f t="shared" si="830"/>
        <v>3.2312519860184303</v>
      </c>
      <c r="BE197" s="263">
        <f t="shared" si="830"/>
        <v>3.2312519860184303</v>
      </c>
      <c r="BF197" s="230">
        <f t="shared" si="831"/>
        <v>38.775023832221166</v>
      </c>
      <c r="BG197" s="224"/>
      <c r="BH197" s="263">
        <f t="shared" si="832"/>
        <v>24.234389895138229</v>
      </c>
      <c r="BI197" s="263">
        <f t="shared" si="832"/>
        <v>24.234389895138229</v>
      </c>
      <c r="BJ197" s="263">
        <f t="shared" si="832"/>
        <v>24.234389895138229</v>
      </c>
      <c r="BK197" s="263">
        <f t="shared" si="832"/>
        <v>24.234389895138229</v>
      </c>
      <c r="BL197" s="263">
        <f t="shared" si="832"/>
        <v>24.234389895138229</v>
      </c>
      <c r="BM197" s="263">
        <f t="shared" si="832"/>
        <v>24.234389895138229</v>
      </c>
      <c r="BN197" s="263">
        <f t="shared" si="832"/>
        <v>24.234389895138229</v>
      </c>
      <c r="BO197" s="263">
        <f t="shared" si="832"/>
        <v>24.234389895138229</v>
      </c>
      <c r="BP197" s="263">
        <f t="shared" si="832"/>
        <v>24.234389895138229</v>
      </c>
      <c r="BQ197" s="263">
        <f t="shared" si="832"/>
        <v>24.234389895138229</v>
      </c>
      <c r="BR197" s="263">
        <f t="shared" si="832"/>
        <v>24.234389895138229</v>
      </c>
      <c r="BS197" s="263">
        <f t="shared" si="832"/>
        <v>24.234389895138229</v>
      </c>
      <c r="BT197" s="230">
        <f t="shared" si="833"/>
        <v>290.81267874165877</v>
      </c>
      <c r="BU197" s="266"/>
      <c r="BV197" s="263">
        <f t="shared" si="834"/>
        <v>1.6156259930092152</v>
      </c>
      <c r="BW197" s="263">
        <f t="shared" si="834"/>
        <v>1.6156259930092152</v>
      </c>
      <c r="BX197" s="263">
        <f t="shared" si="834"/>
        <v>1.6156259930092152</v>
      </c>
      <c r="BY197" s="263">
        <f t="shared" si="834"/>
        <v>1.6156259930092152</v>
      </c>
      <c r="BZ197" s="263">
        <f t="shared" si="834"/>
        <v>1.6156259930092152</v>
      </c>
      <c r="CA197" s="263">
        <f t="shared" si="834"/>
        <v>1.6156259930092152</v>
      </c>
      <c r="CB197" s="263">
        <f t="shared" si="834"/>
        <v>1.6156259930092152</v>
      </c>
      <c r="CC197" s="263">
        <f t="shared" si="834"/>
        <v>1.6156259930092152</v>
      </c>
      <c r="CD197" s="263">
        <f t="shared" si="834"/>
        <v>1.6156259930092152</v>
      </c>
      <c r="CE197" s="263">
        <f t="shared" si="834"/>
        <v>1.6156259930092152</v>
      </c>
      <c r="CF197" s="263">
        <f t="shared" si="834"/>
        <v>1.6156259930092152</v>
      </c>
      <c r="CG197" s="263">
        <f t="shared" si="834"/>
        <v>1.6156259930092152</v>
      </c>
      <c r="CH197" s="230">
        <f t="shared" si="835"/>
        <v>19.387511916110583</v>
      </c>
      <c r="CI197" s="266"/>
      <c r="CJ197" s="263">
        <f t="shared" si="836"/>
        <v>17.771885923101365</v>
      </c>
      <c r="CK197" s="263">
        <f t="shared" si="836"/>
        <v>17.771885923101365</v>
      </c>
      <c r="CL197" s="263">
        <f t="shared" si="836"/>
        <v>17.771885923101365</v>
      </c>
      <c r="CM197" s="263">
        <f t="shared" si="836"/>
        <v>17.771885923101365</v>
      </c>
      <c r="CN197" s="263">
        <f t="shared" si="836"/>
        <v>17.771885923101365</v>
      </c>
      <c r="CO197" s="263">
        <f t="shared" si="836"/>
        <v>17.771885923101365</v>
      </c>
      <c r="CP197" s="263">
        <f t="shared" si="836"/>
        <v>17.771885923101365</v>
      </c>
      <c r="CQ197" s="263">
        <f t="shared" si="836"/>
        <v>17.771885923101365</v>
      </c>
      <c r="CR197" s="263">
        <f t="shared" si="836"/>
        <v>17.771885923101365</v>
      </c>
      <c r="CS197" s="263">
        <f t="shared" si="836"/>
        <v>17.771885923101365</v>
      </c>
      <c r="CT197" s="263">
        <f t="shared" si="836"/>
        <v>17.771885923101365</v>
      </c>
      <c r="CU197" s="263">
        <f t="shared" si="836"/>
        <v>17.771885923101365</v>
      </c>
      <c r="CV197" s="230">
        <f t="shared" si="837"/>
        <v>213.26263107721638</v>
      </c>
      <c r="CW197" s="266"/>
      <c r="CX197" s="263">
        <f t="shared" si="838"/>
        <v>45.237527804258022</v>
      </c>
      <c r="CY197" s="263">
        <f t="shared" si="838"/>
        <v>45.237527804258022</v>
      </c>
      <c r="CZ197" s="263">
        <f t="shared" si="838"/>
        <v>45.237527804258022</v>
      </c>
      <c r="DA197" s="263">
        <f t="shared" si="838"/>
        <v>45.237527804258022</v>
      </c>
      <c r="DB197" s="263">
        <f t="shared" si="838"/>
        <v>45.237527804258022</v>
      </c>
      <c r="DC197" s="263">
        <f t="shared" si="838"/>
        <v>45.237527804258022</v>
      </c>
      <c r="DD197" s="263">
        <f t="shared" si="838"/>
        <v>45.237527804258022</v>
      </c>
      <c r="DE197" s="263">
        <f t="shared" si="838"/>
        <v>45.237527804258022</v>
      </c>
      <c r="DF197" s="263">
        <f t="shared" si="838"/>
        <v>45.237527804258022</v>
      </c>
      <c r="DG197" s="263">
        <f t="shared" si="838"/>
        <v>45.237527804258022</v>
      </c>
      <c r="DH197" s="263">
        <f t="shared" si="838"/>
        <v>45.237527804258022</v>
      </c>
      <c r="DI197" s="263">
        <f t="shared" si="838"/>
        <v>45.237527804258022</v>
      </c>
      <c r="DJ197" s="230">
        <f t="shared" si="839"/>
        <v>542.85033365109632</v>
      </c>
      <c r="DK197" s="266"/>
      <c r="DL197" s="263">
        <f t="shared" si="840"/>
        <v>45.237527804258022</v>
      </c>
      <c r="DM197" s="263">
        <f t="shared" si="840"/>
        <v>45.237527804258022</v>
      </c>
      <c r="DN197" s="263">
        <f t="shared" si="840"/>
        <v>45.237527804258022</v>
      </c>
      <c r="DO197" s="263">
        <f t="shared" si="840"/>
        <v>45.237527804258022</v>
      </c>
      <c r="DP197" s="263">
        <f t="shared" si="840"/>
        <v>45.237527804258022</v>
      </c>
      <c r="DQ197" s="263">
        <f t="shared" si="840"/>
        <v>45.237527804258022</v>
      </c>
      <c r="DR197" s="263">
        <f t="shared" si="840"/>
        <v>45.237527804258022</v>
      </c>
      <c r="DS197" s="263">
        <f t="shared" si="840"/>
        <v>45.237527804258022</v>
      </c>
      <c r="DT197" s="263">
        <f t="shared" si="840"/>
        <v>45.237527804258022</v>
      </c>
      <c r="DU197" s="263">
        <f t="shared" si="840"/>
        <v>45.237527804258022</v>
      </c>
      <c r="DV197" s="263">
        <f t="shared" si="840"/>
        <v>45.237527804258022</v>
      </c>
      <c r="DW197" s="263">
        <f t="shared" si="840"/>
        <v>45.237527804258022</v>
      </c>
      <c r="DX197" s="230">
        <f t="shared" si="841"/>
        <v>542.85033365109632</v>
      </c>
      <c r="DY197" s="266"/>
      <c r="DZ197" s="263">
        <f t="shared" si="842"/>
        <v>1.6156259930092152</v>
      </c>
      <c r="EA197" s="263">
        <f t="shared" si="842"/>
        <v>1.6156259930092152</v>
      </c>
      <c r="EB197" s="263">
        <f t="shared" si="842"/>
        <v>1.6156259930092152</v>
      </c>
      <c r="EC197" s="263">
        <f t="shared" si="842"/>
        <v>1.6156259930092152</v>
      </c>
      <c r="ED197" s="263">
        <f t="shared" si="842"/>
        <v>1.6156259930092152</v>
      </c>
      <c r="EE197" s="263">
        <f t="shared" si="842"/>
        <v>1.6156259930092152</v>
      </c>
      <c r="EF197" s="263">
        <f t="shared" si="842"/>
        <v>1.6156259930092152</v>
      </c>
      <c r="EG197" s="263">
        <f t="shared" si="842"/>
        <v>1.6156259930092152</v>
      </c>
      <c r="EH197" s="263">
        <f t="shared" si="842"/>
        <v>1.6156259930092152</v>
      </c>
      <c r="EI197" s="263">
        <f t="shared" si="842"/>
        <v>1.6156259930092152</v>
      </c>
      <c r="EJ197" s="263">
        <f t="shared" si="842"/>
        <v>1.6156259930092152</v>
      </c>
      <c r="EK197" s="263">
        <f t="shared" si="842"/>
        <v>1.6156259930092152</v>
      </c>
      <c r="EL197" s="230">
        <f t="shared" si="843"/>
        <v>19.387511916110583</v>
      </c>
      <c r="EM197" s="266"/>
      <c r="EN197" s="263">
        <f t="shared" si="844"/>
        <v>3.2312519860184303</v>
      </c>
      <c r="EO197" s="263">
        <f t="shared" si="844"/>
        <v>3.2312519860184303</v>
      </c>
      <c r="EP197" s="263">
        <f t="shared" si="844"/>
        <v>3.2312519860184303</v>
      </c>
      <c r="EQ197" s="263">
        <f t="shared" si="844"/>
        <v>3.2312519860184303</v>
      </c>
      <c r="ER197" s="263">
        <f t="shared" si="844"/>
        <v>3.2312519860184303</v>
      </c>
      <c r="ES197" s="263">
        <f t="shared" si="844"/>
        <v>3.2312519860184303</v>
      </c>
      <c r="ET197" s="263">
        <f t="shared" si="844"/>
        <v>3.2312519860184303</v>
      </c>
      <c r="EU197" s="263">
        <f t="shared" si="844"/>
        <v>3.2312519860184303</v>
      </c>
      <c r="EV197" s="263">
        <f t="shared" si="844"/>
        <v>3.2312519860184303</v>
      </c>
      <c r="EW197" s="263">
        <f t="shared" si="844"/>
        <v>3.2312519860184303</v>
      </c>
      <c r="EX197" s="263">
        <f t="shared" si="844"/>
        <v>3.2312519860184303</v>
      </c>
      <c r="EY197" s="263">
        <f t="shared" si="844"/>
        <v>3.2312519860184303</v>
      </c>
      <c r="EZ197" s="230">
        <f t="shared" si="845"/>
        <v>38.775023832221166</v>
      </c>
      <c r="FA197" s="266"/>
      <c r="FB197" s="263">
        <f t="shared" si="846"/>
        <v>1.6156259930092152</v>
      </c>
      <c r="FC197" s="263">
        <f t="shared" si="846"/>
        <v>1.6156259930092152</v>
      </c>
      <c r="FD197" s="263">
        <f t="shared" si="846"/>
        <v>1.6156259930092152</v>
      </c>
      <c r="FE197" s="263">
        <f t="shared" si="846"/>
        <v>1.6156259930092152</v>
      </c>
      <c r="FF197" s="263">
        <f t="shared" si="846"/>
        <v>1.6156259930092152</v>
      </c>
      <c r="FG197" s="263">
        <f t="shared" si="846"/>
        <v>1.6156259930092152</v>
      </c>
      <c r="FH197" s="263">
        <f t="shared" si="846"/>
        <v>1.6156259930092152</v>
      </c>
      <c r="FI197" s="263">
        <f t="shared" si="846"/>
        <v>1.6156259930092152</v>
      </c>
      <c r="FJ197" s="263">
        <f t="shared" si="846"/>
        <v>1.6156259930092152</v>
      </c>
      <c r="FK197" s="263">
        <f t="shared" si="846"/>
        <v>1.6156259930092152</v>
      </c>
      <c r="FL197" s="263">
        <f t="shared" si="846"/>
        <v>1.6156259930092152</v>
      </c>
      <c r="FM197" s="263">
        <f t="shared" si="846"/>
        <v>1.6156259930092152</v>
      </c>
      <c r="FN197" s="230">
        <f t="shared" si="847"/>
        <v>19.387511916110583</v>
      </c>
      <c r="FO197" s="266"/>
      <c r="FP197" s="263">
        <f t="shared" si="848"/>
        <v>11.309381951064506</v>
      </c>
      <c r="FQ197" s="263">
        <f t="shared" si="848"/>
        <v>11.309381951064506</v>
      </c>
      <c r="FR197" s="263">
        <f t="shared" si="848"/>
        <v>11.309381951064506</v>
      </c>
      <c r="FS197" s="263">
        <f t="shared" si="848"/>
        <v>11.309381951064506</v>
      </c>
      <c r="FT197" s="263">
        <f t="shared" si="848"/>
        <v>11.309381951064506</v>
      </c>
      <c r="FU197" s="263">
        <f t="shared" si="848"/>
        <v>11.309381951064506</v>
      </c>
      <c r="FV197" s="263">
        <f t="shared" si="848"/>
        <v>11.309381951064506</v>
      </c>
      <c r="FW197" s="263">
        <f t="shared" si="848"/>
        <v>11.309381951064506</v>
      </c>
      <c r="FX197" s="263">
        <f t="shared" si="848"/>
        <v>11.309381951064506</v>
      </c>
      <c r="FY197" s="263">
        <f t="shared" si="848"/>
        <v>11.309381951064506</v>
      </c>
      <c r="FZ197" s="263">
        <f t="shared" si="848"/>
        <v>11.309381951064506</v>
      </c>
      <c r="GA197" s="263">
        <f t="shared" si="848"/>
        <v>11.309381951064506</v>
      </c>
      <c r="GB197" s="230">
        <f t="shared" si="849"/>
        <v>135.71258341277408</v>
      </c>
      <c r="GC197" s="266"/>
      <c r="GD197" s="263">
        <f t="shared" si="850"/>
        <v>1.6156259930092152</v>
      </c>
      <c r="GE197" s="263">
        <f t="shared" si="850"/>
        <v>1.6156259930092152</v>
      </c>
      <c r="GF197" s="263">
        <f t="shared" si="850"/>
        <v>1.6156259930092152</v>
      </c>
      <c r="GG197" s="263">
        <f t="shared" si="850"/>
        <v>1.6156259930092152</v>
      </c>
      <c r="GH197" s="263">
        <f t="shared" si="850"/>
        <v>1.6156259930092152</v>
      </c>
      <c r="GI197" s="263">
        <f t="shared" si="850"/>
        <v>1.6156259930092152</v>
      </c>
      <c r="GJ197" s="263">
        <f t="shared" si="850"/>
        <v>1.6156259930092152</v>
      </c>
      <c r="GK197" s="263">
        <f t="shared" si="850"/>
        <v>1.6156259930092152</v>
      </c>
      <c r="GL197" s="263">
        <f t="shared" si="850"/>
        <v>1.6156259930092152</v>
      </c>
      <c r="GM197" s="263">
        <f t="shared" si="850"/>
        <v>1.6156259930092152</v>
      </c>
      <c r="GN197" s="263">
        <f t="shared" si="850"/>
        <v>1.6156259930092152</v>
      </c>
      <c r="GO197" s="263">
        <f t="shared" si="850"/>
        <v>1.6156259930092152</v>
      </c>
      <c r="GP197" s="230">
        <f t="shared" si="851"/>
        <v>19.387511916110583</v>
      </c>
      <c r="GQ197" s="266"/>
      <c r="GR197" s="263">
        <f t="shared" si="852"/>
        <v>0</v>
      </c>
      <c r="GS197" s="263">
        <f t="shared" si="852"/>
        <v>0</v>
      </c>
      <c r="GT197" s="263">
        <f t="shared" si="852"/>
        <v>49.654432793136323</v>
      </c>
      <c r="GU197" s="263">
        <f t="shared" si="852"/>
        <v>49.654432793136323</v>
      </c>
      <c r="GV197" s="263">
        <f t="shared" si="852"/>
        <v>49.654432793136323</v>
      </c>
      <c r="GW197" s="263">
        <f t="shared" si="852"/>
        <v>49.654432793136323</v>
      </c>
      <c r="GX197" s="263">
        <f t="shared" si="852"/>
        <v>49.654432793136323</v>
      </c>
      <c r="GY197" s="263">
        <f t="shared" si="852"/>
        <v>49.654432793136323</v>
      </c>
      <c r="GZ197" s="263">
        <f t="shared" si="852"/>
        <v>49.654432793136323</v>
      </c>
      <c r="HA197" s="263">
        <f t="shared" si="852"/>
        <v>49.654432793136323</v>
      </c>
      <c r="HB197" s="263">
        <f t="shared" si="852"/>
        <v>49.654432793136323</v>
      </c>
      <c r="HC197" s="263">
        <f t="shared" si="852"/>
        <v>49.654432793136323</v>
      </c>
      <c r="HD197" s="230">
        <f t="shared" si="872"/>
        <v>0</v>
      </c>
      <c r="HE197" s="266"/>
      <c r="HF197" s="263">
        <f t="shared" si="853"/>
        <v>6.4625039720368607</v>
      </c>
      <c r="HG197" s="263">
        <f t="shared" si="853"/>
        <v>6.4625039720368607</v>
      </c>
      <c r="HH197" s="263">
        <f t="shared" si="853"/>
        <v>6.4625039720368607</v>
      </c>
      <c r="HI197" s="263">
        <f t="shared" si="853"/>
        <v>6.4625039720368607</v>
      </c>
      <c r="HJ197" s="263">
        <f t="shared" si="853"/>
        <v>6.4625039720368607</v>
      </c>
      <c r="HK197" s="263">
        <f t="shared" si="853"/>
        <v>6.4625039720368607</v>
      </c>
      <c r="HL197" s="263">
        <f t="shared" si="853"/>
        <v>6.4625039720368607</v>
      </c>
      <c r="HM197" s="263">
        <f t="shared" si="853"/>
        <v>6.4625039720368607</v>
      </c>
      <c r="HN197" s="263">
        <f t="shared" si="853"/>
        <v>6.4625039720368607</v>
      </c>
      <c r="HO197" s="263">
        <f t="shared" si="853"/>
        <v>6.4625039720368607</v>
      </c>
      <c r="HP197" s="263">
        <f t="shared" si="853"/>
        <v>6.4625039720368607</v>
      </c>
      <c r="HQ197" s="263">
        <f t="shared" si="853"/>
        <v>6.4625039720368607</v>
      </c>
      <c r="HR197" s="230">
        <f t="shared" si="854"/>
        <v>77.550047664442332</v>
      </c>
      <c r="HS197" s="266"/>
      <c r="HT197" s="263">
        <f t="shared" si="855"/>
        <v>1.6156259930092152</v>
      </c>
      <c r="HU197" s="263">
        <f t="shared" si="855"/>
        <v>1.6156259930092152</v>
      </c>
      <c r="HV197" s="263">
        <f t="shared" si="855"/>
        <v>1.6156259930092152</v>
      </c>
      <c r="HW197" s="263">
        <f t="shared" si="855"/>
        <v>1.6156259930092152</v>
      </c>
      <c r="HX197" s="263">
        <f t="shared" si="855"/>
        <v>1.6156259930092152</v>
      </c>
      <c r="HY197" s="263">
        <f t="shared" si="855"/>
        <v>1.6156259930092152</v>
      </c>
      <c r="HZ197" s="263">
        <f t="shared" si="855"/>
        <v>1.6156259930092152</v>
      </c>
      <c r="IA197" s="263">
        <f t="shared" si="855"/>
        <v>1.6156259930092152</v>
      </c>
      <c r="IB197" s="263">
        <f t="shared" si="855"/>
        <v>1.6156259930092152</v>
      </c>
      <c r="IC197" s="263">
        <f t="shared" si="855"/>
        <v>1.6156259930092152</v>
      </c>
      <c r="ID197" s="263">
        <f t="shared" si="855"/>
        <v>1.6156259930092152</v>
      </c>
      <c r="IE197" s="263">
        <f t="shared" si="855"/>
        <v>1.6156259930092152</v>
      </c>
      <c r="IF197" s="230">
        <f t="shared" si="856"/>
        <v>19.387511916110583</v>
      </c>
      <c r="IG197" s="266"/>
      <c r="IH197" s="263">
        <f t="shared" si="857"/>
        <v>1.6156259930092152</v>
      </c>
      <c r="II197" s="263">
        <f t="shared" si="857"/>
        <v>1.6156259930092152</v>
      </c>
      <c r="IJ197" s="263">
        <f t="shared" si="857"/>
        <v>1.6156259930092152</v>
      </c>
      <c r="IK197" s="263">
        <f t="shared" si="857"/>
        <v>1.6156259930092152</v>
      </c>
      <c r="IL197" s="263">
        <f t="shared" si="857"/>
        <v>1.6156259930092152</v>
      </c>
      <c r="IM197" s="263">
        <f t="shared" si="857"/>
        <v>1.6156259930092152</v>
      </c>
      <c r="IN197" s="263">
        <f t="shared" si="857"/>
        <v>1.6156259930092152</v>
      </c>
      <c r="IO197" s="263">
        <f t="shared" si="857"/>
        <v>1.6156259930092152</v>
      </c>
      <c r="IP197" s="263">
        <f t="shared" si="857"/>
        <v>1.6156259930092152</v>
      </c>
      <c r="IQ197" s="263">
        <f t="shared" si="857"/>
        <v>1.6156259930092152</v>
      </c>
      <c r="IR197" s="263">
        <f t="shared" si="857"/>
        <v>1.6156259930092152</v>
      </c>
      <c r="IS197" s="263">
        <f t="shared" si="857"/>
        <v>1.6156259930092152</v>
      </c>
      <c r="IT197" s="230">
        <f t="shared" si="858"/>
        <v>19.387511916110583</v>
      </c>
      <c r="IU197" s="266"/>
      <c r="IV197" s="263">
        <f t="shared" si="859"/>
        <v>11.309381951064506</v>
      </c>
      <c r="IW197" s="263">
        <f t="shared" si="859"/>
        <v>11.309381951064506</v>
      </c>
      <c r="IX197" s="263">
        <f t="shared" si="859"/>
        <v>11.309381951064506</v>
      </c>
      <c r="IY197" s="263">
        <f t="shared" si="859"/>
        <v>11.309381951064506</v>
      </c>
      <c r="IZ197" s="263">
        <f t="shared" si="859"/>
        <v>11.309381951064506</v>
      </c>
      <c r="JA197" s="263">
        <f t="shared" si="859"/>
        <v>11.309381951064506</v>
      </c>
      <c r="JB197" s="263">
        <f t="shared" si="859"/>
        <v>11.309381951064506</v>
      </c>
      <c r="JC197" s="263">
        <f t="shared" si="859"/>
        <v>11.309381951064506</v>
      </c>
      <c r="JD197" s="263">
        <f t="shared" si="859"/>
        <v>11.309381951064506</v>
      </c>
      <c r="JE197" s="263">
        <f t="shared" si="859"/>
        <v>11.309381951064506</v>
      </c>
      <c r="JF197" s="263">
        <f t="shared" si="859"/>
        <v>11.309381951064506</v>
      </c>
      <c r="JG197" s="263">
        <f t="shared" si="859"/>
        <v>11.309381951064506</v>
      </c>
      <c r="JH197" s="230">
        <f t="shared" si="860"/>
        <v>135.71258341277408</v>
      </c>
      <c r="JI197" s="266"/>
      <c r="JJ197" s="263">
        <f t="shared" si="861"/>
        <v>17.771885923101365</v>
      </c>
      <c r="JK197" s="263">
        <f t="shared" si="861"/>
        <v>17.771885923101365</v>
      </c>
      <c r="JL197" s="263">
        <f t="shared" si="861"/>
        <v>17.771885923101365</v>
      </c>
      <c r="JM197" s="263">
        <f t="shared" si="861"/>
        <v>17.771885923101365</v>
      </c>
      <c r="JN197" s="263">
        <f t="shared" si="861"/>
        <v>17.771885923101365</v>
      </c>
      <c r="JO197" s="263">
        <f t="shared" si="861"/>
        <v>17.771885923101365</v>
      </c>
      <c r="JP197" s="263">
        <f t="shared" si="861"/>
        <v>17.771885923101365</v>
      </c>
      <c r="JQ197" s="263">
        <f t="shared" si="861"/>
        <v>17.771885923101365</v>
      </c>
      <c r="JR197" s="263">
        <f t="shared" si="861"/>
        <v>17.771885923101365</v>
      </c>
      <c r="JS197" s="263">
        <f t="shared" si="861"/>
        <v>17.771885923101365</v>
      </c>
      <c r="JT197" s="263">
        <f t="shared" si="861"/>
        <v>17.771885923101365</v>
      </c>
      <c r="JU197" s="263">
        <f t="shared" si="861"/>
        <v>17.771885923101365</v>
      </c>
      <c r="JV197" s="230">
        <f t="shared" si="862"/>
        <v>213.26263107721638</v>
      </c>
      <c r="JW197" s="266"/>
      <c r="JX197" s="263">
        <f t="shared" si="863"/>
        <v>8.0781299650460756</v>
      </c>
      <c r="JY197" s="263">
        <f t="shared" si="863"/>
        <v>8.0781299650460756</v>
      </c>
      <c r="JZ197" s="263">
        <f t="shared" si="863"/>
        <v>8.0781299650460756</v>
      </c>
      <c r="KA197" s="263">
        <f t="shared" si="863"/>
        <v>8.0781299650460756</v>
      </c>
      <c r="KB197" s="263">
        <f t="shared" si="863"/>
        <v>8.0781299650460756</v>
      </c>
      <c r="KC197" s="263">
        <f t="shared" si="863"/>
        <v>8.0781299650460756</v>
      </c>
      <c r="KD197" s="263">
        <f t="shared" si="863"/>
        <v>8.0781299650460756</v>
      </c>
      <c r="KE197" s="263">
        <f t="shared" si="863"/>
        <v>8.0781299650460756</v>
      </c>
      <c r="KF197" s="263">
        <f t="shared" si="863"/>
        <v>8.0781299650460756</v>
      </c>
      <c r="KG197" s="263">
        <f t="shared" si="863"/>
        <v>8.0781299650460756</v>
      </c>
      <c r="KH197" s="263">
        <f t="shared" si="863"/>
        <v>8.0781299650460756</v>
      </c>
      <c r="KI197" s="263">
        <f t="shared" si="863"/>
        <v>8.0781299650460756</v>
      </c>
      <c r="KJ197" s="230">
        <f t="shared" si="864"/>
        <v>96.9375595805529</v>
      </c>
      <c r="KK197" s="266"/>
      <c r="KL197" s="263">
        <f t="shared" si="865"/>
        <v>3.2312519860184303</v>
      </c>
      <c r="KM197" s="263">
        <f t="shared" si="865"/>
        <v>3.2312519860184303</v>
      </c>
      <c r="KN197" s="263">
        <f t="shared" si="865"/>
        <v>3.2312519860184303</v>
      </c>
      <c r="KO197" s="263">
        <f t="shared" si="865"/>
        <v>3.2312519860184303</v>
      </c>
      <c r="KP197" s="263">
        <f t="shared" si="865"/>
        <v>3.2312519860184303</v>
      </c>
      <c r="KQ197" s="263">
        <f t="shared" si="865"/>
        <v>3.2312519860184303</v>
      </c>
      <c r="KR197" s="263">
        <f t="shared" si="865"/>
        <v>3.2312519860184303</v>
      </c>
      <c r="KS197" s="263">
        <f t="shared" si="865"/>
        <v>3.2312519860184303</v>
      </c>
      <c r="KT197" s="263">
        <f t="shared" si="865"/>
        <v>3.2312519860184303</v>
      </c>
      <c r="KU197" s="263">
        <f t="shared" si="865"/>
        <v>3.2312519860184303</v>
      </c>
      <c r="KV197" s="263">
        <f t="shared" si="865"/>
        <v>3.2312519860184303</v>
      </c>
      <c r="KW197" s="263">
        <f t="shared" si="865"/>
        <v>3.2312519860184303</v>
      </c>
      <c r="KX197" s="230">
        <f t="shared" si="866"/>
        <v>38.775023832221166</v>
      </c>
      <c r="KY197" s="266"/>
      <c r="KZ197" s="263">
        <f t="shared" si="867"/>
        <v>1.6156259930092152</v>
      </c>
      <c r="LA197" s="263">
        <f t="shared" si="867"/>
        <v>1.6156259930092152</v>
      </c>
      <c r="LB197" s="263">
        <f t="shared" si="867"/>
        <v>1.6156259930092152</v>
      </c>
      <c r="LC197" s="263">
        <f t="shared" si="867"/>
        <v>1.6156259930092152</v>
      </c>
      <c r="LD197" s="263">
        <f t="shared" si="867"/>
        <v>1.6156259930092152</v>
      </c>
      <c r="LE197" s="263">
        <f t="shared" si="867"/>
        <v>1.6156259930092152</v>
      </c>
      <c r="LF197" s="263">
        <f t="shared" si="867"/>
        <v>1.6156259930092152</v>
      </c>
      <c r="LG197" s="263">
        <f t="shared" si="867"/>
        <v>1.6156259930092152</v>
      </c>
      <c r="LH197" s="263">
        <f t="shared" si="867"/>
        <v>1.6156259930092152</v>
      </c>
      <c r="LI197" s="263">
        <f t="shared" si="867"/>
        <v>1.6156259930092152</v>
      </c>
      <c r="LJ197" s="263">
        <f t="shared" si="867"/>
        <v>1.6156259930092152</v>
      </c>
      <c r="LK197" s="263">
        <f t="shared" si="867"/>
        <v>1.6156259930092152</v>
      </c>
      <c r="LL197" s="230">
        <f t="shared" si="868"/>
        <v>19.387511916110583</v>
      </c>
      <c r="LM197" s="266"/>
      <c r="LN197" s="263">
        <v>0</v>
      </c>
      <c r="LO197" s="264">
        <v>0</v>
      </c>
      <c r="LP197" s="265">
        <v>0</v>
      </c>
      <c r="LQ197" s="265">
        <v>0</v>
      </c>
      <c r="LR197" s="265">
        <v>0</v>
      </c>
      <c r="LS197" s="265">
        <v>0</v>
      </c>
      <c r="LT197" s="265">
        <v>0</v>
      </c>
      <c r="LU197" s="265">
        <v>0</v>
      </c>
      <c r="LV197" s="265">
        <v>0</v>
      </c>
      <c r="LW197" s="265">
        <v>0</v>
      </c>
      <c r="LX197" s="265">
        <v>0</v>
      </c>
      <c r="LY197" s="265">
        <v>0</v>
      </c>
      <c r="LZ197" s="230">
        <f t="shared" si="869"/>
        <v>0</v>
      </c>
      <c r="MA197" s="266"/>
      <c r="MB197" s="230">
        <f t="shared" si="870"/>
        <v>264.96266285351129</v>
      </c>
      <c r="MC197" s="230">
        <f t="shared" si="870"/>
        <v>264.96266285351129</v>
      </c>
      <c r="MD197" s="230">
        <f t="shared" si="870"/>
        <v>314.61709564664756</v>
      </c>
      <c r="ME197" s="230">
        <f t="shared" si="870"/>
        <v>314.61709564664756</v>
      </c>
      <c r="MF197" s="230">
        <f t="shared" si="870"/>
        <v>314.61709564664756</v>
      </c>
      <c r="MG197" s="230">
        <f t="shared" si="870"/>
        <v>314.61709564664756</v>
      </c>
      <c r="MH197" s="230">
        <f t="shared" si="870"/>
        <v>314.61709564664756</v>
      </c>
      <c r="MI197" s="230">
        <f t="shared" si="870"/>
        <v>314.61709564664756</v>
      </c>
      <c r="MJ197" s="230">
        <f t="shared" si="870"/>
        <v>314.61709564664756</v>
      </c>
      <c r="MK197" s="230">
        <f t="shared" si="870"/>
        <v>314.61709564664756</v>
      </c>
      <c r="ML197" s="230">
        <f t="shared" si="870"/>
        <v>314.61709564664756</v>
      </c>
      <c r="MM197" s="230">
        <f t="shared" si="870"/>
        <v>314.61709564664756</v>
      </c>
      <c r="MN197" s="230">
        <f t="shared" si="871"/>
        <v>3676.0962821734984</v>
      </c>
    </row>
    <row r="198" spans="1:352" x14ac:dyDescent="0.25">
      <c r="A198" s="262"/>
      <c r="B198" s="64" t="s">
        <v>72</v>
      </c>
      <c r="C198" s="98"/>
      <c r="D198" s="263">
        <f t="shared" si="824"/>
        <v>1874.8227714981765</v>
      </c>
      <c r="E198" s="263">
        <f t="shared" si="824"/>
        <v>1874.8227714981765</v>
      </c>
      <c r="F198" s="263">
        <f t="shared" si="824"/>
        <v>1874.8227714981765</v>
      </c>
      <c r="G198" s="263">
        <f t="shared" si="824"/>
        <v>1874.8227714981765</v>
      </c>
      <c r="H198" s="263">
        <f t="shared" si="824"/>
        <v>1874.8227714981765</v>
      </c>
      <c r="I198" s="263">
        <f t="shared" si="824"/>
        <v>1874.8227714981765</v>
      </c>
      <c r="J198" s="263">
        <f t="shared" si="824"/>
        <v>1874.8227714981765</v>
      </c>
      <c r="K198" s="263">
        <f t="shared" si="824"/>
        <v>1874.8227714981765</v>
      </c>
      <c r="L198" s="263">
        <f t="shared" si="824"/>
        <v>1874.8227714981765</v>
      </c>
      <c r="M198" s="263">
        <f t="shared" si="824"/>
        <v>1874.8227714981765</v>
      </c>
      <c r="N198" s="263">
        <f t="shared" si="824"/>
        <v>873.72965749693594</v>
      </c>
      <c r="O198" s="263">
        <f t="shared" si="824"/>
        <v>-15.084282839287608</v>
      </c>
      <c r="P198" s="230">
        <f t="shared" si="825"/>
        <v>19606.873089639412</v>
      </c>
      <c r="Q198" s="266"/>
      <c r="R198" s="263">
        <f t="shared" si="826"/>
        <v>193.94718325843206</v>
      </c>
      <c r="S198" s="263">
        <f t="shared" si="826"/>
        <v>193.94718325843206</v>
      </c>
      <c r="T198" s="263">
        <f t="shared" si="826"/>
        <v>193.94718325843206</v>
      </c>
      <c r="U198" s="263">
        <f t="shared" si="826"/>
        <v>193.94718325843206</v>
      </c>
      <c r="V198" s="263">
        <f t="shared" si="826"/>
        <v>193.94718325843206</v>
      </c>
      <c r="W198" s="263">
        <f t="shared" si="826"/>
        <v>193.94718325843206</v>
      </c>
      <c r="X198" s="263">
        <f t="shared" si="826"/>
        <v>193.94718325843206</v>
      </c>
      <c r="Y198" s="263">
        <f t="shared" si="826"/>
        <v>193.94718325843206</v>
      </c>
      <c r="Z198" s="263">
        <f t="shared" si="826"/>
        <v>193.94718325843206</v>
      </c>
      <c r="AA198" s="263">
        <f t="shared" si="826"/>
        <v>193.94718325843206</v>
      </c>
      <c r="AB198" s="263">
        <f t="shared" si="826"/>
        <v>90.385826637614059</v>
      </c>
      <c r="AC198" s="263">
        <f t="shared" si="826"/>
        <v>-1.5604430523400972</v>
      </c>
      <c r="AD198" s="230">
        <f t="shared" si="827"/>
        <v>2028.2972161695941</v>
      </c>
      <c r="AE198" s="266"/>
      <c r="AF198" s="263">
        <f t="shared" si="828"/>
        <v>193.94718325843206</v>
      </c>
      <c r="AG198" s="263">
        <f t="shared" si="828"/>
        <v>193.94718325843206</v>
      </c>
      <c r="AH198" s="263">
        <f t="shared" si="828"/>
        <v>193.94718325843206</v>
      </c>
      <c r="AI198" s="263">
        <f t="shared" si="828"/>
        <v>193.94718325843206</v>
      </c>
      <c r="AJ198" s="263">
        <f t="shared" si="828"/>
        <v>193.94718325843206</v>
      </c>
      <c r="AK198" s="263">
        <f t="shared" si="828"/>
        <v>193.94718325843206</v>
      </c>
      <c r="AL198" s="263">
        <f t="shared" si="828"/>
        <v>193.94718325843206</v>
      </c>
      <c r="AM198" s="263">
        <f t="shared" si="828"/>
        <v>193.94718325843206</v>
      </c>
      <c r="AN198" s="263">
        <f t="shared" si="828"/>
        <v>193.94718325843206</v>
      </c>
      <c r="AO198" s="263">
        <f t="shared" si="828"/>
        <v>193.94718325843206</v>
      </c>
      <c r="AP198" s="263">
        <f t="shared" si="828"/>
        <v>90.385826637614059</v>
      </c>
      <c r="AQ198" s="263">
        <f t="shared" si="828"/>
        <v>-1.5604430523400972</v>
      </c>
      <c r="AR198" s="230">
        <f t="shared" si="829"/>
        <v>2028.2972161695941</v>
      </c>
      <c r="AS198" s="266"/>
      <c r="AT198" s="263">
        <f t="shared" si="830"/>
        <v>129.29812217228806</v>
      </c>
      <c r="AU198" s="263">
        <f t="shared" si="830"/>
        <v>129.29812217228806</v>
      </c>
      <c r="AV198" s="263">
        <f t="shared" si="830"/>
        <v>129.29812217228806</v>
      </c>
      <c r="AW198" s="263">
        <f t="shared" si="830"/>
        <v>129.29812217228806</v>
      </c>
      <c r="AX198" s="263">
        <f t="shared" si="830"/>
        <v>129.29812217228806</v>
      </c>
      <c r="AY198" s="263">
        <f t="shared" si="830"/>
        <v>129.29812217228806</v>
      </c>
      <c r="AZ198" s="263">
        <f t="shared" si="830"/>
        <v>129.29812217228806</v>
      </c>
      <c r="BA198" s="263">
        <f t="shared" si="830"/>
        <v>129.29812217228806</v>
      </c>
      <c r="BB198" s="263">
        <f t="shared" si="830"/>
        <v>129.29812217228806</v>
      </c>
      <c r="BC198" s="263">
        <f t="shared" si="830"/>
        <v>129.29812217228806</v>
      </c>
      <c r="BD198" s="263">
        <f t="shared" si="830"/>
        <v>60.257217758409375</v>
      </c>
      <c r="BE198" s="263">
        <f t="shared" si="830"/>
        <v>-1.0402953682267315</v>
      </c>
      <c r="BF198" s="230">
        <f t="shared" si="831"/>
        <v>1352.1981441130629</v>
      </c>
      <c r="BG198" s="224"/>
      <c r="BH198" s="263">
        <f t="shared" si="832"/>
        <v>969.73591629216048</v>
      </c>
      <c r="BI198" s="263">
        <f t="shared" si="832"/>
        <v>969.73591629216048</v>
      </c>
      <c r="BJ198" s="263">
        <f t="shared" si="832"/>
        <v>969.73591629216048</v>
      </c>
      <c r="BK198" s="263">
        <f t="shared" si="832"/>
        <v>969.73591629216048</v>
      </c>
      <c r="BL198" s="263">
        <f t="shared" si="832"/>
        <v>969.73591629216048</v>
      </c>
      <c r="BM198" s="263">
        <f t="shared" si="832"/>
        <v>969.73591629216048</v>
      </c>
      <c r="BN198" s="263">
        <f t="shared" si="832"/>
        <v>969.73591629216048</v>
      </c>
      <c r="BO198" s="263">
        <f t="shared" si="832"/>
        <v>969.73591629216048</v>
      </c>
      <c r="BP198" s="263">
        <f t="shared" si="832"/>
        <v>969.73591629216048</v>
      </c>
      <c r="BQ198" s="263">
        <f t="shared" si="832"/>
        <v>969.73591629216048</v>
      </c>
      <c r="BR198" s="263">
        <f t="shared" si="832"/>
        <v>451.9291331880703</v>
      </c>
      <c r="BS198" s="263">
        <f t="shared" si="832"/>
        <v>-7.8022152617004874</v>
      </c>
      <c r="BT198" s="230">
        <f t="shared" si="833"/>
        <v>10141.486080847973</v>
      </c>
      <c r="BU198" s="266"/>
      <c r="BV198" s="263">
        <f t="shared" si="834"/>
        <v>64.64906108614403</v>
      </c>
      <c r="BW198" s="263">
        <f t="shared" si="834"/>
        <v>64.64906108614403</v>
      </c>
      <c r="BX198" s="263">
        <f t="shared" si="834"/>
        <v>64.64906108614403</v>
      </c>
      <c r="BY198" s="263">
        <f t="shared" si="834"/>
        <v>64.64906108614403</v>
      </c>
      <c r="BZ198" s="263">
        <f t="shared" si="834"/>
        <v>64.64906108614403</v>
      </c>
      <c r="CA198" s="263">
        <f t="shared" si="834"/>
        <v>64.64906108614403</v>
      </c>
      <c r="CB198" s="263">
        <f t="shared" si="834"/>
        <v>64.64906108614403</v>
      </c>
      <c r="CC198" s="263">
        <f t="shared" si="834"/>
        <v>64.64906108614403</v>
      </c>
      <c r="CD198" s="263">
        <f t="shared" si="834"/>
        <v>64.64906108614403</v>
      </c>
      <c r="CE198" s="263">
        <f t="shared" si="834"/>
        <v>64.64906108614403</v>
      </c>
      <c r="CF198" s="263">
        <f t="shared" si="834"/>
        <v>30.128608879204688</v>
      </c>
      <c r="CG198" s="263">
        <f t="shared" si="834"/>
        <v>-0.52014768411336576</v>
      </c>
      <c r="CH198" s="230">
        <f t="shared" si="835"/>
        <v>676.09907205653144</v>
      </c>
      <c r="CI198" s="266"/>
      <c r="CJ198" s="263">
        <f t="shared" si="836"/>
        <v>711.13967194758425</v>
      </c>
      <c r="CK198" s="263">
        <f t="shared" si="836"/>
        <v>711.13967194758425</v>
      </c>
      <c r="CL198" s="263">
        <f t="shared" si="836"/>
        <v>711.13967194758425</v>
      </c>
      <c r="CM198" s="263">
        <f t="shared" si="836"/>
        <v>711.13967194758425</v>
      </c>
      <c r="CN198" s="263">
        <f t="shared" si="836"/>
        <v>711.13967194758425</v>
      </c>
      <c r="CO198" s="263">
        <f t="shared" si="836"/>
        <v>711.13967194758425</v>
      </c>
      <c r="CP198" s="263">
        <f t="shared" si="836"/>
        <v>711.13967194758425</v>
      </c>
      <c r="CQ198" s="263">
        <f t="shared" si="836"/>
        <v>711.13967194758425</v>
      </c>
      <c r="CR198" s="263">
        <f t="shared" si="836"/>
        <v>711.13967194758425</v>
      </c>
      <c r="CS198" s="263">
        <f t="shared" si="836"/>
        <v>711.13967194758425</v>
      </c>
      <c r="CT198" s="263">
        <f t="shared" si="836"/>
        <v>331.41469767125153</v>
      </c>
      <c r="CU198" s="263">
        <f t="shared" si="836"/>
        <v>-5.7216245252470239</v>
      </c>
      <c r="CV198" s="230">
        <f t="shared" si="837"/>
        <v>7437.0897926218477</v>
      </c>
      <c r="CW198" s="266"/>
      <c r="CX198" s="263">
        <f t="shared" si="838"/>
        <v>1810.1737104120327</v>
      </c>
      <c r="CY198" s="263">
        <f t="shared" si="838"/>
        <v>1810.1737104120327</v>
      </c>
      <c r="CZ198" s="263">
        <f t="shared" si="838"/>
        <v>1810.1737104120327</v>
      </c>
      <c r="DA198" s="263">
        <f t="shared" si="838"/>
        <v>1810.1737104120327</v>
      </c>
      <c r="DB198" s="263">
        <f t="shared" si="838"/>
        <v>1810.1737104120327</v>
      </c>
      <c r="DC198" s="263">
        <f t="shared" si="838"/>
        <v>1810.1737104120327</v>
      </c>
      <c r="DD198" s="263">
        <f t="shared" si="838"/>
        <v>1810.1737104120327</v>
      </c>
      <c r="DE198" s="263">
        <f t="shared" si="838"/>
        <v>1810.1737104120327</v>
      </c>
      <c r="DF198" s="263">
        <f t="shared" si="838"/>
        <v>1810.1737104120327</v>
      </c>
      <c r="DG198" s="263">
        <f t="shared" si="838"/>
        <v>1810.1737104120327</v>
      </c>
      <c r="DH198" s="263">
        <f t="shared" si="838"/>
        <v>843.60104861773118</v>
      </c>
      <c r="DI198" s="263">
        <f t="shared" si="838"/>
        <v>-14.564135155174242</v>
      </c>
      <c r="DJ198" s="230">
        <f t="shared" si="839"/>
        <v>18930.774017582884</v>
      </c>
      <c r="DK198" s="266"/>
      <c r="DL198" s="263">
        <f t="shared" si="840"/>
        <v>1810.1737104120327</v>
      </c>
      <c r="DM198" s="263">
        <f t="shared" si="840"/>
        <v>1810.1737104120327</v>
      </c>
      <c r="DN198" s="263">
        <f t="shared" si="840"/>
        <v>1810.1737104120327</v>
      </c>
      <c r="DO198" s="263">
        <f t="shared" si="840"/>
        <v>1810.1737104120327</v>
      </c>
      <c r="DP198" s="263">
        <f t="shared" si="840"/>
        <v>1810.1737104120327</v>
      </c>
      <c r="DQ198" s="263">
        <f t="shared" si="840"/>
        <v>1810.1737104120327</v>
      </c>
      <c r="DR198" s="263">
        <f t="shared" si="840"/>
        <v>1810.1737104120327</v>
      </c>
      <c r="DS198" s="263">
        <f t="shared" si="840"/>
        <v>1810.1737104120327</v>
      </c>
      <c r="DT198" s="263">
        <f t="shared" si="840"/>
        <v>1810.1737104120327</v>
      </c>
      <c r="DU198" s="263">
        <f t="shared" si="840"/>
        <v>1810.1737104120327</v>
      </c>
      <c r="DV198" s="263">
        <f t="shared" si="840"/>
        <v>843.60104861773118</v>
      </c>
      <c r="DW198" s="263">
        <f t="shared" si="840"/>
        <v>-14.564135155174242</v>
      </c>
      <c r="DX198" s="230">
        <f t="shared" si="841"/>
        <v>18930.774017582884</v>
      </c>
      <c r="DY198" s="266"/>
      <c r="DZ198" s="263">
        <f t="shared" si="842"/>
        <v>64.64906108614403</v>
      </c>
      <c r="EA198" s="263">
        <f t="shared" si="842"/>
        <v>64.64906108614403</v>
      </c>
      <c r="EB198" s="263">
        <f t="shared" si="842"/>
        <v>64.64906108614403</v>
      </c>
      <c r="EC198" s="263">
        <f t="shared" si="842"/>
        <v>64.64906108614403</v>
      </c>
      <c r="ED198" s="263">
        <f t="shared" si="842"/>
        <v>64.64906108614403</v>
      </c>
      <c r="EE198" s="263">
        <f t="shared" si="842"/>
        <v>64.64906108614403</v>
      </c>
      <c r="EF198" s="263">
        <f t="shared" si="842"/>
        <v>64.64906108614403</v>
      </c>
      <c r="EG198" s="263">
        <f t="shared" si="842"/>
        <v>64.64906108614403</v>
      </c>
      <c r="EH198" s="263">
        <f t="shared" si="842"/>
        <v>64.64906108614403</v>
      </c>
      <c r="EI198" s="263">
        <f t="shared" si="842"/>
        <v>64.64906108614403</v>
      </c>
      <c r="EJ198" s="263">
        <f t="shared" si="842"/>
        <v>30.128608879204688</v>
      </c>
      <c r="EK198" s="263">
        <f t="shared" si="842"/>
        <v>-0.52014768411336576</v>
      </c>
      <c r="EL198" s="230">
        <f t="shared" si="843"/>
        <v>676.09907205653144</v>
      </c>
      <c r="EM198" s="266"/>
      <c r="EN198" s="263">
        <f t="shared" si="844"/>
        <v>129.29812217228806</v>
      </c>
      <c r="EO198" s="263">
        <f t="shared" si="844"/>
        <v>129.29812217228806</v>
      </c>
      <c r="EP198" s="263">
        <f t="shared" si="844"/>
        <v>129.29812217228806</v>
      </c>
      <c r="EQ198" s="263">
        <f t="shared" si="844"/>
        <v>129.29812217228806</v>
      </c>
      <c r="ER198" s="263">
        <f t="shared" si="844"/>
        <v>129.29812217228806</v>
      </c>
      <c r="ES198" s="263">
        <f t="shared" si="844"/>
        <v>129.29812217228806</v>
      </c>
      <c r="ET198" s="263">
        <f t="shared" si="844"/>
        <v>129.29812217228806</v>
      </c>
      <c r="EU198" s="263">
        <f t="shared" si="844"/>
        <v>129.29812217228806</v>
      </c>
      <c r="EV198" s="263">
        <f t="shared" si="844"/>
        <v>129.29812217228806</v>
      </c>
      <c r="EW198" s="263">
        <f t="shared" si="844"/>
        <v>129.29812217228806</v>
      </c>
      <c r="EX198" s="263">
        <f t="shared" si="844"/>
        <v>60.257217758409375</v>
      </c>
      <c r="EY198" s="263">
        <f t="shared" si="844"/>
        <v>-1.0402953682267315</v>
      </c>
      <c r="EZ198" s="230">
        <f t="shared" si="845"/>
        <v>1352.1981441130629</v>
      </c>
      <c r="FA198" s="266"/>
      <c r="FB198" s="263">
        <f t="shared" si="846"/>
        <v>64.64906108614403</v>
      </c>
      <c r="FC198" s="263">
        <f t="shared" si="846"/>
        <v>64.64906108614403</v>
      </c>
      <c r="FD198" s="263">
        <f t="shared" si="846"/>
        <v>64.64906108614403</v>
      </c>
      <c r="FE198" s="263">
        <f t="shared" si="846"/>
        <v>64.64906108614403</v>
      </c>
      <c r="FF198" s="263">
        <f t="shared" si="846"/>
        <v>64.64906108614403</v>
      </c>
      <c r="FG198" s="263">
        <f t="shared" si="846"/>
        <v>64.64906108614403</v>
      </c>
      <c r="FH198" s="263">
        <f t="shared" si="846"/>
        <v>64.64906108614403</v>
      </c>
      <c r="FI198" s="263">
        <f t="shared" si="846"/>
        <v>64.64906108614403</v>
      </c>
      <c r="FJ198" s="263">
        <f t="shared" si="846"/>
        <v>64.64906108614403</v>
      </c>
      <c r="FK198" s="263">
        <f t="shared" si="846"/>
        <v>64.64906108614403</v>
      </c>
      <c r="FL198" s="263">
        <f t="shared" si="846"/>
        <v>30.128608879204688</v>
      </c>
      <c r="FM198" s="263">
        <f t="shared" si="846"/>
        <v>-0.52014768411336576</v>
      </c>
      <c r="FN198" s="230">
        <f t="shared" si="847"/>
        <v>676.09907205653144</v>
      </c>
      <c r="FO198" s="266"/>
      <c r="FP198" s="263">
        <f t="shared" si="848"/>
        <v>452.54342760300818</v>
      </c>
      <c r="FQ198" s="263">
        <f t="shared" si="848"/>
        <v>452.54342760300818</v>
      </c>
      <c r="FR198" s="263">
        <f t="shared" si="848"/>
        <v>452.54342760300818</v>
      </c>
      <c r="FS198" s="263">
        <f t="shared" si="848"/>
        <v>452.54342760300818</v>
      </c>
      <c r="FT198" s="263">
        <f t="shared" si="848"/>
        <v>452.54342760300818</v>
      </c>
      <c r="FU198" s="263">
        <f t="shared" si="848"/>
        <v>452.54342760300818</v>
      </c>
      <c r="FV198" s="263">
        <f t="shared" si="848"/>
        <v>452.54342760300818</v>
      </c>
      <c r="FW198" s="263">
        <f t="shared" si="848"/>
        <v>452.54342760300818</v>
      </c>
      <c r="FX198" s="263">
        <f t="shared" si="848"/>
        <v>452.54342760300818</v>
      </c>
      <c r="FY198" s="263">
        <f t="shared" si="848"/>
        <v>452.54342760300818</v>
      </c>
      <c r="FZ198" s="263">
        <f t="shared" si="848"/>
        <v>210.9002621544328</v>
      </c>
      <c r="GA198" s="263">
        <f t="shared" si="848"/>
        <v>-3.6410337887935604</v>
      </c>
      <c r="GB198" s="230">
        <f t="shared" si="849"/>
        <v>4732.693504395721</v>
      </c>
      <c r="GC198" s="266"/>
      <c r="GD198" s="263">
        <f t="shared" si="850"/>
        <v>64.64906108614403</v>
      </c>
      <c r="GE198" s="263">
        <f t="shared" si="850"/>
        <v>64.64906108614403</v>
      </c>
      <c r="GF198" s="263">
        <f t="shared" si="850"/>
        <v>64.64906108614403</v>
      </c>
      <c r="GG198" s="263">
        <f t="shared" si="850"/>
        <v>64.64906108614403</v>
      </c>
      <c r="GH198" s="263">
        <f t="shared" si="850"/>
        <v>64.64906108614403</v>
      </c>
      <c r="GI198" s="263">
        <f t="shared" si="850"/>
        <v>64.64906108614403</v>
      </c>
      <c r="GJ198" s="263">
        <f t="shared" si="850"/>
        <v>64.64906108614403</v>
      </c>
      <c r="GK198" s="263">
        <f t="shared" si="850"/>
        <v>64.64906108614403</v>
      </c>
      <c r="GL198" s="263">
        <f t="shared" si="850"/>
        <v>64.64906108614403</v>
      </c>
      <c r="GM198" s="263">
        <f t="shared" si="850"/>
        <v>64.64906108614403</v>
      </c>
      <c r="GN198" s="263">
        <f t="shared" si="850"/>
        <v>30.128608879204688</v>
      </c>
      <c r="GO198" s="263">
        <f t="shared" si="850"/>
        <v>-0.52014768411336576</v>
      </c>
      <c r="GP198" s="230">
        <f t="shared" si="851"/>
        <v>676.09907205653144</v>
      </c>
      <c r="GQ198" s="266"/>
      <c r="GR198" s="263">
        <f t="shared" si="852"/>
        <v>0</v>
      </c>
      <c r="GS198" s="263">
        <f t="shared" si="852"/>
        <v>0</v>
      </c>
      <c r="GT198" s="263">
        <f t="shared" si="852"/>
        <v>0</v>
      </c>
      <c r="GU198" s="263">
        <f t="shared" si="852"/>
        <v>0</v>
      </c>
      <c r="GV198" s="263">
        <f t="shared" si="852"/>
        <v>0</v>
      </c>
      <c r="GW198" s="263">
        <f t="shared" si="852"/>
        <v>0</v>
      </c>
      <c r="GX198" s="263">
        <f t="shared" si="852"/>
        <v>0</v>
      </c>
      <c r="GY198" s="263">
        <f t="shared" si="852"/>
        <v>0</v>
      </c>
      <c r="GZ198" s="263">
        <f t="shared" si="852"/>
        <v>0</v>
      </c>
      <c r="HA198" s="263">
        <f t="shared" si="852"/>
        <v>0</v>
      </c>
      <c r="HB198" s="263">
        <f t="shared" si="852"/>
        <v>0</v>
      </c>
      <c r="HC198" s="263">
        <f t="shared" si="852"/>
        <v>0</v>
      </c>
      <c r="HD198" s="230">
        <f t="shared" si="872"/>
        <v>0</v>
      </c>
      <c r="HE198" s="266"/>
      <c r="HF198" s="263">
        <f t="shared" si="853"/>
        <v>258.59624434457612</v>
      </c>
      <c r="HG198" s="263">
        <f t="shared" si="853"/>
        <v>258.59624434457612</v>
      </c>
      <c r="HH198" s="263">
        <f t="shared" si="853"/>
        <v>258.59624434457612</v>
      </c>
      <c r="HI198" s="263">
        <f t="shared" si="853"/>
        <v>258.59624434457612</v>
      </c>
      <c r="HJ198" s="263">
        <f t="shared" si="853"/>
        <v>258.59624434457612</v>
      </c>
      <c r="HK198" s="263">
        <f t="shared" si="853"/>
        <v>258.59624434457612</v>
      </c>
      <c r="HL198" s="263">
        <f t="shared" si="853"/>
        <v>258.59624434457612</v>
      </c>
      <c r="HM198" s="263">
        <f t="shared" si="853"/>
        <v>258.59624434457612</v>
      </c>
      <c r="HN198" s="263">
        <f t="shared" si="853"/>
        <v>258.59624434457612</v>
      </c>
      <c r="HO198" s="263">
        <f t="shared" si="853"/>
        <v>258.59624434457612</v>
      </c>
      <c r="HP198" s="263">
        <f t="shared" si="853"/>
        <v>120.51443551681875</v>
      </c>
      <c r="HQ198" s="263">
        <f t="shared" si="853"/>
        <v>-2.080590736453463</v>
      </c>
      <c r="HR198" s="230">
        <f t="shared" si="854"/>
        <v>2704.3962882261258</v>
      </c>
      <c r="HS198" s="266"/>
      <c r="HT198" s="263">
        <f t="shared" si="855"/>
        <v>64.64906108614403</v>
      </c>
      <c r="HU198" s="263">
        <f t="shared" si="855"/>
        <v>64.64906108614403</v>
      </c>
      <c r="HV198" s="263">
        <f t="shared" si="855"/>
        <v>64.64906108614403</v>
      </c>
      <c r="HW198" s="263">
        <f t="shared" si="855"/>
        <v>64.64906108614403</v>
      </c>
      <c r="HX198" s="263">
        <f t="shared" si="855"/>
        <v>64.64906108614403</v>
      </c>
      <c r="HY198" s="263">
        <f t="shared" si="855"/>
        <v>64.64906108614403</v>
      </c>
      <c r="HZ198" s="263">
        <f t="shared" si="855"/>
        <v>64.64906108614403</v>
      </c>
      <c r="IA198" s="263">
        <f t="shared" si="855"/>
        <v>64.64906108614403</v>
      </c>
      <c r="IB198" s="263">
        <f t="shared" si="855"/>
        <v>64.64906108614403</v>
      </c>
      <c r="IC198" s="263">
        <f t="shared" si="855"/>
        <v>64.64906108614403</v>
      </c>
      <c r="ID198" s="263">
        <f t="shared" si="855"/>
        <v>30.128608879204688</v>
      </c>
      <c r="IE198" s="263">
        <f t="shared" si="855"/>
        <v>-0.52014768411336576</v>
      </c>
      <c r="IF198" s="230">
        <f t="shared" si="856"/>
        <v>676.09907205653144</v>
      </c>
      <c r="IG198" s="266"/>
      <c r="IH198" s="263">
        <f t="shared" si="857"/>
        <v>64.64906108614403</v>
      </c>
      <c r="II198" s="263">
        <f t="shared" si="857"/>
        <v>64.64906108614403</v>
      </c>
      <c r="IJ198" s="263">
        <f t="shared" si="857"/>
        <v>64.64906108614403</v>
      </c>
      <c r="IK198" s="263">
        <f t="shared" si="857"/>
        <v>64.64906108614403</v>
      </c>
      <c r="IL198" s="263">
        <f t="shared" si="857"/>
        <v>64.64906108614403</v>
      </c>
      <c r="IM198" s="263">
        <f t="shared" si="857"/>
        <v>64.64906108614403</v>
      </c>
      <c r="IN198" s="263">
        <f t="shared" si="857"/>
        <v>64.64906108614403</v>
      </c>
      <c r="IO198" s="263">
        <f t="shared" si="857"/>
        <v>64.64906108614403</v>
      </c>
      <c r="IP198" s="263">
        <f t="shared" si="857"/>
        <v>64.64906108614403</v>
      </c>
      <c r="IQ198" s="263">
        <f t="shared" si="857"/>
        <v>64.64906108614403</v>
      </c>
      <c r="IR198" s="263">
        <f t="shared" si="857"/>
        <v>30.128608879204688</v>
      </c>
      <c r="IS198" s="263">
        <f t="shared" si="857"/>
        <v>-0.52014768411336576</v>
      </c>
      <c r="IT198" s="230">
        <f t="shared" si="858"/>
        <v>676.09907205653144</v>
      </c>
      <c r="IU198" s="266"/>
      <c r="IV198" s="263">
        <f t="shared" si="859"/>
        <v>452.54342760300818</v>
      </c>
      <c r="IW198" s="263">
        <f t="shared" si="859"/>
        <v>452.54342760300818</v>
      </c>
      <c r="IX198" s="263">
        <f t="shared" si="859"/>
        <v>452.54342760300818</v>
      </c>
      <c r="IY198" s="263">
        <f t="shared" si="859"/>
        <v>452.54342760300818</v>
      </c>
      <c r="IZ198" s="263">
        <f t="shared" si="859"/>
        <v>452.54342760300818</v>
      </c>
      <c r="JA198" s="263">
        <f t="shared" si="859"/>
        <v>452.54342760300818</v>
      </c>
      <c r="JB198" s="263">
        <f t="shared" si="859"/>
        <v>452.54342760300818</v>
      </c>
      <c r="JC198" s="263">
        <f t="shared" si="859"/>
        <v>452.54342760300818</v>
      </c>
      <c r="JD198" s="263">
        <f t="shared" si="859"/>
        <v>452.54342760300818</v>
      </c>
      <c r="JE198" s="263">
        <f t="shared" si="859"/>
        <v>452.54342760300818</v>
      </c>
      <c r="JF198" s="263">
        <f t="shared" si="859"/>
        <v>210.9002621544328</v>
      </c>
      <c r="JG198" s="263">
        <f t="shared" si="859"/>
        <v>-3.6410337887935604</v>
      </c>
      <c r="JH198" s="230">
        <f t="shared" si="860"/>
        <v>4732.693504395721</v>
      </c>
      <c r="JI198" s="266"/>
      <c r="JJ198" s="263">
        <f t="shared" si="861"/>
        <v>711.13967194758425</v>
      </c>
      <c r="JK198" s="263">
        <f t="shared" si="861"/>
        <v>711.13967194758425</v>
      </c>
      <c r="JL198" s="263">
        <f t="shared" si="861"/>
        <v>711.13967194758425</v>
      </c>
      <c r="JM198" s="263">
        <f t="shared" si="861"/>
        <v>711.13967194758425</v>
      </c>
      <c r="JN198" s="263">
        <f t="shared" si="861"/>
        <v>711.13967194758425</v>
      </c>
      <c r="JO198" s="263">
        <f t="shared" si="861"/>
        <v>711.13967194758425</v>
      </c>
      <c r="JP198" s="263">
        <f t="shared" si="861"/>
        <v>711.13967194758425</v>
      </c>
      <c r="JQ198" s="263">
        <f t="shared" si="861"/>
        <v>711.13967194758425</v>
      </c>
      <c r="JR198" s="263">
        <f t="shared" si="861"/>
        <v>711.13967194758425</v>
      </c>
      <c r="JS198" s="263">
        <f t="shared" si="861"/>
        <v>711.13967194758425</v>
      </c>
      <c r="JT198" s="263">
        <f t="shared" si="861"/>
        <v>331.41469767125153</v>
      </c>
      <c r="JU198" s="263">
        <f t="shared" si="861"/>
        <v>-5.7216245252470239</v>
      </c>
      <c r="JV198" s="230">
        <f t="shared" si="862"/>
        <v>7437.0897926218477</v>
      </c>
      <c r="JW198" s="266"/>
      <c r="JX198" s="263">
        <f t="shared" si="863"/>
        <v>323.24530543072012</v>
      </c>
      <c r="JY198" s="263">
        <f t="shared" si="863"/>
        <v>323.24530543072012</v>
      </c>
      <c r="JZ198" s="263">
        <f t="shared" si="863"/>
        <v>323.24530543072012</v>
      </c>
      <c r="KA198" s="263">
        <f t="shared" si="863"/>
        <v>323.24530543072012</v>
      </c>
      <c r="KB198" s="263">
        <f t="shared" si="863"/>
        <v>323.24530543072012</v>
      </c>
      <c r="KC198" s="263">
        <f t="shared" si="863"/>
        <v>323.24530543072012</v>
      </c>
      <c r="KD198" s="263">
        <f t="shared" si="863"/>
        <v>323.24530543072012</v>
      </c>
      <c r="KE198" s="263">
        <f t="shared" si="863"/>
        <v>323.24530543072012</v>
      </c>
      <c r="KF198" s="263">
        <f t="shared" si="863"/>
        <v>323.24530543072012</v>
      </c>
      <c r="KG198" s="263">
        <f t="shared" si="863"/>
        <v>323.24530543072012</v>
      </c>
      <c r="KH198" s="263">
        <f t="shared" si="863"/>
        <v>150.64304439602341</v>
      </c>
      <c r="KI198" s="263">
        <f t="shared" si="863"/>
        <v>-2.6007384205668291</v>
      </c>
      <c r="KJ198" s="230">
        <f t="shared" si="864"/>
        <v>3380.4953602826586</v>
      </c>
      <c r="KK198" s="266"/>
      <c r="KL198" s="263">
        <f t="shared" si="865"/>
        <v>129.29812217228806</v>
      </c>
      <c r="KM198" s="263">
        <f t="shared" si="865"/>
        <v>129.29812217228806</v>
      </c>
      <c r="KN198" s="263">
        <f t="shared" si="865"/>
        <v>129.29812217228806</v>
      </c>
      <c r="KO198" s="263">
        <f t="shared" si="865"/>
        <v>129.29812217228806</v>
      </c>
      <c r="KP198" s="263">
        <f t="shared" si="865"/>
        <v>129.29812217228806</v>
      </c>
      <c r="KQ198" s="263">
        <f t="shared" si="865"/>
        <v>129.29812217228806</v>
      </c>
      <c r="KR198" s="263">
        <f t="shared" si="865"/>
        <v>129.29812217228806</v>
      </c>
      <c r="KS198" s="263">
        <f t="shared" si="865"/>
        <v>129.29812217228806</v>
      </c>
      <c r="KT198" s="263">
        <f t="shared" si="865"/>
        <v>129.29812217228806</v>
      </c>
      <c r="KU198" s="263">
        <f t="shared" si="865"/>
        <v>129.29812217228806</v>
      </c>
      <c r="KV198" s="263">
        <f t="shared" si="865"/>
        <v>60.257217758409375</v>
      </c>
      <c r="KW198" s="263">
        <f t="shared" si="865"/>
        <v>-1.0402953682267315</v>
      </c>
      <c r="KX198" s="230">
        <f t="shared" si="866"/>
        <v>1352.1981441130629</v>
      </c>
      <c r="KY198" s="266"/>
      <c r="KZ198" s="263">
        <f t="shared" si="867"/>
        <v>64.64906108614403</v>
      </c>
      <c r="LA198" s="263">
        <f t="shared" si="867"/>
        <v>64.64906108614403</v>
      </c>
      <c r="LB198" s="263">
        <f t="shared" si="867"/>
        <v>64.64906108614403</v>
      </c>
      <c r="LC198" s="263">
        <f t="shared" si="867"/>
        <v>64.64906108614403</v>
      </c>
      <c r="LD198" s="263">
        <f t="shared" si="867"/>
        <v>64.64906108614403</v>
      </c>
      <c r="LE198" s="263">
        <f t="shared" si="867"/>
        <v>64.64906108614403</v>
      </c>
      <c r="LF198" s="263">
        <f t="shared" si="867"/>
        <v>64.64906108614403</v>
      </c>
      <c r="LG198" s="263">
        <f t="shared" si="867"/>
        <v>64.64906108614403</v>
      </c>
      <c r="LH198" s="263">
        <f t="shared" si="867"/>
        <v>64.64906108614403</v>
      </c>
      <c r="LI198" s="263">
        <f t="shared" si="867"/>
        <v>64.64906108614403</v>
      </c>
      <c r="LJ198" s="263">
        <f t="shared" si="867"/>
        <v>30.128608879204688</v>
      </c>
      <c r="LK198" s="263">
        <f t="shared" si="867"/>
        <v>-0.52014768411336576</v>
      </c>
      <c r="LL198" s="230">
        <f t="shared" si="868"/>
        <v>676.09907205653144</v>
      </c>
      <c r="LM198" s="266"/>
      <c r="LN198" s="263">
        <v>0</v>
      </c>
      <c r="LO198" s="264">
        <v>0</v>
      </c>
      <c r="LP198" s="265">
        <v>0</v>
      </c>
      <c r="LQ198" s="265">
        <v>0</v>
      </c>
      <c r="LR198" s="265">
        <v>0</v>
      </c>
      <c r="LS198" s="265">
        <v>0</v>
      </c>
      <c r="LT198" s="265">
        <v>0</v>
      </c>
      <c r="LU198" s="265">
        <v>0</v>
      </c>
      <c r="LV198" s="265">
        <v>0</v>
      </c>
      <c r="LW198" s="265">
        <v>0</v>
      </c>
      <c r="LX198" s="265">
        <v>0</v>
      </c>
      <c r="LY198" s="265">
        <v>0</v>
      </c>
      <c r="LZ198" s="230">
        <f t="shared" si="869"/>
        <v>0</v>
      </c>
      <c r="MA198" s="266"/>
      <c r="MB198" s="230">
        <f t="shared" si="870"/>
        <v>10602.446018127621</v>
      </c>
      <c r="MC198" s="230">
        <f t="shared" si="870"/>
        <v>10602.446018127621</v>
      </c>
      <c r="MD198" s="230">
        <f t="shared" si="870"/>
        <v>10602.446018127621</v>
      </c>
      <c r="ME198" s="230">
        <f t="shared" si="870"/>
        <v>10602.446018127621</v>
      </c>
      <c r="MF198" s="230">
        <f t="shared" si="870"/>
        <v>10602.446018127621</v>
      </c>
      <c r="MG198" s="230">
        <f t="shared" si="870"/>
        <v>10602.446018127621</v>
      </c>
      <c r="MH198" s="230">
        <f t="shared" si="870"/>
        <v>10602.446018127621</v>
      </c>
      <c r="MI198" s="230">
        <f t="shared" si="870"/>
        <v>10602.446018127621</v>
      </c>
      <c r="MJ198" s="230">
        <f t="shared" si="870"/>
        <v>10602.446018127621</v>
      </c>
      <c r="MK198" s="230">
        <f t="shared" si="870"/>
        <v>10602.446018127621</v>
      </c>
      <c r="ML198" s="230">
        <f t="shared" si="870"/>
        <v>4941.0918561895705</v>
      </c>
      <c r="MM198" s="230">
        <f t="shared" si="870"/>
        <v>-85.304220194592006</v>
      </c>
      <c r="MN198" s="230">
        <f t="shared" si="871"/>
        <v>110880.24781727119</v>
      </c>
    </row>
    <row r="199" spans="1:352" x14ac:dyDescent="0.25">
      <c r="A199" s="262"/>
      <c r="B199" s="183"/>
      <c r="C199" s="98"/>
      <c r="D199" s="263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30"/>
      <c r="Q199" s="266"/>
      <c r="R199" s="263"/>
      <c r="S199" s="274"/>
      <c r="T199" s="274"/>
      <c r="U199" s="274"/>
      <c r="V199" s="274"/>
      <c r="W199" s="274"/>
      <c r="X199" s="274"/>
      <c r="Y199" s="274"/>
      <c r="Z199" s="274"/>
      <c r="AA199" s="274"/>
      <c r="AB199" s="274"/>
      <c r="AC199" s="274"/>
      <c r="AD199" s="230"/>
      <c r="AE199" s="266"/>
      <c r="AF199" s="263"/>
      <c r="AG199" s="274"/>
      <c r="AH199" s="274"/>
      <c r="AI199" s="274"/>
      <c r="AJ199" s="274"/>
      <c r="AK199" s="274"/>
      <c r="AL199" s="274"/>
      <c r="AM199" s="274"/>
      <c r="AN199" s="274"/>
      <c r="AO199" s="274"/>
      <c r="AP199" s="274"/>
      <c r="AQ199" s="274"/>
      <c r="AR199" s="230"/>
      <c r="AS199" s="266"/>
      <c r="AT199" s="263"/>
      <c r="AU199" s="274"/>
      <c r="AV199" s="274"/>
      <c r="AW199" s="274"/>
      <c r="AX199" s="274"/>
      <c r="AY199" s="274"/>
      <c r="AZ199" s="274"/>
      <c r="BA199" s="274"/>
      <c r="BB199" s="274"/>
      <c r="BC199" s="274"/>
      <c r="BD199" s="274"/>
      <c r="BE199" s="274"/>
      <c r="BF199" s="230"/>
      <c r="BG199" s="224"/>
      <c r="BH199" s="263"/>
      <c r="BI199" s="274"/>
      <c r="BJ199" s="274"/>
      <c r="BK199" s="274"/>
      <c r="BL199" s="274"/>
      <c r="BM199" s="274"/>
      <c r="BN199" s="274"/>
      <c r="BO199" s="274"/>
      <c r="BP199" s="274"/>
      <c r="BQ199" s="274"/>
      <c r="BR199" s="274"/>
      <c r="BS199" s="274"/>
      <c r="BT199" s="230"/>
      <c r="BU199" s="266"/>
      <c r="BV199" s="263"/>
      <c r="BW199" s="274"/>
      <c r="BX199" s="274"/>
      <c r="BY199" s="274"/>
      <c r="BZ199" s="274"/>
      <c r="CA199" s="274"/>
      <c r="CB199" s="274"/>
      <c r="CC199" s="274"/>
      <c r="CD199" s="274"/>
      <c r="CE199" s="274"/>
      <c r="CF199" s="274"/>
      <c r="CG199" s="274"/>
      <c r="CH199" s="230"/>
      <c r="CI199" s="266"/>
      <c r="CJ199" s="263"/>
      <c r="CK199" s="274"/>
      <c r="CL199" s="274"/>
      <c r="CM199" s="274"/>
      <c r="CN199" s="274"/>
      <c r="CO199" s="274"/>
      <c r="CP199" s="274"/>
      <c r="CQ199" s="274"/>
      <c r="CR199" s="274"/>
      <c r="CS199" s="274"/>
      <c r="CT199" s="274"/>
      <c r="CU199" s="274"/>
      <c r="CV199" s="230"/>
      <c r="CW199" s="266"/>
      <c r="CX199" s="263"/>
      <c r="CY199" s="274"/>
      <c r="CZ199" s="274"/>
      <c r="DA199" s="274"/>
      <c r="DB199" s="274"/>
      <c r="DC199" s="274"/>
      <c r="DD199" s="274"/>
      <c r="DE199" s="274"/>
      <c r="DF199" s="274"/>
      <c r="DG199" s="274"/>
      <c r="DH199" s="274"/>
      <c r="DI199" s="274"/>
      <c r="DJ199" s="230"/>
      <c r="DK199" s="266"/>
      <c r="DL199" s="263"/>
      <c r="DM199" s="274"/>
      <c r="DN199" s="274"/>
      <c r="DO199" s="274"/>
      <c r="DP199" s="274"/>
      <c r="DQ199" s="274"/>
      <c r="DR199" s="274"/>
      <c r="DS199" s="274"/>
      <c r="DT199" s="274"/>
      <c r="DU199" s="274"/>
      <c r="DV199" s="274"/>
      <c r="DW199" s="274"/>
      <c r="DX199" s="230"/>
      <c r="DY199" s="266"/>
      <c r="DZ199" s="263"/>
      <c r="EA199" s="274"/>
      <c r="EB199" s="274"/>
      <c r="EC199" s="274"/>
      <c r="ED199" s="274"/>
      <c r="EE199" s="274"/>
      <c r="EF199" s="274"/>
      <c r="EG199" s="274"/>
      <c r="EH199" s="274"/>
      <c r="EI199" s="274"/>
      <c r="EJ199" s="274"/>
      <c r="EK199" s="274"/>
      <c r="EL199" s="230"/>
      <c r="EM199" s="266"/>
      <c r="EN199" s="263"/>
      <c r="EO199" s="274"/>
      <c r="EP199" s="274"/>
      <c r="EQ199" s="274"/>
      <c r="ER199" s="274"/>
      <c r="ES199" s="274"/>
      <c r="ET199" s="274"/>
      <c r="EU199" s="274"/>
      <c r="EV199" s="274"/>
      <c r="EW199" s="274"/>
      <c r="EX199" s="274"/>
      <c r="EY199" s="274"/>
      <c r="EZ199" s="230"/>
      <c r="FA199" s="266"/>
      <c r="FB199" s="263"/>
      <c r="FC199" s="274"/>
      <c r="FD199" s="274"/>
      <c r="FE199" s="274"/>
      <c r="FF199" s="274"/>
      <c r="FG199" s="274"/>
      <c r="FH199" s="274"/>
      <c r="FI199" s="274"/>
      <c r="FJ199" s="274"/>
      <c r="FK199" s="274"/>
      <c r="FL199" s="274"/>
      <c r="FM199" s="274"/>
      <c r="FN199" s="230"/>
      <c r="FO199" s="266"/>
      <c r="FP199" s="263"/>
      <c r="FQ199" s="274"/>
      <c r="FR199" s="274"/>
      <c r="FS199" s="274"/>
      <c r="FT199" s="274"/>
      <c r="FU199" s="274"/>
      <c r="FV199" s="274"/>
      <c r="FW199" s="274"/>
      <c r="FX199" s="274"/>
      <c r="FY199" s="274"/>
      <c r="FZ199" s="274"/>
      <c r="GA199" s="274"/>
      <c r="GB199" s="230"/>
      <c r="GC199" s="266"/>
      <c r="GD199" s="263"/>
      <c r="GE199" s="274"/>
      <c r="GF199" s="274"/>
      <c r="GG199" s="274"/>
      <c r="GH199" s="274"/>
      <c r="GI199" s="274"/>
      <c r="GJ199" s="274"/>
      <c r="GK199" s="274"/>
      <c r="GL199" s="274"/>
      <c r="GM199" s="274"/>
      <c r="GN199" s="274"/>
      <c r="GO199" s="274"/>
      <c r="GP199" s="230"/>
      <c r="GQ199" s="266"/>
      <c r="GR199" s="263"/>
      <c r="GS199" s="274"/>
      <c r="GT199" s="274"/>
      <c r="GU199" s="274"/>
      <c r="GV199" s="274"/>
      <c r="GW199" s="274"/>
      <c r="GX199" s="274"/>
      <c r="GY199" s="274"/>
      <c r="GZ199" s="274"/>
      <c r="HA199" s="274"/>
      <c r="HB199" s="274"/>
      <c r="HC199" s="274"/>
      <c r="HD199" s="230"/>
      <c r="HE199" s="266"/>
      <c r="HF199" s="263"/>
      <c r="HG199" s="274"/>
      <c r="HH199" s="274"/>
      <c r="HI199" s="274"/>
      <c r="HJ199" s="274"/>
      <c r="HK199" s="274"/>
      <c r="HL199" s="274"/>
      <c r="HM199" s="274"/>
      <c r="HN199" s="274"/>
      <c r="HO199" s="274"/>
      <c r="HP199" s="274"/>
      <c r="HQ199" s="274"/>
      <c r="HR199" s="230"/>
      <c r="HS199" s="266"/>
      <c r="HT199" s="263"/>
      <c r="HU199" s="274"/>
      <c r="HV199" s="274"/>
      <c r="HW199" s="274"/>
      <c r="HX199" s="274"/>
      <c r="HY199" s="274"/>
      <c r="HZ199" s="274"/>
      <c r="IA199" s="274"/>
      <c r="IB199" s="274"/>
      <c r="IC199" s="274"/>
      <c r="ID199" s="274"/>
      <c r="IE199" s="274"/>
      <c r="IF199" s="230"/>
      <c r="IG199" s="266"/>
      <c r="IH199" s="263"/>
      <c r="II199" s="274"/>
      <c r="IJ199" s="274"/>
      <c r="IK199" s="274"/>
      <c r="IL199" s="274"/>
      <c r="IM199" s="274"/>
      <c r="IN199" s="274"/>
      <c r="IO199" s="274"/>
      <c r="IP199" s="274"/>
      <c r="IQ199" s="274"/>
      <c r="IR199" s="274"/>
      <c r="IS199" s="274"/>
      <c r="IT199" s="230"/>
      <c r="IU199" s="266"/>
      <c r="IV199" s="263"/>
      <c r="IW199" s="274"/>
      <c r="IX199" s="274"/>
      <c r="IY199" s="274"/>
      <c r="IZ199" s="274"/>
      <c r="JA199" s="274"/>
      <c r="JB199" s="274"/>
      <c r="JC199" s="274"/>
      <c r="JD199" s="274"/>
      <c r="JE199" s="274"/>
      <c r="JF199" s="274"/>
      <c r="JG199" s="274"/>
      <c r="JH199" s="230"/>
      <c r="JI199" s="266"/>
      <c r="JJ199" s="263"/>
      <c r="JK199" s="274"/>
      <c r="JL199" s="274"/>
      <c r="JM199" s="274"/>
      <c r="JN199" s="274"/>
      <c r="JO199" s="274"/>
      <c r="JP199" s="274"/>
      <c r="JQ199" s="274"/>
      <c r="JR199" s="274"/>
      <c r="JS199" s="274"/>
      <c r="JT199" s="274"/>
      <c r="JU199" s="274"/>
      <c r="JV199" s="230"/>
      <c r="JW199" s="266"/>
      <c r="JX199" s="263"/>
      <c r="JY199" s="274"/>
      <c r="JZ199" s="274"/>
      <c r="KA199" s="274"/>
      <c r="KB199" s="274"/>
      <c r="KC199" s="274"/>
      <c r="KD199" s="274"/>
      <c r="KE199" s="274"/>
      <c r="KF199" s="274"/>
      <c r="KG199" s="274"/>
      <c r="KH199" s="274"/>
      <c r="KI199" s="274"/>
      <c r="KJ199" s="230"/>
      <c r="KK199" s="266"/>
      <c r="KL199" s="263"/>
      <c r="KM199" s="274"/>
      <c r="KN199" s="274"/>
      <c r="KO199" s="274"/>
      <c r="KP199" s="274"/>
      <c r="KQ199" s="274"/>
      <c r="KR199" s="274"/>
      <c r="KS199" s="274"/>
      <c r="KT199" s="274"/>
      <c r="KU199" s="274"/>
      <c r="KV199" s="274"/>
      <c r="KW199" s="274"/>
      <c r="KX199" s="230"/>
      <c r="KY199" s="266"/>
      <c r="KZ199" s="263"/>
      <c r="LA199" s="274"/>
      <c r="LB199" s="274"/>
      <c r="LC199" s="274"/>
      <c r="LD199" s="274"/>
      <c r="LE199" s="274"/>
      <c r="LF199" s="274"/>
      <c r="LG199" s="274"/>
      <c r="LH199" s="274"/>
      <c r="LI199" s="274"/>
      <c r="LJ199" s="274"/>
      <c r="LK199" s="274"/>
      <c r="LL199" s="230"/>
      <c r="LM199" s="266"/>
      <c r="LN199" s="263"/>
      <c r="LO199" s="274"/>
      <c r="LP199" s="274"/>
      <c r="LQ199" s="274"/>
      <c r="LR199" s="274"/>
      <c r="LS199" s="274"/>
      <c r="LT199" s="274"/>
      <c r="LU199" s="274"/>
      <c r="LV199" s="274"/>
      <c r="LW199" s="274"/>
      <c r="LX199" s="274"/>
      <c r="LY199" s="274"/>
      <c r="LZ199" s="230"/>
      <c r="MA199" s="266"/>
      <c r="MB199" s="230"/>
      <c r="MC199" s="230"/>
      <c r="MD199" s="230"/>
      <c r="ME199" s="230"/>
      <c r="MF199" s="230"/>
      <c r="MG199" s="230"/>
      <c r="MH199" s="230"/>
      <c r="MI199" s="230"/>
      <c r="MJ199" s="230"/>
      <c r="MK199" s="230"/>
      <c r="ML199" s="230"/>
      <c r="MM199" s="230"/>
      <c r="MN199" s="230"/>
    </row>
    <row r="200" spans="1:352" x14ac:dyDescent="0.3">
      <c r="A200" s="262"/>
      <c r="B200" s="187" t="s">
        <v>211</v>
      </c>
      <c r="C200" s="98"/>
      <c r="D200" s="277">
        <f>SUM(D191:D199)</f>
        <v>4392.3919360085947</v>
      </c>
      <c r="E200" s="278">
        <f t="shared" ref="E200:O200" si="873">SUM(E191:E199)</f>
        <v>4384.6710732632746</v>
      </c>
      <c r="F200" s="278">
        <f t="shared" si="873"/>
        <v>4376.899568466567</v>
      </c>
      <c r="G200" s="278">
        <f t="shared" si="873"/>
        <v>4371.8786689326198</v>
      </c>
      <c r="H200" s="278">
        <f t="shared" si="873"/>
        <v>4364.0049064112463</v>
      </c>
      <c r="I200" s="278">
        <f t="shared" si="873"/>
        <v>4356.0795145036091</v>
      </c>
      <c r="J200" s="278">
        <f t="shared" si="873"/>
        <v>4348.1021503850989</v>
      </c>
      <c r="K200" s="278">
        <f t="shared" si="873"/>
        <v>4340.0724712311048</v>
      </c>
      <c r="L200" s="278">
        <f t="shared" si="873"/>
        <v>4331.9901479300015</v>
      </c>
      <c r="M200" s="278">
        <f t="shared" si="873"/>
        <v>4323.8548102312106</v>
      </c>
      <c r="N200" s="278">
        <f t="shared" si="873"/>
        <v>3314.5730150218651</v>
      </c>
      <c r="O200" s="278">
        <f t="shared" si="873"/>
        <v>2387.4326271619229</v>
      </c>
      <c r="P200" s="271">
        <f>+SUBTOTAL(9,D200:O200)</f>
        <v>49291.950889547115</v>
      </c>
      <c r="Q200" s="266"/>
      <c r="R200" s="277">
        <f>SUM(R191:R199)</f>
        <v>454.38537269054427</v>
      </c>
      <c r="S200" s="278">
        <f t="shared" ref="S200:AC200" si="874">SUM(S191:S199)</f>
        <v>453.58666275137318</v>
      </c>
      <c r="T200" s="278">
        <f t="shared" si="874"/>
        <v>452.78271397929996</v>
      </c>
      <c r="U200" s="278">
        <f t="shared" si="874"/>
        <v>452.26331057923642</v>
      </c>
      <c r="V200" s="278">
        <f t="shared" si="874"/>
        <v>451.44878342185302</v>
      </c>
      <c r="W200" s="278">
        <f t="shared" si="874"/>
        <v>450.62891529347678</v>
      </c>
      <c r="X200" s="278">
        <f t="shared" si="874"/>
        <v>449.80367072949292</v>
      </c>
      <c r="Y200" s="278">
        <f t="shared" si="874"/>
        <v>448.97301426528668</v>
      </c>
      <c r="Z200" s="278">
        <f t="shared" si="874"/>
        <v>448.13691185482776</v>
      </c>
      <c r="AA200" s="278">
        <f t="shared" si="874"/>
        <v>447.2953251963321</v>
      </c>
      <c r="AB200" s="278">
        <f t="shared" si="874"/>
        <v>342.88686362295158</v>
      </c>
      <c r="AC200" s="278">
        <f t="shared" si="874"/>
        <v>246.97578901675061</v>
      </c>
      <c r="AD200" s="271">
        <f>+SUBTOTAL(9,R200:AC200)</f>
        <v>5099.1673334014249</v>
      </c>
      <c r="AE200" s="266"/>
      <c r="AF200" s="277">
        <f>SUM(AF191:AF199)</f>
        <v>454.38537269054427</v>
      </c>
      <c r="AG200" s="278">
        <f t="shared" ref="AG200:AQ200" si="875">SUM(AG191:AG199)</f>
        <v>453.58666275137318</v>
      </c>
      <c r="AH200" s="278">
        <f t="shared" si="875"/>
        <v>452.78271397929996</v>
      </c>
      <c r="AI200" s="278">
        <f t="shared" si="875"/>
        <v>452.26331057923642</v>
      </c>
      <c r="AJ200" s="278">
        <f t="shared" si="875"/>
        <v>451.44878342185302</v>
      </c>
      <c r="AK200" s="278">
        <f t="shared" si="875"/>
        <v>450.62891529347678</v>
      </c>
      <c r="AL200" s="278">
        <f t="shared" si="875"/>
        <v>449.80367072949292</v>
      </c>
      <c r="AM200" s="278">
        <f t="shared" si="875"/>
        <v>448.97301426528668</v>
      </c>
      <c r="AN200" s="278">
        <f t="shared" si="875"/>
        <v>448.13691185482776</v>
      </c>
      <c r="AO200" s="278">
        <f t="shared" si="875"/>
        <v>447.2953251963321</v>
      </c>
      <c r="AP200" s="278">
        <f t="shared" si="875"/>
        <v>342.88686362295158</v>
      </c>
      <c r="AQ200" s="278">
        <f t="shared" si="875"/>
        <v>246.97578901675061</v>
      </c>
      <c r="AR200" s="271">
        <f>+SUBTOTAL(9,AF200:AQ200)</f>
        <v>5099.1673334014249</v>
      </c>
      <c r="AS200" s="266"/>
      <c r="AT200" s="277">
        <f>SUM(AT191:AT199)</f>
        <v>302.9235817936962</v>
      </c>
      <c r="AU200" s="278">
        <f t="shared" ref="AU200:BE200" si="876">SUM(AU191:AU199)</f>
        <v>302.39110850091549</v>
      </c>
      <c r="AV200" s="278">
        <f t="shared" si="876"/>
        <v>301.85514265286668</v>
      </c>
      <c r="AW200" s="278">
        <f t="shared" si="876"/>
        <v>301.50887371949102</v>
      </c>
      <c r="AX200" s="278">
        <f t="shared" si="876"/>
        <v>300.96585561456868</v>
      </c>
      <c r="AY200" s="278">
        <f t="shared" si="876"/>
        <v>300.41927686231787</v>
      </c>
      <c r="AZ200" s="278">
        <f t="shared" si="876"/>
        <v>299.86911381966195</v>
      </c>
      <c r="BA200" s="278">
        <f t="shared" si="876"/>
        <v>299.31534284352449</v>
      </c>
      <c r="BB200" s="278">
        <f t="shared" si="876"/>
        <v>298.7579412365518</v>
      </c>
      <c r="BC200" s="278">
        <f t="shared" si="876"/>
        <v>298.1968834642214</v>
      </c>
      <c r="BD200" s="278">
        <f t="shared" si="876"/>
        <v>228.59124241530105</v>
      </c>
      <c r="BE200" s="278">
        <f t="shared" si="876"/>
        <v>164.65052601116707</v>
      </c>
      <c r="BF200" s="271">
        <f>+SUBTOTAL(9,AT200:BE200)</f>
        <v>3399.4448889342839</v>
      </c>
      <c r="BG200" s="224"/>
      <c r="BH200" s="277">
        <f>SUM(BH191:BH199)</f>
        <v>2271.9268634527216</v>
      </c>
      <c r="BI200" s="278">
        <f t="shared" ref="BI200:BS200" si="877">SUM(BI191:BI199)</f>
        <v>2267.9333137568665</v>
      </c>
      <c r="BJ200" s="278">
        <f t="shared" si="877"/>
        <v>2263.9135698965001</v>
      </c>
      <c r="BK200" s="278">
        <f t="shared" si="877"/>
        <v>2261.3165528961827</v>
      </c>
      <c r="BL200" s="278">
        <f t="shared" si="877"/>
        <v>2257.2439171092651</v>
      </c>
      <c r="BM200" s="278">
        <f t="shared" si="877"/>
        <v>2253.144576467384</v>
      </c>
      <c r="BN200" s="278">
        <f t="shared" si="877"/>
        <v>2249.0183536474651</v>
      </c>
      <c r="BO200" s="278">
        <f t="shared" si="877"/>
        <v>2244.8650713264333</v>
      </c>
      <c r="BP200" s="278">
        <f t="shared" si="877"/>
        <v>2240.6845592741388</v>
      </c>
      <c r="BQ200" s="278">
        <f t="shared" si="877"/>
        <v>2236.4766259816606</v>
      </c>
      <c r="BR200" s="278">
        <f t="shared" si="877"/>
        <v>1714.4343181147578</v>
      </c>
      <c r="BS200" s="278">
        <f t="shared" si="877"/>
        <v>1234.8789450837535</v>
      </c>
      <c r="BT200" s="271">
        <f>+SUBTOTAL(9,BH200:BS200)</f>
        <v>25495.83666700713</v>
      </c>
      <c r="BU200" s="266"/>
      <c r="BV200" s="277">
        <f>SUM(BV191:BV199)</f>
        <v>151.4617908968481</v>
      </c>
      <c r="BW200" s="278">
        <f t="shared" ref="BW200:CG200" si="878">SUM(BW191:BW199)</f>
        <v>151.19555425045775</v>
      </c>
      <c r="BX200" s="278">
        <f t="shared" si="878"/>
        <v>150.92757132643334</v>
      </c>
      <c r="BY200" s="278">
        <f t="shared" si="878"/>
        <v>150.75443685974551</v>
      </c>
      <c r="BZ200" s="278">
        <f t="shared" si="878"/>
        <v>150.48292780728434</v>
      </c>
      <c r="CA200" s="278">
        <f t="shared" si="878"/>
        <v>150.20963843115894</v>
      </c>
      <c r="CB200" s="278">
        <f t="shared" si="878"/>
        <v>149.93455690983097</v>
      </c>
      <c r="CC200" s="278">
        <f t="shared" si="878"/>
        <v>149.65767142176225</v>
      </c>
      <c r="CD200" s="278">
        <f t="shared" si="878"/>
        <v>149.3789706182759</v>
      </c>
      <c r="CE200" s="278">
        <f t="shared" si="878"/>
        <v>149.0984417321107</v>
      </c>
      <c r="CF200" s="278">
        <f t="shared" si="878"/>
        <v>114.29562120765053</v>
      </c>
      <c r="CG200" s="278">
        <f t="shared" si="878"/>
        <v>82.325263005583537</v>
      </c>
      <c r="CH200" s="271">
        <f>+SUBTOTAL(9,BV200:CG200)</f>
        <v>1699.7224444671419</v>
      </c>
      <c r="CI200" s="266"/>
      <c r="CJ200" s="277">
        <f>SUM(CJ191:CJ199)</f>
        <v>1666.0796998653288</v>
      </c>
      <c r="CK200" s="278">
        <f t="shared" ref="CK200:CU200" si="879">SUM(CK191:CK199)</f>
        <v>1663.1510967550348</v>
      </c>
      <c r="CL200" s="278">
        <f t="shared" si="879"/>
        <v>1660.2032845907665</v>
      </c>
      <c r="CM200" s="278">
        <f t="shared" si="879"/>
        <v>1658.2988054572004</v>
      </c>
      <c r="CN200" s="278">
        <f t="shared" si="879"/>
        <v>1655.3122058801277</v>
      </c>
      <c r="CO200" s="278">
        <f t="shared" si="879"/>
        <v>1652.3060227427482</v>
      </c>
      <c r="CP200" s="278">
        <f t="shared" si="879"/>
        <v>1649.2801260081408</v>
      </c>
      <c r="CQ200" s="278">
        <f t="shared" si="879"/>
        <v>1646.2343856393845</v>
      </c>
      <c r="CR200" s="278">
        <f t="shared" si="879"/>
        <v>1643.168676801035</v>
      </c>
      <c r="CS200" s="278">
        <f t="shared" si="879"/>
        <v>1640.0828590532178</v>
      </c>
      <c r="CT200" s="278">
        <f t="shared" si="879"/>
        <v>1257.2518332841557</v>
      </c>
      <c r="CU200" s="278">
        <f t="shared" si="879"/>
        <v>905.57789306141899</v>
      </c>
      <c r="CV200" s="271">
        <f>+SUBTOTAL(9,CJ200:CU200)</f>
        <v>18696.946889138559</v>
      </c>
      <c r="CW200" s="266"/>
      <c r="CX200" s="277">
        <f>SUM(CX191:CX199)</f>
        <v>4240.9301451117472</v>
      </c>
      <c r="CY200" s="278">
        <f t="shared" ref="CY200:DI200" si="880">SUM(CY191:CY199)</f>
        <v>4233.4755190128171</v>
      </c>
      <c r="CZ200" s="278">
        <f t="shared" si="880"/>
        <v>4225.9719971401337</v>
      </c>
      <c r="DA200" s="278">
        <f t="shared" si="880"/>
        <v>4221.1242320728743</v>
      </c>
      <c r="DB200" s="278">
        <f t="shared" si="880"/>
        <v>4213.5219786039615</v>
      </c>
      <c r="DC200" s="278">
        <f t="shared" si="880"/>
        <v>4205.8698760724501</v>
      </c>
      <c r="DD200" s="278">
        <f t="shared" si="880"/>
        <v>4198.1675934752675</v>
      </c>
      <c r="DE200" s="278">
        <f t="shared" si="880"/>
        <v>4190.4147998093422</v>
      </c>
      <c r="DF200" s="278">
        <f t="shared" si="880"/>
        <v>4182.6111773117254</v>
      </c>
      <c r="DG200" s="278">
        <f t="shared" si="880"/>
        <v>4174.7563684991001</v>
      </c>
      <c r="DH200" s="278">
        <f t="shared" si="880"/>
        <v>3200.2773938142145</v>
      </c>
      <c r="DI200" s="278">
        <f t="shared" si="880"/>
        <v>2305.1073641563394</v>
      </c>
      <c r="DJ200" s="271">
        <f>+SUBTOTAL(9,CX200:DI200)</f>
        <v>47592.228445079971</v>
      </c>
      <c r="DK200" s="266"/>
      <c r="DL200" s="277">
        <f>SUM(DL191:DL199)</f>
        <v>4240.9301451117472</v>
      </c>
      <c r="DM200" s="278">
        <f t="shared" ref="DM200:DW200" si="881">SUM(DM191:DM199)</f>
        <v>4233.4755190128171</v>
      </c>
      <c r="DN200" s="278">
        <f t="shared" si="881"/>
        <v>4225.9719971401337</v>
      </c>
      <c r="DO200" s="278">
        <f t="shared" si="881"/>
        <v>4221.1242320728743</v>
      </c>
      <c r="DP200" s="278">
        <f t="shared" si="881"/>
        <v>4213.5219786039615</v>
      </c>
      <c r="DQ200" s="278">
        <f t="shared" si="881"/>
        <v>4205.8698760724501</v>
      </c>
      <c r="DR200" s="278">
        <f t="shared" si="881"/>
        <v>4198.1675934752675</v>
      </c>
      <c r="DS200" s="278">
        <f t="shared" si="881"/>
        <v>4190.4147998093422</v>
      </c>
      <c r="DT200" s="278">
        <f t="shared" si="881"/>
        <v>4182.6111773117254</v>
      </c>
      <c r="DU200" s="278">
        <f t="shared" si="881"/>
        <v>4174.7563684991001</v>
      </c>
      <c r="DV200" s="278">
        <f t="shared" si="881"/>
        <v>3200.2773938142145</v>
      </c>
      <c r="DW200" s="278">
        <f t="shared" si="881"/>
        <v>2305.1073641563394</v>
      </c>
      <c r="DX200" s="271">
        <f>+SUBTOTAL(9,DL200:DW200)</f>
        <v>47592.228445079971</v>
      </c>
      <c r="DY200" s="266"/>
      <c r="DZ200" s="277">
        <f>SUM(DZ191:DZ199)</f>
        <v>151.4617908968481</v>
      </c>
      <c r="EA200" s="278">
        <f t="shared" ref="EA200:EK200" si="882">SUM(EA191:EA199)</f>
        <v>151.19555425045775</v>
      </c>
      <c r="EB200" s="278">
        <f t="shared" si="882"/>
        <v>150.92757132643334</v>
      </c>
      <c r="EC200" s="278">
        <f t="shared" si="882"/>
        <v>150.75443685974551</v>
      </c>
      <c r="ED200" s="278">
        <f t="shared" si="882"/>
        <v>150.48292780728434</v>
      </c>
      <c r="EE200" s="278">
        <f t="shared" si="882"/>
        <v>150.20963843115894</v>
      </c>
      <c r="EF200" s="278">
        <f t="shared" si="882"/>
        <v>149.93455690983097</v>
      </c>
      <c r="EG200" s="278">
        <f t="shared" si="882"/>
        <v>149.65767142176225</v>
      </c>
      <c r="EH200" s="278">
        <f t="shared" si="882"/>
        <v>149.3789706182759</v>
      </c>
      <c r="EI200" s="278">
        <f t="shared" si="882"/>
        <v>149.0984417321107</v>
      </c>
      <c r="EJ200" s="278">
        <f t="shared" si="882"/>
        <v>114.29562120765053</v>
      </c>
      <c r="EK200" s="278">
        <f t="shared" si="882"/>
        <v>82.325263005583537</v>
      </c>
      <c r="EL200" s="271">
        <f>+SUBTOTAL(9,DZ200:EK200)</f>
        <v>1699.7224444671419</v>
      </c>
      <c r="EM200" s="266"/>
      <c r="EN200" s="277">
        <f>SUM(EN191:EN199)</f>
        <v>302.9235817936962</v>
      </c>
      <c r="EO200" s="278">
        <f t="shared" ref="EO200:EY200" si="883">SUM(EO191:EO199)</f>
        <v>302.39110850091549</v>
      </c>
      <c r="EP200" s="278">
        <f t="shared" si="883"/>
        <v>301.85514265286668</v>
      </c>
      <c r="EQ200" s="278">
        <f t="shared" si="883"/>
        <v>301.50887371949102</v>
      </c>
      <c r="ER200" s="278">
        <f t="shared" si="883"/>
        <v>300.96585561456868</v>
      </c>
      <c r="ES200" s="278">
        <f t="shared" si="883"/>
        <v>300.41927686231787</v>
      </c>
      <c r="ET200" s="278">
        <f t="shared" si="883"/>
        <v>299.86911381966195</v>
      </c>
      <c r="EU200" s="278">
        <f t="shared" si="883"/>
        <v>299.31534284352449</v>
      </c>
      <c r="EV200" s="278">
        <f t="shared" si="883"/>
        <v>298.7579412365518</v>
      </c>
      <c r="EW200" s="278">
        <f t="shared" si="883"/>
        <v>298.1968834642214</v>
      </c>
      <c r="EX200" s="278">
        <f t="shared" si="883"/>
        <v>228.59124241530105</v>
      </c>
      <c r="EY200" s="278">
        <f t="shared" si="883"/>
        <v>164.65052601116707</v>
      </c>
      <c r="EZ200" s="271">
        <f>+SUBTOTAL(9,EN200:EY200)</f>
        <v>3399.4448889342839</v>
      </c>
      <c r="FA200" s="266"/>
      <c r="FB200" s="277">
        <f>SUM(FB191:FB199)</f>
        <v>151.4617908968481</v>
      </c>
      <c r="FC200" s="278">
        <f t="shared" ref="FC200:FM200" si="884">SUM(FC191:FC199)</f>
        <v>151.19555425045775</v>
      </c>
      <c r="FD200" s="278">
        <f t="shared" si="884"/>
        <v>150.92757132643334</v>
      </c>
      <c r="FE200" s="278">
        <f t="shared" si="884"/>
        <v>150.75443685974551</v>
      </c>
      <c r="FF200" s="278">
        <f t="shared" si="884"/>
        <v>150.48292780728434</v>
      </c>
      <c r="FG200" s="278">
        <f t="shared" si="884"/>
        <v>150.20963843115894</v>
      </c>
      <c r="FH200" s="278">
        <f t="shared" si="884"/>
        <v>149.93455690983097</v>
      </c>
      <c r="FI200" s="278">
        <f t="shared" si="884"/>
        <v>149.65767142176225</v>
      </c>
      <c r="FJ200" s="278">
        <f t="shared" si="884"/>
        <v>149.3789706182759</v>
      </c>
      <c r="FK200" s="278">
        <f t="shared" si="884"/>
        <v>149.0984417321107</v>
      </c>
      <c r="FL200" s="278">
        <f t="shared" si="884"/>
        <v>114.29562120765053</v>
      </c>
      <c r="FM200" s="278">
        <f t="shared" si="884"/>
        <v>82.325263005583537</v>
      </c>
      <c r="FN200" s="271">
        <f>+SUBTOTAL(9,FB200:FM200)</f>
        <v>1699.7224444671419</v>
      </c>
      <c r="FO200" s="266"/>
      <c r="FP200" s="277">
        <f>SUM(FP191:FP199)</f>
        <v>1060.2325362779368</v>
      </c>
      <c r="FQ200" s="278">
        <f t="shared" ref="FQ200:GA200" si="885">SUM(FQ191:FQ199)</f>
        <v>1058.3688797532043</v>
      </c>
      <c r="FR200" s="278">
        <f t="shared" si="885"/>
        <v>1056.4929992850334</v>
      </c>
      <c r="FS200" s="278">
        <f t="shared" si="885"/>
        <v>1055.2810580182186</v>
      </c>
      <c r="FT200" s="278">
        <f t="shared" si="885"/>
        <v>1053.3804946509904</v>
      </c>
      <c r="FU200" s="278">
        <f t="shared" si="885"/>
        <v>1051.4674690181125</v>
      </c>
      <c r="FV200" s="278">
        <f t="shared" si="885"/>
        <v>1049.5418983688169</v>
      </c>
      <c r="FW200" s="278">
        <f t="shared" si="885"/>
        <v>1047.6036999523355</v>
      </c>
      <c r="FX200" s="278">
        <f t="shared" si="885"/>
        <v>1045.6527943279314</v>
      </c>
      <c r="FY200" s="278">
        <f t="shared" si="885"/>
        <v>1043.689092124775</v>
      </c>
      <c r="FZ200" s="278">
        <f t="shared" si="885"/>
        <v>800.06934845355363</v>
      </c>
      <c r="GA200" s="278">
        <f t="shared" si="885"/>
        <v>576.27684103908484</v>
      </c>
      <c r="GB200" s="271">
        <f>+SUBTOTAL(9,FP200:GA200)</f>
        <v>11898.057111269993</v>
      </c>
      <c r="GC200" s="266"/>
      <c r="GD200" s="277">
        <f>SUM(GD191:GD199)</f>
        <v>151.4617908968481</v>
      </c>
      <c r="GE200" s="278">
        <f t="shared" ref="GE200:GO200" si="886">SUM(GE191:GE199)</f>
        <v>151.19555425045775</v>
      </c>
      <c r="GF200" s="278">
        <f t="shared" si="886"/>
        <v>150.92757132643334</v>
      </c>
      <c r="GG200" s="278">
        <f t="shared" si="886"/>
        <v>150.75443685974551</v>
      </c>
      <c r="GH200" s="278">
        <f t="shared" si="886"/>
        <v>150.48292780728434</v>
      </c>
      <c r="GI200" s="278">
        <f t="shared" si="886"/>
        <v>150.20963843115894</v>
      </c>
      <c r="GJ200" s="278">
        <f t="shared" si="886"/>
        <v>149.93455690983097</v>
      </c>
      <c r="GK200" s="278">
        <f t="shared" si="886"/>
        <v>149.65767142176225</v>
      </c>
      <c r="GL200" s="278">
        <f t="shared" si="886"/>
        <v>149.3789706182759</v>
      </c>
      <c r="GM200" s="278">
        <f t="shared" si="886"/>
        <v>149.0984417321107</v>
      </c>
      <c r="GN200" s="278">
        <f t="shared" si="886"/>
        <v>114.29562120765053</v>
      </c>
      <c r="GO200" s="278">
        <f t="shared" si="886"/>
        <v>82.325263005583537</v>
      </c>
      <c r="GP200" s="271">
        <f>+SUBTOTAL(9,GD200:GO200)</f>
        <v>1699.7224444671419</v>
      </c>
      <c r="GQ200" s="266"/>
      <c r="GR200" s="277">
        <f>SUM(GR191:GR199)</f>
        <v>17045.472235462345</v>
      </c>
      <c r="GS200" s="278">
        <f t="shared" ref="GS200:HC200" si="887">SUM(GS191:GS199)</f>
        <v>16969.379408960915</v>
      </c>
      <c r="GT200" s="278">
        <f t="shared" si="887"/>
        <v>24767.869280266921</v>
      </c>
      <c r="GU200" s="278">
        <f t="shared" si="887"/>
        <v>24690.711868446135</v>
      </c>
      <c r="GV200" s="278">
        <f t="shared" si="887"/>
        <v>24613.016444232602</v>
      </c>
      <c r="GW200" s="278">
        <f t="shared" si="887"/>
        <v>24534.779313632029</v>
      </c>
      <c r="GX200" s="278">
        <f t="shared" si="887"/>
        <v>24455.996782650142</v>
      </c>
      <c r="GY200" s="278">
        <f t="shared" si="887"/>
        <v>24376.665038131552</v>
      </c>
      <c r="GZ200" s="278">
        <f t="shared" si="887"/>
        <v>24296.78026692088</v>
      </c>
      <c r="HA200" s="278">
        <f t="shared" si="887"/>
        <v>24216.338417540512</v>
      </c>
      <c r="HB200" s="278">
        <f t="shared" si="887"/>
        <v>24135.335915157291</v>
      </c>
      <c r="HC200" s="278">
        <f t="shared" si="887"/>
        <v>24053.768589132505</v>
      </c>
      <c r="HD200" s="271">
        <f>+SUBTOTAL(9,GR200:HC200)*0</f>
        <v>0</v>
      </c>
      <c r="HE200" s="266"/>
      <c r="HF200" s="277">
        <f>SUM(HF191:HF199)</f>
        <v>605.8471635873924</v>
      </c>
      <c r="HG200" s="278">
        <f t="shared" ref="HG200:HQ200" si="888">SUM(HG191:HG199)</f>
        <v>604.78221700183099</v>
      </c>
      <c r="HH200" s="278">
        <f t="shared" si="888"/>
        <v>603.71028530573335</v>
      </c>
      <c r="HI200" s="278">
        <f t="shared" si="888"/>
        <v>603.01774743898204</v>
      </c>
      <c r="HJ200" s="278">
        <f t="shared" si="888"/>
        <v>601.93171122913736</v>
      </c>
      <c r="HK200" s="278">
        <f t="shared" si="888"/>
        <v>600.83855372463574</v>
      </c>
      <c r="HL200" s="278">
        <f t="shared" si="888"/>
        <v>599.7382276393239</v>
      </c>
      <c r="HM200" s="278">
        <f t="shared" si="888"/>
        <v>598.63068568704898</v>
      </c>
      <c r="HN200" s="278">
        <f t="shared" si="888"/>
        <v>597.5158824731036</v>
      </c>
      <c r="HO200" s="278">
        <f t="shared" si="888"/>
        <v>596.3937669284428</v>
      </c>
      <c r="HP200" s="278">
        <f t="shared" si="888"/>
        <v>457.18248483060211</v>
      </c>
      <c r="HQ200" s="278">
        <f t="shared" si="888"/>
        <v>329.30105202233415</v>
      </c>
      <c r="HR200" s="271">
        <f>+SUBTOTAL(9,HF200:HQ200)</f>
        <v>6798.8897778685678</v>
      </c>
      <c r="HS200" s="266"/>
      <c r="HT200" s="277">
        <f>SUM(HT191:HT199)</f>
        <v>151.4617908968481</v>
      </c>
      <c r="HU200" s="278">
        <f t="shared" ref="HU200:IE200" si="889">SUM(HU191:HU199)</f>
        <v>151.19555425045775</v>
      </c>
      <c r="HV200" s="278">
        <f t="shared" si="889"/>
        <v>150.92757132643334</v>
      </c>
      <c r="HW200" s="278">
        <f t="shared" si="889"/>
        <v>150.75443685974551</v>
      </c>
      <c r="HX200" s="278">
        <f t="shared" si="889"/>
        <v>150.48292780728434</v>
      </c>
      <c r="HY200" s="278">
        <f t="shared" si="889"/>
        <v>150.20963843115894</v>
      </c>
      <c r="HZ200" s="278">
        <f t="shared" si="889"/>
        <v>149.93455690983097</v>
      </c>
      <c r="IA200" s="278">
        <f t="shared" si="889"/>
        <v>149.65767142176225</v>
      </c>
      <c r="IB200" s="278">
        <f t="shared" si="889"/>
        <v>149.3789706182759</v>
      </c>
      <c r="IC200" s="278">
        <f t="shared" si="889"/>
        <v>149.0984417321107</v>
      </c>
      <c r="ID200" s="278">
        <f t="shared" si="889"/>
        <v>114.29562120765053</v>
      </c>
      <c r="IE200" s="278">
        <f t="shared" si="889"/>
        <v>82.325263005583537</v>
      </c>
      <c r="IF200" s="271">
        <f>+SUBTOTAL(9,HT200:IE200)</f>
        <v>1699.7224444671419</v>
      </c>
      <c r="IG200" s="266"/>
      <c r="IH200" s="277">
        <f>SUM(IH191:IH199)</f>
        <v>151.4617908968481</v>
      </c>
      <c r="II200" s="278">
        <f t="shared" ref="II200:IS200" si="890">SUM(II191:II199)</f>
        <v>151.19555425045775</v>
      </c>
      <c r="IJ200" s="278">
        <f t="shared" si="890"/>
        <v>150.92757132643334</v>
      </c>
      <c r="IK200" s="278">
        <f t="shared" si="890"/>
        <v>150.75443685974551</v>
      </c>
      <c r="IL200" s="278">
        <f t="shared" si="890"/>
        <v>150.48292780728434</v>
      </c>
      <c r="IM200" s="278">
        <f t="shared" si="890"/>
        <v>150.20963843115894</v>
      </c>
      <c r="IN200" s="278">
        <f t="shared" si="890"/>
        <v>149.93455690983097</v>
      </c>
      <c r="IO200" s="278">
        <f t="shared" si="890"/>
        <v>149.65767142176225</v>
      </c>
      <c r="IP200" s="278">
        <f t="shared" si="890"/>
        <v>149.3789706182759</v>
      </c>
      <c r="IQ200" s="278">
        <f t="shared" si="890"/>
        <v>149.0984417321107</v>
      </c>
      <c r="IR200" s="278">
        <f t="shared" si="890"/>
        <v>114.29562120765053</v>
      </c>
      <c r="IS200" s="278">
        <f t="shared" si="890"/>
        <v>82.325263005583537</v>
      </c>
      <c r="IT200" s="271">
        <f>+SUBTOTAL(9,IH200:IS200)</f>
        <v>1699.7224444671419</v>
      </c>
      <c r="IU200" s="266"/>
      <c r="IV200" s="277">
        <f>SUM(IV191:IV199)</f>
        <v>1060.2325362779368</v>
      </c>
      <c r="IW200" s="278">
        <f t="shared" ref="IW200:JG200" si="891">SUM(IW191:IW199)</f>
        <v>1058.3688797532043</v>
      </c>
      <c r="IX200" s="278">
        <f t="shared" si="891"/>
        <v>1056.4929992850334</v>
      </c>
      <c r="IY200" s="278">
        <f t="shared" si="891"/>
        <v>1055.2810580182186</v>
      </c>
      <c r="IZ200" s="278">
        <f t="shared" si="891"/>
        <v>1053.3804946509904</v>
      </c>
      <c r="JA200" s="278">
        <f t="shared" si="891"/>
        <v>1051.4674690181125</v>
      </c>
      <c r="JB200" s="278">
        <f t="shared" si="891"/>
        <v>1049.5418983688169</v>
      </c>
      <c r="JC200" s="278">
        <f t="shared" si="891"/>
        <v>1047.6036999523355</v>
      </c>
      <c r="JD200" s="278">
        <f t="shared" si="891"/>
        <v>1045.6527943279314</v>
      </c>
      <c r="JE200" s="278">
        <f t="shared" si="891"/>
        <v>1043.689092124775</v>
      </c>
      <c r="JF200" s="278">
        <f t="shared" si="891"/>
        <v>800.06934845355363</v>
      </c>
      <c r="JG200" s="278">
        <f t="shared" si="891"/>
        <v>576.27684103908484</v>
      </c>
      <c r="JH200" s="271">
        <f>+SUBTOTAL(9,IV200:JG200)</f>
        <v>11898.057111269993</v>
      </c>
      <c r="JI200" s="266"/>
      <c r="JJ200" s="277">
        <f>SUM(JJ191:JJ199)</f>
        <v>1666.0796998653288</v>
      </c>
      <c r="JK200" s="278">
        <f t="shared" ref="JK200:JU200" si="892">SUM(JK191:JK199)</f>
        <v>1663.1510967550348</v>
      </c>
      <c r="JL200" s="278">
        <f t="shared" si="892"/>
        <v>1660.2032845907665</v>
      </c>
      <c r="JM200" s="278">
        <f t="shared" si="892"/>
        <v>1658.2988054572004</v>
      </c>
      <c r="JN200" s="278">
        <f t="shared" si="892"/>
        <v>1655.3122058801277</v>
      </c>
      <c r="JO200" s="278">
        <f t="shared" si="892"/>
        <v>1652.3060227427482</v>
      </c>
      <c r="JP200" s="278">
        <f t="shared" si="892"/>
        <v>1649.2801260081408</v>
      </c>
      <c r="JQ200" s="278">
        <f t="shared" si="892"/>
        <v>1646.2343856393845</v>
      </c>
      <c r="JR200" s="278">
        <f t="shared" si="892"/>
        <v>1643.168676801035</v>
      </c>
      <c r="JS200" s="278">
        <f t="shared" si="892"/>
        <v>1640.0828590532178</v>
      </c>
      <c r="JT200" s="278">
        <f t="shared" si="892"/>
        <v>1257.2518332841557</v>
      </c>
      <c r="JU200" s="278">
        <f t="shared" si="892"/>
        <v>905.57789306141899</v>
      </c>
      <c r="JV200" s="271">
        <f>+SUBTOTAL(9,JJ200:JU200)</f>
        <v>18696.946889138559</v>
      </c>
      <c r="JW200" s="266"/>
      <c r="JX200" s="277">
        <f>SUM(JX191:JX199)</f>
        <v>757.30895448424053</v>
      </c>
      <c r="JY200" s="278">
        <f t="shared" ref="JY200:KI200" si="893">SUM(JY191:JY199)</f>
        <v>755.97777125228868</v>
      </c>
      <c r="JZ200" s="278">
        <f t="shared" si="893"/>
        <v>754.63785663216674</v>
      </c>
      <c r="KA200" s="278">
        <f t="shared" si="893"/>
        <v>753.77218429872744</v>
      </c>
      <c r="KB200" s="278">
        <f t="shared" si="893"/>
        <v>752.4146390364217</v>
      </c>
      <c r="KC200" s="278">
        <f t="shared" si="893"/>
        <v>751.0481921557946</v>
      </c>
      <c r="KD200" s="278">
        <f t="shared" si="893"/>
        <v>749.67278454915493</v>
      </c>
      <c r="KE200" s="278">
        <f t="shared" si="893"/>
        <v>748.28835710881117</v>
      </c>
      <c r="KF200" s="278">
        <f t="shared" si="893"/>
        <v>746.89485309137956</v>
      </c>
      <c r="KG200" s="278">
        <f t="shared" si="893"/>
        <v>745.49220866055362</v>
      </c>
      <c r="KH200" s="278">
        <f t="shared" si="893"/>
        <v>571.47810603825269</v>
      </c>
      <c r="KI200" s="278">
        <f t="shared" si="893"/>
        <v>411.62631502791777</v>
      </c>
      <c r="KJ200" s="271">
        <f>+SUBTOTAL(9,JX200:KI200)</f>
        <v>8498.6122223357106</v>
      </c>
      <c r="KK200" s="266"/>
      <c r="KL200" s="277">
        <f>SUM(KL191:KL199)</f>
        <v>302.9235817936962</v>
      </c>
      <c r="KM200" s="278">
        <f t="shared" ref="KM200:KW200" si="894">SUM(KM191:KM199)</f>
        <v>302.39110850091549</v>
      </c>
      <c r="KN200" s="278">
        <f t="shared" si="894"/>
        <v>301.85514265286668</v>
      </c>
      <c r="KO200" s="278">
        <f t="shared" si="894"/>
        <v>301.50887371949102</v>
      </c>
      <c r="KP200" s="278">
        <f t="shared" si="894"/>
        <v>300.96585561456868</v>
      </c>
      <c r="KQ200" s="278">
        <f t="shared" si="894"/>
        <v>300.41927686231787</v>
      </c>
      <c r="KR200" s="278">
        <f t="shared" si="894"/>
        <v>299.86911381966195</v>
      </c>
      <c r="KS200" s="278">
        <f t="shared" si="894"/>
        <v>299.31534284352449</v>
      </c>
      <c r="KT200" s="278">
        <f t="shared" si="894"/>
        <v>298.7579412365518</v>
      </c>
      <c r="KU200" s="278">
        <f t="shared" si="894"/>
        <v>298.1968834642214</v>
      </c>
      <c r="KV200" s="278">
        <f t="shared" si="894"/>
        <v>228.59124241530105</v>
      </c>
      <c r="KW200" s="278">
        <f t="shared" si="894"/>
        <v>164.65052601116707</v>
      </c>
      <c r="KX200" s="271">
        <f>+SUBTOTAL(9,KL200:KW200)</f>
        <v>3399.4448889342839</v>
      </c>
      <c r="KY200" s="266"/>
      <c r="KZ200" s="277">
        <f>SUM(KZ191:KZ199)</f>
        <v>151.4617908968481</v>
      </c>
      <c r="LA200" s="278">
        <f t="shared" ref="LA200:LK200" si="895">SUM(LA191:LA199)</f>
        <v>151.19555425045775</v>
      </c>
      <c r="LB200" s="278">
        <f t="shared" si="895"/>
        <v>150.92757132643334</v>
      </c>
      <c r="LC200" s="278">
        <f t="shared" si="895"/>
        <v>150.75443685974551</v>
      </c>
      <c r="LD200" s="278">
        <f t="shared" si="895"/>
        <v>150.48292780728434</v>
      </c>
      <c r="LE200" s="278">
        <f t="shared" si="895"/>
        <v>150.20963843115894</v>
      </c>
      <c r="LF200" s="278">
        <f t="shared" si="895"/>
        <v>149.93455690983097</v>
      </c>
      <c r="LG200" s="278">
        <f t="shared" si="895"/>
        <v>149.65767142176225</v>
      </c>
      <c r="LH200" s="278">
        <f t="shared" si="895"/>
        <v>149.3789706182759</v>
      </c>
      <c r="LI200" s="278">
        <f t="shared" si="895"/>
        <v>149.0984417321107</v>
      </c>
      <c r="LJ200" s="278">
        <f t="shared" si="895"/>
        <v>114.29562120765053</v>
      </c>
      <c r="LK200" s="278">
        <f t="shared" si="895"/>
        <v>82.325263005583537</v>
      </c>
      <c r="LL200" s="271">
        <f>+SUBTOTAL(9,KZ200:LK200)</f>
        <v>1699.7224444671419</v>
      </c>
      <c r="LM200" s="266"/>
      <c r="LN200" s="277">
        <f>SUM(LN191:LN199)</f>
        <v>0</v>
      </c>
      <c r="LO200" s="278">
        <f t="shared" ref="LO200:LY200" si="896">SUM(LO191:LO199)</f>
        <v>0</v>
      </c>
      <c r="LP200" s="278">
        <f t="shared" si="896"/>
        <v>0</v>
      </c>
      <c r="LQ200" s="278">
        <f t="shared" si="896"/>
        <v>0</v>
      </c>
      <c r="LR200" s="278">
        <f t="shared" si="896"/>
        <v>0</v>
      </c>
      <c r="LS200" s="278">
        <f t="shared" si="896"/>
        <v>0</v>
      </c>
      <c r="LT200" s="278">
        <f t="shared" si="896"/>
        <v>0</v>
      </c>
      <c r="LU200" s="278">
        <f t="shared" si="896"/>
        <v>0</v>
      </c>
      <c r="LV200" s="278">
        <f t="shared" si="896"/>
        <v>0</v>
      </c>
      <c r="LW200" s="278">
        <f t="shared" si="896"/>
        <v>0</v>
      </c>
      <c r="LX200" s="278">
        <f t="shared" si="896"/>
        <v>0</v>
      </c>
      <c r="LY200" s="278">
        <f t="shared" si="896"/>
        <v>0</v>
      </c>
      <c r="LZ200" s="271">
        <f>+SUBTOTAL(9,LN200:LY200)</f>
        <v>0</v>
      </c>
      <c r="MA200" s="266"/>
      <c r="MB200" s="271">
        <f t="shared" ref="MB200:MC200" si="897">SUM(MB191:MB199)</f>
        <v>41885.205942545443</v>
      </c>
      <c r="MC200" s="271">
        <f t="shared" si="897"/>
        <v>41765.450306035993</v>
      </c>
      <c r="MD200" s="271">
        <f t="shared" ref="MD200:MN200" si="898">SUM(MD191:MD199)</f>
        <v>49519.990977801986</v>
      </c>
      <c r="ME200" s="271">
        <f t="shared" si="898"/>
        <v>49414.439513444398</v>
      </c>
      <c r="MF200" s="271">
        <f t="shared" si="898"/>
        <v>49292.216604627232</v>
      </c>
      <c r="MG200" s="271">
        <f t="shared" si="898"/>
        <v>49169.160016342095</v>
      </c>
      <c r="MH200" s="271">
        <f t="shared" si="898"/>
        <v>49045.264115862425</v>
      </c>
      <c r="MI200" s="271">
        <f t="shared" si="898"/>
        <v>48920.523151300556</v>
      </c>
      <c r="MJ200" s="271">
        <f t="shared" si="898"/>
        <v>48794.93144831813</v>
      </c>
      <c r="MK200" s="271">
        <f t="shared" si="898"/>
        <v>48668.482861606673</v>
      </c>
      <c r="ML200" s="271">
        <f t="shared" si="898"/>
        <v>42879.817793211972</v>
      </c>
      <c r="MM200" s="271">
        <f t="shared" si="898"/>
        <v>37555.111722048205</v>
      </c>
      <c r="MN200" s="271">
        <f t="shared" si="898"/>
        <v>556910.59445314505</v>
      </c>
    </row>
    <row r="201" spans="1:352" x14ac:dyDescent="0.25">
      <c r="A201" s="262"/>
      <c r="B201" s="183"/>
      <c r="C201" s="98"/>
      <c r="D201" s="263"/>
      <c r="E201" s="26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80"/>
      <c r="Q201" s="281"/>
      <c r="R201" s="263"/>
      <c r="S201" s="264"/>
      <c r="T201" s="274"/>
      <c r="U201" s="274"/>
      <c r="V201" s="274"/>
      <c r="W201" s="274"/>
      <c r="X201" s="274"/>
      <c r="Y201" s="274"/>
      <c r="Z201" s="274"/>
      <c r="AA201" s="274"/>
      <c r="AB201" s="274"/>
      <c r="AC201" s="274"/>
      <c r="AD201" s="280"/>
      <c r="AE201" s="281"/>
      <c r="AF201" s="263"/>
      <c r="AG201" s="264"/>
      <c r="AH201" s="274"/>
      <c r="AI201" s="274"/>
      <c r="AJ201" s="274"/>
      <c r="AK201" s="274"/>
      <c r="AL201" s="274"/>
      <c r="AM201" s="274"/>
      <c r="AN201" s="274"/>
      <c r="AO201" s="274"/>
      <c r="AP201" s="274"/>
      <c r="AQ201" s="274"/>
      <c r="AR201" s="280"/>
      <c r="AS201" s="266"/>
      <c r="AT201" s="263"/>
      <c r="AU201" s="26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80"/>
      <c r="BG201" s="224"/>
      <c r="BH201" s="263"/>
      <c r="BI201" s="264"/>
      <c r="BJ201" s="274"/>
      <c r="BK201" s="274"/>
      <c r="BL201" s="274"/>
      <c r="BM201" s="274"/>
      <c r="BN201" s="274"/>
      <c r="BO201" s="274"/>
      <c r="BP201" s="274"/>
      <c r="BQ201" s="274"/>
      <c r="BR201" s="274"/>
      <c r="BS201" s="274"/>
      <c r="BT201" s="280"/>
      <c r="BU201" s="266"/>
      <c r="BV201" s="263"/>
      <c r="BW201" s="264"/>
      <c r="BX201" s="274"/>
      <c r="BY201" s="274"/>
      <c r="BZ201" s="274"/>
      <c r="CA201" s="274"/>
      <c r="CB201" s="274"/>
      <c r="CC201" s="274"/>
      <c r="CD201" s="274"/>
      <c r="CE201" s="274"/>
      <c r="CF201" s="274"/>
      <c r="CG201" s="274"/>
      <c r="CH201" s="280"/>
      <c r="CI201" s="281"/>
      <c r="CJ201" s="263"/>
      <c r="CK201" s="264"/>
      <c r="CL201" s="274"/>
      <c r="CM201" s="274"/>
      <c r="CN201" s="274"/>
      <c r="CO201" s="274"/>
      <c r="CP201" s="274"/>
      <c r="CQ201" s="274"/>
      <c r="CR201" s="274"/>
      <c r="CS201" s="274"/>
      <c r="CT201" s="274"/>
      <c r="CU201" s="274"/>
      <c r="CV201" s="280"/>
      <c r="CW201" s="281"/>
      <c r="CX201" s="263"/>
      <c r="CY201" s="264"/>
      <c r="CZ201" s="274"/>
      <c r="DA201" s="274"/>
      <c r="DB201" s="274"/>
      <c r="DC201" s="274"/>
      <c r="DD201" s="274"/>
      <c r="DE201" s="274"/>
      <c r="DF201" s="274"/>
      <c r="DG201" s="274"/>
      <c r="DH201" s="274"/>
      <c r="DI201" s="274"/>
      <c r="DJ201" s="280"/>
      <c r="DK201" s="281"/>
      <c r="DL201" s="263"/>
      <c r="DM201" s="264"/>
      <c r="DN201" s="274"/>
      <c r="DO201" s="274"/>
      <c r="DP201" s="274"/>
      <c r="DQ201" s="274"/>
      <c r="DR201" s="274"/>
      <c r="DS201" s="274"/>
      <c r="DT201" s="274"/>
      <c r="DU201" s="274"/>
      <c r="DV201" s="274"/>
      <c r="DW201" s="274"/>
      <c r="DX201" s="280"/>
      <c r="DY201" s="281"/>
      <c r="DZ201" s="263"/>
      <c r="EA201" s="264"/>
      <c r="EB201" s="274"/>
      <c r="EC201" s="274"/>
      <c r="ED201" s="274"/>
      <c r="EE201" s="274"/>
      <c r="EF201" s="274"/>
      <c r="EG201" s="274"/>
      <c r="EH201" s="274"/>
      <c r="EI201" s="274"/>
      <c r="EJ201" s="274"/>
      <c r="EK201" s="274"/>
      <c r="EL201" s="280"/>
      <c r="EM201" s="281"/>
      <c r="EN201" s="263"/>
      <c r="EO201" s="264"/>
      <c r="EP201" s="274"/>
      <c r="EQ201" s="274"/>
      <c r="ER201" s="274"/>
      <c r="ES201" s="274"/>
      <c r="ET201" s="274"/>
      <c r="EU201" s="274"/>
      <c r="EV201" s="274"/>
      <c r="EW201" s="274"/>
      <c r="EX201" s="274"/>
      <c r="EY201" s="274"/>
      <c r="EZ201" s="280"/>
      <c r="FA201" s="281"/>
      <c r="FB201" s="263"/>
      <c r="FC201" s="264"/>
      <c r="FD201" s="274"/>
      <c r="FE201" s="274"/>
      <c r="FF201" s="274"/>
      <c r="FG201" s="274"/>
      <c r="FH201" s="274"/>
      <c r="FI201" s="274"/>
      <c r="FJ201" s="274"/>
      <c r="FK201" s="274"/>
      <c r="FL201" s="274"/>
      <c r="FM201" s="274"/>
      <c r="FN201" s="280"/>
      <c r="FO201" s="281"/>
      <c r="FP201" s="263"/>
      <c r="FQ201" s="264"/>
      <c r="FR201" s="274"/>
      <c r="FS201" s="274"/>
      <c r="FT201" s="274"/>
      <c r="FU201" s="274"/>
      <c r="FV201" s="274"/>
      <c r="FW201" s="274"/>
      <c r="FX201" s="274"/>
      <c r="FY201" s="274"/>
      <c r="FZ201" s="274"/>
      <c r="GA201" s="274"/>
      <c r="GB201" s="280"/>
      <c r="GC201" s="281"/>
      <c r="GD201" s="283">
        <f>+GD200+GR200</f>
        <v>17196.934026359191</v>
      </c>
      <c r="GE201" s="273">
        <f>+GD201/83.92</f>
        <v>204.92056752096272</v>
      </c>
      <c r="GF201" s="274">
        <f>+GE201-'[1]Actual YTD feb'!KL217</f>
        <v>204.92056752096272</v>
      </c>
      <c r="GG201" s="274"/>
      <c r="GH201" s="274"/>
      <c r="GI201" s="274"/>
      <c r="GJ201" s="274"/>
      <c r="GK201" s="274"/>
      <c r="GL201" s="274"/>
      <c r="GM201" s="274"/>
      <c r="GN201" s="274"/>
      <c r="GO201" s="274"/>
      <c r="GP201" s="280"/>
      <c r="GQ201" s="281"/>
      <c r="GR201" s="263"/>
      <c r="GS201" s="264"/>
      <c r="GT201" s="274"/>
      <c r="GU201" s="274"/>
      <c r="GV201" s="274"/>
      <c r="GW201" s="274"/>
      <c r="GX201" s="274"/>
      <c r="GY201" s="274"/>
      <c r="GZ201" s="274"/>
      <c r="HA201" s="274"/>
      <c r="HB201" s="274"/>
      <c r="HC201" s="274"/>
      <c r="HD201" s="280"/>
      <c r="HE201" s="281"/>
      <c r="HF201" s="263"/>
      <c r="HG201" s="264"/>
      <c r="HH201" s="274"/>
      <c r="HI201" s="274"/>
      <c r="HJ201" s="274"/>
      <c r="HK201" s="274"/>
      <c r="HL201" s="274"/>
      <c r="HM201" s="274"/>
      <c r="HN201" s="274"/>
      <c r="HO201" s="274"/>
      <c r="HP201" s="274"/>
      <c r="HQ201" s="274"/>
      <c r="HR201" s="280"/>
      <c r="HS201" s="281"/>
      <c r="HT201" s="263"/>
      <c r="HU201" s="264"/>
      <c r="HV201" s="274"/>
      <c r="HW201" s="274"/>
      <c r="HX201" s="274"/>
      <c r="HY201" s="274"/>
      <c r="HZ201" s="274"/>
      <c r="IA201" s="274"/>
      <c r="IB201" s="274"/>
      <c r="IC201" s="274"/>
      <c r="ID201" s="274"/>
      <c r="IE201" s="274"/>
      <c r="IF201" s="280"/>
      <c r="IG201" s="281"/>
      <c r="IH201" s="263"/>
      <c r="II201" s="264"/>
      <c r="IJ201" s="274"/>
      <c r="IK201" s="274"/>
      <c r="IL201" s="274"/>
      <c r="IM201" s="274"/>
      <c r="IN201" s="274"/>
      <c r="IO201" s="274"/>
      <c r="IP201" s="274"/>
      <c r="IQ201" s="274"/>
      <c r="IR201" s="274"/>
      <c r="IS201" s="274"/>
      <c r="IT201" s="280"/>
      <c r="IU201" s="281"/>
      <c r="IV201" s="263"/>
      <c r="IW201" s="264"/>
      <c r="IX201" s="274"/>
      <c r="IY201" s="274"/>
      <c r="IZ201" s="274"/>
      <c r="JA201" s="274"/>
      <c r="JB201" s="274"/>
      <c r="JC201" s="274"/>
      <c r="JD201" s="274"/>
      <c r="JE201" s="274"/>
      <c r="JF201" s="274"/>
      <c r="JG201" s="274"/>
      <c r="JH201" s="280"/>
      <c r="JI201" s="281"/>
      <c r="JJ201" s="263"/>
      <c r="JK201" s="264"/>
      <c r="JL201" s="274"/>
      <c r="JM201" s="274"/>
      <c r="JN201" s="274"/>
      <c r="JO201" s="274"/>
      <c r="JP201" s="274"/>
      <c r="JQ201" s="274"/>
      <c r="JR201" s="274"/>
      <c r="JS201" s="274"/>
      <c r="JT201" s="274"/>
      <c r="JU201" s="274"/>
      <c r="JV201" s="280"/>
      <c r="JW201" s="281"/>
      <c r="JX201" s="263"/>
      <c r="JY201" s="264"/>
      <c r="JZ201" s="274"/>
      <c r="KA201" s="274"/>
      <c r="KB201" s="274"/>
      <c r="KC201" s="274"/>
      <c r="KD201" s="274"/>
      <c r="KE201" s="274"/>
      <c r="KF201" s="274"/>
      <c r="KG201" s="274"/>
      <c r="KH201" s="274"/>
      <c r="KI201" s="274"/>
      <c r="KJ201" s="280"/>
      <c r="KK201" s="281"/>
      <c r="KL201" s="263"/>
      <c r="KM201" s="264"/>
      <c r="KN201" s="274"/>
      <c r="KO201" s="274"/>
      <c r="KP201" s="274"/>
      <c r="KQ201" s="274"/>
      <c r="KR201" s="274"/>
      <c r="KS201" s="274"/>
      <c r="KT201" s="274"/>
      <c r="KU201" s="274"/>
      <c r="KV201" s="274"/>
      <c r="KW201" s="274"/>
      <c r="KX201" s="280"/>
      <c r="KY201" s="281"/>
      <c r="KZ201" s="263"/>
      <c r="LA201" s="264"/>
      <c r="LB201" s="274"/>
      <c r="LC201" s="274"/>
      <c r="LD201" s="274"/>
      <c r="LE201" s="274"/>
      <c r="LF201" s="274"/>
      <c r="LG201" s="274"/>
      <c r="LH201" s="274"/>
      <c r="LI201" s="274"/>
      <c r="LJ201" s="274"/>
      <c r="LK201" s="274"/>
      <c r="LL201" s="280"/>
      <c r="LM201" s="281"/>
      <c r="LN201" s="263"/>
      <c r="LO201" s="264"/>
      <c r="LP201" s="274"/>
      <c r="LQ201" s="274"/>
      <c r="LR201" s="274"/>
      <c r="LS201" s="274"/>
      <c r="LT201" s="274"/>
      <c r="LU201" s="274"/>
      <c r="LV201" s="274"/>
      <c r="LW201" s="274"/>
      <c r="LX201" s="274"/>
      <c r="LY201" s="274"/>
      <c r="LZ201" s="280"/>
      <c r="MA201" s="281"/>
      <c r="MB201" s="280"/>
      <c r="MC201" s="280">
        <f>+MC200/83.92</f>
        <v>497.68172433312668</v>
      </c>
      <c r="MD201" s="280"/>
      <c r="ME201" s="280"/>
      <c r="MF201" s="280"/>
      <c r="MG201" s="280"/>
      <c r="MH201" s="280"/>
      <c r="MI201" s="280"/>
      <c r="MJ201" s="280"/>
      <c r="MK201" s="280"/>
      <c r="ML201" s="280"/>
      <c r="MM201" s="280"/>
      <c r="MN201" s="280"/>
    </row>
    <row r="202" spans="1:352" x14ac:dyDescent="0.3">
      <c r="A202" s="262"/>
      <c r="B202" s="206" t="s">
        <v>74</v>
      </c>
      <c r="C202" s="98"/>
      <c r="D202" s="263"/>
      <c r="E202" s="264"/>
      <c r="F202" s="264"/>
      <c r="G202" s="264"/>
      <c r="H202" s="264"/>
      <c r="I202" s="264"/>
      <c r="J202" s="264"/>
      <c r="K202" s="264"/>
      <c r="L202" s="264"/>
      <c r="M202" s="264"/>
      <c r="N202" s="264"/>
      <c r="O202" s="264"/>
      <c r="P202" s="223"/>
      <c r="Q202" s="284"/>
      <c r="R202" s="263"/>
      <c r="S202" s="264"/>
      <c r="T202" s="264"/>
      <c r="U202" s="264"/>
      <c r="V202" s="264"/>
      <c r="W202" s="264"/>
      <c r="X202" s="264"/>
      <c r="Y202" s="264"/>
      <c r="Z202" s="264"/>
      <c r="AA202" s="264"/>
      <c r="AB202" s="264"/>
      <c r="AC202" s="264"/>
      <c r="AD202" s="223"/>
      <c r="AE202" s="284"/>
      <c r="AF202" s="263"/>
      <c r="AG202" s="264"/>
      <c r="AH202" s="264"/>
      <c r="AI202" s="264"/>
      <c r="AJ202" s="264"/>
      <c r="AK202" s="264"/>
      <c r="AL202" s="264"/>
      <c r="AM202" s="264"/>
      <c r="AN202" s="264"/>
      <c r="AO202" s="264"/>
      <c r="AP202" s="264"/>
      <c r="AQ202" s="264"/>
      <c r="AR202" s="223"/>
      <c r="AS202" s="266"/>
      <c r="AT202" s="263"/>
      <c r="AU202" s="264"/>
      <c r="AV202" s="264"/>
      <c r="AW202" s="264"/>
      <c r="AX202" s="264"/>
      <c r="AY202" s="264"/>
      <c r="AZ202" s="264"/>
      <c r="BA202" s="264"/>
      <c r="BB202" s="264"/>
      <c r="BC202" s="264"/>
      <c r="BD202" s="264"/>
      <c r="BE202" s="264"/>
      <c r="BF202" s="223"/>
      <c r="BG202" s="224"/>
      <c r="BH202" s="263"/>
      <c r="BI202" s="264"/>
      <c r="BJ202" s="264"/>
      <c r="BK202" s="264"/>
      <c r="BL202" s="264"/>
      <c r="BM202" s="264"/>
      <c r="BN202" s="264"/>
      <c r="BO202" s="264"/>
      <c r="BP202" s="264"/>
      <c r="BQ202" s="264"/>
      <c r="BR202" s="264"/>
      <c r="BS202" s="264"/>
      <c r="BT202" s="223"/>
      <c r="BU202" s="266"/>
      <c r="BV202" s="263"/>
      <c r="BW202" s="264"/>
      <c r="BX202" s="264"/>
      <c r="BY202" s="264"/>
      <c r="BZ202" s="264"/>
      <c r="CA202" s="264"/>
      <c r="CB202" s="264"/>
      <c r="CC202" s="264"/>
      <c r="CD202" s="264"/>
      <c r="CE202" s="264"/>
      <c r="CF202" s="264"/>
      <c r="CG202" s="264"/>
      <c r="CH202" s="223"/>
      <c r="CI202" s="284"/>
      <c r="CJ202" s="263"/>
      <c r="CK202" s="264"/>
      <c r="CL202" s="264"/>
      <c r="CM202" s="264"/>
      <c r="CN202" s="264"/>
      <c r="CO202" s="264"/>
      <c r="CP202" s="264"/>
      <c r="CQ202" s="264"/>
      <c r="CR202" s="264"/>
      <c r="CS202" s="264"/>
      <c r="CT202" s="264"/>
      <c r="CU202" s="264"/>
      <c r="CV202" s="223"/>
      <c r="CW202" s="284"/>
      <c r="CX202" s="263"/>
      <c r="CY202" s="264"/>
      <c r="CZ202" s="264"/>
      <c r="DA202" s="264"/>
      <c r="DB202" s="264"/>
      <c r="DC202" s="264"/>
      <c r="DD202" s="264"/>
      <c r="DE202" s="264"/>
      <c r="DF202" s="264"/>
      <c r="DG202" s="264"/>
      <c r="DH202" s="264"/>
      <c r="DI202" s="264"/>
      <c r="DJ202" s="223"/>
      <c r="DK202" s="284"/>
      <c r="DL202" s="263"/>
      <c r="DM202" s="264"/>
      <c r="DN202" s="264"/>
      <c r="DO202" s="264"/>
      <c r="DP202" s="264"/>
      <c r="DQ202" s="264"/>
      <c r="DR202" s="264"/>
      <c r="DS202" s="264"/>
      <c r="DT202" s="264"/>
      <c r="DU202" s="264"/>
      <c r="DV202" s="264"/>
      <c r="DW202" s="264"/>
      <c r="DX202" s="223"/>
      <c r="DY202" s="284"/>
      <c r="DZ202" s="263"/>
      <c r="EA202" s="264"/>
      <c r="EB202" s="264"/>
      <c r="EC202" s="264"/>
      <c r="ED202" s="264"/>
      <c r="EE202" s="264"/>
      <c r="EF202" s="264"/>
      <c r="EG202" s="264"/>
      <c r="EH202" s="264"/>
      <c r="EI202" s="264"/>
      <c r="EJ202" s="264"/>
      <c r="EK202" s="264"/>
      <c r="EL202" s="223"/>
      <c r="EM202" s="284"/>
      <c r="EN202" s="263"/>
      <c r="EO202" s="264"/>
      <c r="EP202" s="264"/>
      <c r="EQ202" s="264"/>
      <c r="ER202" s="264"/>
      <c r="ES202" s="264"/>
      <c r="ET202" s="264"/>
      <c r="EU202" s="264"/>
      <c r="EV202" s="264"/>
      <c r="EW202" s="264"/>
      <c r="EX202" s="264"/>
      <c r="EY202" s="264"/>
      <c r="EZ202" s="223"/>
      <c r="FA202" s="284"/>
      <c r="FB202" s="263"/>
      <c r="FC202" s="264"/>
      <c r="FD202" s="264"/>
      <c r="FE202" s="264"/>
      <c r="FF202" s="264"/>
      <c r="FG202" s="264"/>
      <c r="FH202" s="264"/>
      <c r="FI202" s="264"/>
      <c r="FJ202" s="264"/>
      <c r="FK202" s="264"/>
      <c r="FL202" s="264"/>
      <c r="FM202" s="264"/>
      <c r="FN202" s="223"/>
      <c r="FO202" s="284"/>
      <c r="FP202" s="263"/>
      <c r="FQ202" s="264"/>
      <c r="FR202" s="264"/>
      <c r="FS202" s="264"/>
      <c r="FT202" s="264"/>
      <c r="FU202" s="264"/>
      <c r="FV202" s="264"/>
      <c r="FW202" s="264"/>
      <c r="FX202" s="264"/>
      <c r="FY202" s="264"/>
      <c r="FZ202" s="264"/>
      <c r="GA202" s="264"/>
      <c r="GB202" s="223"/>
      <c r="GC202" s="284"/>
      <c r="GD202" s="263"/>
      <c r="GE202" s="264"/>
      <c r="GF202" s="264"/>
      <c r="GG202" s="264"/>
      <c r="GH202" s="264"/>
      <c r="GI202" s="264"/>
      <c r="GJ202" s="264"/>
      <c r="GK202" s="264"/>
      <c r="GL202" s="264"/>
      <c r="GM202" s="264"/>
      <c r="GN202" s="264"/>
      <c r="GO202" s="264"/>
      <c r="GP202" s="223"/>
      <c r="GQ202" s="284"/>
      <c r="GR202" s="263"/>
      <c r="GS202" s="264"/>
      <c r="GT202" s="264"/>
      <c r="GU202" s="264"/>
      <c r="GV202" s="264"/>
      <c r="GW202" s="264"/>
      <c r="GX202" s="264"/>
      <c r="GY202" s="264"/>
      <c r="GZ202" s="264"/>
      <c r="HA202" s="264"/>
      <c r="HB202" s="264"/>
      <c r="HC202" s="264"/>
      <c r="HD202" s="223"/>
      <c r="HE202" s="284"/>
      <c r="HF202" s="263"/>
      <c r="HG202" s="264"/>
      <c r="HH202" s="264"/>
      <c r="HI202" s="264"/>
      <c r="HJ202" s="264"/>
      <c r="HK202" s="264"/>
      <c r="HL202" s="264"/>
      <c r="HM202" s="264"/>
      <c r="HN202" s="264"/>
      <c r="HO202" s="264"/>
      <c r="HP202" s="264"/>
      <c r="HQ202" s="264"/>
      <c r="HR202" s="223"/>
      <c r="HS202" s="284"/>
      <c r="HT202" s="263"/>
      <c r="HU202" s="264"/>
      <c r="HV202" s="264"/>
      <c r="HW202" s="264"/>
      <c r="HX202" s="264"/>
      <c r="HY202" s="264"/>
      <c r="HZ202" s="264"/>
      <c r="IA202" s="264"/>
      <c r="IB202" s="264"/>
      <c r="IC202" s="264"/>
      <c r="ID202" s="264"/>
      <c r="IE202" s="264"/>
      <c r="IF202" s="223"/>
      <c r="IG202" s="284"/>
      <c r="IH202" s="263"/>
      <c r="II202" s="264"/>
      <c r="IJ202" s="264"/>
      <c r="IK202" s="264"/>
      <c r="IL202" s="264"/>
      <c r="IM202" s="264"/>
      <c r="IN202" s="264"/>
      <c r="IO202" s="264"/>
      <c r="IP202" s="264"/>
      <c r="IQ202" s="264"/>
      <c r="IR202" s="264"/>
      <c r="IS202" s="264"/>
      <c r="IT202" s="223"/>
      <c r="IU202" s="284"/>
      <c r="IV202" s="263"/>
      <c r="IW202" s="264"/>
      <c r="IX202" s="264"/>
      <c r="IY202" s="264"/>
      <c r="IZ202" s="264"/>
      <c r="JA202" s="264"/>
      <c r="JB202" s="264"/>
      <c r="JC202" s="264"/>
      <c r="JD202" s="264"/>
      <c r="JE202" s="264"/>
      <c r="JF202" s="264"/>
      <c r="JG202" s="264"/>
      <c r="JH202" s="223"/>
      <c r="JI202" s="284"/>
      <c r="JJ202" s="263"/>
      <c r="JK202" s="264"/>
      <c r="JL202" s="264"/>
      <c r="JM202" s="264"/>
      <c r="JN202" s="264"/>
      <c r="JO202" s="264"/>
      <c r="JP202" s="264"/>
      <c r="JQ202" s="264"/>
      <c r="JR202" s="264"/>
      <c r="JS202" s="264"/>
      <c r="JT202" s="264"/>
      <c r="JU202" s="264"/>
      <c r="JV202" s="223"/>
      <c r="JW202" s="284"/>
      <c r="JX202" s="263"/>
      <c r="JY202" s="264"/>
      <c r="JZ202" s="264"/>
      <c r="KA202" s="264"/>
      <c r="KB202" s="264"/>
      <c r="KC202" s="264"/>
      <c r="KD202" s="264"/>
      <c r="KE202" s="264"/>
      <c r="KF202" s="264"/>
      <c r="KG202" s="264"/>
      <c r="KH202" s="264"/>
      <c r="KI202" s="264"/>
      <c r="KJ202" s="223"/>
      <c r="KK202" s="284"/>
      <c r="KL202" s="263"/>
      <c r="KM202" s="264"/>
      <c r="KN202" s="264"/>
      <c r="KO202" s="264"/>
      <c r="KP202" s="264"/>
      <c r="KQ202" s="264"/>
      <c r="KR202" s="264"/>
      <c r="KS202" s="264"/>
      <c r="KT202" s="264"/>
      <c r="KU202" s="264"/>
      <c r="KV202" s="264"/>
      <c r="KW202" s="264"/>
      <c r="KX202" s="223"/>
      <c r="KY202" s="284"/>
      <c r="KZ202" s="263"/>
      <c r="LA202" s="264"/>
      <c r="LB202" s="264"/>
      <c r="LC202" s="264"/>
      <c r="LD202" s="264"/>
      <c r="LE202" s="264"/>
      <c r="LF202" s="264"/>
      <c r="LG202" s="264"/>
      <c r="LH202" s="264"/>
      <c r="LI202" s="264"/>
      <c r="LJ202" s="264"/>
      <c r="LK202" s="264"/>
      <c r="LL202" s="223"/>
      <c r="LM202" s="284"/>
      <c r="LN202" s="263"/>
      <c r="LO202" s="264"/>
      <c r="LP202" s="264"/>
      <c r="LQ202" s="264"/>
      <c r="LR202" s="264"/>
      <c r="LS202" s="264"/>
      <c r="LT202" s="264"/>
      <c r="LU202" s="264"/>
      <c r="LV202" s="264"/>
      <c r="LW202" s="264"/>
      <c r="LX202" s="264"/>
      <c r="LY202" s="264"/>
      <c r="LZ202" s="223"/>
      <c r="MA202" s="284"/>
      <c r="MB202" s="223"/>
      <c r="MC202" s="223"/>
      <c r="MD202" s="223"/>
      <c r="ME202" s="223"/>
      <c r="MF202" s="223"/>
      <c r="MG202" s="223"/>
      <c r="MH202" s="223"/>
      <c r="MI202" s="223"/>
      <c r="MJ202" s="223"/>
      <c r="MK202" s="223"/>
      <c r="ML202" s="223"/>
      <c r="MM202" s="223"/>
      <c r="MN202" s="223"/>
    </row>
    <row r="203" spans="1:352" x14ac:dyDescent="0.25">
      <c r="A203" s="262"/>
      <c r="B203" s="64" t="s">
        <v>75</v>
      </c>
      <c r="C203" s="98"/>
      <c r="D203" s="263">
        <f t="shared" ref="D203:O218" si="899">+D60/$D$144</f>
        <v>0</v>
      </c>
      <c r="E203" s="263">
        <f t="shared" si="899"/>
        <v>0</v>
      </c>
      <c r="F203" s="263">
        <f t="shared" si="899"/>
        <v>0</v>
      </c>
      <c r="G203" s="263">
        <f t="shared" si="899"/>
        <v>0</v>
      </c>
      <c r="H203" s="263">
        <f t="shared" si="899"/>
        <v>0</v>
      </c>
      <c r="I203" s="263">
        <f t="shared" si="899"/>
        <v>0</v>
      </c>
      <c r="J203" s="263">
        <f t="shared" si="899"/>
        <v>0</v>
      </c>
      <c r="K203" s="263">
        <f t="shared" si="899"/>
        <v>0</v>
      </c>
      <c r="L203" s="263">
        <f t="shared" si="899"/>
        <v>0</v>
      </c>
      <c r="M203" s="263">
        <f t="shared" si="899"/>
        <v>0</v>
      </c>
      <c r="N203" s="263">
        <f t="shared" si="899"/>
        <v>0</v>
      </c>
      <c r="O203" s="263">
        <f t="shared" si="899"/>
        <v>0</v>
      </c>
      <c r="P203" s="230">
        <f t="shared" ref="P203:P223" si="900">+SUBTOTAL(9,D203:O203)</f>
        <v>0</v>
      </c>
      <c r="Q203" s="266"/>
      <c r="R203" s="263">
        <f t="shared" ref="R203:AC218" si="901">+R60/$D$144</f>
        <v>0</v>
      </c>
      <c r="S203" s="263">
        <f t="shared" si="901"/>
        <v>0</v>
      </c>
      <c r="T203" s="263">
        <f t="shared" si="901"/>
        <v>0</v>
      </c>
      <c r="U203" s="263">
        <f t="shared" si="901"/>
        <v>0</v>
      </c>
      <c r="V203" s="263">
        <f t="shared" si="901"/>
        <v>0</v>
      </c>
      <c r="W203" s="263">
        <f t="shared" si="901"/>
        <v>0</v>
      </c>
      <c r="X203" s="263">
        <f t="shared" si="901"/>
        <v>0</v>
      </c>
      <c r="Y203" s="263">
        <f t="shared" si="901"/>
        <v>0</v>
      </c>
      <c r="Z203" s="263">
        <f t="shared" si="901"/>
        <v>0</v>
      </c>
      <c r="AA203" s="263">
        <f t="shared" si="901"/>
        <v>0</v>
      </c>
      <c r="AB203" s="263">
        <f t="shared" si="901"/>
        <v>0</v>
      </c>
      <c r="AC203" s="263">
        <f t="shared" si="901"/>
        <v>0</v>
      </c>
      <c r="AD203" s="230">
        <f t="shared" ref="AD203:AD223" si="902">+SUBTOTAL(9,R203:AC203)</f>
        <v>0</v>
      </c>
      <c r="AE203" s="266"/>
      <c r="AF203" s="263">
        <f t="shared" ref="AF203:AQ218" si="903">+AF60/$D$144</f>
        <v>0</v>
      </c>
      <c r="AG203" s="263">
        <f t="shared" si="903"/>
        <v>0</v>
      </c>
      <c r="AH203" s="263">
        <f t="shared" si="903"/>
        <v>0</v>
      </c>
      <c r="AI203" s="263">
        <f t="shared" si="903"/>
        <v>0</v>
      </c>
      <c r="AJ203" s="263">
        <f t="shared" si="903"/>
        <v>0</v>
      </c>
      <c r="AK203" s="263">
        <f t="shared" si="903"/>
        <v>0</v>
      </c>
      <c r="AL203" s="263">
        <f t="shared" si="903"/>
        <v>0</v>
      </c>
      <c r="AM203" s="263">
        <f t="shared" si="903"/>
        <v>0</v>
      </c>
      <c r="AN203" s="263">
        <f t="shared" si="903"/>
        <v>0</v>
      </c>
      <c r="AO203" s="263">
        <f t="shared" si="903"/>
        <v>0</v>
      </c>
      <c r="AP203" s="263">
        <f t="shared" si="903"/>
        <v>0</v>
      </c>
      <c r="AQ203" s="263">
        <f t="shared" si="903"/>
        <v>0</v>
      </c>
      <c r="AR203" s="230">
        <f t="shared" ref="AR203:AR223" si="904">+SUBTOTAL(9,AF203:AQ203)</f>
        <v>0</v>
      </c>
      <c r="AS203" s="266"/>
      <c r="AT203" s="263">
        <f t="shared" ref="AT203:BE218" si="905">+AT60/$D$144</f>
        <v>0</v>
      </c>
      <c r="AU203" s="263">
        <f t="shared" si="905"/>
        <v>0</v>
      </c>
      <c r="AV203" s="263">
        <f t="shared" si="905"/>
        <v>0</v>
      </c>
      <c r="AW203" s="263">
        <f t="shared" si="905"/>
        <v>0</v>
      </c>
      <c r="AX203" s="263">
        <f t="shared" si="905"/>
        <v>0</v>
      </c>
      <c r="AY203" s="263">
        <f t="shared" si="905"/>
        <v>0</v>
      </c>
      <c r="AZ203" s="263">
        <f t="shared" si="905"/>
        <v>0</v>
      </c>
      <c r="BA203" s="263">
        <f t="shared" si="905"/>
        <v>0</v>
      </c>
      <c r="BB203" s="263">
        <f t="shared" si="905"/>
        <v>0</v>
      </c>
      <c r="BC203" s="263">
        <f t="shared" si="905"/>
        <v>0</v>
      </c>
      <c r="BD203" s="263">
        <f t="shared" si="905"/>
        <v>0</v>
      </c>
      <c r="BE203" s="263">
        <f t="shared" si="905"/>
        <v>0</v>
      </c>
      <c r="BF203" s="230">
        <f t="shared" ref="BF203:BF223" si="906">+SUBTOTAL(9,AT203:BE203)</f>
        <v>0</v>
      </c>
      <c r="BG203" s="224"/>
      <c r="BH203" s="263">
        <f t="shared" ref="BH203:BS218" si="907">+BH60/$D$144</f>
        <v>0</v>
      </c>
      <c r="BI203" s="263">
        <f t="shared" si="907"/>
        <v>0</v>
      </c>
      <c r="BJ203" s="263">
        <f t="shared" si="907"/>
        <v>0</v>
      </c>
      <c r="BK203" s="263">
        <f t="shared" si="907"/>
        <v>0</v>
      </c>
      <c r="BL203" s="263">
        <f t="shared" si="907"/>
        <v>0</v>
      </c>
      <c r="BM203" s="263">
        <f t="shared" si="907"/>
        <v>0</v>
      </c>
      <c r="BN203" s="263">
        <f t="shared" si="907"/>
        <v>0</v>
      </c>
      <c r="BO203" s="263">
        <f t="shared" si="907"/>
        <v>0</v>
      </c>
      <c r="BP203" s="263">
        <f t="shared" si="907"/>
        <v>0</v>
      </c>
      <c r="BQ203" s="263">
        <f t="shared" si="907"/>
        <v>0</v>
      </c>
      <c r="BR203" s="263">
        <f t="shared" si="907"/>
        <v>0</v>
      </c>
      <c r="BS203" s="263">
        <f t="shared" si="907"/>
        <v>0</v>
      </c>
      <c r="BT203" s="230">
        <f t="shared" ref="BT203:BT223" si="908">+SUBTOTAL(9,BH203:BS203)</f>
        <v>0</v>
      </c>
      <c r="BU203" s="266"/>
      <c r="BV203" s="263">
        <f t="shared" ref="BV203:CG218" si="909">+BV60/$D$144</f>
        <v>0</v>
      </c>
      <c r="BW203" s="263">
        <f t="shared" si="909"/>
        <v>0</v>
      </c>
      <c r="BX203" s="263">
        <f t="shared" si="909"/>
        <v>0</v>
      </c>
      <c r="BY203" s="263">
        <f t="shared" si="909"/>
        <v>0</v>
      </c>
      <c r="BZ203" s="263">
        <f t="shared" si="909"/>
        <v>0</v>
      </c>
      <c r="CA203" s="263">
        <f t="shared" si="909"/>
        <v>0</v>
      </c>
      <c r="CB203" s="263">
        <f t="shared" si="909"/>
        <v>0</v>
      </c>
      <c r="CC203" s="263">
        <f t="shared" si="909"/>
        <v>0</v>
      </c>
      <c r="CD203" s="263">
        <f t="shared" si="909"/>
        <v>0</v>
      </c>
      <c r="CE203" s="263">
        <f t="shared" si="909"/>
        <v>0</v>
      </c>
      <c r="CF203" s="263">
        <f t="shared" si="909"/>
        <v>0</v>
      </c>
      <c r="CG203" s="263">
        <f t="shared" si="909"/>
        <v>0</v>
      </c>
      <c r="CH203" s="230">
        <f t="shared" ref="CH203:CH223" si="910">+SUBTOTAL(9,BV203:CG203)</f>
        <v>0</v>
      </c>
      <c r="CI203" s="266"/>
      <c r="CJ203" s="263">
        <f t="shared" ref="CJ203:CU218" si="911">+CJ60/$D$144</f>
        <v>0</v>
      </c>
      <c r="CK203" s="263">
        <f t="shared" si="911"/>
        <v>0</v>
      </c>
      <c r="CL203" s="263">
        <f t="shared" si="911"/>
        <v>0</v>
      </c>
      <c r="CM203" s="263">
        <f t="shared" si="911"/>
        <v>0</v>
      </c>
      <c r="CN203" s="263">
        <f t="shared" si="911"/>
        <v>0</v>
      </c>
      <c r="CO203" s="263">
        <f t="shared" si="911"/>
        <v>0</v>
      </c>
      <c r="CP203" s="263">
        <f t="shared" si="911"/>
        <v>0</v>
      </c>
      <c r="CQ203" s="263">
        <f t="shared" si="911"/>
        <v>0</v>
      </c>
      <c r="CR203" s="263">
        <f t="shared" si="911"/>
        <v>0</v>
      </c>
      <c r="CS203" s="263">
        <f t="shared" si="911"/>
        <v>0</v>
      </c>
      <c r="CT203" s="263">
        <f t="shared" si="911"/>
        <v>0</v>
      </c>
      <c r="CU203" s="263">
        <f t="shared" si="911"/>
        <v>0</v>
      </c>
      <c r="CV203" s="230">
        <f t="shared" ref="CV203:CV223" si="912">+SUBTOTAL(9,CJ203:CU203)</f>
        <v>0</v>
      </c>
      <c r="CW203" s="266"/>
      <c r="CX203" s="263">
        <f t="shared" ref="CX203:DI218" si="913">+CX60/$D$144</f>
        <v>0</v>
      </c>
      <c r="CY203" s="263">
        <f t="shared" si="913"/>
        <v>0</v>
      </c>
      <c r="CZ203" s="263">
        <f t="shared" si="913"/>
        <v>0</v>
      </c>
      <c r="DA203" s="263">
        <f t="shared" si="913"/>
        <v>0</v>
      </c>
      <c r="DB203" s="263">
        <f t="shared" si="913"/>
        <v>0</v>
      </c>
      <c r="DC203" s="263">
        <f t="shared" si="913"/>
        <v>0</v>
      </c>
      <c r="DD203" s="263">
        <f t="shared" si="913"/>
        <v>0</v>
      </c>
      <c r="DE203" s="263">
        <f t="shared" si="913"/>
        <v>0</v>
      </c>
      <c r="DF203" s="263">
        <f t="shared" si="913"/>
        <v>0</v>
      </c>
      <c r="DG203" s="263">
        <f t="shared" si="913"/>
        <v>0</v>
      </c>
      <c r="DH203" s="263">
        <f t="shared" si="913"/>
        <v>0</v>
      </c>
      <c r="DI203" s="263">
        <f t="shared" si="913"/>
        <v>0</v>
      </c>
      <c r="DJ203" s="230">
        <f t="shared" ref="DJ203:DJ223" si="914">+SUBTOTAL(9,CX203:DI203)</f>
        <v>0</v>
      </c>
      <c r="DK203" s="266"/>
      <c r="DL203" s="263">
        <f t="shared" ref="DL203:DW218" si="915">+DL60/$D$144</f>
        <v>0</v>
      </c>
      <c r="DM203" s="263">
        <f t="shared" si="915"/>
        <v>0</v>
      </c>
      <c r="DN203" s="263">
        <f t="shared" si="915"/>
        <v>0</v>
      </c>
      <c r="DO203" s="263">
        <f t="shared" si="915"/>
        <v>0</v>
      </c>
      <c r="DP203" s="263">
        <f t="shared" si="915"/>
        <v>0</v>
      </c>
      <c r="DQ203" s="263">
        <f t="shared" si="915"/>
        <v>0</v>
      </c>
      <c r="DR203" s="263">
        <f t="shared" si="915"/>
        <v>0</v>
      </c>
      <c r="DS203" s="263">
        <f t="shared" si="915"/>
        <v>0</v>
      </c>
      <c r="DT203" s="263">
        <f t="shared" si="915"/>
        <v>0</v>
      </c>
      <c r="DU203" s="263">
        <f t="shared" si="915"/>
        <v>0</v>
      </c>
      <c r="DV203" s="263">
        <f t="shared" si="915"/>
        <v>0</v>
      </c>
      <c r="DW203" s="263">
        <f t="shared" si="915"/>
        <v>0</v>
      </c>
      <c r="DX203" s="230">
        <f t="shared" ref="DX203:DX223" si="916">+SUBTOTAL(9,DL203:DW203)</f>
        <v>0</v>
      </c>
      <c r="DY203" s="266"/>
      <c r="DZ203" s="263">
        <f t="shared" ref="DZ203:EK218" si="917">+DZ60/$D$144</f>
        <v>0</v>
      </c>
      <c r="EA203" s="263">
        <f t="shared" si="917"/>
        <v>0</v>
      </c>
      <c r="EB203" s="263">
        <f t="shared" si="917"/>
        <v>0</v>
      </c>
      <c r="EC203" s="263">
        <f t="shared" si="917"/>
        <v>0</v>
      </c>
      <c r="ED203" s="263">
        <f t="shared" si="917"/>
        <v>0</v>
      </c>
      <c r="EE203" s="263">
        <f t="shared" si="917"/>
        <v>0</v>
      </c>
      <c r="EF203" s="263">
        <f t="shared" si="917"/>
        <v>0</v>
      </c>
      <c r="EG203" s="263">
        <f t="shared" si="917"/>
        <v>0</v>
      </c>
      <c r="EH203" s="263">
        <f t="shared" si="917"/>
        <v>0</v>
      </c>
      <c r="EI203" s="263">
        <f t="shared" si="917"/>
        <v>0</v>
      </c>
      <c r="EJ203" s="263">
        <f t="shared" si="917"/>
        <v>0</v>
      </c>
      <c r="EK203" s="263">
        <f t="shared" si="917"/>
        <v>0</v>
      </c>
      <c r="EL203" s="230">
        <f t="shared" ref="EL203:EL223" si="918">+SUBTOTAL(9,DZ203:EK203)</f>
        <v>0</v>
      </c>
      <c r="EM203" s="266"/>
      <c r="EN203" s="263">
        <f t="shared" ref="EN203:EY218" si="919">+EN60/$D$144</f>
        <v>0</v>
      </c>
      <c r="EO203" s="263">
        <f t="shared" si="919"/>
        <v>0</v>
      </c>
      <c r="EP203" s="263">
        <f t="shared" si="919"/>
        <v>0</v>
      </c>
      <c r="EQ203" s="263">
        <f t="shared" si="919"/>
        <v>0</v>
      </c>
      <c r="ER203" s="263">
        <f t="shared" si="919"/>
        <v>0</v>
      </c>
      <c r="ES203" s="263">
        <f t="shared" si="919"/>
        <v>0</v>
      </c>
      <c r="ET203" s="263">
        <f t="shared" si="919"/>
        <v>0</v>
      </c>
      <c r="EU203" s="263">
        <f t="shared" si="919"/>
        <v>0</v>
      </c>
      <c r="EV203" s="263">
        <f t="shared" si="919"/>
        <v>0</v>
      </c>
      <c r="EW203" s="263">
        <f t="shared" si="919"/>
        <v>0</v>
      </c>
      <c r="EX203" s="263">
        <f t="shared" si="919"/>
        <v>0</v>
      </c>
      <c r="EY203" s="263">
        <f t="shared" si="919"/>
        <v>0</v>
      </c>
      <c r="EZ203" s="230">
        <f t="shared" ref="EZ203:EZ223" si="920">+SUBTOTAL(9,EN203:EY203)</f>
        <v>0</v>
      </c>
      <c r="FA203" s="266"/>
      <c r="FB203" s="263">
        <f t="shared" ref="FB203:FM218" si="921">+FB60/$D$144</f>
        <v>0</v>
      </c>
      <c r="FC203" s="263">
        <f t="shared" si="921"/>
        <v>0</v>
      </c>
      <c r="FD203" s="263">
        <f t="shared" si="921"/>
        <v>0</v>
      </c>
      <c r="FE203" s="263">
        <f t="shared" si="921"/>
        <v>0</v>
      </c>
      <c r="FF203" s="263">
        <f t="shared" si="921"/>
        <v>0</v>
      </c>
      <c r="FG203" s="263">
        <f t="shared" si="921"/>
        <v>0</v>
      </c>
      <c r="FH203" s="263">
        <f t="shared" si="921"/>
        <v>0</v>
      </c>
      <c r="FI203" s="263">
        <f t="shared" si="921"/>
        <v>0</v>
      </c>
      <c r="FJ203" s="263">
        <f t="shared" si="921"/>
        <v>0</v>
      </c>
      <c r="FK203" s="263">
        <f t="shared" si="921"/>
        <v>0</v>
      </c>
      <c r="FL203" s="263">
        <f t="shared" si="921"/>
        <v>0</v>
      </c>
      <c r="FM203" s="263">
        <f t="shared" si="921"/>
        <v>0</v>
      </c>
      <c r="FN203" s="230">
        <f t="shared" ref="FN203:FN223" si="922">+SUBTOTAL(9,FB203:FM203)</f>
        <v>0</v>
      </c>
      <c r="FO203" s="266"/>
      <c r="FP203" s="263">
        <f t="shared" ref="FP203:GA218" si="923">+FP60/$D$144</f>
        <v>0</v>
      </c>
      <c r="FQ203" s="263">
        <f t="shared" si="923"/>
        <v>0</v>
      </c>
      <c r="FR203" s="263">
        <f t="shared" si="923"/>
        <v>0</v>
      </c>
      <c r="FS203" s="263">
        <f t="shared" si="923"/>
        <v>0</v>
      </c>
      <c r="FT203" s="263">
        <f t="shared" si="923"/>
        <v>0</v>
      </c>
      <c r="FU203" s="263">
        <f t="shared" si="923"/>
        <v>0</v>
      </c>
      <c r="FV203" s="263">
        <f t="shared" si="923"/>
        <v>0</v>
      </c>
      <c r="FW203" s="263">
        <f t="shared" si="923"/>
        <v>0</v>
      </c>
      <c r="FX203" s="263">
        <f t="shared" si="923"/>
        <v>0</v>
      </c>
      <c r="FY203" s="263">
        <f t="shared" si="923"/>
        <v>0</v>
      </c>
      <c r="FZ203" s="263">
        <f t="shared" si="923"/>
        <v>0</v>
      </c>
      <c r="GA203" s="263">
        <f t="shared" si="923"/>
        <v>0</v>
      </c>
      <c r="GB203" s="230">
        <f t="shared" ref="GB203:GB223" si="924">+SUBTOTAL(9,FP203:GA203)</f>
        <v>0</v>
      </c>
      <c r="GC203" s="266"/>
      <c r="GD203" s="263">
        <f t="shared" ref="GD203:GO218" si="925">+GD60/$D$144</f>
        <v>0</v>
      </c>
      <c r="GE203" s="263">
        <f t="shared" si="925"/>
        <v>0</v>
      </c>
      <c r="GF203" s="263">
        <f t="shared" si="925"/>
        <v>0</v>
      </c>
      <c r="GG203" s="263">
        <f t="shared" si="925"/>
        <v>0</v>
      </c>
      <c r="GH203" s="263">
        <f t="shared" si="925"/>
        <v>0</v>
      </c>
      <c r="GI203" s="263">
        <f t="shared" si="925"/>
        <v>0</v>
      </c>
      <c r="GJ203" s="263">
        <f t="shared" si="925"/>
        <v>0</v>
      </c>
      <c r="GK203" s="263">
        <f t="shared" si="925"/>
        <v>0</v>
      </c>
      <c r="GL203" s="263">
        <f t="shared" si="925"/>
        <v>0</v>
      </c>
      <c r="GM203" s="263">
        <f t="shared" si="925"/>
        <v>0</v>
      </c>
      <c r="GN203" s="263">
        <f t="shared" si="925"/>
        <v>0</v>
      </c>
      <c r="GO203" s="263">
        <f t="shared" si="925"/>
        <v>0</v>
      </c>
      <c r="GP203" s="230">
        <f t="shared" ref="GP203:GP223" si="926">+SUBTOTAL(9,GD203:GO203)</f>
        <v>0</v>
      </c>
      <c r="GQ203" s="266"/>
      <c r="GR203" s="263">
        <f t="shared" ref="GR203:HC218" si="927">+GR60/$D$144</f>
        <v>0</v>
      </c>
      <c r="GS203" s="263">
        <f t="shared" si="927"/>
        <v>0</v>
      </c>
      <c r="GT203" s="263">
        <f t="shared" si="927"/>
        <v>0</v>
      </c>
      <c r="GU203" s="263">
        <f t="shared" si="927"/>
        <v>0</v>
      </c>
      <c r="GV203" s="263">
        <f t="shared" si="927"/>
        <v>0</v>
      </c>
      <c r="GW203" s="263">
        <f t="shared" si="927"/>
        <v>0</v>
      </c>
      <c r="GX203" s="263">
        <f t="shared" si="927"/>
        <v>0</v>
      </c>
      <c r="GY203" s="263">
        <f t="shared" si="927"/>
        <v>0</v>
      </c>
      <c r="GZ203" s="263">
        <f t="shared" si="927"/>
        <v>0</v>
      </c>
      <c r="HA203" s="263">
        <f t="shared" si="927"/>
        <v>0</v>
      </c>
      <c r="HB203" s="263">
        <f t="shared" si="927"/>
        <v>0</v>
      </c>
      <c r="HC203" s="263">
        <f t="shared" si="927"/>
        <v>0</v>
      </c>
      <c r="HD203" s="230">
        <f>+SUBTOTAL(9,GR203:HC203)*0</f>
        <v>0</v>
      </c>
      <c r="HE203" s="266"/>
      <c r="HF203" s="263">
        <f t="shared" ref="HF203:HQ218" si="928">+HF60/$D$144</f>
        <v>0</v>
      </c>
      <c r="HG203" s="263">
        <f t="shared" si="928"/>
        <v>0</v>
      </c>
      <c r="HH203" s="263">
        <f t="shared" si="928"/>
        <v>0</v>
      </c>
      <c r="HI203" s="263">
        <f t="shared" si="928"/>
        <v>0</v>
      </c>
      <c r="HJ203" s="263">
        <f t="shared" si="928"/>
        <v>0</v>
      </c>
      <c r="HK203" s="263">
        <f t="shared" si="928"/>
        <v>0</v>
      </c>
      <c r="HL203" s="263">
        <f t="shared" si="928"/>
        <v>0</v>
      </c>
      <c r="HM203" s="263">
        <f t="shared" si="928"/>
        <v>0</v>
      </c>
      <c r="HN203" s="263">
        <f t="shared" si="928"/>
        <v>0</v>
      </c>
      <c r="HO203" s="263">
        <f t="shared" si="928"/>
        <v>0</v>
      </c>
      <c r="HP203" s="263">
        <f t="shared" si="928"/>
        <v>0</v>
      </c>
      <c r="HQ203" s="263">
        <f t="shared" si="928"/>
        <v>0</v>
      </c>
      <c r="HR203" s="230">
        <f t="shared" ref="HR203:HR223" si="929">+SUBTOTAL(9,HF203:HQ203)</f>
        <v>0</v>
      </c>
      <c r="HS203" s="266"/>
      <c r="HT203" s="263">
        <f t="shared" ref="HT203:IE218" si="930">+HT60/$D$144</f>
        <v>0</v>
      </c>
      <c r="HU203" s="263">
        <f t="shared" si="930"/>
        <v>0</v>
      </c>
      <c r="HV203" s="263">
        <f t="shared" si="930"/>
        <v>0</v>
      </c>
      <c r="HW203" s="263">
        <f t="shared" si="930"/>
        <v>0</v>
      </c>
      <c r="HX203" s="263">
        <f t="shared" si="930"/>
        <v>0</v>
      </c>
      <c r="HY203" s="263">
        <f t="shared" si="930"/>
        <v>0</v>
      </c>
      <c r="HZ203" s="263">
        <f t="shared" si="930"/>
        <v>0</v>
      </c>
      <c r="IA203" s="263">
        <f t="shared" si="930"/>
        <v>0</v>
      </c>
      <c r="IB203" s="263">
        <f t="shared" si="930"/>
        <v>0</v>
      </c>
      <c r="IC203" s="263">
        <f t="shared" si="930"/>
        <v>0</v>
      </c>
      <c r="ID203" s="263">
        <f t="shared" si="930"/>
        <v>0</v>
      </c>
      <c r="IE203" s="263">
        <f t="shared" si="930"/>
        <v>0</v>
      </c>
      <c r="IF203" s="230">
        <f t="shared" ref="IF203:IF223" si="931">+SUBTOTAL(9,HT203:IE203)</f>
        <v>0</v>
      </c>
      <c r="IG203" s="266"/>
      <c r="IH203" s="263">
        <f t="shared" ref="IH203:IS218" si="932">+IH60/$D$144</f>
        <v>0</v>
      </c>
      <c r="II203" s="263">
        <f t="shared" si="932"/>
        <v>0</v>
      </c>
      <c r="IJ203" s="263">
        <f t="shared" si="932"/>
        <v>0</v>
      </c>
      <c r="IK203" s="263">
        <f t="shared" si="932"/>
        <v>0</v>
      </c>
      <c r="IL203" s="263">
        <f t="shared" si="932"/>
        <v>0</v>
      </c>
      <c r="IM203" s="263">
        <f t="shared" si="932"/>
        <v>0</v>
      </c>
      <c r="IN203" s="263">
        <f t="shared" si="932"/>
        <v>0</v>
      </c>
      <c r="IO203" s="263">
        <f t="shared" si="932"/>
        <v>0</v>
      </c>
      <c r="IP203" s="263">
        <f t="shared" si="932"/>
        <v>0</v>
      </c>
      <c r="IQ203" s="263">
        <f t="shared" si="932"/>
        <v>0</v>
      </c>
      <c r="IR203" s="263">
        <f t="shared" si="932"/>
        <v>0</v>
      </c>
      <c r="IS203" s="263">
        <f t="shared" si="932"/>
        <v>0</v>
      </c>
      <c r="IT203" s="230">
        <f t="shared" ref="IT203:IT223" si="933">+SUBTOTAL(9,IH203:IS203)</f>
        <v>0</v>
      </c>
      <c r="IU203" s="266"/>
      <c r="IV203" s="263">
        <f t="shared" ref="IV203:JG218" si="934">+IV60/$D$144</f>
        <v>0</v>
      </c>
      <c r="IW203" s="263">
        <f t="shared" si="934"/>
        <v>0</v>
      </c>
      <c r="IX203" s="263">
        <f t="shared" si="934"/>
        <v>0</v>
      </c>
      <c r="IY203" s="263">
        <f t="shared" si="934"/>
        <v>0</v>
      </c>
      <c r="IZ203" s="263">
        <f t="shared" si="934"/>
        <v>0</v>
      </c>
      <c r="JA203" s="263">
        <f t="shared" si="934"/>
        <v>0</v>
      </c>
      <c r="JB203" s="263">
        <f t="shared" si="934"/>
        <v>0</v>
      </c>
      <c r="JC203" s="263">
        <f t="shared" si="934"/>
        <v>0</v>
      </c>
      <c r="JD203" s="263">
        <f t="shared" si="934"/>
        <v>0</v>
      </c>
      <c r="JE203" s="263">
        <f t="shared" si="934"/>
        <v>0</v>
      </c>
      <c r="JF203" s="263">
        <f t="shared" si="934"/>
        <v>0</v>
      </c>
      <c r="JG203" s="263">
        <f t="shared" si="934"/>
        <v>0</v>
      </c>
      <c r="JH203" s="230">
        <f t="shared" ref="JH203:JH223" si="935">+SUBTOTAL(9,IV203:JG203)</f>
        <v>0</v>
      </c>
      <c r="JI203" s="266"/>
      <c r="JJ203" s="263">
        <f t="shared" ref="JJ203:JU218" si="936">+JJ60/$D$144</f>
        <v>0</v>
      </c>
      <c r="JK203" s="263">
        <f t="shared" si="936"/>
        <v>0</v>
      </c>
      <c r="JL203" s="263">
        <f t="shared" si="936"/>
        <v>0</v>
      </c>
      <c r="JM203" s="263">
        <f t="shared" si="936"/>
        <v>0</v>
      </c>
      <c r="JN203" s="263">
        <f t="shared" si="936"/>
        <v>0</v>
      </c>
      <c r="JO203" s="263">
        <f t="shared" si="936"/>
        <v>0</v>
      </c>
      <c r="JP203" s="263">
        <f t="shared" si="936"/>
        <v>0</v>
      </c>
      <c r="JQ203" s="263">
        <f t="shared" si="936"/>
        <v>0</v>
      </c>
      <c r="JR203" s="263">
        <f t="shared" si="936"/>
        <v>0</v>
      </c>
      <c r="JS203" s="263">
        <f t="shared" si="936"/>
        <v>0</v>
      </c>
      <c r="JT203" s="263">
        <f t="shared" si="936"/>
        <v>0</v>
      </c>
      <c r="JU203" s="263">
        <f t="shared" si="936"/>
        <v>0</v>
      </c>
      <c r="JV203" s="230">
        <f t="shared" ref="JV203:JV223" si="937">+SUBTOTAL(9,JJ203:JU203)</f>
        <v>0</v>
      </c>
      <c r="JW203" s="266"/>
      <c r="JX203" s="263">
        <f t="shared" ref="JX203:KI218" si="938">+JX60/$D$144</f>
        <v>0</v>
      </c>
      <c r="JY203" s="263">
        <f t="shared" si="938"/>
        <v>0</v>
      </c>
      <c r="JZ203" s="263">
        <f t="shared" si="938"/>
        <v>0</v>
      </c>
      <c r="KA203" s="263">
        <f t="shared" si="938"/>
        <v>0</v>
      </c>
      <c r="KB203" s="263">
        <f t="shared" si="938"/>
        <v>0</v>
      </c>
      <c r="KC203" s="263">
        <f t="shared" si="938"/>
        <v>0</v>
      </c>
      <c r="KD203" s="263">
        <f t="shared" si="938"/>
        <v>0</v>
      </c>
      <c r="KE203" s="263">
        <f t="shared" si="938"/>
        <v>0</v>
      </c>
      <c r="KF203" s="263">
        <f t="shared" si="938"/>
        <v>0</v>
      </c>
      <c r="KG203" s="263">
        <f t="shared" si="938"/>
        <v>0</v>
      </c>
      <c r="KH203" s="263">
        <f t="shared" si="938"/>
        <v>0</v>
      </c>
      <c r="KI203" s="263">
        <f t="shared" si="938"/>
        <v>0</v>
      </c>
      <c r="KJ203" s="230">
        <f t="shared" ref="KJ203:KJ223" si="939">+SUBTOTAL(9,JX203:KI203)</f>
        <v>0</v>
      </c>
      <c r="KK203" s="266"/>
      <c r="KL203" s="263">
        <f t="shared" ref="KL203:KW218" si="940">+KL60/$D$144</f>
        <v>0</v>
      </c>
      <c r="KM203" s="263">
        <f t="shared" si="940"/>
        <v>0</v>
      </c>
      <c r="KN203" s="263">
        <f t="shared" si="940"/>
        <v>0</v>
      </c>
      <c r="KO203" s="263">
        <f t="shared" si="940"/>
        <v>0</v>
      </c>
      <c r="KP203" s="263">
        <f t="shared" si="940"/>
        <v>0</v>
      </c>
      <c r="KQ203" s="263">
        <f t="shared" si="940"/>
        <v>0</v>
      </c>
      <c r="KR203" s="263">
        <f t="shared" si="940"/>
        <v>0</v>
      </c>
      <c r="KS203" s="263">
        <f t="shared" si="940"/>
        <v>0</v>
      </c>
      <c r="KT203" s="263">
        <f t="shared" si="940"/>
        <v>0</v>
      </c>
      <c r="KU203" s="263">
        <f t="shared" si="940"/>
        <v>0</v>
      </c>
      <c r="KV203" s="263">
        <f t="shared" si="940"/>
        <v>0</v>
      </c>
      <c r="KW203" s="263">
        <f t="shared" si="940"/>
        <v>0</v>
      </c>
      <c r="KX203" s="230">
        <f t="shared" ref="KX203:KX223" si="941">+SUBTOTAL(9,KL203:KW203)</f>
        <v>0</v>
      </c>
      <c r="KY203" s="266"/>
      <c r="KZ203" s="263">
        <f t="shared" ref="KZ203:LK218" si="942">+KZ60/$D$144</f>
        <v>0</v>
      </c>
      <c r="LA203" s="263">
        <f t="shared" si="942"/>
        <v>0</v>
      </c>
      <c r="LB203" s="263">
        <f t="shared" si="942"/>
        <v>0</v>
      </c>
      <c r="LC203" s="263">
        <f t="shared" si="942"/>
        <v>0</v>
      </c>
      <c r="LD203" s="263">
        <f t="shared" si="942"/>
        <v>0</v>
      </c>
      <c r="LE203" s="263">
        <f t="shared" si="942"/>
        <v>0</v>
      </c>
      <c r="LF203" s="263">
        <f t="shared" si="942"/>
        <v>0</v>
      </c>
      <c r="LG203" s="263">
        <f t="shared" si="942"/>
        <v>0</v>
      </c>
      <c r="LH203" s="263">
        <f t="shared" si="942"/>
        <v>0</v>
      </c>
      <c r="LI203" s="263">
        <f t="shared" si="942"/>
        <v>0</v>
      </c>
      <c r="LJ203" s="263">
        <f t="shared" si="942"/>
        <v>0</v>
      </c>
      <c r="LK203" s="263">
        <f t="shared" si="942"/>
        <v>0</v>
      </c>
      <c r="LL203" s="230">
        <f t="shared" ref="LL203:LL223" si="943">+SUBTOTAL(9,KZ203:LK203)</f>
        <v>0</v>
      </c>
      <c r="LM203" s="266"/>
      <c r="LN203" s="263">
        <v>0</v>
      </c>
      <c r="LO203" s="264">
        <v>0</v>
      </c>
      <c r="LP203" s="265">
        <v>0</v>
      </c>
      <c r="LQ203" s="265">
        <v>0</v>
      </c>
      <c r="LR203" s="265">
        <v>0</v>
      </c>
      <c r="LS203" s="265">
        <v>0</v>
      </c>
      <c r="LT203" s="265">
        <v>0</v>
      </c>
      <c r="LU203" s="265">
        <v>0</v>
      </c>
      <c r="LV203" s="265">
        <v>0</v>
      </c>
      <c r="LW203" s="265">
        <v>0</v>
      </c>
      <c r="LX203" s="265">
        <v>0</v>
      </c>
      <c r="LY203" s="265">
        <v>0</v>
      </c>
      <c r="LZ203" s="230">
        <f t="shared" ref="LZ203:LZ223" si="944">+SUBTOTAL(9,LN203:LY203)</f>
        <v>0</v>
      </c>
      <c r="MA203" s="266"/>
      <c r="MB203" s="230">
        <f t="shared" ref="MB203:MM218" si="945">SUMIF($D$6:$LY$6,MB$3,$D203:$LY203)</f>
        <v>0</v>
      </c>
      <c r="MC203" s="230">
        <f t="shared" si="945"/>
        <v>0</v>
      </c>
      <c r="MD203" s="230">
        <f t="shared" si="945"/>
        <v>0</v>
      </c>
      <c r="ME203" s="230">
        <f t="shared" si="945"/>
        <v>0</v>
      </c>
      <c r="MF203" s="230">
        <f t="shared" si="945"/>
        <v>0</v>
      </c>
      <c r="MG203" s="230">
        <f t="shared" si="945"/>
        <v>0</v>
      </c>
      <c r="MH203" s="230">
        <f t="shared" si="945"/>
        <v>0</v>
      </c>
      <c r="MI203" s="230">
        <f t="shared" si="945"/>
        <v>0</v>
      </c>
      <c r="MJ203" s="230">
        <f t="shared" si="945"/>
        <v>0</v>
      </c>
      <c r="MK203" s="230">
        <f t="shared" si="945"/>
        <v>0</v>
      </c>
      <c r="ML203" s="230">
        <f t="shared" si="945"/>
        <v>0</v>
      </c>
      <c r="MM203" s="230">
        <f t="shared" si="945"/>
        <v>0</v>
      </c>
      <c r="MN203" s="230">
        <f t="shared" ref="MN203" si="946">SUM(MB203:MM203)</f>
        <v>0</v>
      </c>
    </row>
    <row r="204" spans="1:352" x14ac:dyDescent="0.25">
      <c r="A204" s="262"/>
      <c r="B204" s="64" t="s">
        <v>76</v>
      </c>
      <c r="C204" s="98"/>
      <c r="D204" s="263">
        <f t="shared" si="899"/>
        <v>647.37628050902595</v>
      </c>
      <c r="E204" s="263">
        <f t="shared" si="899"/>
        <v>647.37628050902595</v>
      </c>
      <c r="F204" s="263">
        <f t="shared" si="899"/>
        <v>647.37628050902595</v>
      </c>
      <c r="G204" s="263">
        <f t="shared" si="899"/>
        <v>647.37628050902595</v>
      </c>
      <c r="H204" s="263">
        <f t="shared" si="899"/>
        <v>647.37628050902595</v>
      </c>
      <c r="I204" s="263">
        <f t="shared" si="899"/>
        <v>647.37628050902595</v>
      </c>
      <c r="J204" s="263">
        <f t="shared" si="899"/>
        <v>647.37628050902595</v>
      </c>
      <c r="K204" s="263">
        <f t="shared" si="899"/>
        <v>647.37628050902595</v>
      </c>
      <c r="L204" s="263">
        <f t="shared" si="899"/>
        <v>647.37628050902595</v>
      </c>
      <c r="M204" s="263">
        <f t="shared" si="899"/>
        <v>647.37628050902595</v>
      </c>
      <c r="N204" s="263">
        <f t="shared" si="899"/>
        <v>647.37628050902595</v>
      </c>
      <c r="O204" s="263">
        <f t="shared" si="899"/>
        <v>606.23732731096891</v>
      </c>
      <c r="P204" s="230">
        <f t="shared" si="900"/>
        <v>7727.3764129102556</v>
      </c>
      <c r="Q204" s="266"/>
      <c r="R204" s="263">
        <f t="shared" si="901"/>
        <v>66.969960052657854</v>
      </c>
      <c r="S204" s="263">
        <f t="shared" si="901"/>
        <v>66.969960052657854</v>
      </c>
      <c r="T204" s="263">
        <f t="shared" si="901"/>
        <v>66.969960052657854</v>
      </c>
      <c r="U204" s="263">
        <f t="shared" si="901"/>
        <v>66.969960052657854</v>
      </c>
      <c r="V204" s="263">
        <f t="shared" si="901"/>
        <v>66.969960052657854</v>
      </c>
      <c r="W204" s="263">
        <f t="shared" si="901"/>
        <v>66.969960052657854</v>
      </c>
      <c r="X204" s="263">
        <f t="shared" si="901"/>
        <v>66.969960052657854</v>
      </c>
      <c r="Y204" s="263">
        <f t="shared" si="901"/>
        <v>66.969960052657854</v>
      </c>
      <c r="Z204" s="263">
        <f t="shared" si="901"/>
        <v>66.969960052657854</v>
      </c>
      <c r="AA204" s="263">
        <f t="shared" si="901"/>
        <v>66.969960052657854</v>
      </c>
      <c r="AB204" s="263">
        <f t="shared" si="901"/>
        <v>66.969960052657854</v>
      </c>
      <c r="AC204" s="263">
        <f t="shared" si="901"/>
        <v>62.714206273548506</v>
      </c>
      <c r="AD204" s="230">
        <f t="shared" si="902"/>
        <v>799.38376685278467</v>
      </c>
      <c r="AE204" s="266"/>
      <c r="AF204" s="263">
        <f t="shared" si="903"/>
        <v>66.969960052657854</v>
      </c>
      <c r="AG204" s="263">
        <f t="shared" si="903"/>
        <v>66.969960052657854</v>
      </c>
      <c r="AH204" s="263">
        <f t="shared" si="903"/>
        <v>66.969960052657854</v>
      </c>
      <c r="AI204" s="263">
        <f t="shared" si="903"/>
        <v>66.969960052657854</v>
      </c>
      <c r="AJ204" s="263">
        <f t="shared" si="903"/>
        <v>66.969960052657854</v>
      </c>
      <c r="AK204" s="263">
        <f t="shared" si="903"/>
        <v>66.969960052657854</v>
      </c>
      <c r="AL204" s="263">
        <f t="shared" si="903"/>
        <v>66.969960052657854</v>
      </c>
      <c r="AM204" s="263">
        <f t="shared" si="903"/>
        <v>66.969960052657854</v>
      </c>
      <c r="AN204" s="263">
        <f t="shared" si="903"/>
        <v>66.969960052657854</v>
      </c>
      <c r="AO204" s="263">
        <f t="shared" si="903"/>
        <v>66.969960052657854</v>
      </c>
      <c r="AP204" s="263">
        <f t="shared" si="903"/>
        <v>66.969960052657854</v>
      </c>
      <c r="AQ204" s="263">
        <f t="shared" si="903"/>
        <v>62.714206273548506</v>
      </c>
      <c r="AR204" s="230">
        <f t="shared" si="904"/>
        <v>799.38376685278467</v>
      </c>
      <c r="AS204" s="266"/>
      <c r="AT204" s="263">
        <f t="shared" si="905"/>
        <v>44.646640035105243</v>
      </c>
      <c r="AU204" s="263">
        <f t="shared" si="905"/>
        <v>44.646640035105243</v>
      </c>
      <c r="AV204" s="263">
        <f t="shared" si="905"/>
        <v>44.646640035105243</v>
      </c>
      <c r="AW204" s="263">
        <f t="shared" si="905"/>
        <v>44.646640035105243</v>
      </c>
      <c r="AX204" s="263">
        <f t="shared" si="905"/>
        <v>44.646640035105243</v>
      </c>
      <c r="AY204" s="263">
        <f t="shared" si="905"/>
        <v>44.646640035105243</v>
      </c>
      <c r="AZ204" s="263">
        <f t="shared" si="905"/>
        <v>44.646640035105243</v>
      </c>
      <c r="BA204" s="263">
        <f t="shared" si="905"/>
        <v>44.646640035105243</v>
      </c>
      <c r="BB204" s="263">
        <f t="shared" si="905"/>
        <v>44.646640035105243</v>
      </c>
      <c r="BC204" s="263">
        <f t="shared" si="905"/>
        <v>44.646640035105243</v>
      </c>
      <c r="BD204" s="263">
        <f t="shared" si="905"/>
        <v>44.646640035105243</v>
      </c>
      <c r="BE204" s="263">
        <f t="shared" si="905"/>
        <v>41.809470849032337</v>
      </c>
      <c r="BF204" s="230">
        <f t="shared" si="906"/>
        <v>532.92251123518997</v>
      </c>
      <c r="BG204" s="224"/>
      <c r="BH204" s="263">
        <f t="shared" si="907"/>
        <v>334.8498002632893</v>
      </c>
      <c r="BI204" s="263">
        <f t="shared" si="907"/>
        <v>334.8498002632893</v>
      </c>
      <c r="BJ204" s="263">
        <f t="shared" si="907"/>
        <v>334.8498002632893</v>
      </c>
      <c r="BK204" s="263">
        <f t="shared" si="907"/>
        <v>334.8498002632893</v>
      </c>
      <c r="BL204" s="263">
        <f t="shared" si="907"/>
        <v>334.8498002632893</v>
      </c>
      <c r="BM204" s="263">
        <f t="shared" si="907"/>
        <v>334.8498002632893</v>
      </c>
      <c r="BN204" s="263">
        <f t="shared" si="907"/>
        <v>334.8498002632893</v>
      </c>
      <c r="BO204" s="263">
        <f t="shared" si="907"/>
        <v>334.8498002632893</v>
      </c>
      <c r="BP204" s="263">
        <f t="shared" si="907"/>
        <v>334.8498002632893</v>
      </c>
      <c r="BQ204" s="263">
        <f t="shared" si="907"/>
        <v>334.8498002632893</v>
      </c>
      <c r="BR204" s="263">
        <f t="shared" si="907"/>
        <v>334.8498002632893</v>
      </c>
      <c r="BS204" s="263">
        <f t="shared" si="907"/>
        <v>313.57103136774253</v>
      </c>
      <c r="BT204" s="230">
        <f t="shared" si="908"/>
        <v>3996.9188342639245</v>
      </c>
      <c r="BU204" s="266"/>
      <c r="BV204" s="263">
        <f t="shared" si="909"/>
        <v>22.323320017552621</v>
      </c>
      <c r="BW204" s="263">
        <f t="shared" si="909"/>
        <v>22.323320017552621</v>
      </c>
      <c r="BX204" s="263">
        <f t="shared" si="909"/>
        <v>22.323320017552621</v>
      </c>
      <c r="BY204" s="263">
        <f t="shared" si="909"/>
        <v>22.323320017552621</v>
      </c>
      <c r="BZ204" s="263">
        <f t="shared" si="909"/>
        <v>22.323320017552621</v>
      </c>
      <c r="CA204" s="263">
        <f t="shared" si="909"/>
        <v>22.323320017552621</v>
      </c>
      <c r="CB204" s="263">
        <f t="shared" si="909"/>
        <v>22.323320017552621</v>
      </c>
      <c r="CC204" s="263">
        <f t="shared" si="909"/>
        <v>22.323320017552621</v>
      </c>
      <c r="CD204" s="263">
        <f t="shared" si="909"/>
        <v>22.323320017552621</v>
      </c>
      <c r="CE204" s="263">
        <f t="shared" si="909"/>
        <v>22.323320017552621</v>
      </c>
      <c r="CF204" s="263">
        <f t="shared" si="909"/>
        <v>22.323320017552621</v>
      </c>
      <c r="CG204" s="263">
        <f t="shared" si="909"/>
        <v>20.904735424516169</v>
      </c>
      <c r="CH204" s="230">
        <f t="shared" si="910"/>
        <v>266.46125561759499</v>
      </c>
      <c r="CI204" s="266"/>
      <c r="CJ204" s="263">
        <f t="shared" si="911"/>
        <v>245.5565201930788</v>
      </c>
      <c r="CK204" s="263">
        <f t="shared" si="911"/>
        <v>245.5565201930788</v>
      </c>
      <c r="CL204" s="263">
        <f t="shared" si="911"/>
        <v>245.5565201930788</v>
      </c>
      <c r="CM204" s="263">
        <f t="shared" si="911"/>
        <v>245.5565201930788</v>
      </c>
      <c r="CN204" s="263">
        <f t="shared" si="911"/>
        <v>245.5565201930788</v>
      </c>
      <c r="CO204" s="263">
        <f t="shared" si="911"/>
        <v>245.5565201930788</v>
      </c>
      <c r="CP204" s="263">
        <f t="shared" si="911"/>
        <v>245.5565201930788</v>
      </c>
      <c r="CQ204" s="263">
        <f t="shared" si="911"/>
        <v>245.5565201930788</v>
      </c>
      <c r="CR204" s="263">
        <f t="shared" si="911"/>
        <v>245.5565201930788</v>
      </c>
      <c r="CS204" s="263">
        <f t="shared" si="911"/>
        <v>245.5565201930788</v>
      </c>
      <c r="CT204" s="263">
        <f t="shared" si="911"/>
        <v>245.5565201930788</v>
      </c>
      <c r="CU204" s="263">
        <f t="shared" si="911"/>
        <v>229.95208966967783</v>
      </c>
      <c r="CV204" s="230">
        <f t="shared" si="912"/>
        <v>2931.0738117935448</v>
      </c>
      <c r="CW204" s="266"/>
      <c r="CX204" s="263">
        <f t="shared" si="913"/>
        <v>625.05296049147341</v>
      </c>
      <c r="CY204" s="263">
        <f t="shared" si="913"/>
        <v>625.05296049147341</v>
      </c>
      <c r="CZ204" s="263">
        <f t="shared" si="913"/>
        <v>625.05296049147341</v>
      </c>
      <c r="DA204" s="263">
        <f t="shared" si="913"/>
        <v>625.05296049147341</v>
      </c>
      <c r="DB204" s="263">
        <f t="shared" si="913"/>
        <v>625.05296049147341</v>
      </c>
      <c r="DC204" s="263">
        <f t="shared" si="913"/>
        <v>625.05296049147341</v>
      </c>
      <c r="DD204" s="263">
        <f t="shared" si="913"/>
        <v>625.05296049147341</v>
      </c>
      <c r="DE204" s="263">
        <f t="shared" si="913"/>
        <v>625.05296049147341</v>
      </c>
      <c r="DF204" s="263">
        <f t="shared" si="913"/>
        <v>625.05296049147341</v>
      </c>
      <c r="DG204" s="263">
        <f t="shared" si="913"/>
        <v>625.05296049147341</v>
      </c>
      <c r="DH204" s="263">
        <f t="shared" si="913"/>
        <v>625.05296049147341</v>
      </c>
      <c r="DI204" s="263">
        <f t="shared" si="913"/>
        <v>585.33259188645263</v>
      </c>
      <c r="DJ204" s="230">
        <f t="shared" si="914"/>
        <v>7460.9151572926621</v>
      </c>
      <c r="DK204" s="266"/>
      <c r="DL204" s="263">
        <f t="shared" si="915"/>
        <v>625.05296049147341</v>
      </c>
      <c r="DM204" s="263">
        <f t="shared" si="915"/>
        <v>625.05296049147341</v>
      </c>
      <c r="DN204" s="263">
        <f t="shared" si="915"/>
        <v>625.05296049147341</v>
      </c>
      <c r="DO204" s="263">
        <f t="shared" si="915"/>
        <v>625.05296049147341</v>
      </c>
      <c r="DP204" s="263">
        <f t="shared" si="915"/>
        <v>625.05296049147341</v>
      </c>
      <c r="DQ204" s="263">
        <f t="shared" si="915"/>
        <v>625.05296049147341</v>
      </c>
      <c r="DR204" s="263">
        <f t="shared" si="915"/>
        <v>625.05296049147341</v>
      </c>
      <c r="DS204" s="263">
        <f t="shared" si="915"/>
        <v>625.05296049147341</v>
      </c>
      <c r="DT204" s="263">
        <f t="shared" si="915"/>
        <v>625.05296049147341</v>
      </c>
      <c r="DU204" s="263">
        <f t="shared" si="915"/>
        <v>625.05296049147341</v>
      </c>
      <c r="DV204" s="263">
        <f t="shared" si="915"/>
        <v>625.05296049147341</v>
      </c>
      <c r="DW204" s="263">
        <f t="shared" si="915"/>
        <v>585.33259188645263</v>
      </c>
      <c r="DX204" s="230">
        <f t="shared" si="916"/>
        <v>7460.9151572926621</v>
      </c>
      <c r="DY204" s="266"/>
      <c r="DZ204" s="263">
        <f t="shared" si="917"/>
        <v>22.323320017552621</v>
      </c>
      <c r="EA204" s="263">
        <f t="shared" si="917"/>
        <v>22.323320017552621</v>
      </c>
      <c r="EB204" s="263">
        <f t="shared" si="917"/>
        <v>22.323320017552621</v>
      </c>
      <c r="EC204" s="263">
        <f t="shared" si="917"/>
        <v>22.323320017552621</v>
      </c>
      <c r="ED204" s="263">
        <f t="shared" si="917"/>
        <v>22.323320017552621</v>
      </c>
      <c r="EE204" s="263">
        <f t="shared" si="917"/>
        <v>22.323320017552621</v>
      </c>
      <c r="EF204" s="263">
        <f t="shared" si="917"/>
        <v>22.323320017552621</v>
      </c>
      <c r="EG204" s="263">
        <f t="shared" si="917"/>
        <v>22.323320017552621</v>
      </c>
      <c r="EH204" s="263">
        <f t="shared" si="917"/>
        <v>22.323320017552621</v>
      </c>
      <c r="EI204" s="263">
        <f t="shared" si="917"/>
        <v>22.323320017552621</v>
      </c>
      <c r="EJ204" s="263">
        <f t="shared" si="917"/>
        <v>22.323320017552621</v>
      </c>
      <c r="EK204" s="263">
        <f t="shared" si="917"/>
        <v>20.904735424516169</v>
      </c>
      <c r="EL204" s="230">
        <f t="shared" si="918"/>
        <v>266.46125561759499</v>
      </c>
      <c r="EM204" s="266"/>
      <c r="EN204" s="263">
        <f t="shared" si="919"/>
        <v>44.646640035105243</v>
      </c>
      <c r="EO204" s="263">
        <f t="shared" si="919"/>
        <v>44.646640035105243</v>
      </c>
      <c r="EP204" s="263">
        <f t="shared" si="919"/>
        <v>44.646640035105243</v>
      </c>
      <c r="EQ204" s="263">
        <f t="shared" si="919"/>
        <v>44.646640035105243</v>
      </c>
      <c r="ER204" s="263">
        <f t="shared" si="919"/>
        <v>44.646640035105243</v>
      </c>
      <c r="ES204" s="263">
        <f t="shared" si="919"/>
        <v>44.646640035105243</v>
      </c>
      <c r="ET204" s="263">
        <f t="shared" si="919"/>
        <v>44.646640035105243</v>
      </c>
      <c r="EU204" s="263">
        <f t="shared" si="919"/>
        <v>44.646640035105243</v>
      </c>
      <c r="EV204" s="263">
        <f t="shared" si="919"/>
        <v>44.646640035105243</v>
      </c>
      <c r="EW204" s="263">
        <f t="shared" si="919"/>
        <v>44.646640035105243</v>
      </c>
      <c r="EX204" s="263">
        <f t="shared" si="919"/>
        <v>44.646640035105243</v>
      </c>
      <c r="EY204" s="263">
        <f t="shared" si="919"/>
        <v>41.809470849032337</v>
      </c>
      <c r="EZ204" s="230">
        <f t="shared" si="920"/>
        <v>532.92251123518997</v>
      </c>
      <c r="FA204" s="266"/>
      <c r="FB204" s="263">
        <f t="shared" si="921"/>
        <v>22.323320017552621</v>
      </c>
      <c r="FC204" s="263">
        <f t="shared" si="921"/>
        <v>22.323320017552621</v>
      </c>
      <c r="FD204" s="263">
        <f t="shared" si="921"/>
        <v>22.323320017552621</v>
      </c>
      <c r="FE204" s="263">
        <f t="shared" si="921"/>
        <v>22.323320017552621</v>
      </c>
      <c r="FF204" s="263">
        <f t="shared" si="921"/>
        <v>22.323320017552621</v>
      </c>
      <c r="FG204" s="263">
        <f t="shared" si="921"/>
        <v>22.323320017552621</v>
      </c>
      <c r="FH204" s="263">
        <f t="shared" si="921"/>
        <v>22.323320017552621</v>
      </c>
      <c r="FI204" s="263">
        <f t="shared" si="921"/>
        <v>22.323320017552621</v>
      </c>
      <c r="FJ204" s="263">
        <f t="shared" si="921"/>
        <v>22.323320017552621</v>
      </c>
      <c r="FK204" s="263">
        <f t="shared" si="921"/>
        <v>22.323320017552621</v>
      </c>
      <c r="FL204" s="263">
        <f t="shared" si="921"/>
        <v>22.323320017552621</v>
      </c>
      <c r="FM204" s="263">
        <f t="shared" si="921"/>
        <v>20.904735424516169</v>
      </c>
      <c r="FN204" s="230">
        <f t="shared" si="922"/>
        <v>266.46125561759499</v>
      </c>
      <c r="FO204" s="266"/>
      <c r="FP204" s="263">
        <f t="shared" si="923"/>
        <v>156.26324012286835</v>
      </c>
      <c r="FQ204" s="263">
        <f t="shared" si="923"/>
        <v>156.26324012286835</v>
      </c>
      <c r="FR204" s="263">
        <f t="shared" si="923"/>
        <v>156.26324012286835</v>
      </c>
      <c r="FS204" s="263">
        <f t="shared" si="923"/>
        <v>156.26324012286835</v>
      </c>
      <c r="FT204" s="263">
        <f t="shared" si="923"/>
        <v>156.26324012286835</v>
      </c>
      <c r="FU204" s="263">
        <f t="shared" si="923"/>
        <v>156.26324012286835</v>
      </c>
      <c r="FV204" s="263">
        <f t="shared" si="923"/>
        <v>156.26324012286835</v>
      </c>
      <c r="FW204" s="263">
        <f t="shared" si="923"/>
        <v>156.26324012286835</v>
      </c>
      <c r="FX204" s="263">
        <f t="shared" si="923"/>
        <v>156.26324012286835</v>
      </c>
      <c r="FY204" s="263">
        <f t="shared" si="923"/>
        <v>156.26324012286835</v>
      </c>
      <c r="FZ204" s="263">
        <f t="shared" si="923"/>
        <v>156.26324012286835</v>
      </c>
      <c r="GA204" s="263">
        <f t="shared" si="923"/>
        <v>146.33314797161316</v>
      </c>
      <c r="GB204" s="230">
        <f t="shared" si="924"/>
        <v>1865.2287893231655</v>
      </c>
      <c r="GC204" s="266"/>
      <c r="GD204" s="263">
        <f t="shared" si="925"/>
        <v>22.323320017552621</v>
      </c>
      <c r="GE204" s="263">
        <f t="shared" si="925"/>
        <v>22.323320017552621</v>
      </c>
      <c r="GF204" s="263">
        <f t="shared" si="925"/>
        <v>22.323320017552621</v>
      </c>
      <c r="GG204" s="263">
        <f t="shared" si="925"/>
        <v>22.323320017552621</v>
      </c>
      <c r="GH204" s="263">
        <f t="shared" si="925"/>
        <v>22.323320017552621</v>
      </c>
      <c r="GI204" s="263">
        <f t="shared" si="925"/>
        <v>22.323320017552621</v>
      </c>
      <c r="GJ204" s="263">
        <f t="shared" si="925"/>
        <v>22.323320017552621</v>
      </c>
      <c r="GK204" s="263">
        <f t="shared" si="925"/>
        <v>22.323320017552621</v>
      </c>
      <c r="GL204" s="263">
        <f t="shared" si="925"/>
        <v>22.323320017552621</v>
      </c>
      <c r="GM204" s="263">
        <f t="shared" si="925"/>
        <v>22.323320017552621</v>
      </c>
      <c r="GN204" s="263">
        <f t="shared" si="925"/>
        <v>22.323320017552621</v>
      </c>
      <c r="GO204" s="263">
        <f t="shared" si="925"/>
        <v>20.904735424516169</v>
      </c>
      <c r="GP204" s="230">
        <f t="shared" si="926"/>
        <v>266.46125561759499</v>
      </c>
      <c r="GQ204" s="266"/>
      <c r="GR204" s="263">
        <f t="shared" si="927"/>
        <v>-445.88266865561911</v>
      </c>
      <c r="GS204" s="263">
        <f t="shared" si="927"/>
        <v>-445.88266865561911</v>
      </c>
      <c r="GT204" s="263">
        <f t="shared" si="927"/>
        <v>3367.2727174263641</v>
      </c>
      <c r="GU204" s="263">
        <f t="shared" si="927"/>
        <v>3367.2727174263641</v>
      </c>
      <c r="GV204" s="263">
        <f t="shared" si="927"/>
        <v>3367.2727174263641</v>
      </c>
      <c r="GW204" s="263">
        <f t="shared" si="927"/>
        <v>3367.2727174263641</v>
      </c>
      <c r="GX204" s="263">
        <f t="shared" si="927"/>
        <v>3367.2727174263641</v>
      </c>
      <c r="GY204" s="263">
        <f t="shared" si="927"/>
        <v>3367.2727174263641</v>
      </c>
      <c r="GZ204" s="263">
        <f t="shared" si="927"/>
        <v>3367.2727174263641</v>
      </c>
      <c r="HA204" s="263">
        <f t="shared" si="927"/>
        <v>3367.2727174263641</v>
      </c>
      <c r="HB204" s="263">
        <f t="shared" si="927"/>
        <v>3367.2727174263641</v>
      </c>
      <c r="HC204" s="263">
        <f t="shared" si="927"/>
        <v>3367.2727174263641</v>
      </c>
      <c r="HD204" s="230">
        <f t="shared" ref="HD204:HD223" si="947">+SUBTOTAL(9,GR204:HC204)*0</f>
        <v>0</v>
      </c>
      <c r="HE204" s="266"/>
      <c r="HF204" s="263">
        <f t="shared" si="928"/>
        <v>89.293280070210486</v>
      </c>
      <c r="HG204" s="263">
        <f t="shared" si="928"/>
        <v>89.293280070210486</v>
      </c>
      <c r="HH204" s="263">
        <f t="shared" si="928"/>
        <v>89.293280070210486</v>
      </c>
      <c r="HI204" s="263">
        <f t="shared" si="928"/>
        <v>89.293280070210486</v>
      </c>
      <c r="HJ204" s="263">
        <f t="shared" si="928"/>
        <v>89.293280070210486</v>
      </c>
      <c r="HK204" s="263">
        <f t="shared" si="928"/>
        <v>89.293280070210486</v>
      </c>
      <c r="HL204" s="263">
        <f t="shared" si="928"/>
        <v>89.293280070210486</v>
      </c>
      <c r="HM204" s="263">
        <f t="shared" si="928"/>
        <v>89.293280070210486</v>
      </c>
      <c r="HN204" s="263">
        <f t="shared" si="928"/>
        <v>89.293280070210486</v>
      </c>
      <c r="HO204" s="263">
        <f t="shared" si="928"/>
        <v>89.293280070210486</v>
      </c>
      <c r="HP204" s="263">
        <f t="shared" si="928"/>
        <v>89.293280070210486</v>
      </c>
      <c r="HQ204" s="263">
        <f t="shared" si="928"/>
        <v>83.618941698064674</v>
      </c>
      <c r="HR204" s="230">
        <f t="shared" si="929"/>
        <v>1065.8450224703799</v>
      </c>
      <c r="HS204" s="266"/>
      <c r="HT204" s="263">
        <f t="shared" si="930"/>
        <v>22.323320017552621</v>
      </c>
      <c r="HU204" s="263">
        <f t="shared" si="930"/>
        <v>22.323320017552621</v>
      </c>
      <c r="HV204" s="263">
        <f t="shared" si="930"/>
        <v>22.323320017552621</v>
      </c>
      <c r="HW204" s="263">
        <f t="shared" si="930"/>
        <v>22.323320017552621</v>
      </c>
      <c r="HX204" s="263">
        <f t="shared" si="930"/>
        <v>22.323320017552621</v>
      </c>
      <c r="HY204" s="263">
        <f t="shared" si="930"/>
        <v>22.323320017552621</v>
      </c>
      <c r="HZ204" s="263">
        <f t="shared" si="930"/>
        <v>22.323320017552621</v>
      </c>
      <c r="IA204" s="263">
        <f t="shared" si="930"/>
        <v>22.323320017552621</v>
      </c>
      <c r="IB204" s="263">
        <f t="shared" si="930"/>
        <v>22.323320017552621</v>
      </c>
      <c r="IC204" s="263">
        <f t="shared" si="930"/>
        <v>22.323320017552621</v>
      </c>
      <c r="ID204" s="263">
        <f t="shared" si="930"/>
        <v>22.323320017552621</v>
      </c>
      <c r="IE204" s="263">
        <f t="shared" si="930"/>
        <v>20.904735424516169</v>
      </c>
      <c r="IF204" s="230">
        <f t="shared" si="931"/>
        <v>266.46125561759499</v>
      </c>
      <c r="IG204" s="266"/>
      <c r="IH204" s="263">
        <f t="shared" si="932"/>
        <v>22.323320017552621</v>
      </c>
      <c r="II204" s="263">
        <f t="shared" si="932"/>
        <v>22.323320017552621</v>
      </c>
      <c r="IJ204" s="263">
        <f t="shared" si="932"/>
        <v>22.323320017552621</v>
      </c>
      <c r="IK204" s="263">
        <f t="shared" si="932"/>
        <v>22.323320017552621</v>
      </c>
      <c r="IL204" s="263">
        <f t="shared" si="932"/>
        <v>22.323320017552621</v>
      </c>
      <c r="IM204" s="263">
        <f t="shared" si="932"/>
        <v>22.323320017552621</v>
      </c>
      <c r="IN204" s="263">
        <f t="shared" si="932"/>
        <v>22.323320017552621</v>
      </c>
      <c r="IO204" s="263">
        <f t="shared" si="932"/>
        <v>22.323320017552621</v>
      </c>
      <c r="IP204" s="263">
        <f t="shared" si="932"/>
        <v>22.323320017552621</v>
      </c>
      <c r="IQ204" s="263">
        <f t="shared" si="932"/>
        <v>22.323320017552621</v>
      </c>
      <c r="IR204" s="263">
        <f t="shared" si="932"/>
        <v>22.323320017552621</v>
      </c>
      <c r="IS204" s="263">
        <f t="shared" si="932"/>
        <v>20.904735424516169</v>
      </c>
      <c r="IT204" s="230">
        <f t="shared" si="933"/>
        <v>266.46125561759499</v>
      </c>
      <c r="IU204" s="266"/>
      <c r="IV204" s="263">
        <f t="shared" si="934"/>
        <v>156.26324012286835</v>
      </c>
      <c r="IW204" s="263">
        <f t="shared" si="934"/>
        <v>156.26324012286835</v>
      </c>
      <c r="IX204" s="263">
        <f t="shared" si="934"/>
        <v>156.26324012286835</v>
      </c>
      <c r="IY204" s="263">
        <f t="shared" si="934"/>
        <v>156.26324012286835</v>
      </c>
      <c r="IZ204" s="263">
        <f t="shared" si="934"/>
        <v>156.26324012286835</v>
      </c>
      <c r="JA204" s="263">
        <f t="shared" si="934"/>
        <v>156.26324012286835</v>
      </c>
      <c r="JB204" s="263">
        <f t="shared" si="934"/>
        <v>156.26324012286835</v>
      </c>
      <c r="JC204" s="263">
        <f t="shared" si="934"/>
        <v>156.26324012286835</v>
      </c>
      <c r="JD204" s="263">
        <f t="shared" si="934"/>
        <v>156.26324012286835</v>
      </c>
      <c r="JE204" s="263">
        <f t="shared" si="934"/>
        <v>156.26324012286835</v>
      </c>
      <c r="JF204" s="263">
        <f t="shared" si="934"/>
        <v>156.26324012286835</v>
      </c>
      <c r="JG204" s="263">
        <f t="shared" si="934"/>
        <v>146.33314797161316</v>
      </c>
      <c r="JH204" s="230">
        <f t="shared" si="935"/>
        <v>1865.2287893231655</v>
      </c>
      <c r="JI204" s="266"/>
      <c r="JJ204" s="263">
        <f t="shared" si="936"/>
        <v>245.5565201930788</v>
      </c>
      <c r="JK204" s="263">
        <f t="shared" si="936"/>
        <v>245.5565201930788</v>
      </c>
      <c r="JL204" s="263">
        <f t="shared" si="936"/>
        <v>245.5565201930788</v>
      </c>
      <c r="JM204" s="263">
        <f t="shared" si="936"/>
        <v>245.5565201930788</v>
      </c>
      <c r="JN204" s="263">
        <f t="shared" si="936"/>
        <v>245.5565201930788</v>
      </c>
      <c r="JO204" s="263">
        <f t="shared" si="936"/>
        <v>245.5565201930788</v>
      </c>
      <c r="JP204" s="263">
        <f t="shared" si="936"/>
        <v>245.5565201930788</v>
      </c>
      <c r="JQ204" s="263">
        <f t="shared" si="936"/>
        <v>245.5565201930788</v>
      </c>
      <c r="JR204" s="263">
        <f t="shared" si="936"/>
        <v>245.5565201930788</v>
      </c>
      <c r="JS204" s="263">
        <f t="shared" si="936"/>
        <v>245.5565201930788</v>
      </c>
      <c r="JT204" s="263">
        <f t="shared" si="936"/>
        <v>245.5565201930788</v>
      </c>
      <c r="JU204" s="263">
        <f t="shared" si="936"/>
        <v>229.95208966967783</v>
      </c>
      <c r="JV204" s="230">
        <f t="shared" si="937"/>
        <v>2931.0738117935448</v>
      </c>
      <c r="JW204" s="266"/>
      <c r="JX204" s="263">
        <f t="shared" si="938"/>
        <v>111.6166000877631</v>
      </c>
      <c r="JY204" s="263">
        <f t="shared" si="938"/>
        <v>111.6166000877631</v>
      </c>
      <c r="JZ204" s="263">
        <f t="shared" si="938"/>
        <v>111.6166000877631</v>
      </c>
      <c r="KA204" s="263">
        <f t="shared" si="938"/>
        <v>111.6166000877631</v>
      </c>
      <c r="KB204" s="263">
        <f t="shared" si="938"/>
        <v>111.6166000877631</v>
      </c>
      <c r="KC204" s="263">
        <f t="shared" si="938"/>
        <v>111.6166000877631</v>
      </c>
      <c r="KD204" s="263">
        <f t="shared" si="938"/>
        <v>111.6166000877631</v>
      </c>
      <c r="KE204" s="263">
        <f t="shared" si="938"/>
        <v>111.6166000877631</v>
      </c>
      <c r="KF204" s="263">
        <f t="shared" si="938"/>
        <v>111.6166000877631</v>
      </c>
      <c r="KG204" s="263">
        <f t="shared" si="938"/>
        <v>111.6166000877631</v>
      </c>
      <c r="KH204" s="263">
        <f t="shared" si="938"/>
        <v>111.6166000877631</v>
      </c>
      <c r="KI204" s="263">
        <f t="shared" si="938"/>
        <v>104.52367712258084</v>
      </c>
      <c r="KJ204" s="230">
        <f t="shared" si="939"/>
        <v>1332.306278087975</v>
      </c>
      <c r="KK204" s="266"/>
      <c r="KL204" s="263">
        <f t="shared" si="940"/>
        <v>44.646640035105243</v>
      </c>
      <c r="KM204" s="263">
        <f t="shared" si="940"/>
        <v>44.646640035105243</v>
      </c>
      <c r="KN204" s="263">
        <f t="shared" si="940"/>
        <v>44.646640035105243</v>
      </c>
      <c r="KO204" s="263">
        <f t="shared" si="940"/>
        <v>44.646640035105243</v>
      </c>
      <c r="KP204" s="263">
        <f t="shared" si="940"/>
        <v>44.646640035105243</v>
      </c>
      <c r="KQ204" s="263">
        <f t="shared" si="940"/>
        <v>44.646640035105243</v>
      </c>
      <c r="KR204" s="263">
        <f t="shared" si="940"/>
        <v>44.646640035105243</v>
      </c>
      <c r="KS204" s="263">
        <f t="shared" si="940"/>
        <v>44.646640035105243</v>
      </c>
      <c r="KT204" s="263">
        <f t="shared" si="940"/>
        <v>44.646640035105243</v>
      </c>
      <c r="KU204" s="263">
        <f t="shared" si="940"/>
        <v>44.646640035105243</v>
      </c>
      <c r="KV204" s="263">
        <f t="shared" si="940"/>
        <v>44.646640035105243</v>
      </c>
      <c r="KW204" s="263">
        <f t="shared" si="940"/>
        <v>41.809470849032337</v>
      </c>
      <c r="KX204" s="230">
        <f t="shared" si="941"/>
        <v>532.92251123518997</v>
      </c>
      <c r="KY204" s="266"/>
      <c r="KZ204" s="263">
        <f t="shared" si="942"/>
        <v>22.323320017552621</v>
      </c>
      <c r="LA204" s="263">
        <f t="shared" si="942"/>
        <v>22.323320017552621</v>
      </c>
      <c r="LB204" s="263">
        <f t="shared" si="942"/>
        <v>22.323320017552621</v>
      </c>
      <c r="LC204" s="263">
        <f t="shared" si="942"/>
        <v>22.323320017552621</v>
      </c>
      <c r="LD204" s="263">
        <f t="shared" si="942"/>
        <v>22.323320017552621</v>
      </c>
      <c r="LE204" s="263">
        <f t="shared" si="942"/>
        <v>22.323320017552621</v>
      </c>
      <c r="LF204" s="263">
        <f t="shared" si="942"/>
        <v>22.323320017552621</v>
      </c>
      <c r="LG204" s="263">
        <f t="shared" si="942"/>
        <v>22.323320017552621</v>
      </c>
      <c r="LH204" s="263">
        <f t="shared" si="942"/>
        <v>22.323320017552621</v>
      </c>
      <c r="LI204" s="263">
        <f t="shared" si="942"/>
        <v>22.323320017552621</v>
      </c>
      <c r="LJ204" s="263">
        <f t="shared" si="942"/>
        <v>22.323320017552621</v>
      </c>
      <c r="LK204" s="263">
        <f t="shared" si="942"/>
        <v>20.904735424516169</v>
      </c>
      <c r="LL204" s="230">
        <f t="shared" si="943"/>
        <v>266.46125561759499</v>
      </c>
      <c r="LM204" s="266"/>
      <c r="LN204" s="263">
        <v>0</v>
      </c>
      <c r="LO204" s="264">
        <v>0</v>
      </c>
      <c r="LP204" s="265">
        <v>0</v>
      </c>
      <c r="LQ204" s="265">
        <v>0</v>
      </c>
      <c r="LR204" s="265">
        <v>0</v>
      </c>
      <c r="LS204" s="265">
        <v>0</v>
      </c>
      <c r="LT204" s="265">
        <v>0</v>
      </c>
      <c r="LU204" s="265">
        <v>0</v>
      </c>
      <c r="LV204" s="265">
        <v>0</v>
      </c>
      <c r="LW204" s="265">
        <v>0</v>
      </c>
      <c r="LX204" s="265">
        <v>0</v>
      </c>
      <c r="LY204" s="265">
        <v>0</v>
      </c>
      <c r="LZ204" s="230">
        <f t="shared" si="944"/>
        <v>0</v>
      </c>
      <c r="MA204" s="266"/>
      <c r="MB204" s="230">
        <f t="shared" si="945"/>
        <v>3215.1418142230118</v>
      </c>
      <c r="MC204" s="230">
        <f t="shared" si="945"/>
        <v>3215.1418142230118</v>
      </c>
      <c r="MD204" s="230">
        <f t="shared" si="945"/>
        <v>7028.2972003049945</v>
      </c>
      <c r="ME204" s="230">
        <f t="shared" si="945"/>
        <v>7028.2972003049945</v>
      </c>
      <c r="MF204" s="230">
        <f t="shared" si="945"/>
        <v>7028.2972003049945</v>
      </c>
      <c r="MG204" s="230">
        <f t="shared" si="945"/>
        <v>7028.2972003049945</v>
      </c>
      <c r="MH204" s="230">
        <f t="shared" si="945"/>
        <v>7028.2972003049945</v>
      </c>
      <c r="MI204" s="230">
        <f t="shared" si="945"/>
        <v>7028.2972003049945</v>
      </c>
      <c r="MJ204" s="230">
        <f t="shared" si="945"/>
        <v>7028.2972003049945</v>
      </c>
      <c r="MK204" s="230">
        <f t="shared" si="945"/>
        <v>7028.2972003049945</v>
      </c>
      <c r="ML204" s="230">
        <f t="shared" si="945"/>
        <v>7028.2972003049945</v>
      </c>
      <c r="MM204" s="230">
        <f t="shared" si="945"/>
        <v>6795.6493270470164</v>
      </c>
      <c r="MN204" s="230">
        <f t="shared" ref="MN204:MN223" si="948">SUM(MB204:MM204)</f>
        <v>76480.60775823798</v>
      </c>
    </row>
    <row r="205" spans="1:352" x14ac:dyDescent="0.25">
      <c r="A205" s="262"/>
      <c r="B205" s="64" t="s">
        <v>77</v>
      </c>
      <c r="C205" s="98"/>
      <c r="D205" s="263">
        <f t="shared" si="899"/>
        <v>235.36189353932446</v>
      </c>
      <c r="E205" s="263">
        <f t="shared" si="899"/>
        <v>230.21815309112736</v>
      </c>
      <c r="F205" s="263">
        <f t="shared" si="899"/>
        <v>278.10846560846562</v>
      </c>
      <c r="G205" s="263">
        <f t="shared" si="899"/>
        <v>278.10846560846562</v>
      </c>
      <c r="H205" s="263">
        <f t="shared" si="899"/>
        <v>278.10846560846562</v>
      </c>
      <c r="I205" s="263">
        <f t="shared" si="899"/>
        <v>278.10846560846562</v>
      </c>
      <c r="J205" s="263">
        <f t="shared" si="899"/>
        <v>278.10846560846562</v>
      </c>
      <c r="K205" s="263">
        <f t="shared" si="899"/>
        <v>278.10846560846562</v>
      </c>
      <c r="L205" s="263">
        <f t="shared" si="899"/>
        <v>278.10846560846562</v>
      </c>
      <c r="M205" s="263">
        <f t="shared" si="899"/>
        <v>278.10846560846562</v>
      </c>
      <c r="N205" s="263">
        <f t="shared" si="899"/>
        <v>278.10846560846562</v>
      </c>
      <c r="O205" s="263">
        <f t="shared" si="899"/>
        <v>278.10846560846562</v>
      </c>
      <c r="P205" s="230">
        <f t="shared" si="900"/>
        <v>3246.6647027151084</v>
      </c>
      <c r="Q205" s="266"/>
      <c r="R205" s="263">
        <f t="shared" si="901"/>
        <v>24.347782090274944</v>
      </c>
      <c r="S205" s="263">
        <f t="shared" si="901"/>
        <v>23.815671009426968</v>
      </c>
      <c r="T205" s="263">
        <f t="shared" si="901"/>
        <v>28.769841269841272</v>
      </c>
      <c r="U205" s="263">
        <f t="shared" si="901"/>
        <v>28.769841269841272</v>
      </c>
      <c r="V205" s="263">
        <f t="shared" si="901"/>
        <v>28.769841269841272</v>
      </c>
      <c r="W205" s="263">
        <f t="shared" si="901"/>
        <v>28.769841269841272</v>
      </c>
      <c r="X205" s="263">
        <f t="shared" si="901"/>
        <v>28.769841269841272</v>
      </c>
      <c r="Y205" s="263">
        <f t="shared" si="901"/>
        <v>28.769841269841272</v>
      </c>
      <c r="Z205" s="263">
        <f t="shared" si="901"/>
        <v>28.769841269841272</v>
      </c>
      <c r="AA205" s="263">
        <f t="shared" si="901"/>
        <v>28.769841269841272</v>
      </c>
      <c r="AB205" s="263">
        <f t="shared" si="901"/>
        <v>28.769841269841272</v>
      </c>
      <c r="AC205" s="263">
        <f t="shared" si="901"/>
        <v>28.769841269841272</v>
      </c>
      <c r="AD205" s="230">
        <f t="shared" si="902"/>
        <v>335.86186579811459</v>
      </c>
      <c r="AE205" s="266"/>
      <c r="AF205" s="263">
        <f t="shared" si="903"/>
        <v>24.347782090274944</v>
      </c>
      <c r="AG205" s="263">
        <f t="shared" si="903"/>
        <v>23.815671009426968</v>
      </c>
      <c r="AH205" s="263">
        <f t="shared" si="903"/>
        <v>28.769841269841272</v>
      </c>
      <c r="AI205" s="263">
        <f t="shared" si="903"/>
        <v>28.769841269841272</v>
      </c>
      <c r="AJ205" s="263">
        <f t="shared" si="903"/>
        <v>28.769841269841272</v>
      </c>
      <c r="AK205" s="263">
        <f t="shared" si="903"/>
        <v>28.769841269841272</v>
      </c>
      <c r="AL205" s="263">
        <f t="shared" si="903"/>
        <v>28.769841269841272</v>
      </c>
      <c r="AM205" s="263">
        <f t="shared" si="903"/>
        <v>28.769841269841272</v>
      </c>
      <c r="AN205" s="263">
        <f t="shared" si="903"/>
        <v>28.769841269841272</v>
      </c>
      <c r="AO205" s="263">
        <f t="shared" si="903"/>
        <v>28.769841269841272</v>
      </c>
      <c r="AP205" s="263">
        <f t="shared" si="903"/>
        <v>28.769841269841272</v>
      </c>
      <c r="AQ205" s="263">
        <f t="shared" si="903"/>
        <v>28.769841269841272</v>
      </c>
      <c r="AR205" s="230">
        <f t="shared" si="904"/>
        <v>335.86186579811459</v>
      </c>
      <c r="AS205" s="266"/>
      <c r="AT205" s="263">
        <f t="shared" si="905"/>
        <v>16.231854726849964</v>
      </c>
      <c r="AU205" s="263">
        <f t="shared" si="905"/>
        <v>15.877114006284645</v>
      </c>
      <c r="AV205" s="263">
        <f t="shared" si="905"/>
        <v>19.179894179894184</v>
      </c>
      <c r="AW205" s="263">
        <f t="shared" si="905"/>
        <v>19.179894179894184</v>
      </c>
      <c r="AX205" s="263">
        <f t="shared" si="905"/>
        <v>19.179894179894184</v>
      </c>
      <c r="AY205" s="263">
        <f t="shared" si="905"/>
        <v>19.179894179894184</v>
      </c>
      <c r="AZ205" s="263">
        <f t="shared" si="905"/>
        <v>19.179894179894184</v>
      </c>
      <c r="BA205" s="263">
        <f t="shared" si="905"/>
        <v>19.179894179894184</v>
      </c>
      <c r="BB205" s="263">
        <f t="shared" si="905"/>
        <v>19.179894179894184</v>
      </c>
      <c r="BC205" s="263">
        <f t="shared" si="905"/>
        <v>19.179894179894184</v>
      </c>
      <c r="BD205" s="263">
        <f t="shared" si="905"/>
        <v>19.179894179894184</v>
      </c>
      <c r="BE205" s="263">
        <f t="shared" si="905"/>
        <v>19.179894179894184</v>
      </c>
      <c r="BF205" s="230">
        <f t="shared" si="906"/>
        <v>223.90791053207639</v>
      </c>
      <c r="BG205" s="224"/>
      <c r="BH205" s="263">
        <f t="shared" si="907"/>
        <v>121.73891045137471</v>
      </c>
      <c r="BI205" s="263">
        <f t="shared" si="907"/>
        <v>119.07835504713482</v>
      </c>
      <c r="BJ205" s="263">
        <f t="shared" si="907"/>
        <v>143.84920634920638</v>
      </c>
      <c r="BK205" s="263">
        <f t="shared" si="907"/>
        <v>143.84920634920638</v>
      </c>
      <c r="BL205" s="263">
        <f t="shared" si="907"/>
        <v>143.84920634920638</v>
      </c>
      <c r="BM205" s="263">
        <f t="shared" si="907"/>
        <v>143.84920634920638</v>
      </c>
      <c r="BN205" s="263">
        <f t="shared" si="907"/>
        <v>143.84920634920638</v>
      </c>
      <c r="BO205" s="263">
        <f t="shared" si="907"/>
        <v>143.84920634920638</v>
      </c>
      <c r="BP205" s="263">
        <f t="shared" si="907"/>
        <v>143.84920634920638</v>
      </c>
      <c r="BQ205" s="263">
        <f t="shared" si="907"/>
        <v>143.84920634920638</v>
      </c>
      <c r="BR205" s="263">
        <f t="shared" si="907"/>
        <v>143.84920634920638</v>
      </c>
      <c r="BS205" s="263">
        <f t="shared" si="907"/>
        <v>143.84920634920638</v>
      </c>
      <c r="BT205" s="230">
        <f t="shared" si="908"/>
        <v>1679.3093289905728</v>
      </c>
      <c r="BU205" s="266"/>
      <c r="BV205" s="263">
        <f t="shared" si="909"/>
        <v>8.1159273634249818</v>
      </c>
      <c r="BW205" s="263">
        <f t="shared" si="909"/>
        <v>7.9385570031423223</v>
      </c>
      <c r="BX205" s="263">
        <f t="shared" si="909"/>
        <v>9.589947089947092</v>
      </c>
      <c r="BY205" s="263">
        <f t="shared" si="909"/>
        <v>9.589947089947092</v>
      </c>
      <c r="BZ205" s="263">
        <f t="shared" si="909"/>
        <v>9.589947089947092</v>
      </c>
      <c r="CA205" s="263">
        <f t="shared" si="909"/>
        <v>9.589947089947092</v>
      </c>
      <c r="CB205" s="263">
        <f t="shared" si="909"/>
        <v>9.589947089947092</v>
      </c>
      <c r="CC205" s="263">
        <f t="shared" si="909"/>
        <v>9.589947089947092</v>
      </c>
      <c r="CD205" s="263">
        <f t="shared" si="909"/>
        <v>9.589947089947092</v>
      </c>
      <c r="CE205" s="263">
        <f t="shared" si="909"/>
        <v>9.589947089947092</v>
      </c>
      <c r="CF205" s="263">
        <f t="shared" si="909"/>
        <v>9.589947089947092</v>
      </c>
      <c r="CG205" s="263">
        <f t="shared" si="909"/>
        <v>9.589947089947092</v>
      </c>
      <c r="CH205" s="230">
        <f t="shared" si="910"/>
        <v>111.95395526603819</v>
      </c>
      <c r="CI205" s="266"/>
      <c r="CJ205" s="263">
        <f t="shared" si="911"/>
        <v>89.275200997674787</v>
      </c>
      <c r="CK205" s="263">
        <f t="shared" si="911"/>
        <v>87.324127034565549</v>
      </c>
      <c r="CL205" s="263">
        <f t="shared" si="911"/>
        <v>105.489417989418</v>
      </c>
      <c r="CM205" s="263">
        <f t="shared" si="911"/>
        <v>105.489417989418</v>
      </c>
      <c r="CN205" s="263">
        <f t="shared" si="911"/>
        <v>105.489417989418</v>
      </c>
      <c r="CO205" s="263">
        <f t="shared" si="911"/>
        <v>105.489417989418</v>
      </c>
      <c r="CP205" s="263">
        <f t="shared" si="911"/>
        <v>105.489417989418</v>
      </c>
      <c r="CQ205" s="263">
        <f t="shared" si="911"/>
        <v>105.489417989418</v>
      </c>
      <c r="CR205" s="263">
        <f t="shared" si="911"/>
        <v>105.489417989418</v>
      </c>
      <c r="CS205" s="263">
        <f t="shared" si="911"/>
        <v>105.489417989418</v>
      </c>
      <c r="CT205" s="263">
        <f t="shared" si="911"/>
        <v>105.489417989418</v>
      </c>
      <c r="CU205" s="263">
        <f t="shared" si="911"/>
        <v>105.489417989418</v>
      </c>
      <c r="CV205" s="230">
        <f t="shared" si="912"/>
        <v>1231.4935079264205</v>
      </c>
      <c r="CW205" s="266"/>
      <c r="CX205" s="263">
        <f t="shared" si="913"/>
        <v>227.24596617589944</v>
      </c>
      <c r="CY205" s="263">
        <f t="shared" si="913"/>
        <v>222.27959608798503</v>
      </c>
      <c r="CZ205" s="263">
        <f t="shared" si="913"/>
        <v>268.51851851851853</v>
      </c>
      <c r="DA205" s="263">
        <f t="shared" si="913"/>
        <v>268.51851851851853</v>
      </c>
      <c r="DB205" s="263">
        <f t="shared" si="913"/>
        <v>268.51851851851853</v>
      </c>
      <c r="DC205" s="263">
        <f t="shared" si="913"/>
        <v>268.51851851851853</v>
      </c>
      <c r="DD205" s="263">
        <f t="shared" si="913"/>
        <v>268.51851851851853</v>
      </c>
      <c r="DE205" s="263">
        <f t="shared" si="913"/>
        <v>268.51851851851853</v>
      </c>
      <c r="DF205" s="263">
        <f t="shared" si="913"/>
        <v>268.51851851851853</v>
      </c>
      <c r="DG205" s="263">
        <f t="shared" si="913"/>
        <v>268.51851851851853</v>
      </c>
      <c r="DH205" s="263">
        <f t="shared" si="913"/>
        <v>268.51851851851853</v>
      </c>
      <c r="DI205" s="263">
        <f t="shared" si="913"/>
        <v>268.51851851851853</v>
      </c>
      <c r="DJ205" s="230">
        <f t="shared" si="914"/>
        <v>3134.7107474490704</v>
      </c>
      <c r="DK205" s="266"/>
      <c r="DL205" s="263">
        <f t="shared" si="915"/>
        <v>227.24596617589944</v>
      </c>
      <c r="DM205" s="263">
        <f t="shared" si="915"/>
        <v>222.27959608798503</v>
      </c>
      <c r="DN205" s="263">
        <f t="shared" si="915"/>
        <v>268.51851851851853</v>
      </c>
      <c r="DO205" s="263">
        <f t="shared" si="915"/>
        <v>268.51851851851853</v>
      </c>
      <c r="DP205" s="263">
        <f t="shared" si="915"/>
        <v>268.51851851851853</v>
      </c>
      <c r="DQ205" s="263">
        <f t="shared" si="915"/>
        <v>268.51851851851853</v>
      </c>
      <c r="DR205" s="263">
        <f t="shared" si="915"/>
        <v>268.51851851851853</v>
      </c>
      <c r="DS205" s="263">
        <f t="shared" si="915"/>
        <v>268.51851851851853</v>
      </c>
      <c r="DT205" s="263">
        <f t="shared" si="915"/>
        <v>268.51851851851853</v>
      </c>
      <c r="DU205" s="263">
        <f t="shared" si="915"/>
        <v>268.51851851851853</v>
      </c>
      <c r="DV205" s="263">
        <f t="shared" si="915"/>
        <v>268.51851851851853</v>
      </c>
      <c r="DW205" s="263">
        <f t="shared" si="915"/>
        <v>268.51851851851853</v>
      </c>
      <c r="DX205" s="230">
        <f t="shared" si="916"/>
        <v>3134.7107474490704</v>
      </c>
      <c r="DY205" s="266"/>
      <c r="DZ205" s="263">
        <f t="shared" si="917"/>
        <v>8.1159273634249818</v>
      </c>
      <c r="EA205" s="263">
        <f t="shared" si="917"/>
        <v>7.9385570031423223</v>
      </c>
      <c r="EB205" s="263">
        <f t="shared" si="917"/>
        <v>9.589947089947092</v>
      </c>
      <c r="EC205" s="263">
        <f t="shared" si="917"/>
        <v>9.589947089947092</v>
      </c>
      <c r="ED205" s="263">
        <f t="shared" si="917"/>
        <v>9.589947089947092</v>
      </c>
      <c r="EE205" s="263">
        <f t="shared" si="917"/>
        <v>9.589947089947092</v>
      </c>
      <c r="EF205" s="263">
        <f t="shared" si="917"/>
        <v>9.589947089947092</v>
      </c>
      <c r="EG205" s="263">
        <f t="shared" si="917"/>
        <v>9.589947089947092</v>
      </c>
      <c r="EH205" s="263">
        <f t="shared" si="917"/>
        <v>9.589947089947092</v>
      </c>
      <c r="EI205" s="263">
        <f t="shared" si="917"/>
        <v>9.589947089947092</v>
      </c>
      <c r="EJ205" s="263">
        <f t="shared" si="917"/>
        <v>9.589947089947092</v>
      </c>
      <c r="EK205" s="263">
        <f t="shared" si="917"/>
        <v>9.589947089947092</v>
      </c>
      <c r="EL205" s="230">
        <f t="shared" si="918"/>
        <v>111.95395526603819</v>
      </c>
      <c r="EM205" s="266"/>
      <c r="EN205" s="263">
        <f t="shared" si="919"/>
        <v>16.231854726849964</v>
      </c>
      <c r="EO205" s="263">
        <f t="shared" si="919"/>
        <v>15.877114006284645</v>
      </c>
      <c r="EP205" s="263">
        <f t="shared" si="919"/>
        <v>19.179894179894184</v>
      </c>
      <c r="EQ205" s="263">
        <f t="shared" si="919"/>
        <v>19.179894179894184</v>
      </c>
      <c r="ER205" s="263">
        <f t="shared" si="919"/>
        <v>19.179894179894184</v>
      </c>
      <c r="ES205" s="263">
        <f t="shared" si="919"/>
        <v>19.179894179894184</v>
      </c>
      <c r="ET205" s="263">
        <f t="shared" si="919"/>
        <v>19.179894179894184</v>
      </c>
      <c r="EU205" s="263">
        <f t="shared" si="919"/>
        <v>19.179894179894184</v>
      </c>
      <c r="EV205" s="263">
        <f t="shared" si="919"/>
        <v>19.179894179894184</v>
      </c>
      <c r="EW205" s="263">
        <f t="shared" si="919"/>
        <v>19.179894179894184</v>
      </c>
      <c r="EX205" s="263">
        <f t="shared" si="919"/>
        <v>19.179894179894184</v>
      </c>
      <c r="EY205" s="263">
        <f t="shared" si="919"/>
        <v>19.179894179894184</v>
      </c>
      <c r="EZ205" s="230">
        <f t="shared" si="920"/>
        <v>223.90791053207639</v>
      </c>
      <c r="FA205" s="266"/>
      <c r="FB205" s="263">
        <f t="shared" si="921"/>
        <v>8.1159273634249818</v>
      </c>
      <c r="FC205" s="263">
        <f t="shared" si="921"/>
        <v>7.9385570031423223</v>
      </c>
      <c r="FD205" s="263">
        <f t="shared" si="921"/>
        <v>9.589947089947092</v>
      </c>
      <c r="FE205" s="263">
        <f t="shared" si="921"/>
        <v>9.589947089947092</v>
      </c>
      <c r="FF205" s="263">
        <f t="shared" si="921"/>
        <v>9.589947089947092</v>
      </c>
      <c r="FG205" s="263">
        <f t="shared" si="921"/>
        <v>9.589947089947092</v>
      </c>
      <c r="FH205" s="263">
        <f t="shared" si="921"/>
        <v>9.589947089947092</v>
      </c>
      <c r="FI205" s="263">
        <f t="shared" si="921"/>
        <v>9.589947089947092</v>
      </c>
      <c r="FJ205" s="263">
        <f t="shared" si="921"/>
        <v>9.589947089947092</v>
      </c>
      <c r="FK205" s="263">
        <f t="shared" si="921"/>
        <v>9.589947089947092</v>
      </c>
      <c r="FL205" s="263">
        <f t="shared" si="921"/>
        <v>9.589947089947092</v>
      </c>
      <c r="FM205" s="263">
        <f t="shared" si="921"/>
        <v>9.589947089947092</v>
      </c>
      <c r="FN205" s="230">
        <f t="shared" si="922"/>
        <v>111.95395526603819</v>
      </c>
      <c r="FO205" s="266"/>
      <c r="FP205" s="263">
        <f t="shared" si="923"/>
        <v>56.81149154397486</v>
      </c>
      <c r="FQ205" s="263">
        <f t="shared" si="923"/>
        <v>55.569899021996257</v>
      </c>
      <c r="FR205" s="263">
        <f t="shared" si="923"/>
        <v>67.129629629629633</v>
      </c>
      <c r="FS205" s="263">
        <f t="shared" si="923"/>
        <v>67.129629629629633</v>
      </c>
      <c r="FT205" s="263">
        <f t="shared" si="923"/>
        <v>67.129629629629633</v>
      </c>
      <c r="FU205" s="263">
        <f t="shared" si="923"/>
        <v>67.129629629629633</v>
      </c>
      <c r="FV205" s="263">
        <f t="shared" si="923"/>
        <v>67.129629629629633</v>
      </c>
      <c r="FW205" s="263">
        <f t="shared" si="923"/>
        <v>67.129629629629633</v>
      </c>
      <c r="FX205" s="263">
        <f t="shared" si="923"/>
        <v>67.129629629629633</v>
      </c>
      <c r="FY205" s="263">
        <f t="shared" si="923"/>
        <v>67.129629629629633</v>
      </c>
      <c r="FZ205" s="263">
        <f t="shared" si="923"/>
        <v>67.129629629629633</v>
      </c>
      <c r="GA205" s="263">
        <f t="shared" si="923"/>
        <v>67.129629629629633</v>
      </c>
      <c r="GB205" s="230">
        <f t="shared" si="924"/>
        <v>783.67768686226759</v>
      </c>
      <c r="GC205" s="266"/>
      <c r="GD205" s="263">
        <f t="shared" si="925"/>
        <v>8.1159273634249818</v>
      </c>
      <c r="GE205" s="263">
        <f t="shared" si="925"/>
        <v>7.9385570031423223</v>
      </c>
      <c r="GF205" s="263">
        <f t="shared" si="925"/>
        <v>9.589947089947092</v>
      </c>
      <c r="GG205" s="263">
        <f t="shared" si="925"/>
        <v>9.589947089947092</v>
      </c>
      <c r="GH205" s="263">
        <f t="shared" si="925"/>
        <v>9.589947089947092</v>
      </c>
      <c r="GI205" s="263">
        <f t="shared" si="925"/>
        <v>9.589947089947092</v>
      </c>
      <c r="GJ205" s="263">
        <f t="shared" si="925"/>
        <v>9.589947089947092</v>
      </c>
      <c r="GK205" s="263">
        <f t="shared" si="925"/>
        <v>9.589947089947092</v>
      </c>
      <c r="GL205" s="263">
        <f t="shared" si="925"/>
        <v>9.589947089947092</v>
      </c>
      <c r="GM205" s="263">
        <f t="shared" si="925"/>
        <v>9.589947089947092</v>
      </c>
      <c r="GN205" s="263">
        <f t="shared" si="925"/>
        <v>9.589947089947092</v>
      </c>
      <c r="GO205" s="263">
        <f t="shared" si="925"/>
        <v>9.589947089947092</v>
      </c>
      <c r="GP205" s="230">
        <f t="shared" si="926"/>
        <v>111.95395526603819</v>
      </c>
      <c r="GQ205" s="266"/>
      <c r="GR205" s="263">
        <f t="shared" si="927"/>
        <v>-119.4855984115482</v>
      </c>
      <c r="GS205" s="263">
        <f t="shared" si="927"/>
        <v>-119.4855984115482</v>
      </c>
      <c r="GT205" s="263">
        <f t="shared" si="927"/>
        <v>-119.4855984115482</v>
      </c>
      <c r="GU205" s="263">
        <f t="shared" si="927"/>
        <v>-119.4855984115482</v>
      </c>
      <c r="GV205" s="263">
        <f t="shared" si="927"/>
        <v>-119.4855984115482</v>
      </c>
      <c r="GW205" s="263">
        <f t="shared" si="927"/>
        <v>-119.4855984115482</v>
      </c>
      <c r="GX205" s="263">
        <f t="shared" si="927"/>
        <v>-119.4855984115482</v>
      </c>
      <c r="GY205" s="263">
        <f t="shared" si="927"/>
        <v>-119.4855984115482</v>
      </c>
      <c r="GZ205" s="263">
        <f t="shared" si="927"/>
        <v>-119.4855984115482</v>
      </c>
      <c r="HA205" s="263">
        <f t="shared" si="927"/>
        <v>-119.4855984115482</v>
      </c>
      <c r="HB205" s="263">
        <f t="shared" si="927"/>
        <v>-119.4855984115482</v>
      </c>
      <c r="HC205" s="263">
        <f t="shared" si="927"/>
        <v>-119.4855984115482</v>
      </c>
      <c r="HD205" s="230">
        <f t="shared" si="947"/>
        <v>0</v>
      </c>
      <c r="HE205" s="266"/>
      <c r="HF205" s="263">
        <f t="shared" si="928"/>
        <v>32.463709453699927</v>
      </c>
      <c r="HG205" s="263">
        <f t="shared" si="928"/>
        <v>31.754228012569289</v>
      </c>
      <c r="HH205" s="263">
        <f t="shared" si="928"/>
        <v>38.359788359788368</v>
      </c>
      <c r="HI205" s="263">
        <f t="shared" si="928"/>
        <v>38.359788359788368</v>
      </c>
      <c r="HJ205" s="263">
        <f t="shared" si="928"/>
        <v>38.359788359788368</v>
      </c>
      <c r="HK205" s="263">
        <f t="shared" si="928"/>
        <v>38.359788359788368</v>
      </c>
      <c r="HL205" s="263">
        <f t="shared" si="928"/>
        <v>38.359788359788368</v>
      </c>
      <c r="HM205" s="263">
        <f t="shared" si="928"/>
        <v>38.359788359788368</v>
      </c>
      <c r="HN205" s="263">
        <f t="shared" si="928"/>
        <v>38.359788359788368</v>
      </c>
      <c r="HO205" s="263">
        <f t="shared" si="928"/>
        <v>38.359788359788368</v>
      </c>
      <c r="HP205" s="263">
        <f t="shared" si="928"/>
        <v>38.359788359788368</v>
      </c>
      <c r="HQ205" s="263">
        <f t="shared" si="928"/>
        <v>38.359788359788368</v>
      </c>
      <c r="HR205" s="230">
        <f t="shared" si="929"/>
        <v>447.81582106415277</v>
      </c>
      <c r="HS205" s="266"/>
      <c r="HT205" s="263">
        <f t="shared" si="930"/>
        <v>8.1159273634249818</v>
      </c>
      <c r="HU205" s="263">
        <f t="shared" si="930"/>
        <v>7.9385570031423223</v>
      </c>
      <c r="HV205" s="263">
        <f t="shared" si="930"/>
        <v>9.589947089947092</v>
      </c>
      <c r="HW205" s="263">
        <f t="shared" si="930"/>
        <v>9.589947089947092</v>
      </c>
      <c r="HX205" s="263">
        <f t="shared" si="930"/>
        <v>9.589947089947092</v>
      </c>
      <c r="HY205" s="263">
        <f t="shared" si="930"/>
        <v>9.589947089947092</v>
      </c>
      <c r="HZ205" s="263">
        <f t="shared" si="930"/>
        <v>9.589947089947092</v>
      </c>
      <c r="IA205" s="263">
        <f t="shared" si="930"/>
        <v>9.589947089947092</v>
      </c>
      <c r="IB205" s="263">
        <f t="shared" si="930"/>
        <v>9.589947089947092</v>
      </c>
      <c r="IC205" s="263">
        <f t="shared" si="930"/>
        <v>9.589947089947092</v>
      </c>
      <c r="ID205" s="263">
        <f t="shared" si="930"/>
        <v>9.589947089947092</v>
      </c>
      <c r="IE205" s="263">
        <f t="shared" si="930"/>
        <v>9.589947089947092</v>
      </c>
      <c r="IF205" s="230">
        <f t="shared" si="931"/>
        <v>111.95395526603819</v>
      </c>
      <c r="IG205" s="266"/>
      <c r="IH205" s="263">
        <f t="shared" si="932"/>
        <v>8.1159273634249818</v>
      </c>
      <c r="II205" s="263">
        <f t="shared" si="932"/>
        <v>7.9385570031423223</v>
      </c>
      <c r="IJ205" s="263">
        <f t="shared" si="932"/>
        <v>9.589947089947092</v>
      </c>
      <c r="IK205" s="263">
        <f t="shared" si="932"/>
        <v>9.589947089947092</v>
      </c>
      <c r="IL205" s="263">
        <f t="shared" si="932"/>
        <v>9.589947089947092</v>
      </c>
      <c r="IM205" s="263">
        <f t="shared" si="932"/>
        <v>9.589947089947092</v>
      </c>
      <c r="IN205" s="263">
        <f t="shared" si="932"/>
        <v>9.589947089947092</v>
      </c>
      <c r="IO205" s="263">
        <f t="shared" si="932"/>
        <v>9.589947089947092</v>
      </c>
      <c r="IP205" s="263">
        <f t="shared" si="932"/>
        <v>9.589947089947092</v>
      </c>
      <c r="IQ205" s="263">
        <f t="shared" si="932"/>
        <v>9.589947089947092</v>
      </c>
      <c r="IR205" s="263">
        <f t="shared" si="932"/>
        <v>9.589947089947092</v>
      </c>
      <c r="IS205" s="263">
        <f t="shared" si="932"/>
        <v>9.589947089947092</v>
      </c>
      <c r="IT205" s="230">
        <f t="shared" si="933"/>
        <v>111.95395526603819</v>
      </c>
      <c r="IU205" s="266"/>
      <c r="IV205" s="263">
        <f t="shared" si="934"/>
        <v>56.81149154397486</v>
      </c>
      <c r="IW205" s="263">
        <f t="shared" si="934"/>
        <v>55.569899021996257</v>
      </c>
      <c r="IX205" s="263">
        <f t="shared" si="934"/>
        <v>67.129629629629633</v>
      </c>
      <c r="IY205" s="263">
        <f t="shared" si="934"/>
        <v>67.129629629629633</v>
      </c>
      <c r="IZ205" s="263">
        <f t="shared" si="934"/>
        <v>67.129629629629633</v>
      </c>
      <c r="JA205" s="263">
        <f t="shared" si="934"/>
        <v>67.129629629629633</v>
      </c>
      <c r="JB205" s="263">
        <f t="shared" si="934"/>
        <v>67.129629629629633</v>
      </c>
      <c r="JC205" s="263">
        <f t="shared" si="934"/>
        <v>67.129629629629633</v>
      </c>
      <c r="JD205" s="263">
        <f t="shared" si="934"/>
        <v>67.129629629629633</v>
      </c>
      <c r="JE205" s="263">
        <f t="shared" si="934"/>
        <v>67.129629629629633</v>
      </c>
      <c r="JF205" s="263">
        <f t="shared" si="934"/>
        <v>67.129629629629633</v>
      </c>
      <c r="JG205" s="263">
        <f t="shared" si="934"/>
        <v>67.129629629629633</v>
      </c>
      <c r="JH205" s="230">
        <f t="shared" si="935"/>
        <v>783.67768686226759</v>
      </c>
      <c r="JI205" s="266"/>
      <c r="JJ205" s="263">
        <f t="shared" si="936"/>
        <v>89.275200997674787</v>
      </c>
      <c r="JK205" s="263">
        <f t="shared" si="936"/>
        <v>87.324127034565549</v>
      </c>
      <c r="JL205" s="263">
        <f t="shared" si="936"/>
        <v>105.489417989418</v>
      </c>
      <c r="JM205" s="263">
        <f t="shared" si="936"/>
        <v>105.489417989418</v>
      </c>
      <c r="JN205" s="263">
        <f t="shared" si="936"/>
        <v>105.489417989418</v>
      </c>
      <c r="JO205" s="263">
        <f t="shared" si="936"/>
        <v>105.489417989418</v>
      </c>
      <c r="JP205" s="263">
        <f t="shared" si="936"/>
        <v>105.489417989418</v>
      </c>
      <c r="JQ205" s="263">
        <f t="shared" si="936"/>
        <v>105.489417989418</v>
      </c>
      <c r="JR205" s="263">
        <f t="shared" si="936"/>
        <v>105.489417989418</v>
      </c>
      <c r="JS205" s="263">
        <f t="shared" si="936"/>
        <v>105.489417989418</v>
      </c>
      <c r="JT205" s="263">
        <f t="shared" si="936"/>
        <v>105.489417989418</v>
      </c>
      <c r="JU205" s="263">
        <f t="shared" si="936"/>
        <v>105.489417989418</v>
      </c>
      <c r="JV205" s="230">
        <f t="shared" si="937"/>
        <v>1231.4935079264205</v>
      </c>
      <c r="JW205" s="266"/>
      <c r="JX205" s="263">
        <f t="shared" si="938"/>
        <v>40.579636817124907</v>
      </c>
      <c r="JY205" s="263">
        <f t="shared" si="938"/>
        <v>39.692785015711607</v>
      </c>
      <c r="JZ205" s="263">
        <f t="shared" si="938"/>
        <v>47.949735449735456</v>
      </c>
      <c r="KA205" s="263">
        <f t="shared" si="938"/>
        <v>47.949735449735456</v>
      </c>
      <c r="KB205" s="263">
        <f t="shared" si="938"/>
        <v>47.949735449735456</v>
      </c>
      <c r="KC205" s="263">
        <f t="shared" si="938"/>
        <v>47.949735449735456</v>
      </c>
      <c r="KD205" s="263">
        <f t="shared" si="938"/>
        <v>47.949735449735456</v>
      </c>
      <c r="KE205" s="263">
        <f t="shared" si="938"/>
        <v>47.949735449735456</v>
      </c>
      <c r="KF205" s="263">
        <f t="shared" si="938"/>
        <v>47.949735449735456</v>
      </c>
      <c r="KG205" s="263">
        <f t="shared" si="938"/>
        <v>47.949735449735456</v>
      </c>
      <c r="KH205" s="263">
        <f t="shared" si="938"/>
        <v>47.949735449735456</v>
      </c>
      <c r="KI205" s="263">
        <f t="shared" si="938"/>
        <v>47.949735449735456</v>
      </c>
      <c r="KJ205" s="230">
        <f t="shared" si="939"/>
        <v>559.76977633019101</v>
      </c>
      <c r="KK205" s="266"/>
      <c r="KL205" s="263">
        <f t="shared" si="940"/>
        <v>16.231854726849964</v>
      </c>
      <c r="KM205" s="263">
        <f t="shared" si="940"/>
        <v>15.877114006284645</v>
      </c>
      <c r="KN205" s="263">
        <f t="shared" si="940"/>
        <v>19.179894179894184</v>
      </c>
      <c r="KO205" s="263">
        <f t="shared" si="940"/>
        <v>19.179894179894184</v>
      </c>
      <c r="KP205" s="263">
        <f t="shared" si="940"/>
        <v>19.179894179894184</v>
      </c>
      <c r="KQ205" s="263">
        <f t="shared" si="940"/>
        <v>19.179894179894184</v>
      </c>
      <c r="KR205" s="263">
        <f t="shared" si="940"/>
        <v>19.179894179894184</v>
      </c>
      <c r="KS205" s="263">
        <f t="shared" si="940"/>
        <v>19.179894179894184</v>
      </c>
      <c r="KT205" s="263">
        <f t="shared" si="940"/>
        <v>19.179894179894184</v>
      </c>
      <c r="KU205" s="263">
        <f t="shared" si="940"/>
        <v>19.179894179894184</v>
      </c>
      <c r="KV205" s="263">
        <f t="shared" si="940"/>
        <v>19.179894179894184</v>
      </c>
      <c r="KW205" s="263">
        <f t="shared" si="940"/>
        <v>19.179894179894184</v>
      </c>
      <c r="KX205" s="230">
        <f t="shared" si="941"/>
        <v>223.90791053207639</v>
      </c>
      <c r="KY205" s="266"/>
      <c r="KZ205" s="263">
        <f t="shared" si="942"/>
        <v>8.1159273634249818</v>
      </c>
      <c r="LA205" s="263">
        <f t="shared" si="942"/>
        <v>7.9385570031423223</v>
      </c>
      <c r="LB205" s="263">
        <f t="shared" si="942"/>
        <v>9.589947089947092</v>
      </c>
      <c r="LC205" s="263">
        <f t="shared" si="942"/>
        <v>9.589947089947092</v>
      </c>
      <c r="LD205" s="263">
        <f t="shared" si="942"/>
        <v>9.589947089947092</v>
      </c>
      <c r="LE205" s="263">
        <f t="shared" si="942"/>
        <v>9.589947089947092</v>
      </c>
      <c r="LF205" s="263">
        <f t="shared" si="942"/>
        <v>9.589947089947092</v>
      </c>
      <c r="LG205" s="263">
        <f t="shared" si="942"/>
        <v>9.589947089947092</v>
      </c>
      <c r="LH205" s="263">
        <f t="shared" si="942"/>
        <v>9.589947089947092</v>
      </c>
      <c r="LI205" s="263">
        <f t="shared" si="942"/>
        <v>9.589947089947092</v>
      </c>
      <c r="LJ205" s="263">
        <f t="shared" si="942"/>
        <v>9.589947089947092</v>
      </c>
      <c r="LK205" s="263">
        <f t="shared" si="942"/>
        <v>9.589947089947092</v>
      </c>
      <c r="LL205" s="230">
        <f t="shared" si="943"/>
        <v>111.95395526603819</v>
      </c>
      <c r="LM205" s="266"/>
      <c r="LN205" s="263">
        <v>0</v>
      </c>
      <c r="LO205" s="264">
        <v>0</v>
      </c>
      <c r="LP205" s="265">
        <v>0</v>
      </c>
      <c r="LQ205" s="265">
        <v>0</v>
      </c>
      <c r="LR205" s="265">
        <v>0</v>
      </c>
      <c r="LS205" s="265">
        <v>0</v>
      </c>
      <c r="LT205" s="265">
        <v>0</v>
      </c>
      <c r="LU205" s="265">
        <v>0</v>
      </c>
      <c r="LV205" s="265">
        <v>0</v>
      </c>
      <c r="LW205" s="265">
        <v>0</v>
      </c>
      <c r="LX205" s="265">
        <v>0</v>
      </c>
      <c r="LY205" s="265">
        <v>0</v>
      </c>
      <c r="LZ205" s="230">
        <f t="shared" si="944"/>
        <v>0</v>
      </c>
      <c r="MA205" s="266"/>
      <c r="MB205" s="230">
        <f t="shared" si="945"/>
        <v>1211.5264891901486</v>
      </c>
      <c r="MC205" s="230">
        <f t="shared" si="945"/>
        <v>1182.4377501037932</v>
      </c>
      <c r="MD205" s="230">
        <f t="shared" si="945"/>
        <v>1453.265724339775</v>
      </c>
      <c r="ME205" s="230">
        <f t="shared" si="945"/>
        <v>1453.265724339775</v>
      </c>
      <c r="MF205" s="230">
        <f t="shared" si="945"/>
        <v>1453.265724339775</v>
      </c>
      <c r="MG205" s="230">
        <f t="shared" si="945"/>
        <v>1453.265724339775</v>
      </c>
      <c r="MH205" s="230">
        <f t="shared" si="945"/>
        <v>1453.265724339775</v>
      </c>
      <c r="MI205" s="230">
        <f t="shared" si="945"/>
        <v>1453.265724339775</v>
      </c>
      <c r="MJ205" s="230">
        <f t="shared" si="945"/>
        <v>1453.265724339775</v>
      </c>
      <c r="MK205" s="230">
        <f t="shared" si="945"/>
        <v>1453.265724339775</v>
      </c>
      <c r="ML205" s="230">
        <f t="shared" si="945"/>
        <v>1453.265724339775</v>
      </c>
      <c r="MM205" s="230">
        <f t="shared" si="945"/>
        <v>1453.265724339775</v>
      </c>
      <c r="MN205" s="230">
        <f t="shared" si="948"/>
        <v>16926.621482691691</v>
      </c>
    </row>
    <row r="206" spans="1:352" x14ac:dyDescent="0.25">
      <c r="A206" s="262"/>
      <c r="B206" s="64" t="s">
        <v>78</v>
      </c>
      <c r="C206" s="98"/>
      <c r="D206" s="263">
        <f t="shared" si="899"/>
        <v>0</v>
      </c>
      <c r="E206" s="263">
        <f t="shared" si="899"/>
        <v>0</v>
      </c>
      <c r="F206" s="263">
        <f t="shared" si="899"/>
        <v>0</v>
      </c>
      <c r="G206" s="263">
        <f t="shared" si="899"/>
        <v>0</v>
      </c>
      <c r="H206" s="263">
        <f t="shared" si="899"/>
        <v>0</v>
      </c>
      <c r="I206" s="263">
        <f t="shared" si="899"/>
        <v>0</v>
      </c>
      <c r="J206" s="263">
        <f t="shared" si="899"/>
        <v>0</v>
      </c>
      <c r="K206" s="263">
        <f t="shared" si="899"/>
        <v>0</v>
      </c>
      <c r="L206" s="263">
        <f t="shared" si="899"/>
        <v>0</v>
      </c>
      <c r="M206" s="263">
        <f t="shared" si="899"/>
        <v>0</v>
      </c>
      <c r="N206" s="263">
        <f t="shared" si="899"/>
        <v>0</v>
      </c>
      <c r="O206" s="263">
        <f t="shared" si="899"/>
        <v>0</v>
      </c>
      <c r="P206" s="230">
        <f t="shared" si="900"/>
        <v>0</v>
      </c>
      <c r="Q206" s="266"/>
      <c r="R206" s="263">
        <f t="shared" si="901"/>
        <v>0</v>
      </c>
      <c r="S206" s="263">
        <f t="shared" si="901"/>
        <v>0</v>
      </c>
      <c r="T206" s="263">
        <f t="shared" si="901"/>
        <v>0</v>
      </c>
      <c r="U206" s="263">
        <f t="shared" si="901"/>
        <v>0</v>
      </c>
      <c r="V206" s="263">
        <f t="shared" si="901"/>
        <v>0</v>
      </c>
      <c r="W206" s="263">
        <f t="shared" si="901"/>
        <v>0</v>
      </c>
      <c r="X206" s="263">
        <f t="shared" si="901"/>
        <v>0</v>
      </c>
      <c r="Y206" s="263">
        <f t="shared" si="901"/>
        <v>0</v>
      </c>
      <c r="Z206" s="263">
        <f t="shared" si="901"/>
        <v>0</v>
      </c>
      <c r="AA206" s="263">
        <f t="shared" si="901"/>
        <v>0</v>
      </c>
      <c r="AB206" s="263">
        <f t="shared" si="901"/>
        <v>0</v>
      </c>
      <c r="AC206" s="263">
        <f t="shared" si="901"/>
        <v>0</v>
      </c>
      <c r="AD206" s="230">
        <f t="shared" si="902"/>
        <v>0</v>
      </c>
      <c r="AE206" s="266"/>
      <c r="AF206" s="263">
        <f t="shared" si="903"/>
        <v>0</v>
      </c>
      <c r="AG206" s="263">
        <f t="shared" si="903"/>
        <v>0</v>
      </c>
      <c r="AH206" s="263">
        <f t="shared" si="903"/>
        <v>0</v>
      </c>
      <c r="AI206" s="263">
        <f t="shared" si="903"/>
        <v>0</v>
      </c>
      <c r="AJ206" s="263">
        <f t="shared" si="903"/>
        <v>0</v>
      </c>
      <c r="AK206" s="263">
        <f t="shared" si="903"/>
        <v>0</v>
      </c>
      <c r="AL206" s="263">
        <f t="shared" si="903"/>
        <v>0</v>
      </c>
      <c r="AM206" s="263">
        <f t="shared" si="903"/>
        <v>0</v>
      </c>
      <c r="AN206" s="263">
        <f t="shared" si="903"/>
        <v>0</v>
      </c>
      <c r="AO206" s="263">
        <f t="shared" si="903"/>
        <v>0</v>
      </c>
      <c r="AP206" s="263">
        <f t="shared" si="903"/>
        <v>0</v>
      </c>
      <c r="AQ206" s="263">
        <f t="shared" si="903"/>
        <v>0</v>
      </c>
      <c r="AR206" s="230">
        <f t="shared" si="904"/>
        <v>0</v>
      </c>
      <c r="AS206" s="266"/>
      <c r="AT206" s="263">
        <f t="shared" si="905"/>
        <v>0</v>
      </c>
      <c r="AU206" s="263">
        <f t="shared" si="905"/>
        <v>0</v>
      </c>
      <c r="AV206" s="263">
        <f t="shared" si="905"/>
        <v>0</v>
      </c>
      <c r="AW206" s="263">
        <f t="shared" si="905"/>
        <v>0</v>
      </c>
      <c r="AX206" s="263">
        <f t="shared" si="905"/>
        <v>0</v>
      </c>
      <c r="AY206" s="263">
        <f t="shared" si="905"/>
        <v>0</v>
      </c>
      <c r="AZ206" s="263">
        <f t="shared" si="905"/>
        <v>0</v>
      </c>
      <c r="BA206" s="263">
        <f t="shared" si="905"/>
        <v>0</v>
      </c>
      <c r="BB206" s="263">
        <f t="shared" si="905"/>
        <v>0</v>
      </c>
      <c r="BC206" s="263">
        <f t="shared" si="905"/>
        <v>0</v>
      </c>
      <c r="BD206" s="263">
        <f t="shared" si="905"/>
        <v>0</v>
      </c>
      <c r="BE206" s="263">
        <f t="shared" si="905"/>
        <v>0</v>
      </c>
      <c r="BF206" s="230">
        <f t="shared" si="906"/>
        <v>0</v>
      </c>
      <c r="BG206" s="224"/>
      <c r="BH206" s="263">
        <f t="shared" si="907"/>
        <v>0</v>
      </c>
      <c r="BI206" s="263">
        <f t="shared" si="907"/>
        <v>0</v>
      </c>
      <c r="BJ206" s="263">
        <f t="shared" si="907"/>
        <v>0</v>
      </c>
      <c r="BK206" s="263">
        <f t="shared" si="907"/>
        <v>0</v>
      </c>
      <c r="BL206" s="263">
        <f t="shared" si="907"/>
        <v>0</v>
      </c>
      <c r="BM206" s="263">
        <f t="shared" si="907"/>
        <v>0</v>
      </c>
      <c r="BN206" s="263">
        <f t="shared" si="907"/>
        <v>0</v>
      </c>
      <c r="BO206" s="263">
        <f t="shared" si="907"/>
        <v>0</v>
      </c>
      <c r="BP206" s="263">
        <f t="shared" si="907"/>
        <v>0</v>
      </c>
      <c r="BQ206" s="263">
        <f t="shared" si="907"/>
        <v>0</v>
      </c>
      <c r="BR206" s="263">
        <f t="shared" si="907"/>
        <v>0</v>
      </c>
      <c r="BS206" s="263">
        <f t="shared" si="907"/>
        <v>0</v>
      </c>
      <c r="BT206" s="230">
        <f t="shared" si="908"/>
        <v>0</v>
      </c>
      <c r="BU206" s="266"/>
      <c r="BV206" s="263">
        <f t="shared" si="909"/>
        <v>0</v>
      </c>
      <c r="BW206" s="263">
        <f t="shared" si="909"/>
        <v>0</v>
      </c>
      <c r="BX206" s="263">
        <f t="shared" si="909"/>
        <v>0</v>
      </c>
      <c r="BY206" s="263">
        <f t="shared" si="909"/>
        <v>0</v>
      </c>
      <c r="BZ206" s="263">
        <f t="shared" si="909"/>
        <v>0</v>
      </c>
      <c r="CA206" s="263">
        <f t="shared" si="909"/>
        <v>0</v>
      </c>
      <c r="CB206" s="263">
        <f t="shared" si="909"/>
        <v>0</v>
      </c>
      <c r="CC206" s="263">
        <f t="shared" si="909"/>
        <v>0</v>
      </c>
      <c r="CD206" s="263">
        <f t="shared" si="909"/>
        <v>0</v>
      </c>
      <c r="CE206" s="263">
        <f t="shared" si="909"/>
        <v>0</v>
      </c>
      <c r="CF206" s="263">
        <f t="shared" si="909"/>
        <v>0</v>
      </c>
      <c r="CG206" s="263">
        <f t="shared" si="909"/>
        <v>0</v>
      </c>
      <c r="CH206" s="230">
        <f t="shared" si="910"/>
        <v>0</v>
      </c>
      <c r="CI206" s="266"/>
      <c r="CJ206" s="263">
        <f t="shared" si="911"/>
        <v>0</v>
      </c>
      <c r="CK206" s="263">
        <f t="shared" si="911"/>
        <v>0</v>
      </c>
      <c r="CL206" s="263">
        <f t="shared" si="911"/>
        <v>0</v>
      </c>
      <c r="CM206" s="263">
        <f t="shared" si="911"/>
        <v>0</v>
      </c>
      <c r="CN206" s="263">
        <f t="shared" si="911"/>
        <v>0</v>
      </c>
      <c r="CO206" s="263">
        <f t="shared" si="911"/>
        <v>0</v>
      </c>
      <c r="CP206" s="263">
        <f t="shared" si="911"/>
        <v>0</v>
      </c>
      <c r="CQ206" s="263">
        <f t="shared" si="911"/>
        <v>0</v>
      </c>
      <c r="CR206" s="263">
        <f t="shared" si="911"/>
        <v>0</v>
      </c>
      <c r="CS206" s="263">
        <f t="shared" si="911"/>
        <v>0</v>
      </c>
      <c r="CT206" s="263">
        <f t="shared" si="911"/>
        <v>0</v>
      </c>
      <c r="CU206" s="263">
        <f t="shared" si="911"/>
        <v>0</v>
      </c>
      <c r="CV206" s="230">
        <f t="shared" si="912"/>
        <v>0</v>
      </c>
      <c r="CW206" s="266"/>
      <c r="CX206" s="263">
        <f t="shared" si="913"/>
        <v>0</v>
      </c>
      <c r="CY206" s="263">
        <f t="shared" si="913"/>
        <v>0</v>
      </c>
      <c r="CZ206" s="263">
        <f t="shared" si="913"/>
        <v>0</v>
      </c>
      <c r="DA206" s="263">
        <f t="shared" si="913"/>
        <v>0</v>
      </c>
      <c r="DB206" s="263">
        <f t="shared" si="913"/>
        <v>0</v>
      </c>
      <c r="DC206" s="263">
        <f t="shared" si="913"/>
        <v>0</v>
      </c>
      <c r="DD206" s="263">
        <f t="shared" si="913"/>
        <v>0</v>
      </c>
      <c r="DE206" s="263">
        <f t="shared" si="913"/>
        <v>0</v>
      </c>
      <c r="DF206" s="263">
        <f t="shared" si="913"/>
        <v>0</v>
      </c>
      <c r="DG206" s="263">
        <f t="shared" si="913"/>
        <v>0</v>
      </c>
      <c r="DH206" s="263">
        <f t="shared" si="913"/>
        <v>0</v>
      </c>
      <c r="DI206" s="263">
        <f t="shared" si="913"/>
        <v>0</v>
      </c>
      <c r="DJ206" s="230">
        <f t="shared" si="914"/>
        <v>0</v>
      </c>
      <c r="DK206" s="266"/>
      <c r="DL206" s="263">
        <f t="shared" si="915"/>
        <v>0</v>
      </c>
      <c r="DM206" s="263">
        <f t="shared" si="915"/>
        <v>0</v>
      </c>
      <c r="DN206" s="263">
        <f t="shared" si="915"/>
        <v>0</v>
      </c>
      <c r="DO206" s="263">
        <f t="shared" si="915"/>
        <v>0</v>
      </c>
      <c r="DP206" s="263">
        <f t="shared" si="915"/>
        <v>0</v>
      </c>
      <c r="DQ206" s="263">
        <f t="shared" si="915"/>
        <v>0</v>
      </c>
      <c r="DR206" s="263">
        <f t="shared" si="915"/>
        <v>0</v>
      </c>
      <c r="DS206" s="263">
        <f t="shared" si="915"/>
        <v>0</v>
      </c>
      <c r="DT206" s="263">
        <f t="shared" si="915"/>
        <v>0</v>
      </c>
      <c r="DU206" s="263">
        <f t="shared" si="915"/>
        <v>0</v>
      </c>
      <c r="DV206" s="263">
        <f t="shared" si="915"/>
        <v>0</v>
      </c>
      <c r="DW206" s="263">
        <f t="shared" si="915"/>
        <v>0</v>
      </c>
      <c r="DX206" s="230">
        <f t="shared" si="916"/>
        <v>0</v>
      </c>
      <c r="DY206" s="266"/>
      <c r="DZ206" s="263">
        <f t="shared" si="917"/>
        <v>0</v>
      </c>
      <c r="EA206" s="263">
        <f t="shared" si="917"/>
        <v>0</v>
      </c>
      <c r="EB206" s="263">
        <f t="shared" si="917"/>
        <v>0</v>
      </c>
      <c r="EC206" s="263">
        <f t="shared" si="917"/>
        <v>0</v>
      </c>
      <c r="ED206" s="263">
        <f t="shared" si="917"/>
        <v>0</v>
      </c>
      <c r="EE206" s="263">
        <f t="shared" si="917"/>
        <v>0</v>
      </c>
      <c r="EF206" s="263">
        <f t="shared" si="917"/>
        <v>0</v>
      </c>
      <c r="EG206" s="263">
        <f t="shared" si="917"/>
        <v>0</v>
      </c>
      <c r="EH206" s="263">
        <f t="shared" si="917"/>
        <v>0</v>
      </c>
      <c r="EI206" s="263">
        <f t="shared" si="917"/>
        <v>0</v>
      </c>
      <c r="EJ206" s="263">
        <f t="shared" si="917"/>
        <v>0</v>
      </c>
      <c r="EK206" s="263">
        <f t="shared" si="917"/>
        <v>0</v>
      </c>
      <c r="EL206" s="230">
        <f t="shared" si="918"/>
        <v>0</v>
      </c>
      <c r="EM206" s="266"/>
      <c r="EN206" s="263">
        <f t="shared" si="919"/>
        <v>0</v>
      </c>
      <c r="EO206" s="263">
        <f t="shared" si="919"/>
        <v>0</v>
      </c>
      <c r="EP206" s="263">
        <f t="shared" si="919"/>
        <v>0</v>
      </c>
      <c r="EQ206" s="263">
        <f t="shared" si="919"/>
        <v>0</v>
      </c>
      <c r="ER206" s="263">
        <f t="shared" si="919"/>
        <v>0</v>
      </c>
      <c r="ES206" s="263">
        <f t="shared" si="919"/>
        <v>0</v>
      </c>
      <c r="ET206" s="263">
        <f t="shared" si="919"/>
        <v>0</v>
      </c>
      <c r="EU206" s="263">
        <f t="shared" si="919"/>
        <v>0</v>
      </c>
      <c r="EV206" s="263">
        <f t="shared" si="919"/>
        <v>0</v>
      </c>
      <c r="EW206" s="263">
        <f t="shared" si="919"/>
        <v>0</v>
      </c>
      <c r="EX206" s="263">
        <f t="shared" si="919"/>
        <v>0</v>
      </c>
      <c r="EY206" s="263">
        <f t="shared" si="919"/>
        <v>0</v>
      </c>
      <c r="EZ206" s="230">
        <f t="shared" si="920"/>
        <v>0</v>
      </c>
      <c r="FA206" s="266"/>
      <c r="FB206" s="263">
        <f t="shared" si="921"/>
        <v>0</v>
      </c>
      <c r="FC206" s="263">
        <f t="shared" si="921"/>
        <v>0</v>
      </c>
      <c r="FD206" s="263">
        <f t="shared" si="921"/>
        <v>0</v>
      </c>
      <c r="FE206" s="263">
        <f t="shared" si="921"/>
        <v>0</v>
      </c>
      <c r="FF206" s="263">
        <f t="shared" si="921"/>
        <v>0</v>
      </c>
      <c r="FG206" s="263">
        <f t="shared" si="921"/>
        <v>0</v>
      </c>
      <c r="FH206" s="263">
        <f t="shared" si="921"/>
        <v>0</v>
      </c>
      <c r="FI206" s="263">
        <f t="shared" si="921"/>
        <v>0</v>
      </c>
      <c r="FJ206" s="263">
        <f t="shared" si="921"/>
        <v>0</v>
      </c>
      <c r="FK206" s="263">
        <f t="shared" si="921"/>
        <v>0</v>
      </c>
      <c r="FL206" s="263">
        <f t="shared" si="921"/>
        <v>0</v>
      </c>
      <c r="FM206" s="263">
        <f t="shared" si="921"/>
        <v>0</v>
      </c>
      <c r="FN206" s="230">
        <f t="shared" si="922"/>
        <v>0</v>
      </c>
      <c r="FO206" s="266"/>
      <c r="FP206" s="263">
        <f t="shared" si="923"/>
        <v>0</v>
      </c>
      <c r="FQ206" s="263">
        <f t="shared" si="923"/>
        <v>0</v>
      </c>
      <c r="FR206" s="263">
        <f t="shared" si="923"/>
        <v>0</v>
      </c>
      <c r="FS206" s="263">
        <f t="shared" si="923"/>
        <v>0</v>
      </c>
      <c r="FT206" s="263">
        <f t="shared" si="923"/>
        <v>0</v>
      </c>
      <c r="FU206" s="263">
        <f t="shared" si="923"/>
        <v>0</v>
      </c>
      <c r="FV206" s="263">
        <f t="shared" si="923"/>
        <v>0</v>
      </c>
      <c r="FW206" s="263">
        <f t="shared" si="923"/>
        <v>0</v>
      </c>
      <c r="FX206" s="263">
        <f t="shared" si="923"/>
        <v>0</v>
      </c>
      <c r="FY206" s="263">
        <f t="shared" si="923"/>
        <v>0</v>
      </c>
      <c r="FZ206" s="263">
        <f t="shared" si="923"/>
        <v>0</v>
      </c>
      <c r="GA206" s="263">
        <f t="shared" si="923"/>
        <v>0</v>
      </c>
      <c r="GB206" s="230">
        <f t="shared" si="924"/>
        <v>0</v>
      </c>
      <c r="GC206" s="266"/>
      <c r="GD206" s="263">
        <f t="shared" si="925"/>
        <v>0</v>
      </c>
      <c r="GE206" s="263">
        <f t="shared" si="925"/>
        <v>0</v>
      </c>
      <c r="GF206" s="263">
        <f t="shared" si="925"/>
        <v>0</v>
      </c>
      <c r="GG206" s="263">
        <f t="shared" si="925"/>
        <v>0</v>
      </c>
      <c r="GH206" s="263">
        <f t="shared" si="925"/>
        <v>0</v>
      </c>
      <c r="GI206" s="263">
        <f t="shared" si="925"/>
        <v>0</v>
      </c>
      <c r="GJ206" s="263">
        <f t="shared" si="925"/>
        <v>0</v>
      </c>
      <c r="GK206" s="263">
        <f t="shared" si="925"/>
        <v>0</v>
      </c>
      <c r="GL206" s="263">
        <f t="shared" si="925"/>
        <v>0</v>
      </c>
      <c r="GM206" s="263">
        <f t="shared" si="925"/>
        <v>0</v>
      </c>
      <c r="GN206" s="263">
        <f t="shared" si="925"/>
        <v>0</v>
      </c>
      <c r="GO206" s="263">
        <f t="shared" si="925"/>
        <v>0</v>
      </c>
      <c r="GP206" s="230">
        <f t="shared" si="926"/>
        <v>0</v>
      </c>
      <c r="GQ206" s="266"/>
      <c r="GR206" s="263">
        <f t="shared" si="927"/>
        <v>0</v>
      </c>
      <c r="GS206" s="263">
        <f t="shared" si="927"/>
        <v>0</v>
      </c>
      <c r="GT206" s="263">
        <f t="shared" si="927"/>
        <v>0</v>
      </c>
      <c r="GU206" s="263">
        <f t="shared" si="927"/>
        <v>0</v>
      </c>
      <c r="GV206" s="263">
        <f t="shared" si="927"/>
        <v>0</v>
      </c>
      <c r="GW206" s="263">
        <f t="shared" si="927"/>
        <v>0</v>
      </c>
      <c r="GX206" s="263">
        <f t="shared" si="927"/>
        <v>0</v>
      </c>
      <c r="GY206" s="263">
        <f t="shared" si="927"/>
        <v>0</v>
      </c>
      <c r="GZ206" s="263">
        <f t="shared" si="927"/>
        <v>0</v>
      </c>
      <c r="HA206" s="263">
        <f t="shared" si="927"/>
        <v>0</v>
      </c>
      <c r="HB206" s="263">
        <f t="shared" si="927"/>
        <v>0</v>
      </c>
      <c r="HC206" s="263">
        <f t="shared" si="927"/>
        <v>0</v>
      </c>
      <c r="HD206" s="230">
        <f t="shared" si="947"/>
        <v>0</v>
      </c>
      <c r="HE206" s="266"/>
      <c r="HF206" s="263">
        <f t="shared" si="928"/>
        <v>0</v>
      </c>
      <c r="HG206" s="263">
        <f t="shared" si="928"/>
        <v>0</v>
      </c>
      <c r="HH206" s="263">
        <f t="shared" si="928"/>
        <v>0</v>
      </c>
      <c r="HI206" s="263">
        <f t="shared" si="928"/>
        <v>0</v>
      </c>
      <c r="HJ206" s="263">
        <f t="shared" si="928"/>
        <v>0</v>
      </c>
      <c r="HK206" s="263">
        <f t="shared" si="928"/>
        <v>0</v>
      </c>
      <c r="HL206" s="263">
        <f t="shared" si="928"/>
        <v>0</v>
      </c>
      <c r="HM206" s="263">
        <f t="shared" si="928"/>
        <v>0</v>
      </c>
      <c r="HN206" s="263">
        <f t="shared" si="928"/>
        <v>0</v>
      </c>
      <c r="HO206" s="263">
        <f t="shared" si="928"/>
        <v>0</v>
      </c>
      <c r="HP206" s="263">
        <f t="shared" si="928"/>
        <v>0</v>
      </c>
      <c r="HQ206" s="263">
        <f t="shared" si="928"/>
        <v>0</v>
      </c>
      <c r="HR206" s="230">
        <f t="shared" si="929"/>
        <v>0</v>
      </c>
      <c r="HS206" s="266"/>
      <c r="HT206" s="263">
        <f t="shared" si="930"/>
        <v>0</v>
      </c>
      <c r="HU206" s="263">
        <f t="shared" si="930"/>
        <v>0</v>
      </c>
      <c r="HV206" s="263">
        <f t="shared" si="930"/>
        <v>0</v>
      </c>
      <c r="HW206" s="263">
        <f t="shared" si="930"/>
        <v>0</v>
      </c>
      <c r="HX206" s="263">
        <f t="shared" si="930"/>
        <v>0</v>
      </c>
      <c r="HY206" s="263">
        <f t="shared" si="930"/>
        <v>0</v>
      </c>
      <c r="HZ206" s="263">
        <f t="shared" si="930"/>
        <v>0</v>
      </c>
      <c r="IA206" s="263">
        <f t="shared" si="930"/>
        <v>0</v>
      </c>
      <c r="IB206" s="263">
        <f t="shared" si="930"/>
        <v>0</v>
      </c>
      <c r="IC206" s="263">
        <f t="shared" si="930"/>
        <v>0</v>
      </c>
      <c r="ID206" s="263">
        <f t="shared" si="930"/>
        <v>0</v>
      </c>
      <c r="IE206" s="263">
        <f t="shared" si="930"/>
        <v>0</v>
      </c>
      <c r="IF206" s="230">
        <f t="shared" si="931"/>
        <v>0</v>
      </c>
      <c r="IG206" s="266"/>
      <c r="IH206" s="263">
        <f t="shared" si="932"/>
        <v>0</v>
      </c>
      <c r="II206" s="263">
        <f t="shared" si="932"/>
        <v>0</v>
      </c>
      <c r="IJ206" s="263">
        <f t="shared" si="932"/>
        <v>0</v>
      </c>
      <c r="IK206" s="263">
        <f t="shared" si="932"/>
        <v>0</v>
      </c>
      <c r="IL206" s="263">
        <f t="shared" si="932"/>
        <v>0</v>
      </c>
      <c r="IM206" s="263">
        <f t="shared" si="932"/>
        <v>0</v>
      </c>
      <c r="IN206" s="263">
        <f t="shared" si="932"/>
        <v>0</v>
      </c>
      <c r="IO206" s="263">
        <f t="shared" si="932"/>
        <v>0</v>
      </c>
      <c r="IP206" s="263">
        <f t="shared" si="932"/>
        <v>0</v>
      </c>
      <c r="IQ206" s="263">
        <f t="shared" si="932"/>
        <v>0</v>
      </c>
      <c r="IR206" s="263">
        <f t="shared" si="932"/>
        <v>0</v>
      </c>
      <c r="IS206" s="263">
        <f t="shared" si="932"/>
        <v>0</v>
      </c>
      <c r="IT206" s="230">
        <f t="shared" si="933"/>
        <v>0</v>
      </c>
      <c r="IU206" s="266"/>
      <c r="IV206" s="263">
        <f t="shared" si="934"/>
        <v>0</v>
      </c>
      <c r="IW206" s="263">
        <f t="shared" si="934"/>
        <v>0</v>
      </c>
      <c r="IX206" s="263">
        <f t="shared" si="934"/>
        <v>0</v>
      </c>
      <c r="IY206" s="263">
        <f t="shared" si="934"/>
        <v>0</v>
      </c>
      <c r="IZ206" s="263">
        <f t="shared" si="934"/>
        <v>0</v>
      </c>
      <c r="JA206" s="263">
        <f t="shared" si="934"/>
        <v>0</v>
      </c>
      <c r="JB206" s="263">
        <f t="shared" si="934"/>
        <v>0</v>
      </c>
      <c r="JC206" s="263">
        <f t="shared" si="934"/>
        <v>0</v>
      </c>
      <c r="JD206" s="263">
        <f t="shared" si="934"/>
        <v>0</v>
      </c>
      <c r="JE206" s="263">
        <f t="shared" si="934"/>
        <v>0</v>
      </c>
      <c r="JF206" s="263">
        <f t="shared" si="934"/>
        <v>0</v>
      </c>
      <c r="JG206" s="263">
        <f t="shared" si="934"/>
        <v>0</v>
      </c>
      <c r="JH206" s="230">
        <f t="shared" si="935"/>
        <v>0</v>
      </c>
      <c r="JI206" s="266"/>
      <c r="JJ206" s="263">
        <f t="shared" si="936"/>
        <v>0</v>
      </c>
      <c r="JK206" s="263">
        <f t="shared" si="936"/>
        <v>0</v>
      </c>
      <c r="JL206" s="263">
        <f t="shared" si="936"/>
        <v>0</v>
      </c>
      <c r="JM206" s="263">
        <f t="shared" si="936"/>
        <v>0</v>
      </c>
      <c r="JN206" s="263">
        <f t="shared" si="936"/>
        <v>0</v>
      </c>
      <c r="JO206" s="263">
        <f t="shared" si="936"/>
        <v>0</v>
      </c>
      <c r="JP206" s="263">
        <f t="shared" si="936"/>
        <v>0</v>
      </c>
      <c r="JQ206" s="263">
        <f t="shared" si="936"/>
        <v>0</v>
      </c>
      <c r="JR206" s="263">
        <f t="shared" si="936"/>
        <v>0</v>
      </c>
      <c r="JS206" s="263">
        <f t="shared" si="936"/>
        <v>0</v>
      </c>
      <c r="JT206" s="263">
        <f t="shared" si="936"/>
        <v>0</v>
      </c>
      <c r="JU206" s="263">
        <f t="shared" si="936"/>
        <v>0</v>
      </c>
      <c r="JV206" s="230">
        <f t="shared" si="937"/>
        <v>0</v>
      </c>
      <c r="JW206" s="266"/>
      <c r="JX206" s="263">
        <f t="shared" si="938"/>
        <v>0</v>
      </c>
      <c r="JY206" s="263">
        <f t="shared" si="938"/>
        <v>0</v>
      </c>
      <c r="JZ206" s="263">
        <f t="shared" si="938"/>
        <v>0</v>
      </c>
      <c r="KA206" s="263">
        <f t="shared" si="938"/>
        <v>0</v>
      </c>
      <c r="KB206" s="263">
        <f t="shared" si="938"/>
        <v>0</v>
      </c>
      <c r="KC206" s="263">
        <f t="shared" si="938"/>
        <v>0</v>
      </c>
      <c r="KD206" s="263">
        <f t="shared" si="938"/>
        <v>0</v>
      </c>
      <c r="KE206" s="263">
        <f t="shared" si="938"/>
        <v>0</v>
      </c>
      <c r="KF206" s="263">
        <f t="shared" si="938"/>
        <v>0</v>
      </c>
      <c r="KG206" s="263">
        <f t="shared" si="938"/>
        <v>0</v>
      </c>
      <c r="KH206" s="263">
        <f t="shared" si="938"/>
        <v>0</v>
      </c>
      <c r="KI206" s="263">
        <f t="shared" si="938"/>
        <v>0</v>
      </c>
      <c r="KJ206" s="230">
        <f t="shared" si="939"/>
        <v>0</v>
      </c>
      <c r="KK206" s="266"/>
      <c r="KL206" s="263">
        <f t="shared" si="940"/>
        <v>0</v>
      </c>
      <c r="KM206" s="263">
        <f t="shared" si="940"/>
        <v>0</v>
      </c>
      <c r="KN206" s="263">
        <f t="shared" si="940"/>
        <v>0</v>
      </c>
      <c r="KO206" s="263">
        <f t="shared" si="940"/>
        <v>0</v>
      </c>
      <c r="KP206" s="263">
        <f t="shared" si="940"/>
        <v>0</v>
      </c>
      <c r="KQ206" s="263">
        <f t="shared" si="940"/>
        <v>0</v>
      </c>
      <c r="KR206" s="263">
        <f t="shared" si="940"/>
        <v>0</v>
      </c>
      <c r="KS206" s="263">
        <f t="shared" si="940"/>
        <v>0</v>
      </c>
      <c r="KT206" s="263">
        <f t="shared" si="940"/>
        <v>0</v>
      </c>
      <c r="KU206" s="263">
        <f t="shared" si="940"/>
        <v>0</v>
      </c>
      <c r="KV206" s="263">
        <f t="shared" si="940"/>
        <v>0</v>
      </c>
      <c r="KW206" s="263">
        <f t="shared" si="940"/>
        <v>0</v>
      </c>
      <c r="KX206" s="230">
        <f t="shared" si="941"/>
        <v>0</v>
      </c>
      <c r="KY206" s="266"/>
      <c r="KZ206" s="263">
        <f t="shared" si="942"/>
        <v>0</v>
      </c>
      <c r="LA206" s="263">
        <f t="shared" si="942"/>
        <v>0</v>
      </c>
      <c r="LB206" s="263">
        <f t="shared" si="942"/>
        <v>0</v>
      </c>
      <c r="LC206" s="263">
        <f t="shared" si="942"/>
        <v>0</v>
      </c>
      <c r="LD206" s="263">
        <f t="shared" si="942"/>
        <v>0</v>
      </c>
      <c r="LE206" s="263">
        <f t="shared" si="942"/>
        <v>0</v>
      </c>
      <c r="LF206" s="263">
        <f t="shared" si="942"/>
        <v>0</v>
      </c>
      <c r="LG206" s="263">
        <f t="shared" si="942"/>
        <v>0</v>
      </c>
      <c r="LH206" s="263">
        <f t="shared" si="942"/>
        <v>0</v>
      </c>
      <c r="LI206" s="263">
        <f t="shared" si="942"/>
        <v>0</v>
      </c>
      <c r="LJ206" s="263">
        <f t="shared" si="942"/>
        <v>0</v>
      </c>
      <c r="LK206" s="263">
        <f t="shared" si="942"/>
        <v>0</v>
      </c>
      <c r="LL206" s="230">
        <f t="shared" si="943"/>
        <v>0</v>
      </c>
      <c r="LM206" s="266"/>
      <c r="LN206" s="263">
        <v>0</v>
      </c>
      <c r="LO206" s="264">
        <v>0</v>
      </c>
      <c r="LP206" s="265">
        <v>0</v>
      </c>
      <c r="LQ206" s="265">
        <v>0</v>
      </c>
      <c r="LR206" s="265">
        <v>0</v>
      </c>
      <c r="LS206" s="265">
        <v>0</v>
      </c>
      <c r="LT206" s="265">
        <v>0</v>
      </c>
      <c r="LU206" s="265">
        <v>0</v>
      </c>
      <c r="LV206" s="265">
        <v>0</v>
      </c>
      <c r="LW206" s="265">
        <v>0</v>
      </c>
      <c r="LX206" s="265">
        <v>0</v>
      </c>
      <c r="LY206" s="265">
        <v>0</v>
      </c>
      <c r="LZ206" s="230">
        <f t="shared" si="944"/>
        <v>0</v>
      </c>
      <c r="MA206" s="266"/>
      <c r="MB206" s="230">
        <f t="shared" si="945"/>
        <v>0</v>
      </c>
      <c r="MC206" s="230">
        <f t="shared" si="945"/>
        <v>0</v>
      </c>
      <c r="MD206" s="230">
        <f t="shared" si="945"/>
        <v>0</v>
      </c>
      <c r="ME206" s="230">
        <f t="shared" si="945"/>
        <v>0</v>
      </c>
      <c r="MF206" s="230">
        <f t="shared" si="945"/>
        <v>0</v>
      </c>
      <c r="MG206" s="230">
        <f t="shared" si="945"/>
        <v>0</v>
      </c>
      <c r="MH206" s="230">
        <f t="shared" si="945"/>
        <v>0</v>
      </c>
      <c r="MI206" s="230">
        <f t="shared" si="945"/>
        <v>0</v>
      </c>
      <c r="MJ206" s="230">
        <f t="shared" si="945"/>
        <v>0</v>
      </c>
      <c r="MK206" s="230">
        <f t="shared" si="945"/>
        <v>0</v>
      </c>
      <c r="ML206" s="230">
        <f t="shared" si="945"/>
        <v>0</v>
      </c>
      <c r="MM206" s="230">
        <f t="shared" si="945"/>
        <v>0</v>
      </c>
      <c r="MN206" s="230">
        <f t="shared" si="948"/>
        <v>0</v>
      </c>
    </row>
    <row r="207" spans="1:352" x14ac:dyDescent="0.25">
      <c r="A207" s="262"/>
      <c r="B207" s="64" t="s">
        <v>79</v>
      </c>
      <c r="C207" s="98"/>
      <c r="D207" s="263">
        <f t="shared" si="899"/>
        <v>24.683371918834265</v>
      </c>
      <c r="E207" s="263">
        <f t="shared" si="899"/>
        <v>24.683371918834265</v>
      </c>
      <c r="F207" s="263">
        <f t="shared" si="899"/>
        <v>24.683371918834265</v>
      </c>
      <c r="G207" s="263">
        <f t="shared" si="899"/>
        <v>24.683371918834265</v>
      </c>
      <c r="H207" s="263">
        <f t="shared" si="899"/>
        <v>24.683371918834265</v>
      </c>
      <c r="I207" s="263">
        <f t="shared" si="899"/>
        <v>24.683371918834265</v>
      </c>
      <c r="J207" s="263">
        <f t="shared" si="899"/>
        <v>24.683371918834265</v>
      </c>
      <c r="K207" s="263">
        <f t="shared" si="899"/>
        <v>24.683371918834265</v>
      </c>
      <c r="L207" s="263">
        <f t="shared" si="899"/>
        <v>24.683371918834265</v>
      </c>
      <c r="M207" s="263">
        <f t="shared" si="899"/>
        <v>24.683371918834265</v>
      </c>
      <c r="N207" s="263">
        <f t="shared" si="899"/>
        <v>24.683371918834265</v>
      </c>
      <c r="O207" s="263">
        <f t="shared" si="899"/>
        <v>19.198178159093317</v>
      </c>
      <c r="P207" s="282">
        <f t="shared" si="900"/>
        <v>290.71526926627018</v>
      </c>
      <c r="Q207" s="266"/>
      <c r="R207" s="263">
        <f t="shared" si="901"/>
        <v>2.5534522674656133</v>
      </c>
      <c r="S207" s="263">
        <f t="shared" si="901"/>
        <v>2.5534522674656133</v>
      </c>
      <c r="T207" s="263">
        <f t="shared" si="901"/>
        <v>2.5534522674656133</v>
      </c>
      <c r="U207" s="263">
        <f t="shared" si="901"/>
        <v>2.5534522674656133</v>
      </c>
      <c r="V207" s="263">
        <f t="shared" si="901"/>
        <v>2.5534522674656133</v>
      </c>
      <c r="W207" s="263">
        <f t="shared" si="901"/>
        <v>2.5534522674656133</v>
      </c>
      <c r="X207" s="263">
        <f t="shared" si="901"/>
        <v>2.5534522674656133</v>
      </c>
      <c r="Y207" s="263">
        <f t="shared" si="901"/>
        <v>2.5534522674656133</v>
      </c>
      <c r="Z207" s="263">
        <f t="shared" si="901"/>
        <v>2.5534522674656133</v>
      </c>
      <c r="AA207" s="263">
        <f t="shared" si="901"/>
        <v>2.5534522674656133</v>
      </c>
      <c r="AB207" s="263">
        <f t="shared" si="901"/>
        <v>2.5534522674656133</v>
      </c>
      <c r="AC207" s="263">
        <f t="shared" si="901"/>
        <v>1.9860184302510329</v>
      </c>
      <c r="AD207" s="282">
        <f t="shared" si="902"/>
        <v>30.073993372372772</v>
      </c>
      <c r="AE207" s="285"/>
      <c r="AF207" s="263">
        <f t="shared" si="903"/>
        <v>2.5534522674656133</v>
      </c>
      <c r="AG207" s="263">
        <f t="shared" si="903"/>
        <v>2.5534522674656133</v>
      </c>
      <c r="AH207" s="263">
        <f t="shared" si="903"/>
        <v>2.5534522674656133</v>
      </c>
      <c r="AI207" s="263">
        <f t="shared" si="903"/>
        <v>2.5534522674656133</v>
      </c>
      <c r="AJ207" s="263">
        <f t="shared" si="903"/>
        <v>2.5534522674656133</v>
      </c>
      <c r="AK207" s="263">
        <f t="shared" si="903"/>
        <v>2.5534522674656133</v>
      </c>
      <c r="AL207" s="263">
        <f t="shared" si="903"/>
        <v>2.5534522674656133</v>
      </c>
      <c r="AM207" s="263">
        <f t="shared" si="903"/>
        <v>2.5534522674656133</v>
      </c>
      <c r="AN207" s="263">
        <f t="shared" si="903"/>
        <v>2.5534522674656133</v>
      </c>
      <c r="AO207" s="263">
        <f t="shared" si="903"/>
        <v>2.5534522674656133</v>
      </c>
      <c r="AP207" s="263">
        <f t="shared" si="903"/>
        <v>2.5534522674656133</v>
      </c>
      <c r="AQ207" s="263">
        <f t="shared" si="903"/>
        <v>1.9860184302510329</v>
      </c>
      <c r="AR207" s="282">
        <f t="shared" si="904"/>
        <v>30.073993372372772</v>
      </c>
      <c r="AS207" s="266"/>
      <c r="AT207" s="263">
        <f t="shared" si="905"/>
        <v>1.7023015116437423</v>
      </c>
      <c r="AU207" s="263">
        <f t="shared" si="905"/>
        <v>1.7023015116437423</v>
      </c>
      <c r="AV207" s="263">
        <f t="shared" si="905"/>
        <v>1.7023015116437423</v>
      </c>
      <c r="AW207" s="263">
        <f t="shared" si="905"/>
        <v>1.7023015116437423</v>
      </c>
      <c r="AX207" s="263">
        <f t="shared" si="905"/>
        <v>1.7023015116437423</v>
      </c>
      <c r="AY207" s="263">
        <f t="shared" si="905"/>
        <v>1.7023015116437423</v>
      </c>
      <c r="AZ207" s="263">
        <f t="shared" si="905"/>
        <v>1.7023015116437423</v>
      </c>
      <c r="BA207" s="263">
        <f t="shared" si="905"/>
        <v>1.7023015116437423</v>
      </c>
      <c r="BB207" s="263">
        <f t="shared" si="905"/>
        <v>1.7023015116437423</v>
      </c>
      <c r="BC207" s="263">
        <f t="shared" si="905"/>
        <v>1.7023015116437423</v>
      </c>
      <c r="BD207" s="263">
        <f t="shared" si="905"/>
        <v>1.7023015116437423</v>
      </c>
      <c r="BE207" s="263">
        <f t="shared" si="905"/>
        <v>1.3240122868340218</v>
      </c>
      <c r="BF207" s="282">
        <f t="shared" si="906"/>
        <v>20.04932891491519</v>
      </c>
      <c r="BG207" s="224"/>
      <c r="BH207" s="263">
        <f t="shared" si="907"/>
        <v>12.767261337328069</v>
      </c>
      <c r="BI207" s="263">
        <f t="shared" si="907"/>
        <v>12.767261337328069</v>
      </c>
      <c r="BJ207" s="263">
        <f t="shared" si="907"/>
        <v>12.767261337328069</v>
      </c>
      <c r="BK207" s="263">
        <f t="shared" si="907"/>
        <v>12.767261337328069</v>
      </c>
      <c r="BL207" s="263">
        <f t="shared" si="907"/>
        <v>12.767261337328069</v>
      </c>
      <c r="BM207" s="263">
        <f t="shared" si="907"/>
        <v>12.767261337328069</v>
      </c>
      <c r="BN207" s="263">
        <f t="shared" si="907"/>
        <v>12.767261337328069</v>
      </c>
      <c r="BO207" s="263">
        <f t="shared" si="907"/>
        <v>12.767261337328069</v>
      </c>
      <c r="BP207" s="263">
        <f t="shared" si="907"/>
        <v>12.767261337328069</v>
      </c>
      <c r="BQ207" s="263">
        <f t="shared" si="907"/>
        <v>12.767261337328069</v>
      </c>
      <c r="BR207" s="263">
        <f t="shared" si="907"/>
        <v>12.767261337328069</v>
      </c>
      <c r="BS207" s="263">
        <f t="shared" si="907"/>
        <v>9.9300921512551632</v>
      </c>
      <c r="BT207" s="282">
        <f t="shared" si="908"/>
        <v>150.3699668618639</v>
      </c>
      <c r="BU207" s="266"/>
      <c r="BV207" s="263">
        <f t="shared" si="909"/>
        <v>0.85115075582187116</v>
      </c>
      <c r="BW207" s="263">
        <f t="shared" si="909"/>
        <v>0.85115075582187116</v>
      </c>
      <c r="BX207" s="263">
        <f t="shared" si="909"/>
        <v>0.85115075582187116</v>
      </c>
      <c r="BY207" s="263">
        <f t="shared" si="909"/>
        <v>0.85115075582187116</v>
      </c>
      <c r="BZ207" s="263">
        <f t="shared" si="909"/>
        <v>0.85115075582187116</v>
      </c>
      <c r="CA207" s="263">
        <f t="shared" si="909"/>
        <v>0.85115075582187116</v>
      </c>
      <c r="CB207" s="263">
        <f t="shared" si="909"/>
        <v>0.85115075582187116</v>
      </c>
      <c r="CC207" s="263">
        <f t="shared" si="909"/>
        <v>0.85115075582187116</v>
      </c>
      <c r="CD207" s="263">
        <f t="shared" si="909"/>
        <v>0.85115075582187116</v>
      </c>
      <c r="CE207" s="263">
        <f t="shared" si="909"/>
        <v>0.85115075582187116</v>
      </c>
      <c r="CF207" s="263">
        <f t="shared" si="909"/>
        <v>0.85115075582187116</v>
      </c>
      <c r="CG207" s="263">
        <f t="shared" si="909"/>
        <v>0.66200614341701092</v>
      </c>
      <c r="CH207" s="282">
        <f t="shared" si="910"/>
        <v>10.024664457457595</v>
      </c>
      <c r="CI207" s="285"/>
      <c r="CJ207" s="263">
        <f t="shared" si="911"/>
        <v>9.3626583140405835</v>
      </c>
      <c r="CK207" s="263">
        <f t="shared" si="911"/>
        <v>9.3626583140405835</v>
      </c>
      <c r="CL207" s="263">
        <f t="shared" si="911"/>
        <v>9.3626583140405835</v>
      </c>
      <c r="CM207" s="263">
        <f t="shared" si="911"/>
        <v>9.3626583140405835</v>
      </c>
      <c r="CN207" s="263">
        <f t="shared" si="911"/>
        <v>9.3626583140405835</v>
      </c>
      <c r="CO207" s="263">
        <f t="shared" si="911"/>
        <v>9.3626583140405835</v>
      </c>
      <c r="CP207" s="263">
        <f t="shared" si="911"/>
        <v>9.3626583140405835</v>
      </c>
      <c r="CQ207" s="263">
        <f t="shared" si="911"/>
        <v>9.3626583140405835</v>
      </c>
      <c r="CR207" s="263">
        <f t="shared" si="911"/>
        <v>9.3626583140405835</v>
      </c>
      <c r="CS207" s="263">
        <f t="shared" si="911"/>
        <v>9.3626583140405835</v>
      </c>
      <c r="CT207" s="263">
        <f t="shared" si="911"/>
        <v>9.3626583140405835</v>
      </c>
      <c r="CU207" s="263">
        <f t="shared" si="911"/>
        <v>7.28206757758712</v>
      </c>
      <c r="CV207" s="282">
        <f t="shared" si="912"/>
        <v>110.27130903203356</v>
      </c>
      <c r="CW207" s="285"/>
      <c r="CX207" s="263">
        <f t="shared" si="913"/>
        <v>23.832221163012392</v>
      </c>
      <c r="CY207" s="263">
        <f t="shared" si="913"/>
        <v>23.832221163012392</v>
      </c>
      <c r="CZ207" s="263">
        <f t="shared" si="913"/>
        <v>23.832221163012392</v>
      </c>
      <c r="DA207" s="263">
        <f t="shared" si="913"/>
        <v>23.832221163012392</v>
      </c>
      <c r="DB207" s="263">
        <f t="shared" si="913"/>
        <v>23.832221163012392</v>
      </c>
      <c r="DC207" s="263">
        <f t="shared" si="913"/>
        <v>23.832221163012392</v>
      </c>
      <c r="DD207" s="263">
        <f t="shared" si="913"/>
        <v>23.832221163012392</v>
      </c>
      <c r="DE207" s="263">
        <f t="shared" si="913"/>
        <v>23.832221163012392</v>
      </c>
      <c r="DF207" s="263">
        <f t="shared" si="913"/>
        <v>23.832221163012392</v>
      </c>
      <c r="DG207" s="263">
        <f t="shared" si="913"/>
        <v>23.832221163012392</v>
      </c>
      <c r="DH207" s="263">
        <f t="shared" si="913"/>
        <v>23.832221163012392</v>
      </c>
      <c r="DI207" s="263">
        <f t="shared" si="913"/>
        <v>18.536172015676307</v>
      </c>
      <c r="DJ207" s="282">
        <f t="shared" si="914"/>
        <v>280.69060480881257</v>
      </c>
      <c r="DK207" s="266"/>
      <c r="DL207" s="263">
        <f t="shared" si="915"/>
        <v>23.832221163012392</v>
      </c>
      <c r="DM207" s="263">
        <f t="shared" si="915"/>
        <v>23.832221163012392</v>
      </c>
      <c r="DN207" s="263">
        <f t="shared" si="915"/>
        <v>23.832221163012392</v>
      </c>
      <c r="DO207" s="263">
        <f t="shared" si="915"/>
        <v>23.832221163012392</v>
      </c>
      <c r="DP207" s="263">
        <f t="shared" si="915"/>
        <v>23.832221163012392</v>
      </c>
      <c r="DQ207" s="263">
        <f t="shared" si="915"/>
        <v>23.832221163012392</v>
      </c>
      <c r="DR207" s="263">
        <f t="shared" si="915"/>
        <v>23.832221163012392</v>
      </c>
      <c r="DS207" s="263">
        <f t="shared" si="915"/>
        <v>23.832221163012392</v>
      </c>
      <c r="DT207" s="263">
        <f t="shared" si="915"/>
        <v>23.832221163012392</v>
      </c>
      <c r="DU207" s="263">
        <f t="shared" si="915"/>
        <v>23.832221163012392</v>
      </c>
      <c r="DV207" s="263">
        <f t="shared" si="915"/>
        <v>23.832221163012392</v>
      </c>
      <c r="DW207" s="263">
        <f t="shared" si="915"/>
        <v>18.536172015676307</v>
      </c>
      <c r="DX207" s="282">
        <f t="shared" si="916"/>
        <v>280.69060480881257</v>
      </c>
      <c r="DY207" s="266"/>
      <c r="DZ207" s="263">
        <f t="shared" si="917"/>
        <v>0.85115075582187116</v>
      </c>
      <c r="EA207" s="263">
        <f t="shared" si="917"/>
        <v>0.85115075582187116</v>
      </c>
      <c r="EB207" s="263">
        <f t="shared" si="917"/>
        <v>0.85115075582187116</v>
      </c>
      <c r="EC207" s="263">
        <f t="shared" si="917"/>
        <v>0.85115075582187116</v>
      </c>
      <c r="ED207" s="263">
        <f t="shared" si="917"/>
        <v>0.85115075582187116</v>
      </c>
      <c r="EE207" s="263">
        <f t="shared" si="917"/>
        <v>0.85115075582187116</v>
      </c>
      <c r="EF207" s="263">
        <f t="shared" si="917"/>
        <v>0.85115075582187116</v>
      </c>
      <c r="EG207" s="263">
        <f t="shared" si="917"/>
        <v>0.85115075582187116</v>
      </c>
      <c r="EH207" s="263">
        <f t="shared" si="917"/>
        <v>0.85115075582187116</v>
      </c>
      <c r="EI207" s="263">
        <f t="shared" si="917"/>
        <v>0.85115075582187116</v>
      </c>
      <c r="EJ207" s="263">
        <f t="shared" si="917"/>
        <v>0.85115075582187116</v>
      </c>
      <c r="EK207" s="263">
        <f t="shared" si="917"/>
        <v>0.66200614341701092</v>
      </c>
      <c r="EL207" s="282">
        <f t="shared" si="918"/>
        <v>10.024664457457595</v>
      </c>
      <c r="EM207" s="266"/>
      <c r="EN207" s="263">
        <f t="shared" si="919"/>
        <v>1.7023015116437423</v>
      </c>
      <c r="EO207" s="263">
        <f t="shared" si="919"/>
        <v>1.7023015116437423</v>
      </c>
      <c r="EP207" s="263">
        <f t="shared" si="919"/>
        <v>1.7023015116437423</v>
      </c>
      <c r="EQ207" s="263">
        <f t="shared" si="919"/>
        <v>1.7023015116437423</v>
      </c>
      <c r="ER207" s="263">
        <f t="shared" si="919"/>
        <v>1.7023015116437423</v>
      </c>
      <c r="ES207" s="263">
        <f t="shared" si="919"/>
        <v>1.7023015116437423</v>
      </c>
      <c r="ET207" s="263">
        <f t="shared" si="919"/>
        <v>1.7023015116437423</v>
      </c>
      <c r="EU207" s="263">
        <f t="shared" si="919"/>
        <v>1.7023015116437423</v>
      </c>
      <c r="EV207" s="263">
        <f t="shared" si="919"/>
        <v>1.7023015116437423</v>
      </c>
      <c r="EW207" s="263">
        <f t="shared" si="919"/>
        <v>1.7023015116437423</v>
      </c>
      <c r="EX207" s="263">
        <f t="shared" si="919"/>
        <v>1.7023015116437423</v>
      </c>
      <c r="EY207" s="263">
        <f t="shared" si="919"/>
        <v>1.3240122868340218</v>
      </c>
      <c r="EZ207" s="282">
        <f t="shared" si="920"/>
        <v>20.04932891491519</v>
      </c>
      <c r="FA207" s="266"/>
      <c r="FB207" s="263">
        <f t="shared" si="921"/>
        <v>0.85115075582187116</v>
      </c>
      <c r="FC207" s="263">
        <f t="shared" si="921"/>
        <v>0.85115075582187116</v>
      </c>
      <c r="FD207" s="263">
        <f t="shared" si="921"/>
        <v>0.85115075582187116</v>
      </c>
      <c r="FE207" s="263">
        <f t="shared" si="921"/>
        <v>0.85115075582187116</v>
      </c>
      <c r="FF207" s="263">
        <f t="shared" si="921"/>
        <v>0.85115075582187116</v>
      </c>
      <c r="FG207" s="263">
        <f t="shared" si="921"/>
        <v>0.85115075582187116</v>
      </c>
      <c r="FH207" s="263">
        <f t="shared" si="921"/>
        <v>0.85115075582187116</v>
      </c>
      <c r="FI207" s="263">
        <f t="shared" si="921"/>
        <v>0.85115075582187116</v>
      </c>
      <c r="FJ207" s="263">
        <f t="shared" si="921"/>
        <v>0.85115075582187116</v>
      </c>
      <c r="FK207" s="263">
        <f t="shared" si="921"/>
        <v>0.85115075582187116</v>
      </c>
      <c r="FL207" s="263">
        <f t="shared" si="921"/>
        <v>0.85115075582187116</v>
      </c>
      <c r="FM207" s="263">
        <f t="shared" si="921"/>
        <v>0.66200614341701092</v>
      </c>
      <c r="FN207" s="282">
        <f t="shared" si="922"/>
        <v>10.024664457457595</v>
      </c>
      <c r="FO207" s="266"/>
      <c r="FP207" s="263">
        <f t="shared" si="923"/>
        <v>5.9580552907530979</v>
      </c>
      <c r="FQ207" s="263">
        <f t="shared" si="923"/>
        <v>5.9580552907530979</v>
      </c>
      <c r="FR207" s="263">
        <f t="shared" si="923"/>
        <v>5.9580552907530979</v>
      </c>
      <c r="FS207" s="263">
        <f t="shared" si="923"/>
        <v>5.9580552907530979</v>
      </c>
      <c r="FT207" s="263">
        <f t="shared" si="923"/>
        <v>5.9580552907530979</v>
      </c>
      <c r="FU207" s="263">
        <f t="shared" si="923"/>
        <v>5.9580552907530979</v>
      </c>
      <c r="FV207" s="263">
        <f t="shared" si="923"/>
        <v>5.9580552907530979</v>
      </c>
      <c r="FW207" s="263">
        <f t="shared" si="923"/>
        <v>5.9580552907530979</v>
      </c>
      <c r="FX207" s="263">
        <f t="shared" si="923"/>
        <v>5.9580552907530979</v>
      </c>
      <c r="FY207" s="263">
        <f t="shared" si="923"/>
        <v>5.9580552907530979</v>
      </c>
      <c r="FZ207" s="263">
        <f t="shared" si="923"/>
        <v>5.9580552907530979</v>
      </c>
      <c r="GA207" s="263">
        <f t="shared" si="923"/>
        <v>4.6340430039190768</v>
      </c>
      <c r="GB207" s="282">
        <f t="shared" si="924"/>
        <v>70.172651202203141</v>
      </c>
      <c r="GC207" s="266"/>
      <c r="GD207" s="263">
        <f t="shared" si="925"/>
        <v>0.85115075582187116</v>
      </c>
      <c r="GE207" s="263">
        <f t="shared" si="925"/>
        <v>0.85115075582187116</v>
      </c>
      <c r="GF207" s="263">
        <f t="shared" si="925"/>
        <v>0.85115075582187116</v>
      </c>
      <c r="GG207" s="263">
        <f t="shared" si="925"/>
        <v>0.85115075582187116</v>
      </c>
      <c r="GH207" s="263">
        <f t="shared" si="925"/>
        <v>0.85115075582187116</v>
      </c>
      <c r="GI207" s="263">
        <f t="shared" si="925"/>
        <v>0.85115075582187116</v>
      </c>
      <c r="GJ207" s="263">
        <f t="shared" si="925"/>
        <v>0.85115075582187116</v>
      </c>
      <c r="GK207" s="263">
        <f t="shared" si="925"/>
        <v>0.85115075582187116</v>
      </c>
      <c r="GL207" s="263">
        <f t="shared" si="925"/>
        <v>0.85115075582187116</v>
      </c>
      <c r="GM207" s="263">
        <f t="shared" si="925"/>
        <v>0.85115075582187116</v>
      </c>
      <c r="GN207" s="263">
        <f t="shared" si="925"/>
        <v>0.85115075582187116</v>
      </c>
      <c r="GO207" s="263">
        <f t="shared" si="925"/>
        <v>0.66200614341701092</v>
      </c>
      <c r="GP207" s="282">
        <f t="shared" si="926"/>
        <v>10.024664457457595</v>
      </c>
      <c r="GQ207" s="266"/>
      <c r="GR207" s="263">
        <f t="shared" si="927"/>
        <v>0</v>
      </c>
      <c r="GS207" s="263">
        <f t="shared" si="927"/>
        <v>0</v>
      </c>
      <c r="GT207" s="263">
        <f t="shared" si="927"/>
        <v>47.664442326024783</v>
      </c>
      <c r="GU207" s="263">
        <f t="shared" si="927"/>
        <v>47.664442326024783</v>
      </c>
      <c r="GV207" s="263">
        <f t="shared" si="927"/>
        <v>47.664442326024783</v>
      </c>
      <c r="GW207" s="263">
        <f t="shared" si="927"/>
        <v>47.664442326024783</v>
      </c>
      <c r="GX207" s="263">
        <f t="shared" si="927"/>
        <v>47.664442326024783</v>
      </c>
      <c r="GY207" s="263">
        <f t="shared" si="927"/>
        <v>47.664442326024783</v>
      </c>
      <c r="GZ207" s="263">
        <f t="shared" si="927"/>
        <v>47.664442326024783</v>
      </c>
      <c r="HA207" s="263">
        <f t="shared" si="927"/>
        <v>47.664442326024783</v>
      </c>
      <c r="HB207" s="263">
        <f t="shared" si="927"/>
        <v>47.664442326024783</v>
      </c>
      <c r="HC207" s="263">
        <f t="shared" si="927"/>
        <v>47.664442326024783</v>
      </c>
      <c r="HD207" s="282">
        <f t="shared" si="947"/>
        <v>0</v>
      </c>
      <c r="HE207" s="266"/>
      <c r="HF207" s="263">
        <f t="shared" si="928"/>
        <v>3.4046030232874847</v>
      </c>
      <c r="HG207" s="263">
        <f t="shared" si="928"/>
        <v>3.4046030232874847</v>
      </c>
      <c r="HH207" s="263">
        <f t="shared" si="928"/>
        <v>3.4046030232874847</v>
      </c>
      <c r="HI207" s="263">
        <f t="shared" si="928"/>
        <v>3.4046030232874847</v>
      </c>
      <c r="HJ207" s="263">
        <f t="shared" si="928"/>
        <v>3.4046030232874847</v>
      </c>
      <c r="HK207" s="263">
        <f t="shared" si="928"/>
        <v>3.4046030232874847</v>
      </c>
      <c r="HL207" s="263">
        <f t="shared" si="928"/>
        <v>3.4046030232874847</v>
      </c>
      <c r="HM207" s="263">
        <f t="shared" si="928"/>
        <v>3.4046030232874847</v>
      </c>
      <c r="HN207" s="263">
        <f t="shared" si="928"/>
        <v>3.4046030232874847</v>
      </c>
      <c r="HO207" s="263">
        <f t="shared" si="928"/>
        <v>3.4046030232874847</v>
      </c>
      <c r="HP207" s="263">
        <f t="shared" si="928"/>
        <v>3.4046030232874847</v>
      </c>
      <c r="HQ207" s="263">
        <f t="shared" si="928"/>
        <v>2.6480245736680437</v>
      </c>
      <c r="HR207" s="282">
        <f t="shared" si="929"/>
        <v>40.09865782983038</v>
      </c>
      <c r="HS207" s="266"/>
      <c r="HT207" s="263">
        <f t="shared" si="930"/>
        <v>0.85115075582187116</v>
      </c>
      <c r="HU207" s="263">
        <f t="shared" si="930"/>
        <v>0.85115075582187116</v>
      </c>
      <c r="HV207" s="263">
        <f t="shared" si="930"/>
        <v>0.85115075582187116</v>
      </c>
      <c r="HW207" s="263">
        <f t="shared" si="930"/>
        <v>0.85115075582187116</v>
      </c>
      <c r="HX207" s="263">
        <f t="shared" si="930"/>
        <v>0.85115075582187116</v>
      </c>
      <c r="HY207" s="263">
        <f t="shared" si="930"/>
        <v>0.85115075582187116</v>
      </c>
      <c r="HZ207" s="263">
        <f t="shared" si="930"/>
        <v>0.85115075582187116</v>
      </c>
      <c r="IA207" s="263">
        <f t="shared" si="930"/>
        <v>0.85115075582187116</v>
      </c>
      <c r="IB207" s="263">
        <f t="shared" si="930"/>
        <v>0.85115075582187116</v>
      </c>
      <c r="IC207" s="263">
        <f t="shared" si="930"/>
        <v>0.85115075582187116</v>
      </c>
      <c r="ID207" s="263">
        <f t="shared" si="930"/>
        <v>0.85115075582187116</v>
      </c>
      <c r="IE207" s="263">
        <f t="shared" si="930"/>
        <v>0.66200614341701092</v>
      </c>
      <c r="IF207" s="282">
        <f t="shared" si="931"/>
        <v>10.024664457457595</v>
      </c>
      <c r="IG207" s="266"/>
      <c r="IH207" s="263">
        <f t="shared" si="932"/>
        <v>0.85115075582187116</v>
      </c>
      <c r="II207" s="263">
        <f t="shared" si="932"/>
        <v>0.85115075582187116</v>
      </c>
      <c r="IJ207" s="263">
        <f t="shared" si="932"/>
        <v>0.85115075582187116</v>
      </c>
      <c r="IK207" s="263">
        <f t="shared" si="932"/>
        <v>0.85115075582187116</v>
      </c>
      <c r="IL207" s="263">
        <f t="shared" si="932"/>
        <v>0.85115075582187116</v>
      </c>
      <c r="IM207" s="263">
        <f t="shared" si="932"/>
        <v>0.85115075582187116</v>
      </c>
      <c r="IN207" s="263">
        <f t="shared" si="932"/>
        <v>0.85115075582187116</v>
      </c>
      <c r="IO207" s="263">
        <f t="shared" si="932"/>
        <v>0.85115075582187116</v>
      </c>
      <c r="IP207" s="263">
        <f t="shared" si="932"/>
        <v>0.85115075582187116</v>
      </c>
      <c r="IQ207" s="263">
        <f t="shared" si="932"/>
        <v>0.85115075582187116</v>
      </c>
      <c r="IR207" s="263">
        <f t="shared" si="932"/>
        <v>0.85115075582187116</v>
      </c>
      <c r="IS207" s="263">
        <f t="shared" si="932"/>
        <v>0.66200614341701092</v>
      </c>
      <c r="IT207" s="282">
        <f t="shared" si="933"/>
        <v>10.024664457457595</v>
      </c>
      <c r="IU207" s="266"/>
      <c r="IV207" s="263">
        <f t="shared" si="934"/>
        <v>5.9580552907530979</v>
      </c>
      <c r="IW207" s="263">
        <f t="shared" si="934"/>
        <v>5.9580552907530979</v>
      </c>
      <c r="IX207" s="263">
        <f t="shared" si="934"/>
        <v>5.9580552907530979</v>
      </c>
      <c r="IY207" s="263">
        <f t="shared" si="934"/>
        <v>5.9580552907530979</v>
      </c>
      <c r="IZ207" s="263">
        <f t="shared" si="934"/>
        <v>5.9580552907530979</v>
      </c>
      <c r="JA207" s="263">
        <f t="shared" si="934"/>
        <v>5.9580552907530979</v>
      </c>
      <c r="JB207" s="263">
        <f t="shared" si="934"/>
        <v>5.9580552907530979</v>
      </c>
      <c r="JC207" s="263">
        <f t="shared" si="934"/>
        <v>5.9580552907530979</v>
      </c>
      <c r="JD207" s="263">
        <f t="shared" si="934"/>
        <v>5.9580552907530979</v>
      </c>
      <c r="JE207" s="263">
        <f t="shared" si="934"/>
        <v>5.9580552907530979</v>
      </c>
      <c r="JF207" s="263">
        <f t="shared" si="934"/>
        <v>5.9580552907530979</v>
      </c>
      <c r="JG207" s="263">
        <f t="shared" si="934"/>
        <v>4.6340430039190768</v>
      </c>
      <c r="JH207" s="282">
        <f t="shared" si="935"/>
        <v>70.172651202203141</v>
      </c>
      <c r="JI207" s="266"/>
      <c r="JJ207" s="263">
        <f t="shared" si="936"/>
        <v>9.3626583140405835</v>
      </c>
      <c r="JK207" s="263">
        <f t="shared" si="936"/>
        <v>9.3626583140405835</v>
      </c>
      <c r="JL207" s="263">
        <f t="shared" si="936"/>
        <v>9.3626583140405835</v>
      </c>
      <c r="JM207" s="263">
        <f t="shared" si="936"/>
        <v>9.3626583140405835</v>
      </c>
      <c r="JN207" s="263">
        <f t="shared" si="936"/>
        <v>9.3626583140405835</v>
      </c>
      <c r="JO207" s="263">
        <f t="shared" si="936"/>
        <v>9.3626583140405835</v>
      </c>
      <c r="JP207" s="263">
        <f t="shared" si="936"/>
        <v>9.3626583140405835</v>
      </c>
      <c r="JQ207" s="263">
        <f t="shared" si="936"/>
        <v>9.3626583140405835</v>
      </c>
      <c r="JR207" s="263">
        <f t="shared" si="936"/>
        <v>9.3626583140405835</v>
      </c>
      <c r="JS207" s="263">
        <f t="shared" si="936"/>
        <v>9.3626583140405835</v>
      </c>
      <c r="JT207" s="263">
        <f t="shared" si="936"/>
        <v>9.3626583140405835</v>
      </c>
      <c r="JU207" s="263">
        <f t="shared" si="936"/>
        <v>7.28206757758712</v>
      </c>
      <c r="JV207" s="282">
        <f t="shared" si="937"/>
        <v>110.27130903203356</v>
      </c>
      <c r="JW207" s="266"/>
      <c r="JX207" s="263">
        <f t="shared" si="938"/>
        <v>4.255753779109356</v>
      </c>
      <c r="JY207" s="263">
        <f t="shared" si="938"/>
        <v>4.255753779109356</v>
      </c>
      <c r="JZ207" s="263">
        <f t="shared" si="938"/>
        <v>4.255753779109356</v>
      </c>
      <c r="KA207" s="263">
        <f t="shared" si="938"/>
        <v>4.255753779109356</v>
      </c>
      <c r="KB207" s="263">
        <f t="shared" si="938"/>
        <v>4.255753779109356</v>
      </c>
      <c r="KC207" s="263">
        <f t="shared" si="938"/>
        <v>4.255753779109356</v>
      </c>
      <c r="KD207" s="263">
        <f t="shared" si="938"/>
        <v>4.255753779109356</v>
      </c>
      <c r="KE207" s="263">
        <f t="shared" si="938"/>
        <v>4.255753779109356</v>
      </c>
      <c r="KF207" s="263">
        <f t="shared" si="938"/>
        <v>4.255753779109356</v>
      </c>
      <c r="KG207" s="263">
        <f t="shared" si="938"/>
        <v>4.255753779109356</v>
      </c>
      <c r="KH207" s="263">
        <f t="shared" si="938"/>
        <v>4.255753779109356</v>
      </c>
      <c r="KI207" s="263">
        <f t="shared" si="938"/>
        <v>3.3100307170850543</v>
      </c>
      <c r="KJ207" s="282">
        <f t="shared" si="939"/>
        <v>50.123322287287969</v>
      </c>
      <c r="KK207" s="266"/>
      <c r="KL207" s="263">
        <f t="shared" si="940"/>
        <v>-25.097031186163694</v>
      </c>
      <c r="KM207" s="263">
        <f t="shared" si="940"/>
        <v>-27.063189432112218</v>
      </c>
      <c r="KN207" s="263">
        <f t="shared" si="940"/>
        <v>-27.063189432112218</v>
      </c>
      <c r="KO207" s="263">
        <f t="shared" si="940"/>
        <v>-27.063189432112218</v>
      </c>
      <c r="KP207" s="263">
        <f t="shared" si="940"/>
        <v>-27.063189432112218</v>
      </c>
      <c r="KQ207" s="263">
        <f t="shared" si="940"/>
        <v>-27.063189432112218</v>
      </c>
      <c r="KR207" s="263">
        <f t="shared" si="940"/>
        <v>-30.435448726678469</v>
      </c>
      <c r="KS207" s="263">
        <f t="shared" si="940"/>
        <v>-30.435448726678469</v>
      </c>
      <c r="KT207" s="263">
        <f t="shared" si="940"/>
        <v>-30.435448726678469</v>
      </c>
      <c r="KU207" s="263">
        <f t="shared" si="940"/>
        <v>-30.435448726678469</v>
      </c>
      <c r="KV207" s="263">
        <f t="shared" si="940"/>
        <v>-30.435448726678469</v>
      </c>
      <c r="KW207" s="263">
        <f t="shared" si="940"/>
        <v>-30.813737951488186</v>
      </c>
      <c r="KX207" s="282">
        <f t="shared" si="941"/>
        <v>-343.4039599316053</v>
      </c>
      <c r="KY207" s="266"/>
      <c r="KZ207" s="263">
        <f t="shared" si="942"/>
        <v>27.650483453629306</v>
      </c>
      <c r="LA207" s="263">
        <f t="shared" si="942"/>
        <v>29.61664169957783</v>
      </c>
      <c r="LB207" s="263">
        <f t="shared" si="942"/>
        <v>29.61664169957783</v>
      </c>
      <c r="LC207" s="263">
        <f t="shared" si="942"/>
        <v>29.61664169957783</v>
      </c>
      <c r="LD207" s="263">
        <f t="shared" si="942"/>
        <v>29.61664169957783</v>
      </c>
      <c r="LE207" s="263">
        <f t="shared" si="942"/>
        <v>29.61664169957783</v>
      </c>
      <c r="LF207" s="263">
        <f t="shared" si="942"/>
        <v>32.988900994144082</v>
      </c>
      <c r="LG207" s="263">
        <f t="shared" si="942"/>
        <v>32.988900994144082</v>
      </c>
      <c r="LH207" s="263">
        <f t="shared" si="942"/>
        <v>32.988900994144082</v>
      </c>
      <c r="LI207" s="263">
        <f t="shared" si="942"/>
        <v>32.988900994144082</v>
      </c>
      <c r="LJ207" s="263">
        <f t="shared" si="942"/>
        <v>32.988900994144082</v>
      </c>
      <c r="LK207" s="263">
        <f t="shared" si="942"/>
        <v>32.799756381739222</v>
      </c>
      <c r="LL207" s="282">
        <f t="shared" si="943"/>
        <v>373.4779533039781</v>
      </c>
      <c r="LM207" s="266"/>
      <c r="LN207" s="263">
        <v>0</v>
      </c>
      <c r="LO207" s="264">
        <v>0</v>
      </c>
      <c r="LP207" s="265">
        <v>0</v>
      </c>
      <c r="LQ207" s="265">
        <v>0</v>
      </c>
      <c r="LR207" s="265">
        <v>0</v>
      </c>
      <c r="LS207" s="265">
        <v>0</v>
      </c>
      <c r="LT207" s="265">
        <v>0</v>
      </c>
      <c r="LU207" s="265">
        <v>0</v>
      </c>
      <c r="LV207" s="265">
        <v>0</v>
      </c>
      <c r="LW207" s="265">
        <v>0</v>
      </c>
      <c r="LX207" s="265">
        <v>0</v>
      </c>
      <c r="LY207" s="265">
        <v>0</v>
      </c>
      <c r="LZ207" s="282">
        <f t="shared" si="944"/>
        <v>0</v>
      </c>
      <c r="MA207" s="266"/>
      <c r="MB207" s="282">
        <f t="shared" si="945"/>
        <v>139.5887239547869</v>
      </c>
      <c r="MC207" s="282">
        <f t="shared" si="945"/>
        <v>139.5887239547869</v>
      </c>
      <c r="MD207" s="282">
        <f t="shared" si="945"/>
        <v>187.25316628081166</v>
      </c>
      <c r="ME207" s="282">
        <f t="shared" si="945"/>
        <v>187.25316628081166</v>
      </c>
      <c r="MF207" s="282">
        <f t="shared" si="945"/>
        <v>187.25316628081166</v>
      </c>
      <c r="MG207" s="282">
        <f t="shared" si="945"/>
        <v>187.25316628081166</v>
      </c>
      <c r="MH207" s="282">
        <f t="shared" si="945"/>
        <v>187.25316628081166</v>
      </c>
      <c r="MI207" s="282">
        <f t="shared" si="945"/>
        <v>187.25316628081166</v>
      </c>
      <c r="MJ207" s="282">
        <f t="shared" si="945"/>
        <v>187.25316628081166</v>
      </c>
      <c r="MK207" s="282">
        <f t="shared" si="945"/>
        <v>187.25316628081166</v>
      </c>
      <c r="ML207" s="282">
        <f t="shared" si="945"/>
        <v>187.25316628081166</v>
      </c>
      <c r="MM207" s="282">
        <f t="shared" si="945"/>
        <v>156.23344984641463</v>
      </c>
      <c r="MN207" s="282">
        <f t="shared" si="948"/>
        <v>2120.6893942832935</v>
      </c>
    </row>
    <row r="208" spans="1:352" x14ac:dyDescent="0.25">
      <c r="A208" s="262"/>
      <c r="B208" s="64" t="s">
        <v>80</v>
      </c>
      <c r="C208" s="98"/>
      <c r="D208" s="263">
        <f t="shared" si="899"/>
        <v>20.569476599028551</v>
      </c>
      <c r="E208" s="263">
        <f t="shared" si="899"/>
        <v>20.569476599028551</v>
      </c>
      <c r="F208" s="263">
        <f t="shared" si="899"/>
        <v>20.569476599028551</v>
      </c>
      <c r="G208" s="263">
        <f t="shared" si="899"/>
        <v>20.569476599028551</v>
      </c>
      <c r="H208" s="263">
        <f t="shared" si="899"/>
        <v>20.569476599028551</v>
      </c>
      <c r="I208" s="263">
        <f t="shared" si="899"/>
        <v>20.569476599028551</v>
      </c>
      <c r="J208" s="263">
        <f t="shared" si="899"/>
        <v>20.569476599028551</v>
      </c>
      <c r="K208" s="263">
        <f t="shared" si="899"/>
        <v>20.569476599028551</v>
      </c>
      <c r="L208" s="263">
        <f t="shared" si="899"/>
        <v>20.569476599028551</v>
      </c>
      <c r="M208" s="263">
        <f t="shared" si="899"/>
        <v>20.569476599028551</v>
      </c>
      <c r="N208" s="263">
        <f t="shared" si="899"/>
        <v>20.569476599028551</v>
      </c>
      <c r="O208" s="263">
        <f t="shared" si="899"/>
        <v>20.569476599028551</v>
      </c>
      <c r="P208" s="230">
        <f t="shared" si="900"/>
        <v>246.8337191883426</v>
      </c>
      <c r="Q208" s="266"/>
      <c r="R208" s="263">
        <f t="shared" si="901"/>
        <v>2.127876889554678</v>
      </c>
      <c r="S208" s="263">
        <f t="shared" si="901"/>
        <v>2.127876889554678</v>
      </c>
      <c r="T208" s="263">
        <f t="shared" si="901"/>
        <v>2.127876889554678</v>
      </c>
      <c r="U208" s="263">
        <f t="shared" si="901"/>
        <v>2.127876889554678</v>
      </c>
      <c r="V208" s="263">
        <f t="shared" si="901"/>
        <v>2.127876889554678</v>
      </c>
      <c r="W208" s="263">
        <f t="shared" si="901"/>
        <v>2.127876889554678</v>
      </c>
      <c r="X208" s="263">
        <f t="shared" si="901"/>
        <v>2.127876889554678</v>
      </c>
      <c r="Y208" s="263">
        <f t="shared" si="901"/>
        <v>2.127876889554678</v>
      </c>
      <c r="Z208" s="263">
        <f t="shared" si="901"/>
        <v>2.127876889554678</v>
      </c>
      <c r="AA208" s="263">
        <f t="shared" si="901"/>
        <v>2.127876889554678</v>
      </c>
      <c r="AB208" s="263">
        <f t="shared" si="901"/>
        <v>2.127876889554678</v>
      </c>
      <c r="AC208" s="263">
        <f t="shared" si="901"/>
        <v>2.127876889554678</v>
      </c>
      <c r="AD208" s="230">
        <f t="shared" si="902"/>
        <v>25.534522674656134</v>
      </c>
      <c r="AE208" s="266"/>
      <c r="AF208" s="263">
        <f t="shared" si="903"/>
        <v>2.127876889554678</v>
      </c>
      <c r="AG208" s="263">
        <f t="shared" si="903"/>
        <v>2.127876889554678</v>
      </c>
      <c r="AH208" s="263">
        <f t="shared" si="903"/>
        <v>2.127876889554678</v>
      </c>
      <c r="AI208" s="263">
        <f t="shared" si="903"/>
        <v>2.127876889554678</v>
      </c>
      <c r="AJ208" s="263">
        <f t="shared" si="903"/>
        <v>2.127876889554678</v>
      </c>
      <c r="AK208" s="263">
        <f t="shared" si="903"/>
        <v>2.127876889554678</v>
      </c>
      <c r="AL208" s="263">
        <f t="shared" si="903"/>
        <v>2.127876889554678</v>
      </c>
      <c r="AM208" s="263">
        <f t="shared" si="903"/>
        <v>2.127876889554678</v>
      </c>
      <c r="AN208" s="263">
        <f t="shared" si="903"/>
        <v>2.127876889554678</v>
      </c>
      <c r="AO208" s="263">
        <f t="shared" si="903"/>
        <v>2.127876889554678</v>
      </c>
      <c r="AP208" s="263">
        <f t="shared" si="903"/>
        <v>2.127876889554678</v>
      </c>
      <c r="AQ208" s="263">
        <f t="shared" si="903"/>
        <v>2.127876889554678</v>
      </c>
      <c r="AR208" s="230">
        <f t="shared" si="904"/>
        <v>25.534522674656134</v>
      </c>
      <c r="AS208" s="266"/>
      <c r="AT208" s="263">
        <f t="shared" si="905"/>
        <v>1.418584593036452</v>
      </c>
      <c r="AU208" s="263">
        <f t="shared" si="905"/>
        <v>1.418584593036452</v>
      </c>
      <c r="AV208" s="263">
        <f t="shared" si="905"/>
        <v>1.418584593036452</v>
      </c>
      <c r="AW208" s="263">
        <f t="shared" si="905"/>
        <v>1.418584593036452</v>
      </c>
      <c r="AX208" s="263">
        <f t="shared" si="905"/>
        <v>1.418584593036452</v>
      </c>
      <c r="AY208" s="263">
        <f t="shared" si="905"/>
        <v>1.418584593036452</v>
      </c>
      <c r="AZ208" s="263">
        <f t="shared" si="905"/>
        <v>1.418584593036452</v>
      </c>
      <c r="BA208" s="263">
        <f t="shared" si="905"/>
        <v>1.418584593036452</v>
      </c>
      <c r="BB208" s="263">
        <f t="shared" si="905"/>
        <v>1.418584593036452</v>
      </c>
      <c r="BC208" s="263">
        <f t="shared" si="905"/>
        <v>1.418584593036452</v>
      </c>
      <c r="BD208" s="263">
        <f t="shared" si="905"/>
        <v>1.418584593036452</v>
      </c>
      <c r="BE208" s="263">
        <f t="shared" si="905"/>
        <v>1.418584593036452</v>
      </c>
      <c r="BF208" s="230">
        <f t="shared" si="906"/>
        <v>17.023015116437428</v>
      </c>
      <c r="BG208" s="224"/>
      <c r="BH208" s="263">
        <f t="shared" si="907"/>
        <v>10.63938444777339</v>
      </c>
      <c r="BI208" s="263">
        <f t="shared" si="907"/>
        <v>10.63938444777339</v>
      </c>
      <c r="BJ208" s="263">
        <f t="shared" si="907"/>
        <v>10.63938444777339</v>
      </c>
      <c r="BK208" s="263">
        <f t="shared" si="907"/>
        <v>10.63938444777339</v>
      </c>
      <c r="BL208" s="263">
        <f t="shared" si="907"/>
        <v>10.63938444777339</v>
      </c>
      <c r="BM208" s="263">
        <f t="shared" si="907"/>
        <v>10.63938444777339</v>
      </c>
      <c r="BN208" s="263">
        <f t="shared" si="907"/>
        <v>10.63938444777339</v>
      </c>
      <c r="BO208" s="263">
        <f t="shared" si="907"/>
        <v>10.63938444777339</v>
      </c>
      <c r="BP208" s="263">
        <f t="shared" si="907"/>
        <v>10.63938444777339</v>
      </c>
      <c r="BQ208" s="263">
        <f t="shared" si="907"/>
        <v>10.63938444777339</v>
      </c>
      <c r="BR208" s="263">
        <f t="shared" si="907"/>
        <v>10.63938444777339</v>
      </c>
      <c r="BS208" s="263">
        <f t="shared" si="907"/>
        <v>10.63938444777339</v>
      </c>
      <c r="BT208" s="230">
        <f t="shared" si="908"/>
        <v>127.6726133732807</v>
      </c>
      <c r="BU208" s="266"/>
      <c r="BV208" s="263">
        <f t="shared" si="909"/>
        <v>0.70929229651822601</v>
      </c>
      <c r="BW208" s="263">
        <f t="shared" si="909"/>
        <v>0.70929229651822601</v>
      </c>
      <c r="BX208" s="263">
        <f t="shared" si="909"/>
        <v>0.70929229651822601</v>
      </c>
      <c r="BY208" s="263">
        <f t="shared" si="909"/>
        <v>0.70929229651822601</v>
      </c>
      <c r="BZ208" s="263">
        <f t="shared" si="909"/>
        <v>0.70929229651822601</v>
      </c>
      <c r="CA208" s="263">
        <f t="shared" si="909"/>
        <v>0.70929229651822601</v>
      </c>
      <c r="CB208" s="263">
        <f t="shared" si="909"/>
        <v>0.70929229651822601</v>
      </c>
      <c r="CC208" s="263">
        <f t="shared" si="909"/>
        <v>0.70929229651822601</v>
      </c>
      <c r="CD208" s="263">
        <f t="shared" si="909"/>
        <v>0.70929229651822601</v>
      </c>
      <c r="CE208" s="263">
        <f t="shared" si="909"/>
        <v>0.70929229651822601</v>
      </c>
      <c r="CF208" s="263">
        <f t="shared" si="909"/>
        <v>0.70929229651822601</v>
      </c>
      <c r="CG208" s="263">
        <f t="shared" si="909"/>
        <v>0.70929229651822601</v>
      </c>
      <c r="CH208" s="230">
        <f t="shared" si="910"/>
        <v>8.5115075582187139</v>
      </c>
      <c r="CI208" s="266"/>
      <c r="CJ208" s="263">
        <f t="shared" si="911"/>
        <v>7.8022152617004865</v>
      </c>
      <c r="CK208" s="263">
        <f t="shared" si="911"/>
        <v>7.8022152617004865</v>
      </c>
      <c r="CL208" s="263">
        <f t="shared" si="911"/>
        <v>7.8022152617004865</v>
      </c>
      <c r="CM208" s="263">
        <f t="shared" si="911"/>
        <v>7.8022152617004865</v>
      </c>
      <c r="CN208" s="263">
        <f t="shared" si="911"/>
        <v>7.8022152617004865</v>
      </c>
      <c r="CO208" s="263">
        <f t="shared" si="911"/>
        <v>7.8022152617004865</v>
      </c>
      <c r="CP208" s="263">
        <f t="shared" si="911"/>
        <v>7.8022152617004865</v>
      </c>
      <c r="CQ208" s="263">
        <f t="shared" si="911"/>
        <v>7.8022152617004865</v>
      </c>
      <c r="CR208" s="263">
        <f t="shared" si="911"/>
        <v>7.8022152617004865</v>
      </c>
      <c r="CS208" s="263">
        <f t="shared" si="911"/>
        <v>7.8022152617004865</v>
      </c>
      <c r="CT208" s="263">
        <f t="shared" si="911"/>
        <v>7.8022152617004865</v>
      </c>
      <c r="CU208" s="263">
        <f t="shared" si="911"/>
        <v>7.8022152617004865</v>
      </c>
      <c r="CV208" s="230">
        <f t="shared" si="912"/>
        <v>93.626583140405828</v>
      </c>
      <c r="CW208" s="266"/>
      <c r="CX208" s="263">
        <f t="shared" si="913"/>
        <v>19.860184302510326</v>
      </c>
      <c r="CY208" s="263">
        <f t="shared" si="913"/>
        <v>19.860184302510326</v>
      </c>
      <c r="CZ208" s="263">
        <f t="shared" si="913"/>
        <v>19.860184302510326</v>
      </c>
      <c r="DA208" s="263">
        <f t="shared" si="913"/>
        <v>19.860184302510326</v>
      </c>
      <c r="DB208" s="263">
        <f t="shared" si="913"/>
        <v>19.860184302510326</v>
      </c>
      <c r="DC208" s="263">
        <f t="shared" si="913"/>
        <v>19.860184302510326</v>
      </c>
      <c r="DD208" s="263">
        <f t="shared" si="913"/>
        <v>19.860184302510326</v>
      </c>
      <c r="DE208" s="263">
        <f t="shared" si="913"/>
        <v>19.860184302510326</v>
      </c>
      <c r="DF208" s="263">
        <f t="shared" si="913"/>
        <v>19.860184302510326</v>
      </c>
      <c r="DG208" s="263">
        <f t="shared" si="913"/>
        <v>19.860184302510326</v>
      </c>
      <c r="DH208" s="263">
        <f t="shared" si="913"/>
        <v>19.860184302510326</v>
      </c>
      <c r="DI208" s="263">
        <f t="shared" si="913"/>
        <v>19.860184302510326</v>
      </c>
      <c r="DJ208" s="230">
        <f t="shared" si="914"/>
        <v>238.32221163012397</v>
      </c>
      <c r="DK208" s="266"/>
      <c r="DL208" s="263">
        <f t="shared" si="915"/>
        <v>169.86018430251031</v>
      </c>
      <c r="DM208" s="263">
        <f t="shared" si="915"/>
        <v>169.86018430251031</v>
      </c>
      <c r="DN208" s="263">
        <f t="shared" si="915"/>
        <v>169.86018430251031</v>
      </c>
      <c r="DO208" s="263">
        <f t="shared" si="915"/>
        <v>169.86018430251031</v>
      </c>
      <c r="DP208" s="263">
        <f t="shared" si="915"/>
        <v>169.86018430251031</v>
      </c>
      <c r="DQ208" s="263">
        <f t="shared" si="915"/>
        <v>169.86018430251031</v>
      </c>
      <c r="DR208" s="263">
        <f t="shared" si="915"/>
        <v>169.86018430251031</v>
      </c>
      <c r="DS208" s="263">
        <f t="shared" si="915"/>
        <v>169.86018430251031</v>
      </c>
      <c r="DT208" s="263">
        <f t="shared" si="915"/>
        <v>169.86018430251031</v>
      </c>
      <c r="DU208" s="263">
        <f t="shared" si="915"/>
        <v>169.86018430251031</v>
      </c>
      <c r="DV208" s="263">
        <f t="shared" si="915"/>
        <v>169.86018430251031</v>
      </c>
      <c r="DW208" s="263">
        <f t="shared" si="915"/>
        <v>169.86018430251031</v>
      </c>
      <c r="DX208" s="230">
        <f t="shared" si="916"/>
        <v>2038.3222116301238</v>
      </c>
      <c r="DY208" s="266"/>
      <c r="DZ208" s="263">
        <f t="shared" si="917"/>
        <v>0.70929229651822601</v>
      </c>
      <c r="EA208" s="263">
        <f t="shared" si="917"/>
        <v>0.70929229651822601</v>
      </c>
      <c r="EB208" s="263">
        <f t="shared" si="917"/>
        <v>0.70929229651822601</v>
      </c>
      <c r="EC208" s="263">
        <f t="shared" si="917"/>
        <v>0.70929229651822601</v>
      </c>
      <c r="ED208" s="263">
        <f t="shared" si="917"/>
        <v>0.70929229651822601</v>
      </c>
      <c r="EE208" s="263">
        <f t="shared" si="917"/>
        <v>0.70929229651822601</v>
      </c>
      <c r="EF208" s="263">
        <f t="shared" si="917"/>
        <v>0.70929229651822601</v>
      </c>
      <c r="EG208" s="263">
        <f t="shared" si="917"/>
        <v>0.70929229651822601</v>
      </c>
      <c r="EH208" s="263">
        <f t="shared" si="917"/>
        <v>0.70929229651822601</v>
      </c>
      <c r="EI208" s="263">
        <f t="shared" si="917"/>
        <v>0.70929229651822601</v>
      </c>
      <c r="EJ208" s="263">
        <f t="shared" si="917"/>
        <v>0.70929229651822601</v>
      </c>
      <c r="EK208" s="263">
        <f t="shared" si="917"/>
        <v>0.70929229651822601</v>
      </c>
      <c r="EL208" s="230">
        <f t="shared" si="918"/>
        <v>8.5115075582187139</v>
      </c>
      <c r="EM208" s="266"/>
      <c r="EN208" s="263">
        <f t="shared" si="919"/>
        <v>1.418584593036452</v>
      </c>
      <c r="EO208" s="263">
        <f t="shared" si="919"/>
        <v>1.418584593036452</v>
      </c>
      <c r="EP208" s="263">
        <f t="shared" si="919"/>
        <v>1.418584593036452</v>
      </c>
      <c r="EQ208" s="263">
        <f t="shared" si="919"/>
        <v>1.418584593036452</v>
      </c>
      <c r="ER208" s="263">
        <f t="shared" si="919"/>
        <v>1.418584593036452</v>
      </c>
      <c r="ES208" s="263">
        <f t="shared" si="919"/>
        <v>1.418584593036452</v>
      </c>
      <c r="ET208" s="263">
        <f t="shared" si="919"/>
        <v>1.418584593036452</v>
      </c>
      <c r="EU208" s="263">
        <f t="shared" si="919"/>
        <v>1.418584593036452</v>
      </c>
      <c r="EV208" s="263">
        <f t="shared" si="919"/>
        <v>1.418584593036452</v>
      </c>
      <c r="EW208" s="263">
        <f t="shared" si="919"/>
        <v>1.418584593036452</v>
      </c>
      <c r="EX208" s="263">
        <f t="shared" si="919"/>
        <v>1.418584593036452</v>
      </c>
      <c r="EY208" s="263">
        <f t="shared" si="919"/>
        <v>1.418584593036452</v>
      </c>
      <c r="EZ208" s="230">
        <f t="shared" si="920"/>
        <v>17.023015116437428</v>
      </c>
      <c r="FA208" s="266"/>
      <c r="FB208" s="263">
        <f t="shared" si="921"/>
        <v>0.70929229651822601</v>
      </c>
      <c r="FC208" s="263">
        <f t="shared" si="921"/>
        <v>0.70929229651822601</v>
      </c>
      <c r="FD208" s="263">
        <f t="shared" si="921"/>
        <v>0.70929229651822601</v>
      </c>
      <c r="FE208" s="263">
        <f t="shared" si="921"/>
        <v>0.70929229651822601</v>
      </c>
      <c r="FF208" s="263">
        <f t="shared" si="921"/>
        <v>0.70929229651822601</v>
      </c>
      <c r="FG208" s="263">
        <f t="shared" si="921"/>
        <v>0.70929229651822601</v>
      </c>
      <c r="FH208" s="263">
        <f t="shared" si="921"/>
        <v>0.70929229651822601</v>
      </c>
      <c r="FI208" s="263">
        <f t="shared" si="921"/>
        <v>0.70929229651822601</v>
      </c>
      <c r="FJ208" s="263">
        <f t="shared" si="921"/>
        <v>0.70929229651822601</v>
      </c>
      <c r="FK208" s="263">
        <f t="shared" si="921"/>
        <v>0.70929229651822601</v>
      </c>
      <c r="FL208" s="263">
        <f t="shared" si="921"/>
        <v>0.70929229651822601</v>
      </c>
      <c r="FM208" s="263">
        <f t="shared" si="921"/>
        <v>0.70929229651822601</v>
      </c>
      <c r="FN208" s="230">
        <f t="shared" si="922"/>
        <v>8.5115075582187139</v>
      </c>
      <c r="FO208" s="266"/>
      <c r="FP208" s="263">
        <f t="shared" si="923"/>
        <v>4.9650460756275816</v>
      </c>
      <c r="FQ208" s="263">
        <f t="shared" si="923"/>
        <v>4.9650460756275816</v>
      </c>
      <c r="FR208" s="263">
        <f t="shared" si="923"/>
        <v>4.9650460756275816</v>
      </c>
      <c r="FS208" s="263">
        <f t="shared" si="923"/>
        <v>4.9650460756275816</v>
      </c>
      <c r="FT208" s="263">
        <f t="shared" si="923"/>
        <v>4.9650460756275816</v>
      </c>
      <c r="FU208" s="263">
        <f t="shared" si="923"/>
        <v>4.9650460756275816</v>
      </c>
      <c r="FV208" s="263">
        <f t="shared" si="923"/>
        <v>4.9650460756275816</v>
      </c>
      <c r="FW208" s="263">
        <f t="shared" si="923"/>
        <v>4.9650460756275816</v>
      </c>
      <c r="FX208" s="263">
        <f t="shared" si="923"/>
        <v>4.9650460756275816</v>
      </c>
      <c r="FY208" s="263">
        <f t="shared" si="923"/>
        <v>4.9650460756275816</v>
      </c>
      <c r="FZ208" s="263">
        <f t="shared" si="923"/>
        <v>4.9650460756275816</v>
      </c>
      <c r="GA208" s="263">
        <f t="shared" si="923"/>
        <v>4.9650460756275816</v>
      </c>
      <c r="GB208" s="230">
        <f t="shared" si="924"/>
        <v>59.580552907530993</v>
      </c>
      <c r="GC208" s="266"/>
      <c r="GD208" s="263">
        <f t="shared" si="925"/>
        <v>0.70929229651822601</v>
      </c>
      <c r="GE208" s="263">
        <f t="shared" si="925"/>
        <v>0.70929229651822601</v>
      </c>
      <c r="GF208" s="263">
        <f t="shared" si="925"/>
        <v>0.70929229651822601</v>
      </c>
      <c r="GG208" s="263">
        <f t="shared" si="925"/>
        <v>0.70929229651822601</v>
      </c>
      <c r="GH208" s="263">
        <f t="shared" si="925"/>
        <v>0.70929229651822601</v>
      </c>
      <c r="GI208" s="263">
        <f t="shared" si="925"/>
        <v>0.70929229651822601</v>
      </c>
      <c r="GJ208" s="263">
        <f t="shared" si="925"/>
        <v>0.70929229651822601</v>
      </c>
      <c r="GK208" s="263">
        <f t="shared" si="925"/>
        <v>0.70929229651822601</v>
      </c>
      <c r="GL208" s="263">
        <f t="shared" si="925"/>
        <v>0.70929229651822601</v>
      </c>
      <c r="GM208" s="263">
        <f t="shared" si="925"/>
        <v>0.70929229651822601</v>
      </c>
      <c r="GN208" s="263">
        <f t="shared" si="925"/>
        <v>0.70929229651822601</v>
      </c>
      <c r="GO208" s="263">
        <f t="shared" si="925"/>
        <v>0.70929229651822601</v>
      </c>
      <c r="GP208" s="230">
        <f t="shared" si="926"/>
        <v>8.5115075582187139</v>
      </c>
      <c r="GQ208" s="266"/>
      <c r="GR208" s="263">
        <f t="shared" si="927"/>
        <v>0</v>
      </c>
      <c r="GS208" s="263">
        <f t="shared" si="927"/>
        <v>0</v>
      </c>
      <c r="GT208" s="263">
        <f t="shared" si="927"/>
        <v>0</v>
      </c>
      <c r="GU208" s="263">
        <f t="shared" si="927"/>
        <v>0</v>
      </c>
      <c r="GV208" s="263">
        <f t="shared" si="927"/>
        <v>0</v>
      </c>
      <c r="GW208" s="263">
        <f t="shared" si="927"/>
        <v>0</v>
      </c>
      <c r="GX208" s="263">
        <f t="shared" si="927"/>
        <v>0</v>
      </c>
      <c r="GY208" s="263">
        <f t="shared" si="927"/>
        <v>0</v>
      </c>
      <c r="GZ208" s="263">
        <f t="shared" si="927"/>
        <v>0</v>
      </c>
      <c r="HA208" s="263">
        <f t="shared" si="927"/>
        <v>0</v>
      </c>
      <c r="HB208" s="263">
        <f t="shared" si="927"/>
        <v>0</v>
      </c>
      <c r="HC208" s="263">
        <f t="shared" si="927"/>
        <v>0</v>
      </c>
      <c r="HD208" s="230">
        <f t="shared" si="947"/>
        <v>0</v>
      </c>
      <c r="HE208" s="266"/>
      <c r="HF208" s="263">
        <f t="shared" si="928"/>
        <v>2.837169186072904</v>
      </c>
      <c r="HG208" s="263">
        <f t="shared" si="928"/>
        <v>2.837169186072904</v>
      </c>
      <c r="HH208" s="263">
        <f t="shared" si="928"/>
        <v>2.837169186072904</v>
      </c>
      <c r="HI208" s="263">
        <f t="shared" si="928"/>
        <v>2.837169186072904</v>
      </c>
      <c r="HJ208" s="263">
        <f t="shared" si="928"/>
        <v>2.837169186072904</v>
      </c>
      <c r="HK208" s="263">
        <f t="shared" si="928"/>
        <v>2.837169186072904</v>
      </c>
      <c r="HL208" s="263">
        <f t="shared" si="928"/>
        <v>2.837169186072904</v>
      </c>
      <c r="HM208" s="263">
        <f t="shared" si="928"/>
        <v>2.837169186072904</v>
      </c>
      <c r="HN208" s="263">
        <f t="shared" si="928"/>
        <v>2.837169186072904</v>
      </c>
      <c r="HO208" s="263">
        <f t="shared" si="928"/>
        <v>2.837169186072904</v>
      </c>
      <c r="HP208" s="263">
        <f t="shared" si="928"/>
        <v>2.837169186072904</v>
      </c>
      <c r="HQ208" s="263">
        <f t="shared" si="928"/>
        <v>2.837169186072904</v>
      </c>
      <c r="HR208" s="230">
        <f t="shared" si="929"/>
        <v>34.046030232874855</v>
      </c>
      <c r="HS208" s="266"/>
      <c r="HT208" s="263">
        <f t="shared" si="930"/>
        <v>0.70929229651822601</v>
      </c>
      <c r="HU208" s="263">
        <f t="shared" si="930"/>
        <v>0.70929229651822601</v>
      </c>
      <c r="HV208" s="263">
        <f t="shared" si="930"/>
        <v>0.70929229651822601</v>
      </c>
      <c r="HW208" s="263">
        <f t="shared" si="930"/>
        <v>0.70929229651822601</v>
      </c>
      <c r="HX208" s="263">
        <f t="shared" si="930"/>
        <v>0.70929229651822601</v>
      </c>
      <c r="HY208" s="263">
        <f t="shared" si="930"/>
        <v>0.70929229651822601</v>
      </c>
      <c r="HZ208" s="263">
        <f t="shared" si="930"/>
        <v>0.70929229651822601</v>
      </c>
      <c r="IA208" s="263">
        <f t="shared" si="930"/>
        <v>0.70929229651822601</v>
      </c>
      <c r="IB208" s="263">
        <f t="shared" si="930"/>
        <v>0.70929229651822601</v>
      </c>
      <c r="IC208" s="263">
        <f t="shared" si="930"/>
        <v>0.70929229651822601</v>
      </c>
      <c r="ID208" s="263">
        <f t="shared" si="930"/>
        <v>0.70929229651822601</v>
      </c>
      <c r="IE208" s="263">
        <f t="shared" si="930"/>
        <v>0.70929229651822601</v>
      </c>
      <c r="IF208" s="230">
        <f t="shared" si="931"/>
        <v>8.5115075582187139</v>
      </c>
      <c r="IG208" s="266"/>
      <c r="IH208" s="263">
        <f t="shared" si="932"/>
        <v>0.70929229651822601</v>
      </c>
      <c r="II208" s="263">
        <f t="shared" si="932"/>
        <v>0.70929229651822601</v>
      </c>
      <c r="IJ208" s="263">
        <f t="shared" si="932"/>
        <v>0.70929229651822601</v>
      </c>
      <c r="IK208" s="263">
        <f t="shared" si="932"/>
        <v>0.70929229651822601</v>
      </c>
      <c r="IL208" s="263">
        <f t="shared" si="932"/>
        <v>0.70929229651822601</v>
      </c>
      <c r="IM208" s="263">
        <f t="shared" si="932"/>
        <v>0.70929229651822601</v>
      </c>
      <c r="IN208" s="263">
        <f t="shared" si="932"/>
        <v>0.70929229651822601</v>
      </c>
      <c r="IO208" s="263">
        <f t="shared" si="932"/>
        <v>0.70929229651822601</v>
      </c>
      <c r="IP208" s="263">
        <f t="shared" si="932"/>
        <v>0.70929229651822601</v>
      </c>
      <c r="IQ208" s="263">
        <f t="shared" si="932"/>
        <v>0.70929229651822601</v>
      </c>
      <c r="IR208" s="263">
        <f t="shared" si="932"/>
        <v>0.70929229651822601</v>
      </c>
      <c r="IS208" s="263">
        <f t="shared" si="932"/>
        <v>0.70929229651822601</v>
      </c>
      <c r="IT208" s="230">
        <f t="shared" si="933"/>
        <v>8.5115075582187139</v>
      </c>
      <c r="IU208" s="266"/>
      <c r="IV208" s="263">
        <f t="shared" si="934"/>
        <v>4.9650460756275816</v>
      </c>
      <c r="IW208" s="263">
        <f t="shared" si="934"/>
        <v>4.9650460756275816</v>
      </c>
      <c r="IX208" s="263">
        <f t="shared" si="934"/>
        <v>4.9650460756275816</v>
      </c>
      <c r="IY208" s="263">
        <f t="shared" si="934"/>
        <v>4.9650460756275816</v>
      </c>
      <c r="IZ208" s="263">
        <f t="shared" si="934"/>
        <v>4.9650460756275816</v>
      </c>
      <c r="JA208" s="263">
        <f t="shared" si="934"/>
        <v>4.9650460756275816</v>
      </c>
      <c r="JB208" s="263">
        <f t="shared" si="934"/>
        <v>4.9650460756275816</v>
      </c>
      <c r="JC208" s="263">
        <f t="shared" si="934"/>
        <v>4.9650460756275816</v>
      </c>
      <c r="JD208" s="263">
        <f t="shared" si="934"/>
        <v>4.9650460756275816</v>
      </c>
      <c r="JE208" s="263">
        <f t="shared" si="934"/>
        <v>4.9650460756275816</v>
      </c>
      <c r="JF208" s="263">
        <f t="shared" si="934"/>
        <v>4.9650460756275816</v>
      </c>
      <c r="JG208" s="263">
        <f t="shared" si="934"/>
        <v>4.9650460756275816</v>
      </c>
      <c r="JH208" s="230">
        <f t="shared" si="935"/>
        <v>59.580552907530993</v>
      </c>
      <c r="JI208" s="266"/>
      <c r="JJ208" s="263">
        <f t="shared" si="936"/>
        <v>7.8022152617004865</v>
      </c>
      <c r="JK208" s="263">
        <f t="shared" si="936"/>
        <v>7.8022152617004865</v>
      </c>
      <c r="JL208" s="263">
        <f t="shared" si="936"/>
        <v>7.8022152617004865</v>
      </c>
      <c r="JM208" s="263">
        <f t="shared" si="936"/>
        <v>7.8022152617004865</v>
      </c>
      <c r="JN208" s="263">
        <f t="shared" si="936"/>
        <v>7.8022152617004865</v>
      </c>
      <c r="JO208" s="263">
        <f t="shared" si="936"/>
        <v>7.8022152617004865</v>
      </c>
      <c r="JP208" s="263">
        <f t="shared" si="936"/>
        <v>7.8022152617004865</v>
      </c>
      <c r="JQ208" s="263">
        <f t="shared" si="936"/>
        <v>7.8022152617004865</v>
      </c>
      <c r="JR208" s="263">
        <f t="shared" si="936"/>
        <v>7.8022152617004865</v>
      </c>
      <c r="JS208" s="263">
        <f t="shared" si="936"/>
        <v>7.8022152617004865</v>
      </c>
      <c r="JT208" s="263">
        <f t="shared" si="936"/>
        <v>7.8022152617004865</v>
      </c>
      <c r="JU208" s="263">
        <f t="shared" si="936"/>
        <v>7.8022152617004865</v>
      </c>
      <c r="JV208" s="230">
        <f t="shared" si="937"/>
        <v>93.626583140405828</v>
      </c>
      <c r="JW208" s="266"/>
      <c r="JX208" s="263">
        <f t="shared" si="938"/>
        <v>3.54646148259113</v>
      </c>
      <c r="JY208" s="263">
        <f t="shared" si="938"/>
        <v>3.54646148259113</v>
      </c>
      <c r="JZ208" s="263">
        <f t="shared" si="938"/>
        <v>3.54646148259113</v>
      </c>
      <c r="KA208" s="263">
        <f t="shared" si="938"/>
        <v>3.54646148259113</v>
      </c>
      <c r="KB208" s="263">
        <f t="shared" si="938"/>
        <v>3.54646148259113</v>
      </c>
      <c r="KC208" s="263">
        <f t="shared" si="938"/>
        <v>3.54646148259113</v>
      </c>
      <c r="KD208" s="263">
        <f t="shared" si="938"/>
        <v>3.54646148259113</v>
      </c>
      <c r="KE208" s="263">
        <f t="shared" si="938"/>
        <v>3.54646148259113</v>
      </c>
      <c r="KF208" s="263">
        <f t="shared" si="938"/>
        <v>3.54646148259113</v>
      </c>
      <c r="KG208" s="263">
        <f t="shared" si="938"/>
        <v>3.54646148259113</v>
      </c>
      <c r="KH208" s="263">
        <f t="shared" si="938"/>
        <v>3.54646148259113</v>
      </c>
      <c r="KI208" s="263">
        <f t="shared" si="938"/>
        <v>3.54646148259113</v>
      </c>
      <c r="KJ208" s="230">
        <f t="shared" si="939"/>
        <v>42.557537791093552</v>
      </c>
      <c r="KK208" s="266"/>
      <c r="KL208" s="263">
        <f t="shared" si="940"/>
        <v>1.418584593036452</v>
      </c>
      <c r="KM208" s="263">
        <f t="shared" si="940"/>
        <v>1.418584593036452</v>
      </c>
      <c r="KN208" s="263">
        <f t="shared" si="940"/>
        <v>1.418584593036452</v>
      </c>
      <c r="KO208" s="263">
        <f t="shared" si="940"/>
        <v>1.418584593036452</v>
      </c>
      <c r="KP208" s="263">
        <f t="shared" si="940"/>
        <v>1.418584593036452</v>
      </c>
      <c r="KQ208" s="263">
        <f t="shared" si="940"/>
        <v>1.418584593036452</v>
      </c>
      <c r="KR208" s="263">
        <f t="shared" si="940"/>
        <v>1.418584593036452</v>
      </c>
      <c r="KS208" s="263">
        <f t="shared" si="940"/>
        <v>1.418584593036452</v>
      </c>
      <c r="KT208" s="263">
        <f t="shared" si="940"/>
        <v>1.418584593036452</v>
      </c>
      <c r="KU208" s="263">
        <f t="shared" si="940"/>
        <v>1.418584593036452</v>
      </c>
      <c r="KV208" s="263">
        <f t="shared" si="940"/>
        <v>1.418584593036452</v>
      </c>
      <c r="KW208" s="263">
        <f t="shared" si="940"/>
        <v>1.418584593036452</v>
      </c>
      <c r="KX208" s="230">
        <f t="shared" si="941"/>
        <v>17.023015116437428</v>
      </c>
      <c r="KY208" s="266"/>
      <c r="KZ208" s="263">
        <f t="shared" si="942"/>
        <v>0.70929229651822601</v>
      </c>
      <c r="LA208" s="263">
        <f t="shared" si="942"/>
        <v>0.70929229651822601</v>
      </c>
      <c r="LB208" s="263">
        <f t="shared" si="942"/>
        <v>0.70929229651822601</v>
      </c>
      <c r="LC208" s="263">
        <f t="shared" si="942"/>
        <v>0.70929229651822601</v>
      </c>
      <c r="LD208" s="263">
        <f t="shared" si="942"/>
        <v>0.70929229651822601</v>
      </c>
      <c r="LE208" s="263">
        <f t="shared" si="942"/>
        <v>0.70929229651822601</v>
      </c>
      <c r="LF208" s="263">
        <f t="shared" si="942"/>
        <v>0.70929229651822601</v>
      </c>
      <c r="LG208" s="263">
        <f t="shared" si="942"/>
        <v>0.70929229651822601</v>
      </c>
      <c r="LH208" s="263">
        <f t="shared" si="942"/>
        <v>0.70929229651822601</v>
      </c>
      <c r="LI208" s="263">
        <f t="shared" si="942"/>
        <v>0.70929229651822601</v>
      </c>
      <c r="LJ208" s="263">
        <f t="shared" si="942"/>
        <v>0.70929229651822601</v>
      </c>
      <c r="LK208" s="263">
        <f t="shared" si="942"/>
        <v>0.70929229651822601</v>
      </c>
      <c r="LL208" s="230">
        <f t="shared" si="943"/>
        <v>8.5115075582187139</v>
      </c>
      <c r="LM208" s="266"/>
      <c r="LN208" s="263">
        <v>0</v>
      </c>
      <c r="LO208" s="264">
        <v>0</v>
      </c>
      <c r="LP208" s="265">
        <v>0</v>
      </c>
      <c r="LQ208" s="265">
        <v>0</v>
      </c>
      <c r="LR208" s="265">
        <v>0</v>
      </c>
      <c r="LS208" s="265">
        <v>0</v>
      </c>
      <c r="LT208" s="265">
        <v>0</v>
      </c>
      <c r="LU208" s="265">
        <v>0</v>
      </c>
      <c r="LV208" s="265">
        <v>0</v>
      </c>
      <c r="LW208" s="265">
        <v>0</v>
      </c>
      <c r="LX208" s="265">
        <v>0</v>
      </c>
      <c r="LY208" s="265">
        <v>0</v>
      </c>
      <c r="LZ208" s="230">
        <f t="shared" si="944"/>
        <v>0</v>
      </c>
      <c r="MA208" s="266"/>
      <c r="MB208" s="230">
        <f t="shared" si="945"/>
        <v>266.32393662898903</v>
      </c>
      <c r="MC208" s="230">
        <f t="shared" si="945"/>
        <v>266.32393662898903</v>
      </c>
      <c r="MD208" s="230">
        <f t="shared" si="945"/>
        <v>266.32393662898903</v>
      </c>
      <c r="ME208" s="230">
        <f t="shared" si="945"/>
        <v>266.32393662898903</v>
      </c>
      <c r="MF208" s="230">
        <f t="shared" si="945"/>
        <v>266.32393662898903</v>
      </c>
      <c r="MG208" s="230">
        <f t="shared" si="945"/>
        <v>266.32393662898903</v>
      </c>
      <c r="MH208" s="230">
        <f t="shared" si="945"/>
        <v>266.32393662898903</v>
      </c>
      <c r="MI208" s="230">
        <f t="shared" si="945"/>
        <v>266.32393662898903</v>
      </c>
      <c r="MJ208" s="230">
        <f t="shared" si="945"/>
        <v>266.32393662898903</v>
      </c>
      <c r="MK208" s="230">
        <f t="shared" si="945"/>
        <v>266.32393662898903</v>
      </c>
      <c r="ML208" s="230">
        <f t="shared" si="945"/>
        <v>266.32393662898903</v>
      </c>
      <c r="MM208" s="230">
        <f t="shared" si="945"/>
        <v>266.32393662898903</v>
      </c>
      <c r="MN208" s="230">
        <f t="shared" si="948"/>
        <v>3195.8872395478684</v>
      </c>
    </row>
    <row r="209" spans="1:352" x14ac:dyDescent="0.25">
      <c r="A209" s="262"/>
      <c r="B209" s="64" t="s">
        <v>81</v>
      </c>
      <c r="C209" s="98"/>
      <c r="D209" s="263">
        <f t="shared" si="899"/>
        <v>141.2437393133294</v>
      </c>
      <c r="E209" s="263">
        <f t="shared" si="899"/>
        <v>141.2437393133294</v>
      </c>
      <c r="F209" s="263">
        <f t="shared" si="899"/>
        <v>141.2437393133294</v>
      </c>
      <c r="G209" s="263">
        <f t="shared" si="899"/>
        <v>141.2437393133294</v>
      </c>
      <c r="H209" s="263">
        <f t="shared" si="899"/>
        <v>141.2437393133294</v>
      </c>
      <c r="I209" s="263">
        <f t="shared" si="899"/>
        <v>141.2437393133294</v>
      </c>
      <c r="J209" s="263">
        <f t="shared" si="899"/>
        <v>141.2437393133294</v>
      </c>
      <c r="K209" s="263">
        <f t="shared" si="899"/>
        <v>141.2437393133294</v>
      </c>
      <c r="L209" s="263">
        <f t="shared" si="899"/>
        <v>141.2437393133294</v>
      </c>
      <c r="M209" s="263">
        <f t="shared" si="899"/>
        <v>141.2437393133294</v>
      </c>
      <c r="N209" s="263">
        <f t="shared" si="899"/>
        <v>141.2437393133294</v>
      </c>
      <c r="O209" s="263">
        <f t="shared" si="899"/>
        <v>141.2437393133294</v>
      </c>
      <c r="P209" s="230">
        <f t="shared" si="900"/>
        <v>1694.9248717599523</v>
      </c>
      <c r="Q209" s="266"/>
      <c r="R209" s="263">
        <f t="shared" si="901"/>
        <v>14.611421308275455</v>
      </c>
      <c r="S209" s="263">
        <f t="shared" si="901"/>
        <v>14.611421308275455</v>
      </c>
      <c r="T209" s="263">
        <f t="shared" si="901"/>
        <v>14.611421308275455</v>
      </c>
      <c r="U209" s="263">
        <f t="shared" si="901"/>
        <v>14.611421308275455</v>
      </c>
      <c r="V209" s="263">
        <f t="shared" si="901"/>
        <v>14.611421308275455</v>
      </c>
      <c r="W209" s="263">
        <f t="shared" si="901"/>
        <v>14.611421308275455</v>
      </c>
      <c r="X209" s="263">
        <f t="shared" si="901"/>
        <v>14.611421308275455</v>
      </c>
      <c r="Y209" s="263">
        <f t="shared" si="901"/>
        <v>14.611421308275455</v>
      </c>
      <c r="Z209" s="263">
        <f t="shared" si="901"/>
        <v>14.611421308275455</v>
      </c>
      <c r="AA209" s="263">
        <f t="shared" si="901"/>
        <v>14.611421308275455</v>
      </c>
      <c r="AB209" s="263">
        <f t="shared" si="901"/>
        <v>14.611421308275455</v>
      </c>
      <c r="AC209" s="263">
        <f t="shared" si="901"/>
        <v>14.611421308275455</v>
      </c>
      <c r="AD209" s="230">
        <f t="shared" si="902"/>
        <v>175.33705569930547</v>
      </c>
      <c r="AE209" s="266"/>
      <c r="AF209" s="263">
        <f t="shared" si="903"/>
        <v>14.611421308275455</v>
      </c>
      <c r="AG209" s="263">
        <f t="shared" si="903"/>
        <v>14.611421308275455</v>
      </c>
      <c r="AH209" s="263">
        <f t="shared" si="903"/>
        <v>14.611421308275455</v>
      </c>
      <c r="AI209" s="263">
        <f t="shared" si="903"/>
        <v>14.611421308275455</v>
      </c>
      <c r="AJ209" s="263">
        <f t="shared" si="903"/>
        <v>14.611421308275455</v>
      </c>
      <c r="AK209" s="263">
        <f t="shared" si="903"/>
        <v>14.611421308275455</v>
      </c>
      <c r="AL209" s="263">
        <f t="shared" si="903"/>
        <v>14.611421308275455</v>
      </c>
      <c r="AM209" s="263">
        <f t="shared" si="903"/>
        <v>14.611421308275455</v>
      </c>
      <c r="AN209" s="263">
        <f t="shared" si="903"/>
        <v>14.611421308275455</v>
      </c>
      <c r="AO209" s="263">
        <f t="shared" si="903"/>
        <v>14.611421308275455</v>
      </c>
      <c r="AP209" s="263">
        <f t="shared" si="903"/>
        <v>14.611421308275455</v>
      </c>
      <c r="AQ209" s="263">
        <f t="shared" si="903"/>
        <v>14.611421308275455</v>
      </c>
      <c r="AR209" s="230">
        <f t="shared" si="904"/>
        <v>175.33705569930547</v>
      </c>
      <c r="AS209" s="266"/>
      <c r="AT209" s="263">
        <f t="shared" si="905"/>
        <v>509.74094753885032</v>
      </c>
      <c r="AU209" s="263">
        <f t="shared" si="905"/>
        <v>509.74094753885032</v>
      </c>
      <c r="AV209" s="263">
        <f t="shared" si="905"/>
        <v>509.74094753885032</v>
      </c>
      <c r="AW209" s="263">
        <f t="shared" si="905"/>
        <v>509.74094753885032</v>
      </c>
      <c r="AX209" s="263">
        <f t="shared" si="905"/>
        <v>509.74094753885032</v>
      </c>
      <c r="AY209" s="263">
        <f t="shared" si="905"/>
        <v>509.74094753885032</v>
      </c>
      <c r="AZ209" s="263">
        <f t="shared" si="905"/>
        <v>509.74094753885032</v>
      </c>
      <c r="BA209" s="263">
        <f t="shared" si="905"/>
        <v>509.74094753885032</v>
      </c>
      <c r="BB209" s="263">
        <f t="shared" si="905"/>
        <v>509.74094753885032</v>
      </c>
      <c r="BC209" s="263">
        <f t="shared" si="905"/>
        <v>509.74094753885032</v>
      </c>
      <c r="BD209" s="263">
        <f t="shared" si="905"/>
        <v>509.74094753885032</v>
      </c>
      <c r="BE209" s="263">
        <f t="shared" si="905"/>
        <v>509.74094753885032</v>
      </c>
      <c r="BF209" s="230">
        <f t="shared" si="906"/>
        <v>6116.8913704662036</v>
      </c>
      <c r="BG209" s="224"/>
      <c r="BH209" s="263">
        <f t="shared" si="907"/>
        <v>73.057106541377266</v>
      </c>
      <c r="BI209" s="263">
        <f t="shared" si="907"/>
        <v>73.057106541377266</v>
      </c>
      <c r="BJ209" s="263">
        <f t="shared" si="907"/>
        <v>73.057106541377266</v>
      </c>
      <c r="BK209" s="263">
        <f t="shared" si="907"/>
        <v>73.057106541377266</v>
      </c>
      <c r="BL209" s="263">
        <f t="shared" si="907"/>
        <v>73.057106541377266</v>
      </c>
      <c r="BM209" s="263">
        <f t="shared" si="907"/>
        <v>73.057106541377266</v>
      </c>
      <c r="BN209" s="263">
        <f t="shared" si="907"/>
        <v>73.057106541377266</v>
      </c>
      <c r="BO209" s="263">
        <f t="shared" si="907"/>
        <v>73.057106541377266</v>
      </c>
      <c r="BP209" s="263">
        <f t="shared" si="907"/>
        <v>73.057106541377266</v>
      </c>
      <c r="BQ209" s="263">
        <f t="shared" si="907"/>
        <v>73.057106541377266</v>
      </c>
      <c r="BR209" s="263">
        <f t="shared" si="907"/>
        <v>73.057106541377266</v>
      </c>
      <c r="BS209" s="263">
        <f t="shared" si="907"/>
        <v>73.057106541377266</v>
      </c>
      <c r="BT209" s="230">
        <f t="shared" si="908"/>
        <v>876.68527849652719</v>
      </c>
      <c r="BU209" s="266"/>
      <c r="BV209" s="263">
        <f t="shared" si="909"/>
        <v>1792.2870609953545</v>
      </c>
      <c r="BW209" s="263">
        <f t="shared" si="909"/>
        <v>1792.2870609953545</v>
      </c>
      <c r="BX209" s="263">
        <f t="shared" si="909"/>
        <v>1792.2870609953545</v>
      </c>
      <c r="BY209" s="263">
        <f t="shared" si="909"/>
        <v>1792.2870609953545</v>
      </c>
      <c r="BZ209" s="263">
        <f t="shared" si="909"/>
        <v>1792.2870609953545</v>
      </c>
      <c r="CA209" s="263">
        <f t="shared" si="909"/>
        <v>1792.2870609953545</v>
      </c>
      <c r="CB209" s="263">
        <f t="shared" si="909"/>
        <v>1792.2870609953545</v>
      </c>
      <c r="CC209" s="263">
        <f t="shared" si="909"/>
        <v>1792.2870609953545</v>
      </c>
      <c r="CD209" s="263">
        <f t="shared" si="909"/>
        <v>1792.2870609953545</v>
      </c>
      <c r="CE209" s="263">
        <f t="shared" si="909"/>
        <v>1792.2870609953545</v>
      </c>
      <c r="CF209" s="263">
        <f t="shared" si="909"/>
        <v>1792.2870609953545</v>
      </c>
      <c r="CG209" s="263">
        <f t="shared" si="909"/>
        <v>1792.2870609953545</v>
      </c>
      <c r="CH209" s="230">
        <f t="shared" si="910"/>
        <v>21507.444731944255</v>
      </c>
      <c r="CI209" s="266"/>
      <c r="CJ209" s="263">
        <f t="shared" si="911"/>
        <v>53.575211463676673</v>
      </c>
      <c r="CK209" s="263">
        <f t="shared" si="911"/>
        <v>53.575211463676673</v>
      </c>
      <c r="CL209" s="263">
        <f t="shared" si="911"/>
        <v>53.575211463676673</v>
      </c>
      <c r="CM209" s="263">
        <f t="shared" si="911"/>
        <v>53.575211463676673</v>
      </c>
      <c r="CN209" s="263">
        <f t="shared" si="911"/>
        <v>53.575211463676673</v>
      </c>
      <c r="CO209" s="263">
        <f t="shared" si="911"/>
        <v>53.575211463676673</v>
      </c>
      <c r="CP209" s="263">
        <f t="shared" si="911"/>
        <v>53.575211463676673</v>
      </c>
      <c r="CQ209" s="263">
        <f t="shared" si="911"/>
        <v>53.575211463676673</v>
      </c>
      <c r="CR209" s="263">
        <f t="shared" si="911"/>
        <v>53.575211463676673</v>
      </c>
      <c r="CS209" s="263">
        <f t="shared" si="911"/>
        <v>53.575211463676673</v>
      </c>
      <c r="CT209" s="263">
        <f t="shared" si="911"/>
        <v>53.575211463676673</v>
      </c>
      <c r="CU209" s="263">
        <f t="shared" si="911"/>
        <v>53.575211463676673</v>
      </c>
      <c r="CV209" s="230">
        <f t="shared" si="912"/>
        <v>642.90253756411994</v>
      </c>
      <c r="CW209" s="266"/>
      <c r="CX209" s="263">
        <f t="shared" si="913"/>
        <v>636.37326554390427</v>
      </c>
      <c r="CY209" s="263">
        <f t="shared" si="913"/>
        <v>636.37326554390427</v>
      </c>
      <c r="CZ209" s="263">
        <f t="shared" si="913"/>
        <v>636.37326554390427</v>
      </c>
      <c r="DA209" s="263">
        <f t="shared" si="913"/>
        <v>636.37326554390427</v>
      </c>
      <c r="DB209" s="263">
        <f t="shared" si="913"/>
        <v>636.37326554390427</v>
      </c>
      <c r="DC209" s="263">
        <f t="shared" si="913"/>
        <v>636.37326554390427</v>
      </c>
      <c r="DD209" s="263">
        <f t="shared" si="913"/>
        <v>636.37326554390427</v>
      </c>
      <c r="DE209" s="263">
        <f t="shared" si="913"/>
        <v>636.37326554390427</v>
      </c>
      <c r="DF209" s="263">
        <f t="shared" si="913"/>
        <v>636.37326554390427</v>
      </c>
      <c r="DG209" s="263">
        <f t="shared" si="913"/>
        <v>636.37326554390427</v>
      </c>
      <c r="DH209" s="263">
        <f t="shared" si="913"/>
        <v>636.37326554390427</v>
      </c>
      <c r="DI209" s="263">
        <f t="shared" si="913"/>
        <v>636.37326554390427</v>
      </c>
      <c r="DJ209" s="230">
        <f t="shared" si="914"/>
        <v>7636.4791865268517</v>
      </c>
      <c r="DK209" s="266"/>
      <c r="DL209" s="263">
        <f t="shared" si="915"/>
        <v>3691.0732655439042</v>
      </c>
      <c r="DM209" s="263">
        <f t="shared" si="915"/>
        <v>1891.3732655439042</v>
      </c>
      <c r="DN209" s="263">
        <f t="shared" si="915"/>
        <v>1639.3732655439042</v>
      </c>
      <c r="DO209" s="263">
        <f t="shared" si="915"/>
        <v>136.37326554390427</v>
      </c>
      <c r="DP209" s="263">
        <f t="shared" si="915"/>
        <v>136.37326554390427</v>
      </c>
      <c r="DQ209" s="263">
        <f t="shared" si="915"/>
        <v>136.37326554390427</v>
      </c>
      <c r="DR209" s="263">
        <f t="shared" si="915"/>
        <v>3691.0732655439042</v>
      </c>
      <c r="DS209" s="263">
        <f t="shared" si="915"/>
        <v>136.37326554390427</v>
      </c>
      <c r="DT209" s="263">
        <f t="shared" si="915"/>
        <v>136.37326554390427</v>
      </c>
      <c r="DU209" s="263">
        <f t="shared" si="915"/>
        <v>136.37326554390427</v>
      </c>
      <c r="DV209" s="263">
        <f t="shared" si="915"/>
        <v>136.37326554390427</v>
      </c>
      <c r="DW209" s="263">
        <f t="shared" si="915"/>
        <v>136.37326554390427</v>
      </c>
      <c r="DX209" s="230">
        <f t="shared" si="916"/>
        <v>12003.879186526849</v>
      </c>
      <c r="DY209" s="266"/>
      <c r="DZ209" s="263">
        <f t="shared" si="917"/>
        <v>4.8704737694251516</v>
      </c>
      <c r="EA209" s="263">
        <f t="shared" si="917"/>
        <v>4.8704737694251516</v>
      </c>
      <c r="EB209" s="263">
        <f t="shared" si="917"/>
        <v>4.8704737694251516</v>
      </c>
      <c r="EC209" s="263">
        <f t="shared" si="917"/>
        <v>3203.8704737694256</v>
      </c>
      <c r="ED209" s="263">
        <f t="shared" si="917"/>
        <v>4.8704737694251516</v>
      </c>
      <c r="EE209" s="263">
        <f t="shared" si="917"/>
        <v>4.8704737694251516</v>
      </c>
      <c r="EF209" s="263">
        <f t="shared" si="917"/>
        <v>4.8704737694251516</v>
      </c>
      <c r="EG209" s="263">
        <f t="shared" si="917"/>
        <v>4.8704737694251516</v>
      </c>
      <c r="EH209" s="263">
        <f t="shared" si="917"/>
        <v>4.8704737694251516</v>
      </c>
      <c r="EI209" s="263">
        <f t="shared" si="917"/>
        <v>4.8704737694251516</v>
      </c>
      <c r="EJ209" s="263">
        <f t="shared" si="917"/>
        <v>4.8704737694251516</v>
      </c>
      <c r="EK209" s="263">
        <f t="shared" si="917"/>
        <v>4.8704737694251516</v>
      </c>
      <c r="EL209" s="230">
        <f t="shared" si="918"/>
        <v>3257.4456852331027</v>
      </c>
      <c r="EM209" s="266"/>
      <c r="EN209" s="263">
        <f t="shared" si="919"/>
        <v>9.7409475388503033</v>
      </c>
      <c r="EO209" s="263">
        <f t="shared" si="919"/>
        <v>9.7409475388503033</v>
      </c>
      <c r="EP209" s="263">
        <f t="shared" si="919"/>
        <v>9.7409475388503033</v>
      </c>
      <c r="EQ209" s="263">
        <f t="shared" si="919"/>
        <v>9.7409475388503033</v>
      </c>
      <c r="ER209" s="263">
        <f t="shared" si="919"/>
        <v>9.7409475388503033</v>
      </c>
      <c r="ES209" s="263">
        <f t="shared" si="919"/>
        <v>9.7409475388503033</v>
      </c>
      <c r="ET209" s="263">
        <f t="shared" si="919"/>
        <v>9.7409475388503033</v>
      </c>
      <c r="EU209" s="263">
        <f t="shared" si="919"/>
        <v>9.7409475388503033</v>
      </c>
      <c r="EV209" s="263">
        <f t="shared" si="919"/>
        <v>9.7409475388503033</v>
      </c>
      <c r="EW209" s="263">
        <f t="shared" si="919"/>
        <v>9.7409475388503033</v>
      </c>
      <c r="EX209" s="263">
        <f t="shared" si="919"/>
        <v>9.7409475388503033</v>
      </c>
      <c r="EY209" s="263">
        <f t="shared" si="919"/>
        <v>9.7409475388503033</v>
      </c>
      <c r="EZ209" s="230">
        <f t="shared" si="920"/>
        <v>116.89137046620367</v>
      </c>
      <c r="FA209" s="266"/>
      <c r="FB209" s="263">
        <f t="shared" si="921"/>
        <v>4.8704737694251516</v>
      </c>
      <c r="FC209" s="263">
        <f t="shared" si="921"/>
        <v>4.8704737694251516</v>
      </c>
      <c r="FD209" s="263">
        <f t="shared" si="921"/>
        <v>4.8704737694251516</v>
      </c>
      <c r="FE209" s="263">
        <f t="shared" si="921"/>
        <v>4.8704737694251516</v>
      </c>
      <c r="FF209" s="263">
        <f t="shared" si="921"/>
        <v>4.8704737694251516</v>
      </c>
      <c r="FG209" s="263">
        <f t="shared" si="921"/>
        <v>4.8704737694251516</v>
      </c>
      <c r="FH209" s="263">
        <f t="shared" si="921"/>
        <v>4.8704737694251516</v>
      </c>
      <c r="FI209" s="263">
        <f t="shared" si="921"/>
        <v>4.8704737694251516</v>
      </c>
      <c r="FJ209" s="263">
        <f t="shared" si="921"/>
        <v>4.8704737694251516</v>
      </c>
      <c r="FK209" s="263">
        <f t="shared" si="921"/>
        <v>4.8704737694251516</v>
      </c>
      <c r="FL209" s="263">
        <f t="shared" si="921"/>
        <v>4.8704737694251516</v>
      </c>
      <c r="FM209" s="263">
        <f t="shared" si="921"/>
        <v>4.8704737694251516</v>
      </c>
      <c r="FN209" s="230">
        <f t="shared" si="922"/>
        <v>58.445685233101834</v>
      </c>
      <c r="FO209" s="266"/>
      <c r="FP209" s="263">
        <f t="shared" si="923"/>
        <v>34.093316385976067</v>
      </c>
      <c r="FQ209" s="263">
        <f t="shared" si="923"/>
        <v>34.093316385976067</v>
      </c>
      <c r="FR209" s="263">
        <f t="shared" si="923"/>
        <v>34.093316385976067</v>
      </c>
      <c r="FS209" s="263">
        <f t="shared" si="923"/>
        <v>34.093316385976067</v>
      </c>
      <c r="FT209" s="263">
        <f t="shared" si="923"/>
        <v>34.093316385976067</v>
      </c>
      <c r="FU209" s="263">
        <f t="shared" si="923"/>
        <v>34.093316385976067</v>
      </c>
      <c r="FV209" s="263">
        <f t="shared" si="923"/>
        <v>34.093316385976067</v>
      </c>
      <c r="FW209" s="263">
        <f t="shared" si="923"/>
        <v>34.093316385976067</v>
      </c>
      <c r="FX209" s="263">
        <f t="shared" si="923"/>
        <v>34.093316385976067</v>
      </c>
      <c r="FY209" s="263">
        <f t="shared" si="923"/>
        <v>34.093316385976067</v>
      </c>
      <c r="FZ209" s="263">
        <f t="shared" si="923"/>
        <v>34.093316385976067</v>
      </c>
      <c r="GA209" s="263">
        <f t="shared" si="923"/>
        <v>34.093316385976067</v>
      </c>
      <c r="GB209" s="230">
        <f t="shared" si="924"/>
        <v>409.11979663171292</v>
      </c>
      <c r="GC209" s="266"/>
      <c r="GD209" s="263">
        <f t="shared" si="925"/>
        <v>4.8704737694251516</v>
      </c>
      <c r="GE209" s="263">
        <f t="shared" si="925"/>
        <v>4.8704737694251516</v>
      </c>
      <c r="GF209" s="263">
        <f t="shared" si="925"/>
        <v>4.8704737694251516</v>
      </c>
      <c r="GG209" s="263">
        <f t="shared" si="925"/>
        <v>4.8704737694251516</v>
      </c>
      <c r="GH209" s="263">
        <f t="shared" si="925"/>
        <v>4.8704737694251516</v>
      </c>
      <c r="GI209" s="263">
        <f t="shared" si="925"/>
        <v>4.8704737694251516</v>
      </c>
      <c r="GJ209" s="263">
        <f t="shared" si="925"/>
        <v>4.8704737694251516</v>
      </c>
      <c r="GK209" s="263">
        <f t="shared" si="925"/>
        <v>4.8704737694251516</v>
      </c>
      <c r="GL209" s="263">
        <f t="shared" si="925"/>
        <v>4.8704737694251516</v>
      </c>
      <c r="GM209" s="263">
        <f t="shared" si="925"/>
        <v>4.8704737694251516</v>
      </c>
      <c r="GN209" s="263">
        <f t="shared" si="925"/>
        <v>4.8704737694251516</v>
      </c>
      <c r="GO209" s="263">
        <f t="shared" si="925"/>
        <v>4.8704737694251516</v>
      </c>
      <c r="GP209" s="230">
        <f t="shared" si="926"/>
        <v>58.445685233101834</v>
      </c>
      <c r="GQ209" s="266"/>
      <c r="GR209" s="263">
        <f t="shared" si="927"/>
        <v>-1388.1743859903524</v>
      </c>
      <c r="GS209" s="263">
        <f t="shared" si="927"/>
        <v>-1388.1743859903524</v>
      </c>
      <c r="GT209" s="263">
        <f t="shared" si="927"/>
        <v>-1388.1743859903524</v>
      </c>
      <c r="GU209" s="263">
        <f t="shared" si="927"/>
        <v>-1388.1743859903524</v>
      </c>
      <c r="GV209" s="263">
        <f t="shared" si="927"/>
        <v>-1388.1743859903524</v>
      </c>
      <c r="GW209" s="263">
        <f t="shared" si="927"/>
        <v>-1388.1743859903524</v>
      </c>
      <c r="GX209" s="263">
        <f t="shared" si="927"/>
        <v>-1388.1743859903524</v>
      </c>
      <c r="GY209" s="263">
        <f t="shared" si="927"/>
        <v>-1388.1743859903524</v>
      </c>
      <c r="GZ209" s="263">
        <f t="shared" si="927"/>
        <v>-1388.1743859903524</v>
      </c>
      <c r="HA209" s="263">
        <f t="shared" si="927"/>
        <v>-1388.1743859903524</v>
      </c>
      <c r="HB209" s="263">
        <f t="shared" si="927"/>
        <v>-1388.1743859903524</v>
      </c>
      <c r="HC209" s="263">
        <f t="shared" si="927"/>
        <v>-1388.1743859903524</v>
      </c>
      <c r="HD209" s="230">
        <f t="shared" si="947"/>
        <v>0</v>
      </c>
      <c r="HE209" s="266"/>
      <c r="HF209" s="263">
        <f t="shared" si="928"/>
        <v>19.481895077700607</v>
      </c>
      <c r="HG209" s="263">
        <f t="shared" si="928"/>
        <v>19.481895077700607</v>
      </c>
      <c r="HH209" s="263">
        <f t="shared" si="928"/>
        <v>19.481895077700607</v>
      </c>
      <c r="HI209" s="263">
        <f t="shared" si="928"/>
        <v>19.481895077700607</v>
      </c>
      <c r="HJ209" s="263">
        <f t="shared" si="928"/>
        <v>19.481895077700607</v>
      </c>
      <c r="HK209" s="263">
        <f t="shared" si="928"/>
        <v>19.481895077700607</v>
      </c>
      <c r="HL209" s="263">
        <f t="shared" si="928"/>
        <v>19.481895077700607</v>
      </c>
      <c r="HM209" s="263">
        <f t="shared" si="928"/>
        <v>19.481895077700607</v>
      </c>
      <c r="HN209" s="263">
        <f t="shared" si="928"/>
        <v>19.481895077700607</v>
      </c>
      <c r="HO209" s="263">
        <f t="shared" si="928"/>
        <v>19.481895077700607</v>
      </c>
      <c r="HP209" s="263">
        <f t="shared" si="928"/>
        <v>19.481895077700607</v>
      </c>
      <c r="HQ209" s="263">
        <f t="shared" si="928"/>
        <v>19.481895077700607</v>
      </c>
      <c r="HR209" s="230">
        <f t="shared" si="929"/>
        <v>233.78274093240734</v>
      </c>
      <c r="HS209" s="266"/>
      <c r="HT209" s="263">
        <f t="shared" si="930"/>
        <v>4.8704737694251516</v>
      </c>
      <c r="HU209" s="263">
        <f t="shared" si="930"/>
        <v>4.8704737694251516</v>
      </c>
      <c r="HV209" s="263">
        <f t="shared" si="930"/>
        <v>4.8704737694251516</v>
      </c>
      <c r="HW209" s="263">
        <f t="shared" si="930"/>
        <v>4.8704737694251516</v>
      </c>
      <c r="HX209" s="263">
        <f t="shared" si="930"/>
        <v>4.8704737694251516</v>
      </c>
      <c r="HY209" s="263">
        <f t="shared" si="930"/>
        <v>4.8704737694251516</v>
      </c>
      <c r="HZ209" s="263">
        <f t="shared" si="930"/>
        <v>4.8704737694251516</v>
      </c>
      <c r="IA209" s="263">
        <f t="shared" si="930"/>
        <v>4.8704737694251516</v>
      </c>
      <c r="IB209" s="263">
        <f t="shared" si="930"/>
        <v>4.8704737694251516</v>
      </c>
      <c r="IC209" s="263">
        <f t="shared" si="930"/>
        <v>4.8704737694251516</v>
      </c>
      <c r="ID209" s="263">
        <f t="shared" si="930"/>
        <v>4.8704737694251516</v>
      </c>
      <c r="IE209" s="263">
        <f t="shared" si="930"/>
        <v>4.8704737694251516</v>
      </c>
      <c r="IF209" s="230">
        <f t="shared" si="931"/>
        <v>58.445685233101834</v>
      </c>
      <c r="IG209" s="266"/>
      <c r="IH209" s="263">
        <f t="shared" si="932"/>
        <v>4.8704737694251516</v>
      </c>
      <c r="II209" s="263">
        <f t="shared" si="932"/>
        <v>4.8704737694251516</v>
      </c>
      <c r="IJ209" s="263">
        <f t="shared" si="932"/>
        <v>4.8704737694251516</v>
      </c>
      <c r="IK209" s="263">
        <f t="shared" si="932"/>
        <v>4.8704737694251516</v>
      </c>
      <c r="IL209" s="263">
        <f t="shared" si="932"/>
        <v>4.8704737694251516</v>
      </c>
      <c r="IM209" s="263">
        <f t="shared" si="932"/>
        <v>4.8704737694251516</v>
      </c>
      <c r="IN209" s="263">
        <f t="shared" si="932"/>
        <v>4.8704737694251516</v>
      </c>
      <c r="IO209" s="263">
        <f t="shared" si="932"/>
        <v>4.8704737694251516</v>
      </c>
      <c r="IP209" s="263">
        <f t="shared" si="932"/>
        <v>4.8704737694251516</v>
      </c>
      <c r="IQ209" s="263">
        <f t="shared" si="932"/>
        <v>4.8704737694251516</v>
      </c>
      <c r="IR209" s="263">
        <f t="shared" si="932"/>
        <v>4.8704737694251516</v>
      </c>
      <c r="IS209" s="263">
        <f t="shared" si="932"/>
        <v>4.8704737694251516</v>
      </c>
      <c r="IT209" s="230">
        <f t="shared" si="933"/>
        <v>58.445685233101834</v>
      </c>
      <c r="IU209" s="266"/>
      <c r="IV209" s="263">
        <f t="shared" si="934"/>
        <v>34.093316385976067</v>
      </c>
      <c r="IW209" s="263">
        <f t="shared" si="934"/>
        <v>34.093316385976067</v>
      </c>
      <c r="IX209" s="263">
        <f t="shared" si="934"/>
        <v>34.093316385976067</v>
      </c>
      <c r="IY209" s="263">
        <f t="shared" si="934"/>
        <v>34.093316385976067</v>
      </c>
      <c r="IZ209" s="263">
        <f t="shared" si="934"/>
        <v>34.093316385976067</v>
      </c>
      <c r="JA209" s="263">
        <f t="shared" si="934"/>
        <v>34.093316385976067</v>
      </c>
      <c r="JB209" s="263">
        <f t="shared" si="934"/>
        <v>34.093316385976067</v>
      </c>
      <c r="JC209" s="263">
        <f t="shared" si="934"/>
        <v>34.093316385976067</v>
      </c>
      <c r="JD209" s="263">
        <f t="shared" si="934"/>
        <v>34.093316385976067</v>
      </c>
      <c r="JE209" s="263">
        <f t="shared" si="934"/>
        <v>34.093316385976067</v>
      </c>
      <c r="JF209" s="263">
        <f t="shared" si="934"/>
        <v>34.093316385976067</v>
      </c>
      <c r="JG209" s="263">
        <f t="shared" si="934"/>
        <v>34.093316385976067</v>
      </c>
      <c r="JH209" s="230">
        <f t="shared" si="935"/>
        <v>409.11979663171292</v>
      </c>
      <c r="JI209" s="266"/>
      <c r="JJ209" s="263">
        <f t="shared" si="936"/>
        <v>53.575211463676673</v>
      </c>
      <c r="JK209" s="263">
        <f t="shared" si="936"/>
        <v>53.575211463676673</v>
      </c>
      <c r="JL209" s="263">
        <f t="shared" si="936"/>
        <v>53.575211463676673</v>
      </c>
      <c r="JM209" s="263">
        <f t="shared" si="936"/>
        <v>53.575211463676673</v>
      </c>
      <c r="JN209" s="263">
        <f t="shared" si="936"/>
        <v>53.575211463676673</v>
      </c>
      <c r="JO209" s="263">
        <f t="shared" si="936"/>
        <v>53.575211463676673</v>
      </c>
      <c r="JP209" s="263">
        <f t="shared" si="936"/>
        <v>53.575211463676673</v>
      </c>
      <c r="JQ209" s="263">
        <f t="shared" si="936"/>
        <v>53.575211463676673</v>
      </c>
      <c r="JR209" s="263">
        <f t="shared" si="936"/>
        <v>53.575211463676673</v>
      </c>
      <c r="JS209" s="263">
        <f t="shared" si="936"/>
        <v>53.575211463676673</v>
      </c>
      <c r="JT209" s="263">
        <f t="shared" si="936"/>
        <v>53.575211463676673</v>
      </c>
      <c r="JU209" s="263">
        <f t="shared" si="936"/>
        <v>53.575211463676673</v>
      </c>
      <c r="JV209" s="230">
        <f t="shared" si="937"/>
        <v>642.90253756411994</v>
      </c>
      <c r="JW209" s="266"/>
      <c r="JX209" s="263">
        <f t="shared" si="938"/>
        <v>24.35236884712576</v>
      </c>
      <c r="JY209" s="263">
        <f t="shared" si="938"/>
        <v>24.35236884712576</v>
      </c>
      <c r="JZ209" s="263">
        <f t="shared" si="938"/>
        <v>24.35236884712576</v>
      </c>
      <c r="KA209" s="263">
        <f t="shared" si="938"/>
        <v>24.35236884712576</v>
      </c>
      <c r="KB209" s="263">
        <f t="shared" si="938"/>
        <v>24.35236884712576</v>
      </c>
      <c r="KC209" s="263">
        <f t="shared" si="938"/>
        <v>24.35236884712576</v>
      </c>
      <c r="KD209" s="263">
        <f t="shared" si="938"/>
        <v>24.35236884712576</v>
      </c>
      <c r="KE209" s="263">
        <f t="shared" si="938"/>
        <v>24.35236884712576</v>
      </c>
      <c r="KF209" s="263">
        <f t="shared" si="938"/>
        <v>24.35236884712576</v>
      </c>
      <c r="KG209" s="263">
        <f t="shared" si="938"/>
        <v>24.35236884712576</v>
      </c>
      <c r="KH209" s="263">
        <f t="shared" si="938"/>
        <v>24.35236884712576</v>
      </c>
      <c r="KI209" s="263">
        <f t="shared" si="938"/>
        <v>24.35236884712576</v>
      </c>
      <c r="KJ209" s="230">
        <f t="shared" si="939"/>
        <v>292.22842616550918</v>
      </c>
      <c r="KK209" s="266"/>
      <c r="KL209" s="263">
        <f t="shared" si="940"/>
        <v>9.7409475388503033</v>
      </c>
      <c r="KM209" s="263">
        <f t="shared" si="940"/>
        <v>9.7409475388503033</v>
      </c>
      <c r="KN209" s="263">
        <f t="shared" si="940"/>
        <v>9.7409475388503033</v>
      </c>
      <c r="KO209" s="263">
        <f t="shared" si="940"/>
        <v>9.7409475388503033</v>
      </c>
      <c r="KP209" s="263">
        <f t="shared" si="940"/>
        <v>9.7409475388503033</v>
      </c>
      <c r="KQ209" s="263">
        <f t="shared" si="940"/>
        <v>9.7409475388503033</v>
      </c>
      <c r="KR209" s="263">
        <f t="shared" si="940"/>
        <v>9.7409475388503033</v>
      </c>
      <c r="KS209" s="263">
        <f t="shared" si="940"/>
        <v>9.7409475388503033</v>
      </c>
      <c r="KT209" s="263">
        <f t="shared" si="940"/>
        <v>9.7409475388503033</v>
      </c>
      <c r="KU209" s="263">
        <f t="shared" si="940"/>
        <v>9.7409475388503033</v>
      </c>
      <c r="KV209" s="263">
        <f t="shared" si="940"/>
        <v>9.7409475388503033</v>
      </c>
      <c r="KW209" s="263">
        <f t="shared" si="940"/>
        <v>9.7409475388503033</v>
      </c>
      <c r="KX209" s="230">
        <f t="shared" si="941"/>
        <v>116.89137046620367</v>
      </c>
      <c r="KY209" s="266"/>
      <c r="KZ209" s="263">
        <f t="shared" si="942"/>
        <v>4.8704737694251516</v>
      </c>
      <c r="LA209" s="263">
        <f t="shared" si="942"/>
        <v>4.8704737694251516</v>
      </c>
      <c r="LB209" s="263">
        <f t="shared" si="942"/>
        <v>4.8704737694251516</v>
      </c>
      <c r="LC209" s="263">
        <f t="shared" si="942"/>
        <v>4.8704737694251516</v>
      </c>
      <c r="LD209" s="263">
        <f t="shared" si="942"/>
        <v>4.8704737694251516</v>
      </c>
      <c r="LE209" s="263">
        <f t="shared" si="942"/>
        <v>4.8704737694251516</v>
      </c>
      <c r="LF209" s="263">
        <f t="shared" si="942"/>
        <v>4.8704737694251516</v>
      </c>
      <c r="LG209" s="263">
        <f t="shared" si="942"/>
        <v>4.8704737694251516</v>
      </c>
      <c r="LH209" s="263">
        <f t="shared" si="942"/>
        <v>4.8704737694251516</v>
      </c>
      <c r="LI209" s="263">
        <f t="shared" si="942"/>
        <v>4.8704737694251516</v>
      </c>
      <c r="LJ209" s="263">
        <f t="shared" si="942"/>
        <v>4.8704737694251516</v>
      </c>
      <c r="LK209" s="263">
        <f t="shared" si="942"/>
        <v>4.8704737694251516</v>
      </c>
      <c r="LL209" s="230">
        <f t="shared" si="943"/>
        <v>58.445685233101834</v>
      </c>
      <c r="LM209" s="266"/>
      <c r="LN209" s="263">
        <v>0</v>
      </c>
      <c r="LO209" s="264">
        <v>0</v>
      </c>
      <c r="LP209" s="265">
        <v>0</v>
      </c>
      <c r="LQ209" s="265">
        <v>0</v>
      </c>
      <c r="LR209" s="265">
        <v>0</v>
      </c>
      <c r="LS209" s="265">
        <v>0</v>
      </c>
      <c r="LT209" s="265">
        <v>0</v>
      </c>
      <c r="LU209" s="265">
        <v>0</v>
      </c>
      <c r="LV209" s="265">
        <v>0</v>
      </c>
      <c r="LW209" s="265">
        <v>0</v>
      </c>
      <c r="LX209" s="265">
        <v>0</v>
      </c>
      <c r="LY209" s="265">
        <v>0</v>
      </c>
      <c r="LZ209" s="230">
        <f t="shared" si="944"/>
        <v>0</v>
      </c>
      <c r="MA209" s="266"/>
      <c r="MB209" s="230">
        <f t="shared" si="945"/>
        <v>5752.6998994213027</v>
      </c>
      <c r="MC209" s="230">
        <f t="shared" si="945"/>
        <v>3952.999899421302</v>
      </c>
      <c r="MD209" s="230">
        <f t="shared" si="945"/>
        <v>3700.999899421302</v>
      </c>
      <c r="ME209" s="230">
        <f t="shared" si="945"/>
        <v>5396.9998994213038</v>
      </c>
      <c r="MF209" s="230">
        <f t="shared" si="945"/>
        <v>2197.999899421302</v>
      </c>
      <c r="MG209" s="230">
        <f t="shared" si="945"/>
        <v>2197.999899421302</v>
      </c>
      <c r="MH209" s="230">
        <f t="shared" si="945"/>
        <v>5752.6998994213027</v>
      </c>
      <c r="MI209" s="230">
        <f t="shared" si="945"/>
        <v>2197.999899421302</v>
      </c>
      <c r="MJ209" s="230">
        <f t="shared" si="945"/>
        <v>2197.999899421302</v>
      </c>
      <c r="MK209" s="230">
        <f t="shared" si="945"/>
        <v>2197.999899421302</v>
      </c>
      <c r="ML209" s="230">
        <f t="shared" si="945"/>
        <v>2197.999899421302</v>
      </c>
      <c r="MM209" s="230">
        <f t="shared" si="945"/>
        <v>2197.999899421302</v>
      </c>
      <c r="MN209" s="230">
        <f t="shared" si="948"/>
        <v>39942.398793055625</v>
      </c>
    </row>
    <row r="210" spans="1:352" x14ac:dyDescent="0.25">
      <c r="A210" s="262"/>
      <c r="B210" s="64" t="s">
        <v>82</v>
      </c>
      <c r="C210" s="98"/>
      <c r="D210" s="263">
        <f t="shared" si="899"/>
        <v>562.23236037344714</v>
      </c>
      <c r="E210" s="263">
        <f t="shared" si="899"/>
        <v>562.23236037344714</v>
      </c>
      <c r="F210" s="263">
        <f t="shared" si="899"/>
        <v>562.23236037344714</v>
      </c>
      <c r="G210" s="263">
        <f t="shared" si="899"/>
        <v>562.23236037344714</v>
      </c>
      <c r="H210" s="263">
        <f t="shared" si="899"/>
        <v>562.23236037344714</v>
      </c>
      <c r="I210" s="263">
        <f t="shared" si="899"/>
        <v>562.23236037344714</v>
      </c>
      <c r="J210" s="263">
        <f t="shared" si="899"/>
        <v>562.23236037344714</v>
      </c>
      <c r="K210" s="263">
        <f t="shared" si="899"/>
        <v>562.23236037344714</v>
      </c>
      <c r="L210" s="263">
        <f t="shared" si="899"/>
        <v>562.23236037344714</v>
      </c>
      <c r="M210" s="263">
        <f t="shared" si="899"/>
        <v>562.23236037344714</v>
      </c>
      <c r="N210" s="263">
        <f t="shared" si="899"/>
        <v>562.23236037344714</v>
      </c>
      <c r="O210" s="263">
        <f t="shared" si="899"/>
        <v>562.23236037344714</v>
      </c>
      <c r="P210" s="230">
        <f t="shared" si="900"/>
        <v>6746.7883244813675</v>
      </c>
      <c r="Q210" s="266"/>
      <c r="R210" s="263">
        <f t="shared" si="901"/>
        <v>58.161968314494523</v>
      </c>
      <c r="S210" s="263">
        <f t="shared" si="901"/>
        <v>58.161968314494523</v>
      </c>
      <c r="T210" s="263">
        <f t="shared" si="901"/>
        <v>58.161968314494523</v>
      </c>
      <c r="U210" s="263">
        <f t="shared" si="901"/>
        <v>58.161968314494523</v>
      </c>
      <c r="V210" s="263">
        <f t="shared" si="901"/>
        <v>58.161968314494523</v>
      </c>
      <c r="W210" s="263">
        <f t="shared" si="901"/>
        <v>58.161968314494523</v>
      </c>
      <c r="X210" s="263">
        <f t="shared" si="901"/>
        <v>58.161968314494523</v>
      </c>
      <c r="Y210" s="263">
        <f t="shared" si="901"/>
        <v>58.161968314494523</v>
      </c>
      <c r="Z210" s="263">
        <f t="shared" si="901"/>
        <v>58.161968314494523</v>
      </c>
      <c r="AA210" s="263">
        <f t="shared" si="901"/>
        <v>58.161968314494523</v>
      </c>
      <c r="AB210" s="263">
        <f t="shared" si="901"/>
        <v>58.161968314494523</v>
      </c>
      <c r="AC210" s="263">
        <f t="shared" si="901"/>
        <v>58.161968314494523</v>
      </c>
      <c r="AD210" s="230">
        <f t="shared" si="902"/>
        <v>697.9436197739343</v>
      </c>
      <c r="AE210" s="266"/>
      <c r="AF210" s="263">
        <f t="shared" si="903"/>
        <v>58.161968314494523</v>
      </c>
      <c r="AG210" s="263">
        <f t="shared" si="903"/>
        <v>58.161968314494523</v>
      </c>
      <c r="AH210" s="263">
        <f t="shared" si="903"/>
        <v>58.161968314494523</v>
      </c>
      <c r="AI210" s="263">
        <f t="shared" si="903"/>
        <v>58.161968314494523</v>
      </c>
      <c r="AJ210" s="263">
        <f t="shared" si="903"/>
        <v>58.161968314494523</v>
      </c>
      <c r="AK210" s="263">
        <f t="shared" si="903"/>
        <v>58.161968314494523</v>
      </c>
      <c r="AL210" s="263">
        <f t="shared" si="903"/>
        <v>58.161968314494523</v>
      </c>
      <c r="AM210" s="263">
        <f t="shared" si="903"/>
        <v>58.161968314494523</v>
      </c>
      <c r="AN210" s="263">
        <f t="shared" si="903"/>
        <v>58.161968314494523</v>
      </c>
      <c r="AO210" s="263">
        <f t="shared" si="903"/>
        <v>58.161968314494523</v>
      </c>
      <c r="AP210" s="263">
        <f t="shared" si="903"/>
        <v>58.161968314494523</v>
      </c>
      <c r="AQ210" s="263">
        <f t="shared" si="903"/>
        <v>58.161968314494523</v>
      </c>
      <c r="AR210" s="230">
        <f t="shared" si="904"/>
        <v>697.9436197739343</v>
      </c>
      <c r="AS210" s="266"/>
      <c r="AT210" s="263">
        <f t="shared" si="905"/>
        <v>188.77464554299635</v>
      </c>
      <c r="AU210" s="263">
        <f t="shared" si="905"/>
        <v>188.77464554299635</v>
      </c>
      <c r="AV210" s="263">
        <f t="shared" si="905"/>
        <v>188.77464554299635</v>
      </c>
      <c r="AW210" s="263">
        <f t="shared" si="905"/>
        <v>188.77464554299635</v>
      </c>
      <c r="AX210" s="263">
        <f t="shared" si="905"/>
        <v>188.77464554299635</v>
      </c>
      <c r="AY210" s="263">
        <f t="shared" si="905"/>
        <v>188.77464554299635</v>
      </c>
      <c r="AZ210" s="263">
        <f t="shared" si="905"/>
        <v>188.77464554299635</v>
      </c>
      <c r="BA210" s="263">
        <f t="shared" si="905"/>
        <v>188.77464554299635</v>
      </c>
      <c r="BB210" s="263">
        <f t="shared" si="905"/>
        <v>188.77464554299635</v>
      </c>
      <c r="BC210" s="263">
        <f t="shared" si="905"/>
        <v>188.77464554299635</v>
      </c>
      <c r="BD210" s="263">
        <f t="shared" si="905"/>
        <v>188.77464554299635</v>
      </c>
      <c r="BE210" s="263">
        <f t="shared" si="905"/>
        <v>188.77464554299635</v>
      </c>
      <c r="BF210" s="230">
        <f t="shared" si="906"/>
        <v>2265.2957465159561</v>
      </c>
      <c r="BG210" s="224"/>
      <c r="BH210" s="263">
        <f t="shared" si="907"/>
        <v>290.80984157247264</v>
      </c>
      <c r="BI210" s="263">
        <f t="shared" si="907"/>
        <v>290.80984157247264</v>
      </c>
      <c r="BJ210" s="263">
        <f t="shared" si="907"/>
        <v>290.80984157247264</v>
      </c>
      <c r="BK210" s="263">
        <f t="shared" si="907"/>
        <v>290.80984157247264</v>
      </c>
      <c r="BL210" s="263">
        <f t="shared" si="907"/>
        <v>290.80984157247264</v>
      </c>
      <c r="BM210" s="263">
        <f t="shared" si="907"/>
        <v>290.80984157247264</v>
      </c>
      <c r="BN210" s="263">
        <f t="shared" si="907"/>
        <v>290.80984157247264</v>
      </c>
      <c r="BO210" s="263">
        <f t="shared" si="907"/>
        <v>290.80984157247264</v>
      </c>
      <c r="BP210" s="263">
        <f t="shared" si="907"/>
        <v>290.80984157247264</v>
      </c>
      <c r="BQ210" s="263">
        <f t="shared" si="907"/>
        <v>290.80984157247264</v>
      </c>
      <c r="BR210" s="263">
        <f t="shared" si="907"/>
        <v>290.80984157247264</v>
      </c>
      <c r="BS210" s="263">
        <f t="shared" si="907"/>
        <v>290.80984157247264</v>
      </c>
      <c r="BT210" s="230">
        <f t="shared" si="908"/>
        <v>3489.7180988696714</v>
      </c>
      <c r="BU210" s="266"/>
      <c r="BV210" s="263">
        <f t="shared" si="909"/>
        <v>19.387322771498177</v>
      </c>
      <c r="BW210" s="263">
        <f t="shared" si="909"/>
        <v>19.387322771498177</v>
      </c>
      <c r="BX210" s="263">
        <f t="shared" si="909"/>
        <v>19.387322771498177</v>
      </c>
      <c r="BY210" s="263">
        <f t="shared" si="909"/>
        <v>19.387322771498177</v>
      </c>
      <c r="BZ210" s="263">
        <f t="shared" si="909"/>
        <v>19.387322771498177</v>
      </c>
      <c r="CA210" s="263">
        <f t="shared" si="909"/>
        <v>19.387322771498177</v>
      </c>
      <c r="CB210" s="263">
        <f t="shared" si="909"/>
        <v>19.387322771498177</v>
      </c>
      <c r="CC210" s="263">
        <f t="shared" si="909"/>
        <v>19.387322771498177</v>
      </c>
      <c r="CD210" s="263">
        <f t="shared" si="909"/>
        <v>19.387322771498177</v>
      </c>
      <c r="CE210" s="263">
        <f t="shared" si="909"/>
        <v>19.387322771498177</v>
      </c>
      <c r="CF210" s="263">
        <f t="shared" si="909"/>
        <v>19.387322771498177</v>
      </c>
      <c r="CG210" s="263">
        <f t="shared" si="909"/>
        <v>19.387322771498177</v>
      </c>
      <c r="CH210" s="230">
        <f t="shared" si="910"/>
        <v>232.64787325797818</v>
      </c>
      <c r="CI210" s="266"/>
      <c r="CJ210" s="263">
        <f t="shared" si="911"/>
        <v>749.48552665425882</v>
      </c>
      <c r="CK210" s="263">
        <f t="shared" si="911"/>
        <v>749.48552665425882</v>
      </c>
      <c r="CL210" s="263">
        <f t="shared" si="911"/>
        <v>749.48552665425882</v>
      </c>
      <c r="CM210" s="263">
        <f t="shared" si="911"/>
        <v>749.48552665425882</v>
      </c>
      <c r="CN210" s="263">
        <f t="shared" si="911"/>
        <v>749.48552665425882</v>
      </c>
      <c r="CO210" s="263">
        <f t="shared" si="911"/>
        <v>749.48552665425882</v>
      </c>
      <c r="CP210" s="263">
        <f t="shared" si="911"/>
        <v>749.48552665425882</v>
      </c>
      <c r="CQ210" s="263">
        <f t="shared" si="911"/>
        <v>749.48552665425882</v>
      </c>
      <c r="CR210" s="263">
        <f t="shared" si="911"/>
        <v>749.48552665425882</v>
      </c>
      <c r="CS210" s="263">
        <f t="shared" si="911"/>
        <v>749.48552665425882</v>
      </c>
      <c r="CT210" s="263">
        <f t="shared" si="911"/>
        <v>749.48552665425882</v>
      </c>
      <c r="CU210" s="263">
        <f t="shared" si="911"/>
        <v>749.48552665425882</v>
      </c>
      <c r="CV210" s="230">
        <f t="shared" si="912"/>
        <v>8993.8263198511067</v>
      </c>
      <c r="CW210" s="266"/>
      <c r="CX210" s="263">
        <f t="shared" si="913"/>
        <v>542.84503760194889</v>
      </c>
      <c r="CY210" s="263">
        <f t="shared" si="913"/>
        <v>542.84503760194889</v>
      </c>
      <c r="CZ210" s="263">
        <f t="shared" si="913"/>
        <v>542.84503760194889</v>
      </c>
      <c r="DA210" s="263">
        <f t="shared" si="913"/>
        <v>542.84503760194889</v>
      </c>
      <c r="DB210" s="263">
        <f t="shared" si="913"/>
        <v>542.84503760194889</v>
      </c>
      <c r="DC210" s="263">
        <f t="shared" si="913"/>
        <v>542.84503760194889</v>
      </c>
      <c r="DD210" s="263">
        <f t="shared" si="913"/>
        <v>542.84503760194889</v>
      </c>
      <c r="DE210" s="263">
        <f t="shared" si="913"/>
        <v>542.84503760194889</v>
      </c>
      <c r="DF210" s="263">
        <f t="shared" si="913"/>
        <v>542.84503760194889</v>
      </c>
      <c r="DG210" s="263">
        <f t="shared" si="913"/>
        <v>542.84503760194889</v>
      </c>
      <c r="DH210" s="263">
        <f t="shared" si="913"/>
        <v>542.84503760194889</v>
      </c>
      <c r="DI210" s="263">
        <f t="shared" si="913"/>
        <v>542.84503760194889</v>
      </c>
      <c r="DJ210" s="230">
        <f t="shared" si="914"/>
        <v>6514.1404512233885</v>
      </c>
      <c r="DK210" s="266"/>
      <c r="DL210" s="263">
        <f t="shared" si="915"/>
        <v>542.84503760194889</v>
      </c>
      <c r="DM210" s="263">
        <f t="shared" si="915"/>
        <v>542.84503760194889</v>
      </c>
      <c r="DN210" s="263">
        <f t="shared" si="915"/>
        <v>542.84503760194889</v>
      </c>
      <c r="DO210" s="263">
        <f t="shared" si="915"/>
        <v>542.84503760194889</v>
      </c>
      <c r="DP210" s="263">
        <f t="shared" si="915"/>
        <v>542.84503760194889</v>
      </c>
      <c r="DQ210" s="263">
        <f t="shared" si="915"/>
        <v>542.84503760194889</v>
      </c>
      <c r="DR210" s="263">
        <f t="shared" si="915"/>
        <v>542.84503760194889</v>
      </c>
      <c r="DS210" s="263">
        <f t="shared" si="915"/>
        <v>542.84503760194889</v>
      </c>
      <c r="DT210" s="263">
        <f t="shared" si="915"/>
        <v>542.84503760194889</v>
      </c>
      <c r="DU210" s="263">
        <f t="shared" si="915"/>
        <v>542.84503760194889</v>
      </c>
      <c r="DV210" s="263">
        <f t="shared" si="915"/>
        <v>542.84503760194889</v>
      </c>
      <c r="DW210" s="263">
        <f t="shared" si="915"/>
        <v>542.84503760194889</v>
      </c>
      <c r="DX210" s="230">
        <f t="shared" si="916"/>
        <v>6514.1404512233885</v>
      </c>
      <c r="DY210" s="266"/>
      <c r="DZ210" s="263">
        <f t="shared" si="917"/>
        <v>19.387322771498177</v>
      </c>
      <c r="EA210" s="263">
        <f t="shared" si="917"/>
        <v>19.387322771498177</v>
      </c>
      <c r="EB210" s="263">
        <f t="shared" si="917"/>
        <v>19.387322771498177</v>
      </c>
      <c r="EC210" s="263">
        <f t="shared" si="917"/>
        <v>19.387322771498177</v>
      </c>
      <c r="ED210" s="263">
        <f t="shared" si="917"/>
        <v>19.387322771498177</v>
      </c>
      <c r="EE210" s="263">
        <f t="shared" si="917"/>
        <v>19.387322771498177</v>
      </c>
      <c r="EF210" s="263">
        <f t="shared" si="917"/>
        <v>19.387322771498177</v>
      </c>
      <c r="EG210" s="263">
        <f t="shared" si="917"/>
        <v>19.387322771498177</v>
      </c>
      <c r="EH210" s="263">
        <f t="shared" si="917"/>
        <v>19.387322771498177</v>
      </c>
      <c r="EI210" s="263">
        <f t="shared" si="917"/>
        <v>19.387322771498177</v>
      </c>
      <c r="EJ210" s="263">
        <f t="shared" si="917"/>
        <v>19.387322771498177</v>
      </c>
      <c r="EK210" s="263">
        <f t="shared" si="917"/>
        <v>19.387322771498177</v>
      </c>
      <c r="EL210" s="230">
        <f t="shared" si="918"/>
        <v>232.64787325797818</v>
      </c>
      <c r="EM210" s="266"/>
      <c r="EN210" s="263">
        <f t="shared" si="919"/>
        <v>38.774645542996353</v>
      </c>
      <c r="EO210" s="263">
        <f t="shared" si="919"/>
        <v>38.774645542996353</v>
      </c>
      <c r="EP210" s="263">
        <f t="shared" si="919"/>
        <v>38.774645542996353</v>
      </c>
      <c r="EQ210" s="263">
        <f t="shared" si="919"/>
        <v>38.774645542996353</v>
      </c>
      <c r="ER210" s="263">
        <f t="shared" si="919"/>
        <v>38.774645542996353</v>
      </c>
      <c r="ES210" s="263">
        <f t="shared" si="919"/>
        <v>38.774645542996353</v>
      </c>
      <c r="ET210" s="263">
        <f t="shared" si="919"/>
        <v>38.774645542996353</v>
      </c>
      <c r="EU210" s="263">
        <f t="shared" si="919"/>
        <v>38.774645542996353</v>
      </c>
      <c r="EV210" s="263">
        <f t="shared" si="919"/>
        <v>38.774645542996353</v>
      </c>
      <c r="EW210" s="263">
        <f t="shared" si="919"/>
        <v>38.774645542996353</v>
      </c>
      <c r="EX210" s="263">
        <f t="shared" si="919"/>
        <v>38.774645542996353</v>
      </c>
      <c r="EY210" s="263">
        <f t="shared" si="919"/>
        <v>38.774645542996353</v>
      </c>
      <c r="EZ210" s="230">
        <f t="shared" si="920"/>
        <v>465.29574651595635</v>
      </c>
      <c r="FA210" s="266"/>
      <c r="FB210" s="263">
        <f t="shared" si="921"/>
        <v>19.387322771498177</v>
      </c>
      <c r="FC210" s="263">
        <f t="shared" si="921"/>
        <v>19.387322771498177</v>
      </c>
      <c r="FD210" s="263">
        <f t="shared" si="921"/>
        <v>19.387322771498177</v>
      </c>
      <c r="FE210" s="263">
        <f t="shared" si="921"/>
        <v>19.387322771498177</v>
      </c>
      <c r="FF210" s="263">
        <f t="shared" si="921"/>
        <v>19.387322771498177</v>
      </c>
      <c r="FG210" s="263">
        <f t="shared" si="921"/>
        <v>19.387322771498177</v>
      </c>
      <c r="FH210" s="263">
        <f t="shared" si="921"/>
        <v>19.387322771498177</v>
      </c>
      <c r="FI210" s="263">
        <f t="shared" si="921"/>
        <v>19.387322771498177</v>
      </c>
      <c r="FJ210" s="263">
        <f t="shared" si="921"/>
        <v>19.387322771498177</v>
      </c>
      <c r="FK210" s="263">
        <f t="shared" si="921"/>
        <v>19.387322771498177</v>
      </c>
      <c r="FL210" s="263">
        <f t="shared" si="921"/>
        <v>19.387322771498177</v>
      </c>
      <c r="FM210" s="263">
        <f t="shared" si="921"/>
        <v>19.387322771498177</v>
      </c>
      <c r="FN210" s="230">
        <f t="shared" si="922"/>
        <v>232.64787325797818</v>
      </c>
      <c r="FO210" s="266"/>
      <c r="FP210" s="263">
        <f t="shared" si="923"/>
        <v>135.71125940048722</v>
      </c>
      <c r="FQ210" s="263">
        <f t="shared" si="923"/>
        <v>135.71125940048722</v>
      </c>
      <c r="FR210" s="263">
        <f t="shared" si="923"/>
        <v>135.71125940048722</v>
      </c>
      <c r="FS210" s="263">
        <f t="shared" si="923"/>
        <v>135.71125940048722</v>
      </c>
      <c r="FT210" s="263">
        <f t="shared" si="923"/>
        <v>135.71125940048722</v>
      </c>
      <c r="FU210" s="263">
        <f t="shared" si="923"/>
        <v>135.71125940048722</v>
      </c>
      <c r="FV210" s="263">
        <f t="shared" si="923"/>
        <v>135.71125940048722</v>
      </c>
      <c r="FW210" s="263">
        <f t="shared" si="923"/>
        <v>135.71125940048722</v>
      </c>
      <c r="FX210" s="263">
        <f t="shared" si="923"/>
        <v>135.71125940048722</v>
      </c>
      <c r="FY210" s="263">
        <f t="shared" si="923"/>
        <v>135.71125940048722</v>
      </c>
      <c r="FZ210" s="263">
        <f t="shared" si="923"/>
        <v>135.71125940048722</v>
      </c>
      <c r="GA210" s="263">
        <f t="shared" si="923"/>
        <v>135.71125940048722</v>
      </c>
      <c r="GB210" s="230">
        <f t="shared" si="924"/>
        <v>1628.5351128058471</v>
      </c>
      <c r="GC210" s="266"/>
      <c r="GD210" s="263">
        <f t="shared" si="925"/>
        <v>19.387322771498177</v>
      </c>
      <c r="GE210" s="263">
        <f t="shared" si="925"/>
        <v>19.387322771498177</v>
      </c>
      <c r="GF210" s="263">
        <f t="shared" si="925"/>
        <v>19.387322771498177</v>
      </c>
      <c r="GG210" s="263">
        <f t="shared" si="925"/>
        <v>19.387322771498177</v>
      </c>
      <c r="GH210" s="263">
        <f t="shared" si="925"/>
        <v>19.387322771498177</v>
      </c>
      <c r="GI210" s="263">
        <f t="shared" si="925"/>
        <v>19.387322771498177</v>
      </c>
      <c r="GJ210" s="263">
        <f t="shared" si="925"/>
        <v>19.387322771498177</v>
      </c>
      <c r="GK210" s="263">
        <f t="shared" si="925"/>
        <v>19.387322771498177</v>
      </c>
      <c r="GL210" s="263">
        <f t="shared" si="925"/>
        <v>19.387322771498177</v>
      </c>
      <c r="GM210" s="263">
        <f t="shared" si="925"/>
        <v>19.387322771498177</v>
      </c>
      <c r="GN210" s="263">
        <f t="shared" si="925"/>
        <v>19.387322771498177</v>
      </c>
      <c r="GO210" s="263">
        <f t="shared" si="925"/>
        <v>19.387322771498177</v>
      </c>
      <c r="GP210" s="230">
        <f t="shared" si="926"/>
        <v>232.64787325797818</v>
      </c>
      <c r="GQ210" s="266"/>
      <c r="GR210" s="263">
        <f t="shared" si="927"/>
        <v>0</v>
      </c>
      <c r="GS210" s="263">
        <f t="shared" si="927"/>
        <v>0</v>
      </c>
      <c r="GT210" s="263">
        <f t="shared" si="927"/>
        <v>119.16110581506196</v>
      </c>
      <c r="GU210" s="263">
        <f t="shared" si="927"/>
        <v>119.16110581506196</v>
      </c>
      <c r="GV210" s="263">
        <f t="shared" si="927"/>
        <v>119.16110581506196</v>
      </c>
      <c r="GW210" s="263">
        <f t="shared" si="927"/>
        <v>119.16110581506196</v>
      </c>
      <c r="GX210" s="263">
        <f t="shared" si="927"/>
        <v>119.16110581506196</v>
      </c>
      <c r="GY210" s="263">
        <f t="shared" si="927"/>
        <v>119.16110581506196</v>
      </c>
      <c r="GZ210" s="263">
        <f t="shared" si="927"/>
        <v>119.16110581506196</v>
      </c>
      <c r="HA210" s="263">
        <f t="shared" si="927"/>
        <v>119.16110581506196</v>
      </c>
      <c r="HB210" s="263">
        <f t="shared" si="927"/>
        <v>119.16110581506196</v>
      </c>
      <c r="HC210" s="263">
        <f t="shared" si="927"/>
        <v>119.16110581506196</v>
      </c>
      <c r="HD210" s="230">
        <f t="shared" si="947"/>
        <v>0</v>
      </c>
      <c r="HE210" s="266"/>
      <c r="HF210" s="263">
        <f t="shared" si="928"/>
        <v>77.549291085992706</v>
      </c>
      <c r="HG210" s="263">
        <f t="shared" si="928"/>
        <v>77.549291085992706</v>
      </c>
      <c r="HH210" s="263">
        <f t="shared" si="928"/>
        <v>77.549291085992706</v>
      </c>
      <c r="HI210" s="263">
        <f t="shared" si="928"/>
        <v>77.549291085992706</v>
      </c>
      <c r="HJ210" s="263">
        <f t="shared" si="928"/>
        <v>77.549291085992706</v>
      </c>
      <c r="HK210" s="263">
        <f t="shared" si="928"/>
        <v>77.549291085992706</v>
      </c>
      <c r="HL210" s="263">
        <f t="shared" si="928"/>
        <v>77.549291085992706</v>
      </c>
      <c r="HM210" s="263">
        <f t="shared" si="928"/>
        <v>77.549291085992706</v>
      </c>
      <c r="HN210" s="263">
        <f t="shared" si="928"/>
        <v>77.549291085992706</v>
      </c>
      <c r="HO210" s="263">
        <f t="shared" si="928"/>
        <v>77.549291085992706</v>
      </c>
      <c r="HP210" s="263">
        <f t="shared" si="928"/>
        <v>77.549291085992706</v>
      </c>
      <c r="HQ210" s="263">
        <f t="shared" si="928"/>
        <v>77.549291085992706</v>
      </c>
      <c r="HR210" s="230">
        <f t="shared" si="929"/>
        <v>930.59149303191271</v>
      </c>
      <c r="HS210" s="266"/>
      <c r="HT210" s="263">
        <f t="shared" si="930"/>
        <v>19.387322771498177</v>
      </c>
      <c r="HU210" s="263">
        <f t="shared" si="930"/>
        <v>19.387322771498177</v>
      </c>
      <c r="HV210" s="263">
        <f t="shared" si="930"/>
        <v>19.387322771498177</v>
      </c>
      <c r="HW210" s="263">
        <f t="shared" si="930"/>
        <v>19.387322771498177</v>
      </c>
      <c r="HX210" s="263">
        <f t="shared" si="930"/>
        <v>19.387322771498177</v>
      </c>
      <c r="HY210" s="263">
        <f t="shared" si="930"/>
        <v>19.387322771498177</v>
      </c>
      <c r="HZ210" s="263">
        <f t="shared" si="930"/>
        <v>19.387322771498177</v>
      </c>
      <c r="IA210" s="263">
        <f t="shared" si="930"/>
        <v>19.387322771498177</v>
      </c>
      <c r="IB210" s="263">
        <f t="shared" si="930"/>
        <v>19.387322771498177</v>
      </c>
      <c r="IC210" s="263">
        <f t="shared" si="930"/>
        <v>19.387322771498177</v>
      </c>
      <c r="ID210" s="263">
        <f t="shared" si="930"/>
        <v>19.387322771498177</v>
      </c>
      <c r="IE210" s="263">
        <f t="shared" si="930"/>
        <v>19.387322771498177</v>
      </c>
      <c r="IF210" s="230">
        <f t="shared" si="931"/>
        <v>232.64787325797818</v>
      </c>
      <c r="IG210" s="266"/>
      <c r="IH210" s="263">
        <f t="shared" si="932"/>
        <v>19.387322771498177</v>
      </c>
      <c r="II210" s="263">
        <f t="shared" si="932"/>
        <v>19.387322771498177</v>
      </c>
      <c r="IJ210" s="263">
        <f t="shared" si="932"/>
        <v>19.387322771498177</v>
      </c>
      <c r="IK210" s="263">
        <f t="shared" si="932"/>
        <v>19.387322771498177</v>
      </c>
      <c r="IL210" s="263">
        <f t="shared" si="932"/>
        <v>19.387322771498177</v>
      </c>
      <c r="IM210" s="263">
        <f t="shared" si="932"/>
        <v>19.387322771498177</v>
      </c>
      <c r="IN210" s="263">
        <f t="shared" si="932"/>
        <v>19.387322771498177</v>
      </c>
      <c r="IO210" s="263">
        <f t="shared" si="932"/>
        <v>19.387322771498177</v>
      </c>
      <c r="IP210" s="263">
        <f t="shared" si="932"/>
        <v>19.387322771498177</v>
      </c>
      <c r="IQ210" s="263">
        <f t="shared" si="932"/>
        <v>19.387322771498177</v>
      </c>
      <c r="IR210" s="263">
        <f t="shared" si="932"/>
        <v>19.387322771498177</v>
      </c>
      <c r="IS210" s="263">
        <f t="shared" si="932"/>
        <v>19.387322771498177</v>
      </c>
      <c r="IT210" s="230">
        <f t="shared" si="933"/>
        <v>232.64787325797818</v>
      </c>
      <c r="IU210" s="266"/>
      <c r="IV210" s="263">
        <f t="shared" si="934"/>
        <v>135.71125940048722</v>
      </c>
      <c r="IW210" s="263">
        <f t="shared" si="934"/>
        <v>135.71125940048722</v>
      </c>
      <c r="IX210" s="263">
        <f t="shared" si="934"/>
        <v>135.71125940048722</v>
      </c>
      <c r="IY210" s="263">
        <f t="shared" si="934"/>
        <v>135.71125940048722</v>
      </c>
      <c r="IZ210" s="263">
        <f t="shared" si="934"/>
        <v>135.71125940048722</v>
      </c>
      <c r="JA210" s="263">
        <f t="shared" si="934"/>
        <v>135.71125940048722</v>
      </c>
      <c r="JB210" s="263">
        <f t="shared" si="934"/>
        <v>135.71125940048722</v>
      </c>
      <c r="JC210" s="263">
        <f t="shared" si="934"/>
        <v>135.71125940048722</v>
      </c>
      <c r="JD210" s="263">
        <f t="shared" si="934"/>
        <v>135.71125940048722</v>
      </c>
      <c r="JE210" s="263">
        <f t="shared" si="934"/>
        <v>135.71125940048722</v>
      </c>
      <c r="JF210" s="263">
        <f t="shared" si="934"/>
        <v>135.71125940048722</v>
      </c>
      <c r="JG210" s="263">
        <f t="shared" si="934"/>
        <v>135.71125940048722</v>
      </c>
      <c r="JH210" s="230">
        <f t="shared" si="935"/>
        <v>1628.5351128058471</v>
      </c>
      <c r="JI210" s="266"/>
      <c r="JJ210" s="263">
        <f t="shared" si="936"/>
        <v>213.26055048647993</v>
      </c>
      <c r="JK210" s="263">
        <f t="shared" si="936"/>
        <v>213.26055048647993</v>
      </c>
      <c r="JL210" s="263">
        <f t="shared" si="936"/>
        <v>213.26055048647993</v>
      </c>
      <c r="JM210" s="263">
        <f t="shared" si="936"/>
        <v>213.26055048647993</v>
      </c>
      <c r="JN210" s="263">
        <f t="shared" si="936"/>
        <v>213.26055048647993</v>
      </c>
      <c r="JO210" s="263">
        <f t="shared" si="936"/>
        <v>213.26055048647993</v>
      </c>
      <c r="JP210" s="263">
        <f t="shared" si="936"/>
        <v>213.26055048647993</v>
      </c>
      <c r="JQ210" s="263">
        <f t="shared" si="936"/>
        <v>213.26055048647993</v>
      </c>
      <c r="JR210" s="263">
        <f t="shared" si="936"/>
        <v>213.26055048647993</v>
      </c>
      <c r="JS210" s="263">
        <f t="shared" si="936"/>
        <v>213.26055048647993</v>
      </c>
      <c r="JT210" s="263">
        <f t="shared" si="936"/>
        <v>213.26055048647993</v>
      </c>
      <c r="JU210" s="263">
        <f t="shared" si="936"/>
        <v>213.26055048647993</v>
      </c>
      <c r="JV210" s="230">
        <f t="shared" si="937"/>
        <v>2559.1266058377601</v>
      </c>
      <c r="JW210" s="266"/>
      <c r="JX210" s="263">
        <f t="shared" si="938"/>
        <v>96.936613857490883</v>
      </c>
      <c r="JY210" s="263">
        <f t="shared" si="938"/>
        <v>96.936613857490883</v>
      </c>
      <c r="JZ210" s="263">
        <f t="shared" si="938"/>
        <v>96.936613857490883</v>
      </c>
      <c r="KA210" s="263">
        <f t="shared" si="938"/>
        <v>96.936613857490883</v>
      </c>
      <c r="KB210" s="263">
        <f t="shared" si="938"/>
        <v>96.936613857490883</v>
      </c>
      <c r="KC210" s="263">
        <f t="shared" si="938"/>
        <v>96.936613857490883</v>
      </c>
      <c r="KD210" s="263">
        <f t="shared" si="938"/>
        <v>96.936613857490883</v>
      </c>
      <c r="KE210" s="263">
        <f t="shared" si="938"/>
        <v>96.936613857490883</v>
      </c>
      <c r="KF210" s="263">
        <f t="shared" si="938"/>
        <v>96.936613857490883</v>
      </c>
      <c r="KG210" s="263">
        <f t="shared" si="938"/>
        <v>96.936613857490883</v>
      </c>
      <c r="KH210" s="263">
        <f t="shared" si="938"/>
        <v>96.936613857490883</v>
      </c>
      <c r="KI210" s="263">
        <f t="shared" si="938"/>
        <v>96.936613857490883</v>
      </c>
      <c r="KJ210" s="230">
        <f t="shared" si="939"/>
        <v>1163.2393662898905</v>
      </c>
      <c r="KK210" s="266"/>
      <c r="KL210" s="263">
        <f t="shared" si="940"/>
        <v>38.774645542996353</v>
      </c>
      <c r="KM210" s="263">
        <f t="shared" si="940"/>
        <v>38.774645542996353</v>
      </c>
      <c r="KN210" s="263">
        <f t="shared" si="940"/>
        <v>38.774645542996353</v>
      </c>
      <c r="KO210" s="263">
        <f t="shared" si="940"/>
        <v>38.774645542996353</v>
      </c>
      <c r="KP210" s="263">
        <f t="shared" si="940"/>
        <v>38.774645542996353</v>
      </c>
      <c r="KQ210" s="263">
        <f t="shared" si="940"/>
        <v>38.774645542996353</v>
      </c>
      <c r="KR210" s="263">
        <f t="shared" si="940"/>
        <v>38.774645542996353</v>
      </c>
      <c r="KS210" s="263">
        <f t="shared" si="940"/>
        <v>38.774645542996353</v>
      </c>
      <c r="KT210" s="263">
        <f t="shared" si="940"/>
        <v>38.774645542996353</v>
      </c>
      <c r="KU210" s="263">
        <f t="shared" si="940"/>
        <v>38.774645542996353</v>
      </c>
      <c r="KV210" s="263">
        <f t="shared" si="940"/>
        <v>38.774645542996353</v>
      </c>
      <c r="KW210" s="263">
        <f t="shared" si="940"/>
        <v>38.774645542996353</v>
      </c>
      <c r="KX210" s="230">
        <f t="shared" si="941"/>
        <v>465.29574651595635</v>
      </c>
      <c r="KY210" s="266"/>
      <c r="KZ210" s="263">
        <f t="shared" si="942"/>
        <v>19.387322771498177</v>
      </c>
      <c r="LA210" s="263">
        <f t="shared" si="942"/>
        <v>19.387322771498177</v>
      </c>
      <c r="LB210" s="263">
        <f t="shared" si="942"/>
        <v>19.387322771498177</v>
      </c>
      <c r="LC210" s="263">
        <f t="shared" si="942"/>
        <v>19.387322771498177</v>
      </c>
      <c r="LD210" s="263">
        <f t="shared" si="942"/>
        <v>19.387322771498177</v>
      </c>
      <c r="LE210" s="263">
        <f t="shared" si="942"/>
        <v>19.387322771498177</v>
      </c>
      <c r="LF210" s="263">
        <f t="shared" si="942"/>
        <v>19.387322771498177</v>
      </c>
      <c r="LG210" s="263">
        <f t="shared" si="942"/>
        <v>19.387322771498177</v>
      </c>
      <c r="LH210" s="263">
        <f t="shared" si="942"/>
        <v>19.387322771498177</v>
      </c>
      <c r="LI210" s="263">
        <f t="shared" si="942"/>
        <v>19.387322771498177</v>
      </c>
      <c r="LJ210" s="263">
        <f t="shared" si="942"/>
        <v>19.387322771498177</v>
      </c>
      <c r="LK210" s="263">
        <f t="shared" si="942"/>
        <v>19.387322771498177</v>
      </c>
      <c r="LL210" s="230">
        <f t="shared" si="943"/>
        <v>232.64787325797818</v>
      </c>
      <c r="LM210" s="266"/>
      <c r="LN210" s="263">
        <v>0</v>
      </c>
      <c r="LO210" s="264">
        <v>0</v>
      </c>
      <c r="LP210" s="265">
        <v>0</v>
      </c>
      <c r="LQ210" s="265">
        <v>0</v>
      </c>
      <c r="LR210" s="265">
        <v>0</v>
      </c>
      <c r="LS210" s="265">
        <v>0</v>
      </c>
      <c r="LT210" s="265">
        <v>0</v>
      </c>
      <c r="LU210" s="265">
        <v>0</v>
      </c>
      <c r="LV210" s="265">
        <v>0</v>
      </c>
      <c r="LW210" s="265">
        <v>0</v>
      </c>
      <c r="LX210" s="265">
        <v>0</v>
      </c>
      <c r="LY210" s="265">
        <v>0</v>
      </c>
      <c r="LZ210" s="230">
        <f t="shared" si="944"/>
        <v>0</v>
      </c>
      <c r="MA210" s="266"/>
      <c r="MB210" s="230">
        <f t="shared" si="945"/>
        <v>3865.7459106934789</v>
      </c>
      <c r="MC210" s="230">
        <f t="shared" si="945"/>
        <v>3865.7459106934789</v>
      </c>
      <c r="MD210" s="230">
        <f t="shared" si="945"/>
        <v>3984.9070165085409</v>
      </c>
      <c r="ME210" s="230">
        <f t="shared" si="945"/>
        <v>3984.9070165085409</v>
      </c>
      <c r="MF210" s="230">
        <f t="shared" si="945"/>
        <v>3984.9070165085409</v>
      </c>
      <c r="MG210" s="230">
        <f t="shared" si="945"/>
        <v>3984.9070165085409</v>
      </c>
      <c r="MH210" s="230">
        <f t="shared" si="945"/>
        <v>3984.9070165085409</v>
      </c>
      <c r="MI210" s="230">
        <f t="shared" si="945"/>
        <v>3984.9070165085409</v>
      </c>
      <c r="MJ210" s="230">
        <f t="shared" si="945"/>
        <v>3984.9070165085409</v>
      </c>
      <c r="MK210" s="230">
        <f t="shared" si="945"/>
        <v>3984.9070165085409</v>
      </c>
      <c r="ML210" s="230">
        <f t="shared" si="945"/>
        <v>3984.9070165085409</v>
      </c>
      <c r="MM210" s="230">
        <f t="shared" si="945"/>
        <v>3984.9070165085409</v>
      </c>
      <c r="MN210" s="230">
        <f t="shared" si="948"/>
        <v>47580.56198647237</v>
      </c>
    </row>
    <row r="211" spans="1:352" x14ac:dyDescent="0.25">
      <c r="A211" s="262"/>
      <c r="B211" s="64" t="s">
        <v>84</v>
      </c>
      <c r="C211" s="98"/>
      <c r="D211" s="263">
        <f t="shared" si="899"/>
        <v>181.55518483211523</v>
      </c>
      <c r="E211" s="263">
        <f t="shared" si="899"/>
        <v>181.55518483211523</v>
      </c>
      <c r="F211" s="263">
        <f t="shared" si="899"/>
        <v>181.55518483211523</v>
      </c>
      <c r="G211" s="263">
        <f t="shared" si="899"/>
        <v>181.55518483211523</v>
      </c>
      <c r="H211" s="263">
        <f t="shared" si="899"/>
        <v>181.55518483211523</v>
      </c>
      <c r="I211" s="263">
        <f t="shared" si="899"/>
        <v>181.55518483211523</v>
      </c>
      <c r="J211" s="263">
        <f t="shared" si="899"/>
        <v>181.55518483211523</v>
      </c>
      <c r="K211" s="263">
        <f t="shared" si="899"/>
        <v>181.55518483211523</v>
      </c>
      <c r="L211" s="263">
        <f t="shared" si="899"/>
        <v>181.55518483211523</v>
      </c>
      <c r="M211" s="263">
        <f t="shared" si="899"/>
        <v>181.55518483211523</v>
      </c>
      <c r="N211" s="263">
        <f t="shared" si="899"/>
        <v>181.55518483211523</v>
      </c>
      <c r="O211" s="263">
        <f t="shared" si="899"/>
        <v>181.55518483211523</v>
      </c>
      <c r="P211" s="230">
        <f t="shared" si="900"/>
        <v>2178.6622179853825</v>
      </c>
      <c r="Q211" s="266"/>
      <c r="R211" s="263">
        <f t="shared" si="901"/>
        <v>6.4545598983158561</v>
      </c>
      <c r="S211" s="263">
        <f t="shared" si="901"/>
        <v>6.4545598983158561</v>
      </c>
      <c r="T211" s="263">
        <f t="shared" si="901"/>
        <v>6.4545598983158561</v>
      </c>
      <c r="U211" s="263">
        <f t="shared" si="901"/>
        <v>6.4545598983158561</v>
      </c>
      <c r="V211" s="263">
        <f t="shared" si="901"/>
        <v>6.4545598983158561</v>
      </c>
      <c r="W211" s="263">
        <f t="shared" si="901"/>
        <v>6.4545598983158561</v>
      </c>
      <c r="X211" s="263">
        <f t="shared" si="901"/>
        <v>6.4545598983158561</v>
      </c>
      <c r="Y211" s="263">
        <f t="shared" si="901"/>
        <v>6.4545598983158561</v>
      </c>
      <c r="Z211" s="263">
        <f t="shared" si="901"/>
        <v>6.4545598983158561</v>
      </c>
      <c r="AA211" s="263">
        <f t="shared" si="901"/>
        <v>6.4545598983158561</v>
      </c>
      <c r="AB211" s="263">
        <f t="shared" si="901"/>
        <v>6.4545598983158561</v>
      </c>
      <c r="AC211" s="263">
        <f t="shared" si="901"/>
        <v>6.4545598983158561</v>
      </c>
      <c r="AD211" s="230">
        <f t="shared" si="902"/>
        <v>77.454718779790255</v>
      </c>
      <c r="AE211" s="266"/>
      <c r="AF211" s="263">
        <f t="shared" si="903"/>
        <v>6.4545598983158561</v>
      </c>
      <c r="AG211" s="263">
        <f t="shared" si="903"/>
        <v>6.4545598983158561</v>
      </c>
      <c r="AH211" s="263">
        <f t="shared" si="903"/>
        <v>6.4545598983158561</v>
      </c>
      <c r="AI211" s="263">
        <f t="shared" si="903"/>
        <v>6.4545598983158561</v>
      </c>
      <c r="AJ211" s="263">
        <f t="shared" si="903"/>
        <v>6.4545598983158561</v>
      </c>
      <c r="AK211" s="263">
        <f t="shared" si="903"/>
        <v>6.4545598983158561</v>
      </c>
      <c r="AL211" s="263">
        <f t="shared" si="903"/>
        <v>6.4545598983158561</v>
      </c>
      <c r="AM211" s="263">
        <f t="shared" si="903"/>
        <v>6.4545598983158561</v>
      </c>
      <c r="AN211" s="263">
        <f t="shared" si="903"/>
        <v>6.4545598983158561</v>
      </c>
      <c r="AO211" s="263">
        <f t="shared" si="903"/>
        <v>6.4545598983158561</v>
      </c>
      <c r="AP211" s="263">
        <f t="shared" si="903"/>
        <v>6.4545598983158561</v>
      </c>
      <c r="AQ211" s="263">
        <f t="shared" si="903"/>
        <v>6.4545598983158561</v>
      </c>
      <c r="AR211" s="230">
        <f t="shared" si="904"/>
        <v>77.454718779790255</v>
      </c>
      <c r="AS211" s="266"/>
      <c r="AT211" s="263">
        <f t="shared" si="905"/>
        <v>4.3030399322105701</v>
      </c>
      <c r="AU211" s="263">
        <f t="shared" si="905"/>
        <v>4.3030399322105701</v>
      </c>
      <c r="AV211" s="263">
        <f t="shared" si="905"/>
        <v>4.3030399322105701</v>
      </c>
      <c r="AW211" s="263">
        <f t="shared" si="905"/>
        <v>4.3030399322105701</v>
      </c>
      <c r="AX211" s="263">
        <f t="shared" si="905"/>
        <v>4.3030399322105701</v>
      </c>
      <c r="AY211" s="263">
        <f t="shared" si="905"/>
        <v>4.3030399322105701</v>
      </c>
      <c r="AZ211" s="263">
        <f t="shared" si="905"/>
        <v>4.3030399322105701</v>
      </c>
      <c r="BA211" s="263">
        <f t="shared" si="905"/>
        <v>4.3030399322105701</v>
      </c>
      <c r="BB211" s="263">
        <f t="shared" si="905"/>
        <v>4.3030399322105701</v>
      </c>
      <c r="BC211" s="263">
        <f t="shared" si="905"/>
        <v>4.3030399322105701</v>
      </c>
      <c r="BD211" s="263">
        <f t="shared" si="905"/>
        <v>4.3030399322105701</v>
      </c>
      <c r="BE211" s="263">
        <f t="shared" si="905"/>
        <v>4.3030399322105701</v>
      </c>
      <c r="BF211" s="230">
        <f t="shared" si="906"/>
        <v>51.636479186526827</v>
      </c>
      <c r="BG211" s="224"/>
      <c r="BH211" s="263">
        <f t="shared" si="907"/>
        <v>32.272799491579278</v>
      </c>
      <c r="BI211" s="263">
        <f t="shared" si="907"/>
        <v>32.272799491579278</v>
      </c>
      <c r="BJ211" s="263">
        <f t="shared" si="907"/>
        <v>32.272799491579278</v>
      </c>
      <c r="BK211" s="263">
        <f t="shared" si="907"/>
        <v>32.272799491579278</v>
      </c>
      <c r="BL211" s="263">
        <f t="shared" si="907"/>
        <v>32.272799491579278</v>
      </c>
      <c r="BM211" s="263">
        <f t="shared" si="907"/>
        <v>32.272799491579278</v>
      </c>
      <c r="BN211" s="263">
        <f t="shared" si="907"/>
        <v>32.272799491579278</v>
      </c>
      <c r="BO211" s="263">
        <f t="shared" si="907"/>
        <v>32.272799491579278</v>
      </c>
      <c r="BP211" s="263">
        <f t="shared" si="907"/>
        <v>32.272799491579278</v>
      </c>
      <c r="BQ211" s="263">
        <f t="shared" si="907"/>
        <v>32.272799491579278</v>
      </c>
      <c r="BR211" s="263">
        <f t="shared" si="907"/>
        <v>32.272799491579278</v>
      </c>
      <c r="BS211" s="263">
        <f t="shared" si="907"/>
        <v>32.272799491579278</v>
      </c>
      <c r="BT211" s="230">
        <f t="shared" si="908"/>
        <v>387.27359389895145</v>
      </c>
      <c r="BU211" s="266"/>
      <c r="BV211" s="263">
        <f t="shared" si="909"/>
        <v>121.31262578116724</v>
      </c>
      <c r="BW211" s="263">
        <f t="shared" si="909"/>
        <v>121.31262578116724</v>
      </c>
      <c r="BX211" s="263">
        <f t="shared" si="909"/>
        <v>121.31262578116724</v>
      </c>
      <c r="BY211" s="263">
        <f t="shared" si="909"/>
        <v>121.31262578116724</v>
      </c>
      <c r="BZ211" s="263">
        <f t="shared" si="909"/>
        <v>121.31262578116724</v>
      </c>
      <c r="CA211" s="263">
        <f t="shared" si="909"/>
        <v>121.31262578116724</v>
      </c>
      <c r="CB211" s="263">
        <f t="shared" si="909"/>
        <v>121.31262578116724</v>
      </c>
      <c r="CC211" s="263">
        <f t="shared" si="909"/>
        <v>121.31262578116724</v>
      </c>
      <c r="CD211" s="263">
        <f t="shared" si="909"/>
        <v>121.31262578116724</v>
      </c>
      <c r="CE211" s="263">
        <f t="shared" si="909"/>
        <v>121.31262578116724</v>
      </c>
      <c r="CF211" s="263">
        <f t="shared" si="909"/>
        <v>121.31262578116724</v>
      </c>
      <c r="CG211" s="263">
        <f t="shared" si="909"/>
        <v>121.31262578116724</v>
      </c>
      <c r="CH211" s="230">
        <f t="shared" si="910"/>
        <v>1455.7515093740074</v>
      </c>
      <c r="CI211" s="266"/>
      <c r="CJ211" s="263">
        <f t="shared" si="911"/>
        <v>23.666719627158137</v>
      </c>
      <c r="CK211" s="263">
        <f t="shared" si="911"/>
        <v>23.666719627158137</v>
      </c>
      <c r="CL211" s="263">
        <f t="shared" si="911"/>
        <v>23.666719627158137</v>
      </c>
      <c r="CM211" s="263">
        <f t="shared" si="911"/>
        <v>23.666719627158137</v>
      </c>
      <c r="CN211" s="263">
        <f t="shared" si="911"/>
        <v>23.666719627158137</v>
      </c>
      <c r="CO211" s="263">
        <f t="shared" si="911"/>
        <v>23.666719627158137</v>
      </c>
      <c r="CP211" s="263">
        <f t="shared" si="911"/>
        <v>23.666719627158137</v>
      </c>
      <c r="CQ211" s="263">
        <f t="shared" si="911"/>
        <v>23.666719627158137</v>
      </c>
      <c r="CR211" s="263">
        <f t="shared" si="911"/>
        <v>23.666719627158137</v>
      </c>
      <c r="CS211" s="263">
        <f t="shared" si="911"/>
        <v>23.666719627158137</v>
      </c>
      <c r="CT211" s="263">
        <f t="shared" si="911"/>
        <v>23.666719627158137</v>
      </c>
      <c r="CU211" s="263">
        <f t="shared" si="911"/>
        <v>23.666719627158137</v>
      </c>
      <c r="CV211" s="230">
        <f t="shared" si="912"/>
        <v>284.00063552589762</v>
      </c>
      <c r="CW211" s="266"/>
      <c r="CX211" s="263">
        <f t="shared" si="913"/>
        <v>60.242559050947982</v>
      </c>
      <c r="CY211" s="263">
        <f t="shared" si="913"/>
        <v>60.242559050947982</v>
      </c>
      <c r="CZ211" s="263">
        <f t="shared" si="913"/>
        <v>60.242559050947982</v>
      </c>
      <c r="DA211" s="263">
        <f t="shared" si="913"/>
        <v>60.242559050947982</v>
      </c>
      <c r="DB211" s="263">
        <f t="shared" si="913"/>
        <v>60.242559050947982</v>
      </c>
      <c r="DC211" s="263">
        <f t="shared" si="913"/>
        <v>60.242559050947982</v>
      </c>
      <c r="DD211" s="263">
        <f t="shared" si="913"/>
        <v>60.242559050947982</v>
      </c>
      <c r="DE211" s="263">
        <f t="shared" si="913"/>
        <v>60.242559050947982</v>
      </c>
      <c r="DF211" s="263">
        <f t="shared" si="913"/>
        <v>60.242559050947982</v>
      </c>
      <c r="DG211" s="263">
        <f t="shared" si="913"/>
        <v>60.242559050947982</v>
      </c>
      <c r="DH211" s="263">
        <f t="shared" si="913"/>
        <v>60.242559050947982</v>
      </c>
      <c r="DI211" s="263">
        <f t="shared" si="913"/>
        <v>60.242559050947982</v>
      </c>
      <c r="DJ211" s="230">
        <f t="shared" si="914"/>
        <v>722.91070861137575</v>
      </c>
      <c r="DK211" s="266"/>
      <c r="DL211" s="263">
        <f t="shared" si="915"/>
        <v>60.242559050947982</v>
      </c>
      <c r="DM211" s="263">
        <f t="shared" si="915"/>
        <v>60.242559050947982</v>
      </c>
      <c r="DN211" s="263">
        <f t="shared" si="915"/>
        <v>60.242559050947982</v>
      </c>
      <c r="DO211" s="263">
        <f t="shared" si="915"/>
        <v>60.242559050947982</v>
      </c>
      <c r="DP211" s="263">
        <f t="shared" si="915"/>
        <v>60.242559050947982</v>
      </c>
      <c r="DQ211" s="263">
        <f t="shared" si="915"/>
        <v>60.242559050947982</v>
      </c>
      <c r="DR211" s="263">
        <f t="shared" si="915"/>
        <v>60.242559050947982</v>
      </c>
      <c r="DS211" s="263">
        <f t="shared" si="915"/>
        <v>60.242559050947982</v>
      </c>
      <c r="DT211" s="263">
        <f t="shared" si="915"/>
        <v>60.242559050947982</v>
      </c>
      <c r="DU211" s="263">
        <f t="shared" si="915"/>
        <v>60.242559050947982</v>
      </c>
      <c r="DV211" s="263">
        <f t="shared" si="915"/>
        <v>60.242559050947982</v>
      </c>
      <c r="DW211" s="263">
        <f t="shared" si="915"/>
        <v>60.242559050947982</v>
      </c>
      <c r="DX211" s="230">
        <f t="shared" si="916"/>
        <v>722.91070861137575</v>
      </c>
      <c r="DY211" s="266"/>
      <c r="DZ211" s="263">
        <f t="shared" si="917"/>
        <v>2.1515199661052851</v>
      </c>
      <c r="EA211" s="263">
        <f t="shared" si="917"/>
        <v>2.1515199661052851</v>
      </c>
      <c r="EB211" s="263">
        <f t="shared" si="917"/>
        <v>2.1515199661052851</v>
      </c>
      <c r="EC211" s="263">
        <f t="shared" si="917"/>
        <v>2.1515199661052851</v>
      </c>
      <c r="ED211" s="263">
        <f t="shared" si="917"/>
        <v>2.1515199661052851</v>
      </c>
      <c r="EE211" s="263">
        <f t="shared" si="917"/>
        <v>2.1515199661052851</v>
      </c>
      <c r="EF211" s="263">
        <f t="shared" si="917"/>
        <v>2.1515199661052851</v>
      </c>
      <c r="EG211" s="263">
        <f t="shared" si="917"/>
        <v>2.1515199661052851</v>
      </c>
      <c r="EH211" s="263">
        <f t="shared" si="917"/>
        <v>2.1515199661052851</v>
      </c>
      <c r="EI211" s="263">
        <f t="shared" si="917"/>
        <v>2.1515199661052851</v>
      </c>
      <c r="EJ211" s="263">
        <f t="shared" si="917"/>
        <v>2.1515199661052851</v>
      </c>
      <c r="EK211" s="263">
        <f t="shared" si="917"/>
        <v>2.1515199661052851</v>
      </c>
      <c r="EL211" s="230">
        <f t="shared" si="918"/>
        <v>25.818239593263414</v>
      </c>
      <c r="EM211" s="266"/>
      <c r="EN211" s="263">
        <f t="shared" si="919"/>
        <v>4.3030399322105701</v>
      </c>
      <c r="EO211" s="263">
        <f t="shared" si="919"/>
        <v>4.3030399322105701</v>
      </c>
      <c r="EP211" s="263">
        <f t="shared" si="919"/>
        <v>4.3030399322105701</v>
      </c>
      <c r="EQ211" s="263">
        <f t="shared" si="919"/>
        <v>4.3030399322105701</v>
      </c>
      <c r="ER211" s="263">
        <f t="shared" si="919"/>
        <v>4.3030399322105701</v>
      </c>
      <c r="ES211" s="263">
        <f t="shared" si="919"/>
        <v>4.3030399322105701</v>
      </c>
      <c r="ET211" s="263">
        <f t="shared" si="919"/>
        <v>4.3030399322105701</v>
      </c>
      <c r="EU211" s="263">
        <f t="shared" si="919"/>
        <v>4.3030399322105701</v>
      </c>
      <c r="EV211" s="263">
        <f t="shared" si="919"/>
        <v>4.3030399322105701</v>
      </c>
      <c r="EW211" s="263">
        <f t="shared" si="919"/>
        <v>4.3030399322105701</v>
      </c>
      <c r="EX211" s="263">
        <f t="shared" si="919"/>
        <v>4.3030399322105701</v>
      </c>
      <c r="EY211" s="263">
        <f t="shared" si="919"/>
        <v>4.3030399322105701</v>
      </c>
      <c r="EZ211" s="230">
        <f t="shared" si="920"/>
        <v>51.636479186526827</v>
      </c>
      <c r="FA211" s="266"/>
      <c r="FB211" s="263">
        <f t="shared" si="921"/>
        <v>2.1515199661052851</v>
      </c>
      <c r="FC211" s="263">
        <f t="shared" si="921"/>
        <v>2.1515199661052851</v>
      </c>
      <c r="FD211" s="263">
        <f t="shared" si="921"/>
        <v>2.1515199661052851</v>
      </c>
      <c r="FE211" s="263">
        <f t="shared" si="921"/>
        <v>2.1515199661052851</v>
      </c>
      <c r="FF211" s="263">
        <f t="shared" si="921"/>
        <v>2.1515199661052851</v>
      </c>
      <c r="FG211" s="263">
        <f t="shared" si="921"/>
        <v>2.1515199661052851</v>
      </c>
      <c r="FH211" s="263">
        <f t="shared" si="921"/>
        <v>2.1515199661052851</v>
      </c>
      <c r="FI211" s="263">
        <f t="shared" si="921"/>
        <v>2.1515199661052851</v>
      </c>
      <c r="FJ211" s="263">
        <f t="shared" si="921"/>
        <v>2.1515199661052851</v>
      </c>
      <c r="FK211" s="263">
        <f t="shared" si="921"/>
        <v>2.1515199661052851</v>
      </c>
      <c r="FL211" s="263">
        <f t="shared" si="921"/>
        <v>2.1515199661052851</v>
      </c>
      <c r="FM211" s="263">
        <f t="shared" si="921"/>
        <v>2.1515199661052851</v>
      </c>
      <c r="FN211" s="230">
        <f t="shared" si="922"/>
        <v>25.818239593263414</v>
      </c>
      <c r="FO211" s="266"/>
      <c r="FP211" s="263">
        <f t="shared" si="923"/>
        <v>15.060639762736995</v>
      </c>
      <c r="FQ211" s="263">
        <f t="shared" si="923"/>
        <v>15.060639762736995</v>
      </c>
      <c r="FR211" s="263">
        <f t="shared" si="923"/>
        <v>15.060639762736995</v>
      </c>
      <c r="FS211" s="263">
        <f t="shared" si="923"/>
        <v>15.060639762736995</v>
      </c>
      <c r="FT211" s="263">
        <f t="shared" si="923"/>
        <v>15.060639762736995</v>
      </c>
      <c r="FU211" s="263">
        <f t="shared" si="923"/>
        <v>15.060639762736995</v>
      </c>
      <c r="FV211" s="263">
        <f t="shared" si="923"/>
        <v>15.060639762736995</v>
      </c>
      <c r="FW211" s="263">
        <f t="shared" si="923"/>
        <v>15.060639762736995</v>
      </c>
      <c r="FX211" s="263">
        <f t="shared" si="923"/>
        <v>15.060639762736995</v>
      </c>
      <c r="FY211" s="263">
        <f t="shared" si="923"/>
        <v>15.060639762736995</v>
      </c>
      <c r="FZ211" s="263">
        <f t="shared" si="923"/>
        <v>15.060639762736995</v>
      </c>
      <c r="GA211" s="263">
        <f t="shared" si="923"/>
        <v>15.060639762736995</v>
      </c>
      <c r="GB211" s="230">
        <f t="shared" si="924"/>
        <v>180.72767715284394</v>
      </c>
      <c r="GC211" s="266"/>
      <c r="GD211" s="263">
        <f t="shared" si="925"/>
        <v>2.1515199661052851</v>
      </c>
      <c r="GE211" s="263">
        <f t="shared" si="925"/>
        <v>2.1515199661052851</v>
      </c>
      <c r="GF211" s="263">
        <f t="shared" si="925"/>
        <v>2.1515199661052851</v>
      </c>
      <c r="GG211" s="263">
        <f t="shared" si="925"/>
        <v>2.1515199661052851</v>
      </c>
      <c r="GH211" s="263">
        <f t="shared" si="925"/>
        <v>2.1515199661052851</v>
      </c>
      <c r="GI211" s="263">
        <f t="shared" si="925"/>
        <v>2.1515199661052851</v>
      </c>
      <c r="GJ211" s="263">
        <f t="shared" si="925"/>
        <v>2.1515199661052851</v>
      </c>
      <c r="GK211" s="263">
        <f t="shared" si="925"/>
        <v>2.1515199661052851</v>
      </c>
      <c r="GL211" s="263">
        <f t="shared" si="925"/>
        <v>2.1515199661052851</v>
      </c>
      <c r="GM211" s="263">
        <f t="shared" si="925"/>
        <v>2.1515199661052851</v>
      </c>
      <c r="GN211" s="263">
        <f t="shared" si="925"/>
        <v>2.1515199661052851</v>
      </c>
      <c r="GO211" s="263">
        <f t="shared" si="925"/>
        <v>2.1515199661052851</v>
      </c>
      <c r="GP211" s="230">
        <f t="shared" si="926"/>
        <v>25.818239593263414</v>
      </c>
      <c r="GQ211" s="266"/>
      <c r="GR211" s="263">
        <f t="shared" si="927"/>
        <v>0</v>
      </c>
      <c r="GS211" s="263">
        <f t="shared" si="927"/>
        <v>0</v>
      </c>
      <c r="GT211" s="263">
        <f t="shared" si="927"/>
        <v>0</v>
      </c>
      <c r="GU211" s="263">
        <f t="shared" si="927"/>
        <v>0</v>
      </c>
      <c r="GV211" s="263">
        <f t="shared" si="927"/>
        <v>0</v>
      </c>
      <c r="GW211" s="263">
        <f t="shared" si="927"/>
        <v>0</v>
      </c>
      <c r="GX211" s="263">
        <f t="shared" si="927"/>
        <v>0</v>
      </c>
      <c r="GY211" s="263">
        <f t="shared" si="927"/>
        <v>0</v>
      </c>
      <c r="GZ211" s="263">
        <f t="shared" si="927"/>
        <v>0</v>
      </c>
      <c r="HA211" s="263">
        <f t="shared" si="927"/>
        <v>0</v>
      </c>
      <c r="HB211" s="263">
        <f t="shared" si="927"/>
        <v>0</v>
      </c>
      <c r="HC211" s="263">
        <f t="shared" si="927"/>
        <v>0</v>
      </c>
      <c r="HD211" s="230">
        <f t="shared" si="947"/>
        <v>0</v>
      </c>
      <c r="HE211" s="266"/>
      <c r="HF211" s="263">
        <f t="shared" si="928"/>
        <v>8.6060798644211403</v>
      </c>
      <c r="HG211" s="263">
        <f t="shared" si="928"/>
        <v>8.6060798644211403</v>
      </c>
      <c r="HH211" s="263">
        <f t="shared" si="928"/>
        <v>8.6060798644211403</v>
      </c>
      <c r="HI211" s="263">
        <f t="shared" si="928"/>
        <v>8.6060798644211403</v>
      </c>
      <c r="HJ211" s="263">
        <f t="shared" si="928"/>
        <v>8.6060798644211403</v>
      </c>
      <c r="HK211" s="263">
        <f t="shared" si="928"/>
        <v>8.6060798644211403</v>
      </c>
      <c r="HL211" s="263">
        <f t="shared" si="928"/>
        <v>8.6060798644211403</v>
      </c>
      <c r="HM211" s="263">
        <f t="shared" si="928"/>
        <v>8.6060798644211403</v>
      </c>
      <c r="HN211" s="263">
        <f t="shared" si="928"/>
        <v>8.6060798644211403</v>
      </c>
      <c r="HO211" s="263">
        <f t="shared" si="928"/>
        <v>8.6060798644211403</v>
      </c>
      <c r="HP211" s="263">
        <f t="shared" si="928"/>
        <v>8.6060798644211403</v>
      </c>
      <c r="HQ211" s="263">
        <f t="shared" si="928"/>
        <v>8.6060798644211403</v>
      </c>
      <c r="HR211" s="230">
        <f t="shared" si="929"/>
        <v>103.27295837305365</v>
      </c>
      <c r="HS211" s="266"/>
      <c r="HT211" s="263">
        <f t="shared" si="930"/>
        <v>2.1515199661052851</v>
      </c>
      <c r="HU211" s="263">
        <f t="shared" si="930"/>
        <v>2.1515199661052851</v>
      </c>
      <c r="HV211" s="263">
        <f t="shared" si="930"/>
        <v>2.1515199661052851</v>
      </c>
      <c r="HW211" s="263">
        <f t="shared" si="930"/>
        <v>2.1515199661052851</v>
      </c>
      <c r="HX211" s="263">
        <f t="shared" si="930"/>
        <v>2.1515199661052851</v>
      </c>
      <c r="HY211" s="263">
        <f t="shared" si="930"/>
        <v>2.1515199661052851</v>
      </c>
      <c r="HZ211" s="263">
        <f t="shared" si="930"/>
        <v>2.1515199661052851</v>
      </c>
      <c r="IA211" s="263">
        <f t="shared" si="930"/>
        <v>2.1515199661052851</v>
      </c>
      <c r="IB211" s="263">
        <f t="shared" si="930"/>
        <v>2.1515199661052851</v>
      </c>
      <c r="IC211" s="263">
        <f t="shared" si="930"/>
        <v>2.1515199661052851</v>
      </c>
      <c r="ID211" s="263">
        <f t="shared" si="930"/>
        <v>2.1515199661052851</v>
      </c>
      <c r="IE211" s="263">
        <f t="shared" si="930"/>
        <v>2.1515199661052851</v>
      </c>
      <c r="IF211" s="230">
        <f t="shared" si="931"/>
        <v>25.818239593263414</v>
      </c>
      <c r="IG211" s="266"/>
      <c r="IH211" s="263">
        <f t="shared" si="932"/>
        <v>2.1515199661052851</v>
      </c>
      <c r="II211" s="263">
        <f t="shared" si="932"/>
        <v>2.1515199661052851</v>
      </c>
      <c r="IJ211" s="263">
        <f t="shared" si="932"/>
        <v>2.1515199661052851</v>
      </c>
      <c r="IK211" s="263">
        <f t="shared" si="932"/>
        <v>2.1515199661052851</v>
      </c>
      <c r="IL211" s="263">
        <f t="shared" si="932"/>
        <v>2.1515199661052851</v>
      </c>
      <c r="IM211" s="263">
        <f t="shared" si="932"/>
        <v>2.1515199661052851</v>
      </c>
      <c r="IN211" s="263">
        <f t="shared" si="932"/>
        <v>2.1515199661052851</v>
      </c>
      <c r="IO211" s="263">
        <f t="shared" si="932"/>
        <v>2.1515199661052851</v>
      </c>
      <c r="IP211" s="263">
        <f t="shared" si="932"/>
        <v>2.1515199661052851</v>
      </c>
      <c r="IQ211" s="263">
        <f t="shared" si="932"/>
        <v>2.1515199661052851</v>
      </c>
      <c r="IR211" s="263">
        <f t="shared" si="932"/>
        <v>2.1515199661052851</v>
      </c>
      <c r="IS211" s="263">
        <f t="shared" si="932"/>
        <v>2.1515199661052851</v>
      </c>
      <c r="IT211" s="230">
        <f t="shared" si="933"/>
        <v>25.818239593263414</v>
      </c>
      <c r="IU211" s="266"/>
      <c r="IV211" s="263">
        <f t="shared" si="934"/>
        <v>15.060639762736995</v>
      </c>
      <c r="IW211" s="263">
        <f t="shared" si="934"/>
        <v>15.060639762736995</v>
      </c>
      <c r="IX211" s="263">
        <f t="shared" si="934"/>
        <v>15.060639762736995</v>
      </c>
      <c r="IY211" s="263">
        <f t="shared" si="934"/>
        <v>15.060639762736995</v>
      </c>
      <c r="IZ211" s="263">
        <f t="shared" si="934"/>
        <v>15.060639762736995</v>
      </c>
      <c r="JA211" s="263">
        <f t="shared" si="934"/>
        <v>15.060639762736995</v>
      </c>
      <c r="JB211" s="263">
        <f t="shared" si="934"/>
        <v>15.060639762736995</v>
      </c>
      <c r="JC211" s="263">
        <f t="shared" si="934"/>
        <v>15.060639762736995</v>
      </c>
      <c r="JD211" s="263">
        <f t="shared" si="934"/>
        <v>15.060639762736995</v>
      </c>
      <c r="JE211" s="263">
        <f t="shared" si="934"/>
        <v>15.060639762736995</v>
      </c>
      <c r="JF211" s="263">
        <f t="shared" si="934"/>
        <v>15.060639762736995</v>
      </c>
      <c r="JG211" s="263">
        <f t="shared" si="934"/>
        <v>15.060639762736995</v>
      </c>
      <c r="JH211" s="230">
        <f t="shared" si="935"/>
        <v>180.72767715284394</v>
      </c>
      <c r="JI211" s="266"/>
      <c r="JJ211" s="263">
        <f t="shared" si="936"/>
        <v>23.666719627158137</v>
      </c>
      <c r="JK211" s="263">
        <f t="shared" si="936"/>
        <v>23.666719627158137</v>
      </c>
      <c r="JL211" s="263">
        <f t="shared" si="936"/>
        <v>23.666719627158137</v>
      </c>
      <c r="JM211" s="263">
        <f t="shared" si="936"/>
        <v>23.666719627158137</v>
      </c>
      <c r="JN211" s="263">
        <f t="shared" si="936"/>
        <v>23.666719627158137</v>
      </c>
      <c r="JO211" s="263">
        <f t="shared" si="936"/>
        <v>23.666719627158137</v>
      </c>
      <c r="JP211" s="263">
        <f t="shared" si="936"/>
        <v>23.666719627158137</v>
      </c>
      <c r="JQ211" s="263">
        <f t="shared" si="936"/>
        <v>23.666719627158137</v>
      </c>
      <c r="JR211" s="263">
        <f t="shared" si="936"/>
        <v>23.666719627158137</v>
      </c>
      <c r="JS211" s="263">
        <f t="shared" si="936"/>
        <v>23.666719627158137</v>
      </c>
      <c r="JT211" s="263">
        <f t="shared" si="936"/>
        <v>23.666719627158137</v>
      </c>
      <c r="JU211" s="263">
        <f t="shared" si="936"/>
        <v>23.666719627158137</v>
      </c>
      <c r="JV211" s="230">
        <f t="shared" si="937"/>
        <v>284.00063552589762</v>
      </c>
      <c r="JW211" s="266"/>
      <c r="JX211" s="263">
        <f t="shared" si="938"/>
        <v>10.757599830526427</v>
      </c>
      <c r="JY211" s="263">
        <f t="shared" si="938"/>
        <v>10.757599830526427</v>
      </c>
      <c r="JZ211" s="263">
        <f t="shared" si="938"/>
        <v>10.757599830526427</v>
      </c>
      <c r="KA211" s="263">
        <f t="shared" si="938"/>
        <v>10.757599830526427</v>
      </c>
      <c r="KB211" s="263">
        <f t="shared" si="938"/>
        <v>10.757599830526427</v>
      </c>
      <c r="KC211" s="263">
        <f t="shared" si="938"/>
        <v>10.757599830526427</v>
      </c>
      <c r="KD211" s="263">
        <f t="shared" si="938"/>
        <v>10.757599830526427</v>
      </c>
      <c r="KE211" s="263">
        <f t="shared" si="938"/>
        <v>10.757599830526427</v>
      </c>
      <c r="KF211" s="263">
        <f t="shared" si="938"/>
        <v>10.757599830526427</v>
      </c>
      <c r="KG211" s="263">
        <f t="shared" si="938"/>
        <v>10.757599830526427</v>
      </c>
      <c r="KH211" s="263">
        <f t="shared" si="938"/>
        <v>10.757599830526427</v>
      </c>
      <c r="KI211" s="263">
        <f t="shared" si="938"/>
        <v>10.757599830526427</v>
      </c>
      <c r="KJ211" s="230">
        <f t="shared" si="939"/>
        <v>129.09119796631714</v>
      </c>
      <c r="KK211" s="266"/>
      <c r="KL211" s="263">
        <f t="shared" si="940"/>
        <v>4.3030399322105701</v>
      </c>
      <c r="KM211" s="263">
        <f t="shared" si="940"/>
        <v>4.3030399322105701</v>
      </c>
      <c r="KN211" s="263">
        <f t="shared" si="940"/>
        <v>4.3030399322105701</v>
      </c>
      <c r="KO211" s="263">
        <f t="shared" si="940"/>
        <v>4.3030399322105701</v>
      </c>
      <c r="KP211" s="263">
        <f t="shared" si="940"/>
        <v>4.3030399322105701</v>
      </c>
      <c r="KQ211" s="263">
        <f t="shared" si="940"/>
        <v>4.3030399322105701</v>
      </c>
      <c r="KR211" s="263">
        <f t="shared" si="940"/>
        <v>4.3030399322105701</v>
      </c>
      <c r="KS211" s="263">
        <f t="shared" si="940"/>
        <v>4.3030399322105701</v>
      </c>
      <c r="KT211" s="263">
        <f t="shared" si="940"/>
        <v>4.3030399322105701</v>
      </c>
      <c r="KU211" s="263">
        <f t="shared" si="940"/>
        <v>4.3030399322105701</v>
      </c>
      <c r="KV211" s="263">
        <f t="shared" si="940"/>
        <v>4.3030399322105701</v>
      </c>
      <c r="KW211" s="263">
        <f t="shared" si="940"/>
        <v>4.3030399322105701</v>
      </c>
      <c r="KX211" s="230">
        <f t="shared" si="941"/>
        <v>51.636479186526827</v>
      </c>
      <c r="KY211" s="266"/>
      <c r="KZ211" s="263">
        <f t="shared" si="942"/>
        <v>2.1515199661052851</v>
      </c>
      <c r="LA211" s="263">
        <f t="shared" si="942"/>
        <v>2.1515199661052851</v>
      </c>
      <c r="LB211" s="263">
        <f t="shared" si="942"/>
        <v>2.1515199661052851</v>
      </c>
      <c r="LC211" s="263">
        <f t="shared" si="942"/>
        <v>2.1515199661052851</v>
      </c>
      <c r="LD211" s="263">
        <f t="shared" si="942"/>
        <v>2.1515199661052851</v>
      </c>
      <c r="LE211" s="263">
        <f t="shared" si="942"/>
        <v>2.1515199661052851</v>
      </c>
      <c r="LF211" s="263">
        <f t="shared" si="942"/>
        <v>2.1515199661052851</v>
      </c>
      <c r="LG211" s="263">
        <f t="shared" si="942"/>
        <v>2.1515199661052851</v>
      </c>
      <c r="LH211" s="263">
        <f t="shared" si="942"/>
        <v>2.1515199661052851</v>
      </c>
      <c r="LI211" s="263">
        <f t="shared" si="942"/>
        <v>2.1515199661052851</v>
      </c>
      <c r="LJ211" s="263">
        <f t="shared" si="942"/>
        <v>2.1515199661052851</v>
      </c>
      <c r="LK211" s="263">
        <f t="shared" si="942"/>
        <v>2.1515199661052851</v>
      </c>
      <c r="LL211" s="230">
        <f t="shared" si="943"/>
        <v>25.818239593263414</v>
      </c>
      <c r="LM211" s="266"/>
      <c r="LN211" s="263">
        <v>0</v>
      </c>
      <c r="LO211" s="264">
        <v>0</v>
      </c>
      <c r="LP211" s="265">
        <v>0</v>
      </c>
      <c r="LQ211" s="265">
        <v>0</v>
      </c>
      <c r="LR211" s="265">
        <v>0</v>
      </c>
      <c r="LS211" s="265">
        <v>0</v>
      </c>
      <c r="LT211" s="265">
        <v>0</v>
      </c>
      <c r="LU211" s="265">
        <v>0</v>
      </c>
      <c r="LV211" s="265">
        <v>0</v>
      </c>
      <c r="LW211" s="265">
        <v>0</v>
      </c>
      <c r="LX211" s="265">
        <v>0</v>
      </c>
      <c r="LY211" s="265">
        <v>0</v>
      </c>
      <c r="LZ211" s="230">
        <f t="shared" si="944"/>
        <v>0</v>
      </c>
      <c r="MA211" s="266"/>
      <c r="MB211" s="230">
        <f t="shared" si="945"/>
        <v>591.17148607139086</v>
      </c>
      <c r="MC211" s="230">
        <f t="shared" si="945"/>
        <v>591.17148607139086</v>
      </c>
      <c r="MD211" s="230">
        <f t="shared" si="945"/>
        <v>591.17148607139086</v>
      </c>
      <c r="ME211" s="230">
        <f t="shared" si="945"/>
        <v>591.17148607139086</v>
      </c>
      <c r="MF211" s="230">
        <f t="shared" si="945"/>
        <v>591.17148607139086</v>
      </c>
      <c r="MG211" s="230">
        <f t="shared" si="945"/>
        <v>591.17148607139086</v>
      </c>
      <c r="MH211" s="230">
        <f t="shared" si="945"/>
        <v>591.17148607139086</v>
      </c>
      <c r="MI211" s="230">
        <f t="shared" si="945"/>
        <v>591.17148607139086</v>
      </c>
      <c r="MJ211" s="230">
        <f t="shared" si="945"/>
        <v>591.17148607139086</v>
      </c>
      <c r="MK211" s="230">
        <f t="shared" si="945"/>
        <v>591.17148607139086</v>
      </c>
      <c r="ML211" s="230">
        <f t="shared" si="945"/>
        <v>591.17148607139086</v>
      </c>
      <c r="MM211" s="230">
        <f t="shared" si="945"/>
        <v>591.17148607139086</v>
      </c>
      <c r="MN211" s="230">
        <f t="shared" si="948"/>
        <v>7094.0578328566908</v>
      </c>
    </row>
    <row r="212" spans="1:352" x14ac:dyDescent="0.25">
      <c r="A212" s="262"/>
      <c r="B212" s="64" t="s">
        <v>85</v>
      </c>
      <c r="C212" s="98"/>
      <c r="D212" s="263">
        <f t="shared" si="899"/>
        <v>13.712984399352369</v>
      </c>
      <c r="E212" s="263">
        <f t="shared" si="899"/>
        <v>13.712984399352369</v>
      </c>
      <c r="F212" s="263">
        <f t="shared" si="899"/>
        <v>13.712984399352369</v>
      </c>
      <c r="G212" s="263">
        <f t="shared" si="899"/>
        <v>13.712984399352369</v>
      </c>
      <c r="H212" s="263">
        <f t="shared" si="899"/>
        <v>13.712984399352369</v>
      </c>
      <c r="I212" s="263">
        <f t="shared" si="899"/>
        <v>13.712984399352369</v>
      </c>
      <c r="J212" s="263">
        <f t="shared" si="899"/>
        <v>13.712984399352369</v>
      </c>
      <c r="K212" s="263">
        <f t="shared" si="899"/>
        <v>13.712984399352369</v>
      </c>
      <c r="L212" s="263">
        <f t="shared" si="899"/>
        <v>13.712984399352369</v>
      </c>
      <c r="M212" s="263">
        <f t="shared" si="899"/>
        <v>13.712984399352369</v>
      </c>
      <c r="N212" s="263">
        <f t="shared" si="899"/>
        <v>13.712984399352369</v>
      </c>
      <c r="O212" s="263">
        <f t="shared" si="899"/>
        <v>13.712984399352369</v>
      </c>
      <c r="P212" s="230">
        <f t="shared" si="900"/>
        <v>164.55581279222841</v>
      </c>
      <c r="Q212" s="266"/>
      <c r="R212" s="263">
        <f t="shared" si="901"/>
        <v>1.418584593036452</v>
      </c>
      <c r="S212" s="263">
        <f t="shared" si="901"/>
        <v>1.418584593036452</v>
      </c>
      <c r="T212" s="263">
        <f t="shared" si="901"/>
        <v>1.418584593036452</v>
      </c>
      <c r="U212" s="263">
        <f t="shared" si="901"/>
        <v>1.418584593036452</v>
      </c>
      <c r="V212" s="263">
        <f t="shared" si="901"/>
        <v>1.418584593036452</v>
      </c>
      <c r="W212" s="263">
        <f t="shared" si="901"/>
        <v>1.418584593036452</v>
      </c>
      <c r="X212" s="263">
        <f t="shared" si="901"/>
        <v>1.418584593036452</v>
      </c>
      <c r="Y212" s="263">
        <f t="shared" si="901"/>
        <v>1.418584593036452</v>
      </c>
      <c r="Z212" s="263">
        <f t="shared" si="901"/>
        <v>1.418584593036452</v>
      </c>
      <c r="AA212" s="263">
        <f t="shared" si="901"/>
        <v>1.418584593036452</v>
      </c>
      <c r="AB212" s="263">
        <f t="shared" si="901"/>
        <v>1.418584593036452</v>
      </c>
      <c r="AC212" s="263">
        <f t="shared" si="901"/>
        <v>1.418584593036452</v>
      </c>
      <c r="AD212" s="230">
        <f t="shared" si="902"/>
        <v>17.023015116437428</v>
      </c>
      <c r="AE212" s="266"/>
      <c r="AF212" s="263">
        <f t="shared" si="903"/>
        <v>1.418584593036452</v>
      </c>
      <c r="AG212" s="263">
        <f t="shared" si="903"/>
        <v>1.418584593036452</v>
      </c>
      <c r="AH212" s="263">
        <f t="shared" si="903"/>
        <v>1.418584593036452</v>
      </c>
      <c r="AI212" s="263">
        <f t="shared" si="903"/>
        <v>1.418584593036452</v>
      </c>
      <c r="AJ212" s="263">
        <f t="shared" si="903"/>
        <v>1.418584593036452</v>
      </c>
      <c r="AK212" s="263">
        <f t="shared" si="903"/>
        <v>1.418584593036452</v>
      </c>
      <c r="AL212" s="263">
        <f t="shared" si="903"/>
        <v>1.418584593036452</v>
      </c>
      <c r="AM212" s="263">
        <f t="shared" si="903"/>
        <v>1.418584593036452</v>
      </c>
      <c r="AN212" s="263">
        <f t="shared" si="903"/>
        <v>1.418584593036452</v>
      </c>
      <c r="AO212" s="263">
        <f t="shared" si="903"/>
        <v>1.418584593036452</v>
      </c>
      <c r="AP212" s="263">
        <f t="shared" si="903"/>
        <v>1.418584593036452</v>
      </c>
      <c r="AQ212" s="263">
        <f t="shared" si="903"/>
        <v>1.418584593036452</v>
      </c>
      <c r="AR212" s="230">
        <f t="shared" si="904"/>
        <v>17.023015116437428</v>
      </c>
      <c r="AS212" s="266"/>
      <c r="AT212" s="263">
        <f t="shared" si="905"/>
        <v>0.94572306202430134</v>
      </c>
      <c r="AU212" s="263">
        <f t="shared" si="905"/>
        <v>0.94572306202430134</v>
      </c>
      <c r="AV212" s="263">
        <f t="shared" si="905"/>
        <v>0.94572306202430134</v>
      </c>
      <c r="AW212" s="263">
        <f t="shared" si="905"/>
        <v>0.94572306202430134</v>
      </c>
      <c r="AX212" s="263">
        <f t="shared" si="905"/>
        <v>0.94572306202430134</v>
      </c>
      <c r="AY212" s="263">
        <f t="shared" si="905"/>
        <v>0.94572306202430134</v>
      </c>
      <c r="AZ212" s="263">
        <f t="shared" si="905"/>
        <v>0.94572306202430134</v>
      </c>
      <c r="BA212" s="263">
        <f t="shared" si="905"/>
        <v>0.94572306202430134</v>
      </c>
      <c r="BB212" s="263">
        <f t="shared" si="905"/>
        <v>0.94572306202430134</v>
      </c>
      <c r="BC212" s="263">
        <f t="shared" si="905"/>
        <v>0.94572306202430134</v>
      </c>
      <c r="BD212" s="263">
        <f t="shared" si="905"/>
        <v>0.94572306202430134</v>
      </c>
      <c r="BE212" s="263">
        <f t="shared" si="905"/>
        <v>0.94572306202430134</v>
      </c>
      <c r="BF212" s="230">
        <f t="shared" si="906"/>
        <v>11.348676744291616</v>
      </c>
      <c r="BG212" s="224"/>
      <c r="BH212" s="263">
        <f t="shared" si="907"/>
        <v>7.0929229651822601</v>
      </c>
      <c r="BI212" s="263">
        <f t="shared" si="907"/>
        <v>7.0929229651822601</v>
      </c>
      <c r="BJ212" s="263">
        <f t="shared" si="907"/>
        <v>7.0929229651822601</v>
      </c>
      <c r="BK212" s="263">
        <f t="shared" si="907"/>
        <v>7.0929229651822601</v>
      </c>
      <c r="BL212" s="263">
        <f t="shared" si="907"/>
        <v>7.0929229651822601</v>
      </c>
      <c r="BM212" s="263">
        <f t="shared" si="907"/>
        <v>7.0929229651822601</v>
      </c>
      <c r="BN212" s="263">
        <f t="shared" si="907"/>
        <v>7.0929229651822601</v>
      </c>
      <c r="BO212" s="263">
        <f t="shared" si="907"/>
        <v>7.0929229651822601</v>
      </c>
      <c r="BP212" s="263">
        <f t="shared" si="907"/>
        <v>7.0929229651822601</v>
      </c>
      <c r="BQ212" s="263">
        <f t="shared" si="907"/>
        <v>7.0929229651822601</v>
      </c>
      <c r="BR212" s="263">
        <f t="shared" si="907"/>
        <v>7.0929229651822601</v>
      </c>
      <c r="BS212" s="263">
        <f t="shared" si="907"/>
        <v>7.0929229651822601</v>
      </c>
      <c r="BT212" s="230">
        <f t="shared" si="908"/>
        <v>85.115075582187103</v>
      </c>
      <c r="BU212" s="266"/>
      <c r="BV212" s="263">
        <f t="shared" si="909"/>
        <v>0.47286153101215067</v>
      </c>
      <c r="BW212" s="263">
        <f t="shared" si="909"/>
        <v>0.47286153101215067</v>
      </c>
      <c r="BX212" s="263">
        <f t="shared" si="909"/>
        <v>0.47286153101215067</v>
      </c>
      <c r="BY212" s="263">
        <f t="shared" si="909"/>
        <v>0.47286153101215067</v>
      </c>
      <c r="BZ212" s="263">
        <f t="shared" si="909"/>
        <v>0.47286153101215067</v>
      </c>
      <c r="CA212" s="263">
        <f t="shared" si="909"/>
        <v>0.47286153101215067</v>
      </c>
      <c r="CB212" s="263">
        <f t="shared" si="909"/>
        <v>0.47286153101215067</v>
      </c>
      <c r="CC212" s="263">
        <f t="shared" si="909"/>
        <v>0.47286153101215067</v>
      </c>
      <c r="CD212" s="263">
        <f t="shared" si="909"/>
        <v>0.47286153101215067</v>
      </c>
      <c r="CE212" s="263">
        <f t="shared" si="909"/>
        <v>0.47286153101215067</v>
      </c>
      <c r="CF212" s="263">
        <f t="shared" si="909"/>
        <v>0.47286153101215067</v>
      </c>
      <c r="CG212" s="263">
        <f t="shared" si="909"/>
        <v>0.47286153101215067</v>
      </c>
      <c r="CH212" s="230">
        <f t="shared" si="910"/>
        <v>5.6743383721458081</v>
      </c>
      <c r="CI212" s="266"/>
      <c r="CJ212" s="263">
        <f t="shared" si="911"/>
        <v>5.2014768411336574</v>
      </c>
      <c r="CK212" s="263">
        <f t="shared" si="911"/>
        <v>5.2014768411336574</v>
      </c>
      <c r="CL212" s="263">
        <f t="shared" si="911"/>
        <v>5.2014768411336574</v>
      </c>
      <c r="CM212" s="263">
        <f t="shared" si="911"/>
        <v>5.2014768411336574</v>
      </c>
      <c r="CN212" s="263">
        <f t="shared" si="911"/>
        <v>5.2014768411336574</v>
      </c>
      <c r="CO212" s="263">
        <f t="shared" si="911"/>
        <v>5.2014768411336574</v>
      </c>
      <c r="CP212" s="263">
        <f t="shared" si="911"/>
        <v>5.2014768411336574</v>
      </c>
      <c r="CQ212" s="263">
        <f t="shared" si="911"/>
        <v>5.2014768411336574</v>
      </c>
      <c r="CR212" s="263">
        <f t="shared" si="911"/>
        <v>5.2014768411336574</v>
      </c>
      <c r="CS212" s="263">
        <f t="shared" si="911"/>
        <v>5.2014768411336574</v>
      </c>
      <c r="CT212" s="263">
        <f t="shared" si="911"/>
        <v>5.2014768411336574</v>
      </c>
      <c r="CU212" s="263">
        <f t="shared" si="911"/>
        <v>5.2014768411336574</v>
      </c>
      <c r="CV212" s="230">
        <f t="shared" si="912"/>
        <v>62.417722093603878</v>
      </c>
      <c r="CW212" s="266"/>
      <c r="CX212" s="263">
        <f t="shared" si="913"/>
        <v>13.240122868340217</v>
      </c>
      <c r="CY212" s="263">
        <f t="shared" si="913"/>
        <v>13.240122868340217</v>
      </c>
      <c r="CZ212" s="263">
        <f t="shared" si="913"/>
        <v>13.240122868340217</v>
      </c>
      <c r="DA212" s="263">
        <f t="shared" si="913"/>
        <v>13.240122868340217</v>
      </c>
      <c r="DB212" s="263">
        <f t="shared" si="913"/>
        <v>13.240122868340217</v>
      </c>
      <c r="DC212" s="263">
        <f t="shared" si="913"/>
        <v>13.240122868340217</v>
      </c>
      <c r="DD212" s="263">
        <f t="shared" si="913"/>
        <v>13.240122868340217</v>
      </c>
      <c r="DE212" s="263">
        <f t="shared" si="913"/>
        <v>13.240122868340217</v>
      </c>
      <c r="DF212" s="263">
        <f t="shared" si="913"/>
        <v>13.240122868340217</v>
      </c>
      <c r="DG212" s="263">
        <f t="shared" si="913"/>
        <v>13.240122868340217</v>
      </c>
      <c r="DH212" s="263">
        <f t="shared" si="913"/>
        <v>13.240122868340217</v>
      </c>
      <c r="DI212" s="263">
        <f t="shared" si="913"/>
        <v>13.240122868340217</v>
      </c>
      <c r="DJ212" s="230">
        <f t="shared" si="914"/>
        <v>158.88147442008264</v>
      </c>
      <c r="DK212" s="266"/>
      <c r="DL212" s="263">
        <f t="shared" si="915"/>
        <v>13.240122868340217</v>
      </c>
      <c r="DM212" s="263">
        <f t="shared" si="915"/>
        <v>13.240122868340217</v>
      </c>
      <c r="DN212" s="263">
        <f t="shared" si="915"/>
        <v>13.240122868340217</v>
      </c>
      <c r="DO212" s="263">
        <f t="shared" si="915"/>
        <v>13.240122868340217</v>
      </c>
      <c r="DP212" s="263">
        <f t="shared" si="915"/>
        <v>13.240122868340217</v>
      </c>
      <c r="DQ212" s="263">
        <f t="shared" si="915"/>
        <v>13.240122868340217</v>
      </c>
      <c r="DR212" s="263">
        <f t="shared" si="915"/>
        <v>13.240122868340217</v>
      </c>
      <c r="DS212" s="263">
        <f t="shared" si="915"/>
        <v>13.240122868340217</v>
      </c>
      <c r="DT212" s="263">
        <f t="shared" si="915"/>
        <v>13.240122868340217</v>
      </c>
      <c r="DU212" s="263">
        <f t="shared" si="915"/>
        <v>13.240122868340217</v>
      </c>
      <c r="DV212" s="263">
        <f t="shared" si="915"/>
        <v>13.240122868340217</v>
      </c>
      <c r="DW212" s="263">
        <f t="shared" si="915"/>
        <v>13.240122868340217</v>
      </c>
      <c r="DX212" s="230">
        <f t="shared" si="916"/>
        <v>158.88147442008264</v>
      </c>
      <c r="DY212" s="266"/>
      <c r="DZ212" s="263">
        <f t="shared" si="917"/>
        <v>0.47286153101215067</v>
      </c>
      <c r="EA212" s="263">
        <f t="shared" si="917"/>
        <v>0.47286153101215067</v>
      </c>
      <c r="EB212" s="263">
        <f t="shared" si="917"/>
        <v>0.47286153101215067</v>
      </c>
      <c r="EC212" s="263">
        <f t="shared" si="917"/>
        <v>0.47286153101215067</v>
      </c>
      <c r="ED212" s="263">
        <f t="shared" si="917"/>
        <v>0.47286153101215067</v>
      </c>
      <c r="EE212" s="263">
        <f t="shared" si="917"/>
        <v>0.47286153101215067</v>
      </c>
      <c r="EF212" s="263">
        <f t="shared" si="917"/>
        <v>0.47286153101215067</v>
      </c>
      <c r="EG212" s="263">
        <f t="shared" si="917"/>
        <v>0.47286153101215067</v>
      </c>
      <c r="EH212" s="263">
        <f t="shared" si="917"/>
        <v>0.47286153101215067</v>
      </c>
      <c r="EI212" s="263">
        <f t="shared" si="917"/>
        <v>0.47286153101215067</v>
      </c>
      <c r="EJ212" s="263">
        <f t="shared" si="917"/>
        <v>0.47286153101215067</v>
      </c>
      <c r="EK212" s="263">
        <f t="shared" si="917"/>
        <v>0.47286153101215067</v>
      </c>
      <c r="EL212" s="230">
        <f t="shared" si="918"/>
        <v>5.6743383721458081</v>
      </c>
      <c r="EM212" s="266"/>
      <c r="EN212" s="263">
        <f t="shared" si="919"/>
        <v>0.94572306202430134</v>
      </c>
      <c r="EO212" s="263">
        <f t="shared" si="919"/>
        <v>0.94572306202430134</v>
      </c>
      <c r="EP212" s="263">
        <f t="shared" si="919"/>
        <v>0.94572306202430134</v>
      </c>
      <c r="EQ212" s="263">
        <f t="shared" si="919"/>
        <v>0.94572306202430134</v>
      </c>
      <c r="ER212" s="263">
        <f t="shared" si="919"/>
        <v>0.94572306202430134</v>
      </c>
      <c r="ES212" s="263">
        <f t="shared" si="919"/>
        <v>0.94572306202430134</v>
      </c>
      <c r="ET212" s="263">
        <f t="shared" si="919"/>
        <v>0.94572306202430134</v>
      </c>
      <c r="EU212" s="263">
        <f t="shared" si="919"/>
        <v>0.94572306202430134</v>
      </c>
      <c r="EV212" s="263">
        <f t="shared" si="919"/>
        <v>0.94572306202430134</v>
      </c>
      <c r="EW212" s="263">
        <f t="shared" si="919"/>
        <v>0.94572306202430134</v>
      </c>
      <c r="EX212" s="263">
        <f t="shared" si="919"/>
        <v>0.94572306202430134</v>
      </c>
      <c r="EY212" s="263">
        <f t="shared" si="919"/>
        <v>0.94572306202430134</v>
      </c>
      <c r="EZ212" s="230">
        <f t="shared" si="920"/>
        <v>11.348676744291616</v>
      </c>
      <c r="FA212" s="266"/>
      <c r="FB212" s="263">
        <f t="shared" si="921"/>
        <v>0.47286153101215067</v>
      </c>
      <c r="FC212" s="263">
        <f t="shared" si="921"/>
        <v>0.47286153101215067</v>
      </c>
      <c r="FD212" s="263">
        <f t="shared" si="921"/>
        <v>0.47286153101215067</v>
      </c>
      <c r="FE212" s="263">
        <f t="shared" si="921"/>
        <v>0.47286153101215067</v>
      </c>
      <c r="FF212" s="263">
        <f t="shared" si="921"/>
        <v>0.47286153101215067</v>
      </c>
      <c r="FG212" s="263">
        <f t="shared" si="921"/>
        <v>0.47286153101215067</v>
      </c>
      <c r="FH212" s="263">
        <f t="shared" si="921"/>
        <v>0.47286153101215067</v>
      </c>
      <c r="FI212" s="263">
        <f t="shared" si="921"/>
        <v>0.47286153101215067</v>
      </c>
      <c r="FJ212" s="263">
        <f t="shared" si="921"/>
        <v>0.47286153101215067</v>
      </c>
      <c r="FK212" s="263">
        <f t="shared" si="921"/>
        <v>0.47286153101215067</v>
      </c>
      <c r="FL212" s="263">
        <f t="shared" si="921"/>
        <v>0.47286153101215067</v>
      </c>
      <c r="FM212" s="263">
        <f t="shared" si="921"/>
        <v>0.47286153101215067</v>
      </c>
      <c r="FN212" s="230">
        <f t="shared" si="922"/>
        <v>5.6743383721458081</v>
      </c>
      <c r="FO212" s="266"/>
      <c r="FP212" s="263">
        <f t="shared" si="923"/>
        <v>3.3100307170850543</v>
      </c>
      <c r="FQ212" s="263">
        <f t="shared" si="923"/>
        <v>3.3100307170850543</v>
      </c>
      <c r="FR212" s="263">
        <f t="shared" si="923"/>
        <v>3.3100307170850543</v>
      </c>
      <c r="FS212" s="263">
        <f t="shared" si="923"/>
        <v>3.3100307170850543</v>
      </c>
      <c r="FT212" s="263">
        <f t="shared" si="923"/>
        <v>3.3100307170850543</v>
      </c>
      <c r="FU212" s="263">
        <f t="shared" si="923"/>
        <v>3.3100307170850543</v>
      </c>
      <c r="FV212" s="263">
        <f t="shared" si="923"/>
        <v>3.3100307170850543</v>
      </c>
      <c r="FW212" s="263">
        <f t="shared" si="923"/>
        <v>3.3100307170850543</v>
      </c>
      <c r="FX212" s="263">
        <f t="shared" si="923"/>
        <v>3.3100307170850543</v>
      </c>
      <c r="FY212" s="263">
        <f t="shared" si="923"/>
        <v>3.3100307170850543</v>
      </c>
      <c r="FZ212" s="263">
        <f t="shared" si="923"/>
        <v>3.3100307170850543</v>
      </c>
      <c r="GA212" s="263">
        <f t="shared" si="923"/>
        <v>3.3100307170850543</v>
      </c>
      <c r="GB212" s="230">
        <f t="shared" si="924"/>
        <v>39.72036860502066</v>
      </c>
      <c r="GC212" s="266"/>
      <c r="GD212" s="263">
        <f t="shared" si="925"/>
        <v>0.47286153101215067</v>
      </c>
      <c r="GE212" s="263">
        <f t="shared" si="925"/>
        <v>0.47286153101215067</v>
      </c>
      <c r="GF212" s="263">
        <f t="shared" si="925"/>
        <v>0.47286153101215067</v>
      </c>
      <c r="GG212" s="263">
        <f t="shared" si="925"/>
        <v>0.47286153101215067</v>
      </c>
      <c r="GH212" s="263">
        <f t="shared" si="925"/>
        <v>0.47286153101215067</v>
      </c>
      <c r="GI212" s="263">
        <f t="shared" si="925"/>
        <v>0.47286153101215067</v>
      </c>
      <c r="GJ212" s="263">
        <f t="shared" si="925"/>
        <v>0.47286153101215067</v>
      </c>
      <c r="GK212" s="263">
        <f t="shared" si="925"/>
        <v>0.47286153101215067</v>
      </c>
      <c r="GL212" s="263">
        <f t="shared" si="925"/>
        <v>0.47286153101215067</v>
      </c>
      <c r="GM212" s="263">
        <f t="shared" si="925"/>
        <v>0.47286153101215067</v>
      </c>
      <c r="GN212" s="263">
        <f t="shared" si="925"/>
        <v>0.47286153101215067</v>
      </c>
      <c r="GO212" s="263">
        <f t="shared" si="925"/>
        <v>0.47286153101215067</v>
      </c>
      <c r="GP212" s="230">
        <f t="shared" si="926"/>
        <v>5.6743383721458081</v>
      </c>
      <c r="GQ212" s="266"/>
      <c r="GR212" s="263">
        <f t="shared" si="927"/>
        <v>0</v>
      </c>
      <c r="GS212" s="263">
        <f t="shared" si="927"/>
        <v>0</v>
      </c>
      <c r="GT212" s="263">
        <f t="shared" si="927"/>
        <v>0</v>
      </c>
      <c r="GU212" s="263">
        <f t="shared" si="927"/>
        <v>0</v>
      </c>
      <c r="GV212" s="263">
        <f t="shared" si="927"/>
        <v>0</v>
      </c>
      <c r="GW212" s="263">
        <f t="shared" si="927"/>
        <v>0</v>
      </c>
      <c r="GX212" s="263">
        <f t="shared" si="927"/>
        <v>0</v>
      </c>
      <c r="GY212" s="263">
        <f t="shared" si="927"/>
        <v>0</v>
      </c>
      <c r="GZ212" s="263">
        <f t="shared" si="927"/>
        <v>0</v>
      </c>
      <c r="HA212" s="263">
        <f t="shared" si="927"/>
        <v>0</v>
      </c>
      <c r="HB212" s="263">
        <f t="shared" si="927"/>
        <v>0</v>
      </c>
      <c r="HC212" s="263">
        <f t="shared" si="927"/>
        <v>0</v>
      </c>
      <c r="HD212" s="230">
        <f t="shared" si="947"/>
        <v>0</v>
      </c>
      <c r="HE212" s="266"/>
      <c r="HF212" s="263">
        <f t="shared" si="928"/>
        <v>1.8914461240486027</v>
      </c>
      <c r="HG212" s="263">
        <f t="shared" si="928"/>
        <v>1.8914461240486027</v>
      </c>
      <c r="HH212" s="263">
        <f t="shared" si="928"/>
        <v>1.8914461240486027</v>
      </c>
      <c r="HI212" s="263">
        <f t="shared" si="928"/>
        <v>1.8914461240486027</v>
      </c>
      <c r="HJ212" s="263">
        <f t="shared" si="928"/>
        <v>1.8914461240486027</v>
      </c>
      <c r="HK212" s="263">
        <f t="shared" si="928"/>
        <v>1.8914461240486027</v>
      </c>
      <c r="HL212" s="263">
        <f t="shared" si="928"/>
        <v>1.8914461240486027</v>
      </c>
      <c r="HM212" s="263">
        <f t="shared" si="928"/>
        <v>1.8914461240486027</v>
      </c>
      <c r="HN212" s="263">
        <f t="shared" si="928"/>
        <v>1.8914461240486027</v>
      </c>
      <c r="HO212" s="263">
        <f t="shared" si="928"/>
        <v>1.8914461240486027</v>
      </c>
      <c r="HP212" s="263">
        <f t="shared" si="928"/>
        <v>1.8914461240486027</v>
      </c>
      <c r="HQ212" s="263">
        <f t="shared" si="928"/>
        <v>1.8914461240486027</v>
      </c>
      <c r="HR212" s="230">
        <f t="shared" si="929"/>
        <v>22.697353488583232</v>
      </c>
      <c r="HS212" s="266"/>
      <c r="HT212" s="263">
        <f t="shared" si="930"/>
        <v>0.47286153101215067</v>
      </c>
      <c r="HU212" s="263">
        <f t="shared" si="930"/>
        <v>0.47286153101215067</v>
      </c>
      <c r="HV212" s="263">
        <f t="shared" si="930"/>
        <v>0.47286153101215067</v>
      </c>
      <c r="HW212" s="263">
        <f t="shared" si="930"/>
        <v>0.47286153101215067</v>
      </c>
      <c r="HX212" s="263">
        <f t="shared" si="930"/>
        <v>0.47286153101215067</v>
      </c>
      <c r="HY212" s="263">
        <f t="shared" si="930"/>
        <v>0.47286153101215067</v>
      </c>
      <c r="HZ212" s="263">
        <f t="shared" si="930"/>
        <v>0.47286153101215067</v>
      </c>
      <c r="IA212" s="263">
        <f t="shared" si="930"/>
        <v>0.47286153101215067</v>
      </c>
      <c r="IB212" s="263">
        <f t="shared" si="930"/>
        <v>0.47286153101215067</v>
      </c>
      <c r="IC212" s="263">
        <f t="shared" si="930"/>
        <v>0.47286153101215067</v>
      </c>
      <c r="ID212" s="263">
        <f t="shared" si="930"/>
        <v>0.47286153101215067</v>
      </c>
      <c r="IE212" s="263">
        <f t="shared" si="930"/>
        <v>0.47286153101215067</v>
      </c>
      <c r="IF212" s="230">
        <f t="shared" si="931"/>
        <v>5.6743383721458081</v>
      </c>
      <c r="IG212" s="266"/>
      <c r="IH212" s="263">
        <f t="shared" si="932"/>
        <v>0.47286153101215067</v>
      </c>
      <c r="II212" s="263">
        <f t="shared" si="932"/>
        <v>0.47286153101215067</v>
      </c>
      <c r="IJ212" s="263">
        <f t="shared" si="932"/>
        <v>0.47286153101215067</v>
      </c>
      <c r="IK212" s="263">
        <f t="shared" si="932"/>
        <v>0.47286153101215067</v>
      </c>
      <c r="IL212" s="263">
        <f t="shared" si="932"/>
        <v>0.47286153101215067</v>
      </c>
      <c r="IM212" s="263">
        <f t="shared" si="932"/>
        <v>0.47286153101215067</v>
      </c>
      <c r="IN212" s="263">
        <f t="shared" si="932"/>
        <v>0.47286153101215067</v>
      </c>
      <c r="IO212" s="263">
        <f t="shared" si="932"/>
        <v>0.47286153101215067</v>
      </c>
      <c r="IP212" s="263">
        <f t="shared" si="932"/>
        <v>0.47286153101215067</v>
      </c>
      <c r="IQ212" s="263">
        <f t="shared" si="932"/>
        <v>0.47286153101215067</v>
      </c>
      <c r="IR212" s="263">
        <f t="shared" si="932"/>
        <v>0.47286153101215067</v>
      </c>
      <c r="IS212" s="263">
        <f t="shared" si="932"/>
        <v>0.47286153101215067</v>
      </c>
      <c r="IT212" s="230">
        <f t="shared" si="933"/>
        <v>5.6743383721458081</v>
      </c>
      <c r="IU212" s="266"/>
      <c r="IV212" s="263">
        <f t="shared" si="934"/>
        <v>3.3100307170850543</v>
      </c>
      <c r="IW212" s="263">
        <f t="shared" si="934"/>
        <v>3.3100307170850543</v>
      </c>
      <c r="IX212" s="263">
        <f t="shared" si="934"/>
        <v>3.3100307170850543</v>
      </c>
      <c r="IY212" s="263">
        <f t="shared" si="934"/>
        <v>3.3100307170850543</v>
      </c>
      <c r="IZ212" s="263">
        <f t="shared" si="934"/>
        <v>3.3100307170850543</v>
      </c>
      <c r="JA212" s="263">
        <f t="shared" si="934"/>
        <v>3.3100307170850543</v>
      </c>
      <c r="JB212" s="263">
        <f t="shared" si="934"/>
        <v>3.3100307170850543</v>
      </c>
      <c r="JC212" s="263">
        <f t="shared" si="934"/>
        <v>3.3100307170850543</v>
      </c>
      <c r="JD212" s="263">
        <f t="shared" si="934"/>
        <v>3.3100307170850543</v>
      </c>
      <c r="JE212" s="263">
        <f t="shared" si="934"/>
        <v>3.3100307170850543</v>
      </c>
      <c r="JF212" s="263">
        <f t="shared" si="934"/>
        <v>3.3100307170850543</v>
      </c>
      <c r="JG212" s="263">
        <f t="shared" si="934"/>
        <v>3.3100307170850543</v>
      </c>
      <c r="JH212" s="230">
        <f t="shared" si="935"/>
        <v>39.72036860502066</v>
      </c>
      <c r="JI212" s="266"/>
      <c r="JJ212" s="263">
        <f t="shared" si="936"/>
        <v>5.2014768411336574</v>
      </c>
      <c r="JK212" s="263">
        <f t="shared" si="936"/>
        <v>5.2014768411336574</v>
      </c>
      <c r="JL212" s="263">
        <f t="shared" si="936"/>
        <v>5.2014768411336574</v>
      </c>
      <c r="JM212" s="263">
        <f t="shared" si="936"/>
        <v>5.2014768411336574</v>
      </c>
      <c r="JN212" s="263">
        <f t="shared" si="936"/>
        <v>5.2014768411336574</v>
      </c>
      <c r="JO212" s="263">
        <f t="shared" si="936"/>
        <v>5.2014768411336574</v>
      </c>
      <c r="JP212" s="263">
        <f t="shared" si="936"/>
        <v>5.2014768411336574</v>
      </c>
      <c r="JQ212" s="263">
        <f t="shared" si="936"/>
        <v>5.2014768411336574</v>
      </c>
      <c r="JR212" s="263">
        <f t="shared" si="936"/>
        <v>5.2014768411336574</v>
      </c>
      <c r="JS212" s="263">
        <f t="shared" si="936"/>
        <v>5.2014768411336574</v>
      </c>
      <c r="JT212" s="263">
        <f t="shared" si="936"/>
        <v>5.2014768411336574</v>
      </c>
      <c r="JU212" s="263">
        <f t="shared" si="936"/>
        <v>5.2014768411336574</v>
      </c>
      <c r="JV212" s="230">
        <f t="shared" si="937"/>
        <v>62.417722093603878</v>
      </c>
      <c r="JW212" s="266"/>
      <c r="JX212" s="263">
        <f t="shared" si="938"/>
        <v>2.3643076550607534</v>
      </c>
      <c r="JY212" s="263">
        <f t="shared" si="938"/>
        <v>2.3643076550607534</v>
      </c>
      <c r="JZ212" s="263">
        <f t="shared" si="938"/>
        <v>2.3643076550607534</v>
      </c>
      <c r="KA212" s="263">
        <f t="shared" si="938"/>
        <v>2.3643076550607534</v>
      </c>
      <c r="KB212" s="263">
        <f t="shared" si="938"/>
        <v>2.3643076550607534</v>
      </c>
      <c r="KC212" s="263">
        <f t="shared" si="938"/>
        <v>2.3643076550607534</v>
      </c>
      <c r="KD212" s="263">
        <f t="shared" si="938"/>
        <v>2.3643076550607534</v>
      </c>
      <c r="KE212" s="263">
        <f t="shared" si="938"/>
        <v>2.3643076550607534</v>
      </c>
      <c r="KF212" s="263">
        <f t="shared" si="938"/>
        <v>2.3643076550607534</v>
      </c>
      <c r="KG212" s="263">
        <f t="shared" si="938"/>
        <v>2.3643076550607534</v>
      </c>
      <c r="KH212" s="263">
        <f t="shared" si="938"/>
        <v>2.3643076550607534</v>
      </c>
      <c r="KI212" s="263">
        <f t="shared" si="938"/>
        <v>2.3643076550607534</v>
      </c>
      <c r="KJ212" s="230">
        <f t="shared" si="939"/>
        <v>28.371691860729033</v>
      </c>
      <c r="KK212" s="266"/>
      <c r="KL212" s="263">
        <f t="shared" si="940"/>
        <v>0.94572306202430134</v>
      </c>
      <c r="KM212" s="263">
        <f t="shared" si="940"/>
        <v>0.94572306202430134</v>
      </c>
      <c r="KN212" s="263">
        <f t="shared" si="940"/>
        <v>0.94572306202430134</v>
      </c>
      <c r="KO212" s="263">
        <f t="shared" si="940"/>
        <v>0.94572306202430134</v>
      </c>
      <c r="KP212" s="263">
        <f t="shared" si="940"/>
        <v>0.94572306202430134</v>
      </c>
      <c r="KQ212" s="263">
        <f t="shared" si="940"/>
        <v>0.94572306202430134</v>
      </c>
      <c r="KR212" s="263">
        <f t="shared" si="940"/>
        <v>0.94572306202430134</v>
      </c>
      <c r="KS212" s="263">
        <f t="shared" si="940"/>
        <v>0.94572306202430134</v>
      </c>
      <c r="KT212" s="263">
        <f t="shared" si="940"/>
        <v>0.94572306202430134</v>
      </c>
      <c r="KU212" s="263">
        <f t="shared" si="940"/>
        <v>0.94572306202430134</v>
      </c>
      <c r="KV212" s="263">
        <f t="shared" si="940"/>
        <v>0.94572306202430134</v>
      </c>
      <c r="KW212" s="263">
        <f t="shared" si="940"/>
        <v>0.94572306202430134</v>
      </c>
      <c r="KX212" s="230">
        <f t="shared" si="941"/>
        <v>11.348676744291616</v>
      </c>
      <c r="KY212" s="266"/>
      <c r="KZ212" s="263">
        <f t="shared" si="942"/>
        <v>0.47286153101215067</v>
      </c>
      <c r="LA212" s="263">
        <f t="shared" si="942"/>
        <v>0.47286153101215067</v>
      </c>
      <c r="LB212" s="263">
        <f t="shared" si="942"/>
        <v>0.47286153101215067</v>
      </c>
      <c r="LC212" s="263">
        <f t="shared" si="942"/>
        <v>0.47286153101215067</v>
      </c>
      <c r="LD212" s="263">
        <f t="shared" si="942"/>
        <v>0.47286153101215067</v>
      </c>
      <c r="LE212" s="263">
        <f t="shared" si="942"/>
        <v>0.47286153101215067</v>
      </c>
      <c r="LF212" s="263">
        <f t="shared" si="942"/>
        <v>0.47286153101215067</v>
      </c>
      <c r="LG212" s="263">
        <f t="shared" si="942"/>
        <v>0.47286153101215067</v>
      </c>
      <c r="LH212" s="263">
        <f t="shared" si="942"/>
        <v>0.47286153101215067</v>
      </c>
      <c r="LI212" s="263">
        <f t="shared" si="942"/>
        <v>0.47286153101215067</v>
      </c>
      <c r="LJ212" s="263">
        <f t="shared" si="942"/>
        <v>0.47286153101215067</v>
      </c>
      <c r="LK212" s="263">
        <f t="shared" si="942"/>
        <v>0.47286153101215067</v>
      </c>
      <c r="LL212" s="230">
        <f t="shared" si="943"/>
        <v>5.6743383721458081</v>
      </c>
      <c r="LM212" s="266"/>
      <c r="LN212" s="263">
        <v>0</v>
      </c>
      <c r="LO212" s="264">
        <v>0</v>
      </c>
      <c r="LP212" s="265">
        <v>0</v>
      </c>
      <c r="LQ212" s="265">
        <v>0</v>
      </c>
      <c r="LR212" s="265">
        <v>0</v>
      </c>
      <c r="LS212" s="265">
        <v>0</v>
      </c>
      <c r="LT212" s="265">
        <v>0</v>
      </c>
      <c r="LU212" s="265">
        <v>0</v>
      </c>
      <c r="LV212" s="265">
        <v>0</v>
      </c>
      <c r="LW212" s="265">
        <v>0</v>
      </c>
      <c r="LX212" s="265">
        <v>0</v>
      </c>
      <c r="LY212" s="265">
        <v>0</v>
      </c>
      <c r="LZ212" s="230">
        <f t="shared" si="944"/>
        <v>0</v>
      </c>
      <c r="MA212" s="266"/>
      <c r="MB212" s="230">
        <f t="shared" si="945"/>
        <v>77.549291085992721</v>
      </c>
      <c r="MC212" s="230">
        <f t="shared" si="945"/>
        <v>77.549291085992721</v>
      </c>
      <c r="MD212" s="230">
        <f t="shared" si="945"/>
        <v>77.549291085992721</v>
      </c>
      <c r="ME212" s="230">
        <f t="shared" si="945"/>
        <v>77.549291085992721</v>
      </c>
      <c r="MF212" s="230">
        <f t="shared" si="945"/>
        <v>77.549291085992721</v>
      </c>
      <c r="MG212" s="230">
        <f t="shared" si="945"/>
        <v>77.549291085992721</v>
      </c>
      <c r="MH212" s="230">
        <f t="shared" si="945"/>
        <v>77.549291085992721</v>
      </c>
      <c r="MI212" s="230">
        <f t="shared" si="945"/>
        <v>77.549291085992721</v>
      </c>
      <c r="MJ212" s="230">
        <f t="shared" si="945"/>
        <v>77.549291085992721</v>
      </c>
      <c r="MK212" s="230">
        <f t="shared" si="945"/>
        <v>77.549291085992721</v>
      </c>
      <c r="ML212" s="230">
        <f t="shared" si="945"/>
        <v>77.549291085992721</v>
      </c>
      <c r="MM212" s="230">
        <f t="shared" si="945"/>
        <v>77.549291085992721</v>
      </c>
      <c r="MN212" s="230">
        <f t="shared" si="948"/>
        <v>930.59149303191282</v>
      </c>
    </row>
    <row r="213" spans="1:352" x14ac:dyDescent="0.25">
      <c r="A213" s="262"/>
      <c r="B213" s="64" t="s">
        <v>86</v>
      </c>
      <c r="C213" s="98"/>
      <c r="D213" s="263">
        <f t="shared" si="899"/>
        <v>385.19773177780809</v>
      </c>
      <c r="E213" s="263">
        <f t="shared" si="899"/>
        <v>191.98178159093317</v>
      </c>
      <c r="F213" s="263">
        <f t="shared" si="899"/>
        <v>191.98178159093317</v>
      </c>
      <c r="G213" s="263">
        <f t="shared" si="899"/>
        <v>191.98178159093317</v>
      </c>
      <c r="H213" s="263">
        <f t="shared" si="899"/>
        <v>191.98178159093317</v>
      </c>
      <c r="I213" s="263">
        <f t="shared" si="899"/>
        <v>191.98178159093317</v>
      </c>
      <c r="J213" s="263">
        <f t="shared" si="899"/>
        <v>191.98178159093317</v>
      </c>
      <c r="K213" s="263">
        <f t="shared" si="899"/>
        <v>191.98178159093317</v>
      </c>
      <c r="L213" s="263">
        <f t="shared" si="899"/>
        <v>191.98178159093317</v>
      </c>
      <c r="M213" s="263">
        <f t="shared" si="899"/>
        <v>191.98178159093317</v>
      </c>
      <c r="N213" s="263">
        <f t="shared" si="899"/>
        <v>191.98178159093317</v>
      </c>
      <c r="O213" s="263">
        <f t="shared" si="899"/>
        <v>124.47961588512113</v>
      </c>
      <c r="P213" s="230">
        <f t="shared" si="900"/>
        <v>2429.4951635722614</v>
      </c>
      <c r="Q213" s="266"/>
      <c r="R213" s="263">
        <f t="shared" si="901"/>
        <v>39.848041218393938</v>
      </c>
      <c r="S213" s="263">
        <f t="shared" si="901"/>
        <v>19.860184302510326</v>
      </c>
      <c r="T213" s="263">
        <f t="shared" si="901"/>
        <v>19.860184302510326</v>
      </c>
      <c r="U213" s="263">
        <f t="shared" si="901"/>
        <v>19.860184302510326</v>
      </c>
      <c r="V213" s="263">
        <f t="shared" si="901"/>
        <v>19.860184302510326</v>
      </c>
      <c r="W213" s="263">
        <f t="shared" si="901"/>
        <v>19.860184302510326</v>
      </c>
      <c r="X213" s="263">
        <f t="shared" si="901"/>
        <v>19.860184302510326</v>
      </c>
      <c r="Y213" s="263">
        <f t="shared" si="901"/>
        <v>19.860184302510326</v>
      </c>
      <c r="Z213" s="263">
        <f t="shared" si="901"/>
        <v>19.860184302510326</v>
      </c>
      <c r="AA213" s="263">
        <f t="shared" si="901"/>
        <v>19.860184302510326</v>
      </c>
      <c r="AB213" s="263">
        <f t="shared" si="901"/>
        <v>19.860184302510326</v>
      </c>
      <c r="AC213" s="263">
        <f t="shared" si="901"/>
        <v>12.877201643288393</v>
      </c>
      <c r="AD213" s="230">
        <f t="shared" si="902"/>
        <v>251.32708588678565</v>
      </c>
      <c r="AE213" s="266"/>
      <c r="AF213" s="263">
        <f t="shared" si="903"/>
        <v>39.848041218393938</v>
      </c>
      <c r="AG213" s="263">
        <f t="shared" si="903"/>
        <v>19.860184302510326</v>
      </c>
      <c r="AH213" s="263">
        <f t="shared" si="903"/>
        <v>19.860184302510326</v>
      </c>
      <c r="AI213" s="263">
        <f t="shared" si="903"/>
        <v>19.860184302510326</v>
      </c>
      <c r="AJ213" s="263">
        <f t="shared" si="903"/>
        <v>19.860184302510326</v>
      </c>
      <c r="AK213" s="263">
        <f t="shared" si="903"/>
        <v>19.860184302510326</v>
      </c>
      <c r="AL213" s="263">
        <f t="shared" si="903"/>
        <v>19.860184302510326</v>
      </c>
      <c r="AM213" s="263">
        <f t="shared" si="903"/>
        <v>19.860184302510326</v>
      </c>
      <c r="AN213" s="263">
        <f t="shared" si="903"/>
        <v>19.860184302510326</v>
      </c>
      <c r="AO213" s="263">
        <f t="shared" si="903"/>
        <v>19.860184302510326</v>
      </c>
      <c r="AP213" s="263">
        <f t="shared" si="903"/>
        <v>19.860184302510326</v>
      </c>
      <c r="AQ213" s="263">
        <f t="shared" si="903"/>
        <v>12.877201643288393</v>
      </c>
      <c r="AR213" s="230">
        <f t="shared" si="904"/>
        <v>251.32708588678565</v>
      </c>
      <c r="AS213" s="266"/>
      <c r="AT213" s="263">
        <f t="shared" si="905"/>
        <v>26.565360812262625</v>
      </c>
      <c r="AU213" s="263">
        <f t="shared" si="905"/>
        <v>13.240122868340217</v>
      </c>
      <c r="AV213" s="263">
        <f t="shared" si="905"/>
        <v>13.240122868340217</v>
      </c>
      <c r="AW213" s="263">
        <f t="shared" si="905"/>
        <v>13.240122868340217</v>
      </c>
      <c r="AX213" s="263">
        <f t="shared" si="905"/>
        <v>13.240122868340217</v>
      </c>
      <c r="AY213" s="263">
        <f t="shared" si="905"/>
        <v>13.240122868340217</v>
      </c>
      <c r="AZ213" s="263">
        <f t="shared" si="905"/>
        <v>13.240122868340217</v>
      </c>
      <c r="BA213" s="263">
        <f t="shared" si="905"/>
        <v>13.240122868340217</v>
      </c>
      <c r="BB213" s="263">
        <f t="shared" si="905"/>
        <v>13.240122868340217</v>
      </c>
      <c r="BC213" s="263">
        <f t="shared" si="905"/>
        <v>13.240122868340217</v>
      </c>
      <c r="BD213" s="263">
        <f t="shared" si="905"/>
        <v>13.240122868340217</v>
      </c>
      <c r="BE213" s="263">
        <f t="shared" si="905"/>
        <v>8.5848010955255951</v>
      </c>
      <c r="BF213" s="230">
        <f t="shared" si="906"/>
        <v>167.55139059119043</v>
      </c>
      <c r="BG213" s="224"/>
      <c r="BH213" s="263">
        <f t="shared" si="907"/>
        <v>199.24020609196967</v>
      </c>
      <c r="BI213" s="263">
        <f t="shared" si="907"/>
        <v>99.300921512551639</v>
      </c>
      <c r="BJ213" s="263">
        <f t="shared" si="907"/>
        <v>99.300921512551639</v>
      </c>
      <c r="BK213" s="263">
        <f t="shared" si="907"/>
        <v>99.300921512551639</v>
      </c>
      <c r="BL213" s="263">
        <f t="shared" si="907"/>
        <v>99.300921512551639</v>
      </c>
      <c r="BM213" s="263">
        <f t="shared" si="907"/>
        <v>99.300921512551639</v>
      </c>
      <c r="BN213" s="263">
        <f t="shared" si="907"/>
        <v>99.300921512551639</v>
      </c>
      <c r="BO213" s="263">
        <f t="shared" si="907"/>
        <v>99.300921512551639</v>
      </c>
      <c r="BP213" s="263">
        <f t="shared" si="907"/>
        <v>99.300921512551639</v>
      </c>
      <c r="BQ213" s="263">
        <f t="shared" si="907"/>
        <v>99.300921512551639</v>
      </c>
      <c r="BR213" s="263">
        <f t="shared" si="907"/>
        <v>99.300921512551639</v>
      </c>
      <c r="BS213" s="263">
        <f t="shared" si="907"/>
        <v>64.386008216441951</v>
      </c>
      <c r="BT213" s="230">
        <f t="shared" si="908"/>
        <v>1256.6354294339283</v>
      </c>
      <c r="BU213" s="266"/>
      <c r="BV213" s="263">
        <f t="shared" si="909"/>
        <v>13.282680406131313</v>
      </c>
      <c r="BW213" s="263">
        <f t="shared" si="909"/>
        <v>6.6200614341701085</v>
      </c>
      <c r="BX213" s="263">
        <f t="shared" si="909"/>
        <v>6.6200614341701085</v>
      </c>
      <c r="BY213" s="263">
        <f t="shared" si="909"/>
        <v>6.6200614341701085</v>
      </c>
      <c r="BZ213" s="263">
        <f t="shared" si="909"/>
        <v>6.6200614341701085</v>
      </c>
      <c r="CA213" s="263">
        <f t="shared" si="909"/>
        <v>6.6200614341701085</v>
      </c>
      <c r="CB213" s="263">
        <f t="shared" si="909"/>
        <v>6.6200614341701085</v>
      </c>
      <c r="CC213" s="263">
        <f t="shared" si="909"/>
        <v>6.6200614341701085</v>
      </c>
      <c r="CD213" s="263">
        <f t="shared" si="909"/>
        <v>6.6200614341701085</v>
      </c>
      <c r="CE213" s="263">
        <f t="shared" si="909"/>
        <v>6.6200614341701085</v>
      </c>
      <c r="CF213" s="263">
        <f t="shared" si="909"/>
        <v>6.6200614341701085</v>
      </c>
      <c r="CG213" s="263">
        <f t="shared" si="909"/>
        <v>4.2924005477627976</v>
      </c>
      <c r="CH213" s="230">
        <f t="shared" si="910"/>
        <v>83.775695295595213</v>
      </c>
      <c r="CI213" s="266"/>
      <c r="CJ213" s="263">
        <f t="shared" si="911"/>
        <v>146.10948446744442</v>
      </c>
      <c r="CK213" s="263">
        <f t="shared" si="911"/>
        <v>72.820675775871194</v>
      </c>
      <c r="CL213" s="263">
        <f t="shared" si="911"/>
        <v>72.820675775871194</v>
      </c>
      <c r="CM213" s="263">
        <f t="shared" si="911"/>
        <v>72.820675775871194</v>
      </c>
      <c r="CN213" s="263">
        <f t="shared" si="911"/>
        <v>72.820675775871194</v>
      </c>
      <c r="CO213" s="263">
        <f t="shared" si="911"/>
        <v>72.820675775871194</v>
      </c>
      <c r="CP213" s="263">
        <f t="shared" si="911"/>
        <v>72.820675775871194</v>
      </c>
      <c r="CQ213" s="263">
        <f t="shared" si="911"/>
        <v>72.820675775871194</v>
      </c>
      <c r="CR213" s="263">
        <f t="shared" si="911"/>
        <v>72.820675775871194</v>
      </c>
      <c r="CS213" s="263">
        <f t="shared" si="911"/>
        <v>72.820675775871194</v>
      </c>
      <c r="CT213" s="263">
        <f t="shared" si="911"/>
        <v>72.820675775871194</v>
      </c>
      <c r="CU213" s="263">
        <f t="shared" si="911"/>
        <v>47.216406025390775</v>
      </c>
      <c r="CV213" s="230">
        <f t="shared" si="912"/>
        <v>921.53264825154736</v>
      </c>
      <c r="CW213" s="266"/>
      <c r="CX213" s="263">
        <f t="shared" si="913"/>
        <v>371.91505137167673</v>
      </c>
      <c r="CY213" s="263">
        <f t="shared" si="913"/>
        <v>185.36172015676303</v>
      </c>
      <c r="CZ213" s="263">
        <f t="shared" si="913"/>
        <v>185.36172015676303</v>
      </c>
      <c r="DA213" s="263">
        <f t="shared" si="913"/>
        <v>185.36172015676303</v>
      </c>
      <c r="DB213" s="263">
        <f t="shared" si="913"/>
        <v>185.36172015676303</v>
      </c>
      <c r="DC213" s="263">
        <f t="shared" si="913"/>
        <v>185.36172015676303</v>
      </c>
      <c r="DD213" s="263">
        <f t="shared" si="913"/>
        <v>185.36172015676303</v>
      </c>
      <c r="DE213" s="263">
        <f t="shared" si="913"/>
        <v>185.36172015676303</v>
      </c>
      <c r="DF213" s="263">
        <f t="shared" si="913"/>
        <v>185.36172015676303</v>
      </c>
      <c r="DG213" s="263">
        <f t="shared" si="913"/>
        <v>185.36172015676303</v>
      </c>
      <c r="DH213" s="263">
        <f t="shared" si="913"/>
        <v>185.36172015676303</v>
      </c>
      <c r="DI213" s="263">
        <f t="shared" si="913"/>
        <v>120.18721533735832</v>
      </c>
      <c r="DJ213" s="230">
        <f t="shared" si="914"/>
        <v>2345.7194682766658</v>
      </c>
      <c r="DK213" s="266"/>
      <c r="DL213" s="263">
        <f t="shared" si="915"/>
        <v>371.91505137167673</v>
      </c>
      <c r="DM213" s="263">
        <f t="shared" si="915"/>
        <v>185.36172015676303</v>
      </c>
      <c r="DN213" s="263">
        <f t="shared" si="915"/>
        <v>185.36172015676303</v>
      </c>
      <c r="DO213" s="263">
        <f t="shared" si="915"/>
        <v>185.36172015676303</v>
      </c>
      <c r="DP213" s="263">
        <f t="shared" si="915"/>
        <v>185.36172015676303</v>
      </c>
      <c r="DQ213" s="263">
        <f t="shared" si="915"/>
        <v>185.36172015676303</v>
      </c>
      <c r="DR213" s="263">
        <f t="shared" si="915"/>
        <v>185.36172015676303</v>
      </c>
      <c r="DS213" s="263">
        <f t="shared" si="915"/>
        <v>185.36172015676303</v>
      </c>
      <c r="DT213" s="263">
        <f t="shared" si="915"/>
        <v>185.36172015676303</v>
      </c>
      <c r="DU213" s="263">
        <f t="shared" si="915"/>
        <v>185.36172015676303</v>
      </c>
      <c r="DV213" s="263">
        <f t="shared" si="915"/>
        <v>185.36172015676303</v>
      </c>
      <c r="DW213" s="263">
        <f t="shared" si="915"/>
        <v>120.18721533735832</v>
      </c>
      <c r="DX213" s="230">
        <f t="shared" si="916"/>
        <v>2345.7194682766658</v>
      </c>
      <c r="DY213" s="266"/>
      <c r="DZ213" s="263">
        <f t="shared" si="917"/>
        <v>13.282680406131313</v>
      </c>
      <c r="EA213" s="263">
        <f t="shared" si="917"/>
        <v>6.6200614341701085</v>
      </c>
      <c r="EB213" s="263">
        <f t="shared" si="917"/>
        <v>6.6200614341701085</v>
      </c>
      <c r="EC213" s="263">
        <f t="shared" si="917"/>
        <v>6.6200614341701085</v>
      </c>
      <c r="ED213" s="263">
        <f t="shared" si="917"/>
        <v>6.6200614341701085</v>
      </c>
      <c r="EE213" s="263">
        <f t="shared" si="917"/>
        <v>6.6200614341701085</v>
      </c>
      <c r="EF213" s="263">
        <f t="shared" si="917"/>
        <v>6.6200614341701085</v>
      </c>
      <c r="EG213" s="263">
        <f t="shared" si="917"/>
        <v>6.6200614341701085</v>
      </c>
      <c r="EH213" s="263">
        <f t="shared" si="917"/>
        <v>6.6200614341701085</v>
      </c>
      <c r="EI213" s="263">
        <f t="shared" si="917"/>
        <v>6.6200614341701085</v>
      </c>
      <c r="EJ213" s="263">
        <f t="shared" si="917"/>
        <v>6.6200614341701085</v>
      </c>
      <c r="EK213" s="263">
        <f t="shared" si="917"/>
        <v>4.2924005477627976</v>
      </c>
      <c r="EL213" s="230">
        <f t="shared" si="918"/>
        <v>83.775695295595213</v>
      </c>
      <c r="EM213" s="266"/>
      <c r="EN213" s="263">
        <f t="shared" si="919"/>
        <v>26.565360812262625</v>
      </c>
      <c r="EO213" s="263">
        <f t="shared" si="919"/>
        <v>13.240122868340217</v>
      </c>
      <c r="EP213" s="263">
        <f t="shared" si="919"/>
        <v>13.240122868340217</v>
      </c>
      <c r="EQ213" s="263">
        <f t="shared" si="919"/>
        <v>13.240122868340217</v>
      </c>
      <c r="ER213" s="263">
        <f t="shared" si="919"/>
        <v>13.240122868340217</v>
      </c>
      <c r="ES213" s="263">
        <f t="shared" si="919"/>
        <v>13.240122868340217</v>
      </c>
      <c r="ET213" s="263">
        <f t="shared" si="919"/>
        <v>13.240122868340217</v>
      </c>
      <c r="EU213" s="263">
        <f t="shared" si="919"/>
        <v>13.240122868340217</v>
      </c>
      <c r="EV213" s="263">
        <f t="shared" si="919"/>
        <v>13.240122868340217</v>
      </c>
      <c r="EW213" s="263">
        <f t="shared" si="919"/>
        <v>13.240122868340217</v>
      </c>
      <c r="EX213" s="263">
        <f t="shared" si="919"/>
        <v>13.240122868340217</v>
      </c>
      <c r="EY213" s="263">
        <f t="shared" si="919"/>
        <v>8.5848010955255951</v>
      </c>
      <c r="EZ213" s="230">
        <f t="shared" si="920"/>
        <v>167.55139059119043</v>
      </c>
      <c r="FA213" s="266"/>
      <c r="FB213" s="263">
        <f t="shared" si="921"/>
        <v>13.282680406131313</v>
      </c>
      <c r="FC213" s="263">
        <f t="shared" si="921"/>
        <v>6.6200614341701085</v>
      </c>
      <c r="FD213" s="263">
        <f t="shared" si="921"/>
        <v>6.6200614341701085</v>
      </c>
      <c r="FE213" s="263">
        <f t="shared" si="921"/>
        <v>6.6200614341701085</v>
      </c>
      <c r="FF213" s="263">
        <f t="shared" si="921"/>
        <v>6.6200614341701085</v>
      </c>
      <c r="FG213" s="263">
        <f t="shared" si="921"/>
        <v>6.6200614341701085</v>
      </c>
      <c r="FH213" s="263">
        <f t="shared" si="921"/>
        <v>6.6200614341701085</v>
      </c>
      <c r="FI213" s="263">
        <f t="shared" si="921"/>
        <v>6.6200614341701085</v>
      </c>
      <c r="FJ213" s="263">
        <f t="shared" si="921"/>
        <v>6.6200614341701085</v>
      </c>
      <c r="FK213" s="263">
        <f t="shared" si="921"/>
        <v>6.6200614341701085</v>
      </c>
      <c r="FL213" s="263">
        <f t="shared" si="921"/>
        <v>6.6200614341701085</v>
      </c>
      <c r="FM213" s="263">
        <f t="shared" si="921"/>
        <v>4.2924005477627976</v>
      </c>
      <c r="FN213" s="230">
        <f t="shared" si="922"/>
        <v>83.775695295595213</v>
      </c>
      <c r="FO213" s="266"/>
      <c r="FP213" s="263">
        <f t="shared" si="923"/>
        <v>92.978762842919181</v>
      </c>
      <c r="FQ213" s="263">
        <f t="shared" si="923"/>
        <v>46.340430039190757</v>
      </c>
      <c r="FR213" s="263">
        <f t="shared" si="923"/>
        <v>46.340430039190757</v>
      </c>
      <c r="FS213" s="263">
        <f t="shared" si="923"/>
        <v>46.340430039190757</v>
      </c>
      <c r="FT213" s="263">
        <f t="shared" si="923"/>
        <v>46.340430039190757</v>
      </c>
      <c r="FU213" s="263">
        <f t="shared" si="923"/>
        <v>46.340430039190757</v>
      </c>
      <c r="FV213" s="263">
        <f t="shared" si="923"/>
        <v>46.340430039190757</v>
      </c>
      <c r="FW213" s="263">
        <f t="shared" si="923"/>
        <v>46.340430039190757</v>
      </c>
      <c r="FX213" s="263">
        <f t="shared" si="923"/>
        <v>46.340430039190757</v>
      </c>
      <c r="FY213" s="263">
        <f t="shared" si="923"/>
        <v>46.340430039190757</v>
      </c>
      <c r="FZ213" s="263">
        <f t="shared" si="923"/>
        <v>46.340430039190757</v>
      </c>
      <c r="GA213" s="263">
        <f t="shared" si="923"/>
        <v>30.046803834339581</v>
      </c>
      <c r="GB213" s="230">
        <f t="shared" si="924"/>
        <v>586.42986706916645</v>
      </c>
      <c r="GC213" s="266"/>
      <c r="GD213" s="263">
        <f t="shared" si="925"/>
        <v>13.282680406131313</v>
      </c>
      <c r="GE213" s="263">
        <f t="shared" si="925"/>
        <v>6.6200614341701085</v>
      </c>
      <c r="GF213" s="263">
        <f t="shared" si="925"/>
        <v>6.6200614341701085</v>
      </c>
      <c r="GG213" s="263">
        <f t="shared" si="925"/>
        <v>6.6200614341701085</v>
      </c>
      <c r="GH213" s="263">
        <f t="shared" si="925"/>
        <v>6.6200614341701085</v>
      </c>
      <c r="GI213" s="263">
        <f t="shared" si="925"/>
        <v>6.6200614341701085</v>
      </c>
      <c r="GJ213" s="263">
        <f t="shared" si="925"/>
        <v>6.6200614341701085</v>
      </c>
      <c r="GK213" s="263">
        <f t="shared" si="925"/>
        <v>6.6200614341701085</v>
      </c>
      <c r="GL213" s="263">
        <f t="shared" si="925"/>
        <v>6.6200614341701085</v>
      </c>
      <c r="GM213" s="263">
        <f t="shared" si="925"/>
        <v>6.6200614341701085</v>
      </c>
      <c r="GN213" s="263">
        <f t="shared" si="925"/>
        <v>6.6200614341701085</v>
      </c>
      <c r="GO213" s="263">
        <f t="shared" si="925"/>
        <v>4.2924005477627976</v>
      </c>
      <c r="GP213" s="230">
        <f t="shared" si="926"/>
        <v>83.775695295595213</v>
      </c>
      <c r="GQ213" s="266"/>
      <c r="GR213" s="263">
        <f t="shared" si="927"/>
        <v>839.48999046711151</v>
      </c>
      <c r="GS213" s="263">
        <f t="shared" si="927"/>
        <v>0</v>
      </c>
      <c r="GT213" s="263">
        <f t="shared" si="927"/>
        <v>904.1348903717826</v>
      </c>
      <c r="GU213" s="263">
        <f t="shared" si="927"/>
        <v>904.1348903717826</v>
      </c>
      <c r="GV213" s="263">
        <f t="shared" si="927"/>
        <v>904.1348903717826</v>
      </c>
      <c r="GW213" s="263">
        <f t="shared" si="927"/>
        <v>904.1348903717826</v>
      </c>
      <c r="GX213" s="263">
        <f t="shared" si="927"/>
        <v>904.1348903717826</v>
      </c>
      <c r="GY213" s="263">
        <f t="shared" si="927"/>
        <v>904.1348903717826</v>
      </c>
      <c r="GZ213" s="263">
        <f t="shared" si="927"/>
        <v>904.1348903717826</v>
      </c>
      <c r="HA213" s="263">
        <f t="shared" si="927"/>
        <v>904.1348903717826</v>
      </c>
      <c r="HB213" s="263">
        <f t="shared" si="927"/>
        <v>904.1348903717826</v>
      </c>
      <c r="HC213" s="263">
        <f t="shared" si="927"/>
        <v>904.1348903717826</v>
      </c>
      <c r="HD213" s="230">
        <f t="shared" si="947"/>
        <v>0</v>
      </c>
      <c r="HE213" s="266"/>
      <c r="HF213" s="263">
        <f t="shared" si="928"/>
        <v>53.13072162452525</v>
      </c>
      <c r="HG213" s="263">
        <f t="shared" si="928"/>
        <v>26.480245736680434</v>
      </c>
      <c r="HH213" s="263">
        <f t="shared" si="928"/>
        <v>26.480245736680434</v>
      </c>
      <c r="HI213" s="263">
        <f t="shared" si="928"/>
        <v>26.480245736680434</v>
      </c>
      <c r="HJ213" s="263">
        <f t="shared" si="928"/>
        <v>26.480245736680434</v>
      </c>
      <c r="HK213" s="263">
        <f t="shared" si="928"/>
        <v>26.480245736680434</v>
      </c>
      <c r="HL213" s="263">
        <f t="shared" si="928"/>
        <v>26.480245736680434</v>
      </c>
      <c r="HM213" s="263">
        <f t="shared" si="928"/>
        <v>26.480245736680434</v>
      </c>
      <c r="HN213" s="263">
        <f t="shared" si="928"/>
        <v>26.480245736680434</v>
      </c>
      <c r="HO213" s="263">
        <f t="shared" si="928"/>
        <v>26.480245736680434</v>
      </c>
      <c r="HP213" s="263">
        <f t="shared" si="928"/>
        <v>26.480245736680434</v>
      </c>
      <c r="HQ213" s="263">
        <f t="shared" si="928"/>
        <v>17.16960219105119</v>
      </c>
      <c r="HR213" s="230">
        <f t="shared" si="929"/>
        <v>335.10278118238085</v>
      </c>
      <c r="HS213" s="266"/>
      <c r="HT213" s="263">
        <f t="shared" si="930"/>
        <v>13.282680406131313</v>
      </c>
      <c r="HU213" s="263">
        <f t="shared" si="930"/>
        <v>6.6200614341701085</v>
      </c>
      <c r="HV213" s="263">
        <f t="shared" si="930"/>
        <v>6.6200614341701085</v>
      </c>
      <c r="HW213" s="263">
        <f t="shared" si="930"/>
        <v>6.6200614341701085</v>
      </c>
      <c r="HX213" s="263">
        <f t="shared" si="930"/>
        <v>6.6200614341701085</v>
      </c>
      <c r="HY213" s="263">
        <f t="shared" si="930"/>
        <v>6.6200614341701085</v>
      </c>
      <c r="HZ213" s="263">
        <f t="shared" si="930"/>
        <v>6.6200614341701085</v>
      </c>
      <c r="IA213" s="263">
        <f t="shared" si="930"/>
        <v>6.6200614341701085</v>
      </c>
      <c r="IB213" s="263">
        <f t="shared" si="930"/>
        <v>6.6200614341701085</v>
      </c>
      <c r="IC213" s="263">
        <f t="shared" si="930"/>
        <v>6.6200614341701085</v>
      </c>
      <c r="ID213" s="263">
        <f t="shared" si="930"/>
        <v>6.6200614341701085</v>
      </c>
      <c r="IE213" s="263">
        <f t="shared" si="930"/>
        <v>4.2924005477627976</v>
      </c>
      <c r="IF213" s="230">
        <f t="shared" si="931"/>
        <v>83.775695295595213</v>
      </c>
      <c r="IG213" s="266"/>
      <c r="IH213" s="263">
        <f t="shared" si="932"/>
        <v>13.282680406131313</v>
      </c>
      <c r="II213" s="263">
        <f t="shared" si="932"/>
        <v>6.6200614341701085</v>
      </c>
      <c r="IJ213" s="263">
        <f t="shared" si="932"/>
        <v>6.6200614341701085</v>
      </c>
      <c r="IK213" s="263">
        <f t="shared" si="932"/>
        <v>6.6200614341701085</v>
      </c>
      <c r="IL213" s="263">
        <f t="shared" si="932"/>
        <v>6.6200614341701085</v>
      </c>
      <c r="IM213" s="263">
        <f t="shared" si="932"/>
        <v>6.6200614341701085</v>
      </c>
      <c r="IN213" s="263">
        <f t="shared" si="932"/>
        <v>6.6200614341701085</v>
      </c>
      <c r="IO213" s="263">
        <f t="shared" si="932"/>
        <v>6.6200614341701085</v>
      </c>
      <c r="IP213" s="263">
        <f t="shared" si="932"/>
        <v>6.6200614341701085</v>
      </c>
      <c r="IQ213" s="263">
        <f t="shared" si="932"/>
        <v>6.6200614341701085</v>
      </c>
      <c r="IR213" s="263">
        <f t="shared" si="932"/>
        <v>6.6200614341701085</v>
      </c>
      <c r="IS213" s="263">
        <f t="shared" si="932"/>
        <v>4.2924005477627976</v>
      </c>
      <c r="IT213" s="230">
        <f t="shared" si="933"/>
        <v>83.775695295595213</v>
      </c>
      <c r="IU213" s="266"/>
      <c r="IV213" s="263">
        <f t="shared" si="934"/>
        <v>92.978762842919181</v>
      </c>
      <c r="IW213" s="263">
        <f t="shared" si="934"/>
        <v>46.340430039190757</v>
      </c>
      <c r="IX213" s="263">
        <f t="shared" si="934"/>
        <v>46.340430039190757</v>
      </c>
      <c r="IY213" s="263">
        <f t="shared" si="934"/>
        <v>46.340430039190757</v>
      </c>
      <c r="IZ213" s="263">
        <f t="shared" si="934"/>
        <v>46.340430039190757</v>
      </c>
      <c r="JA213" s="263">
        <f t="shared" si="934"/>
        <v>46.340430039190757</v>
      </c>
      <c r="JB213" s="263">
        <f t="shared" si="934"/>
        <v>46.340430039190757</v>
      </c>
      <c r="JC213" s="263">
        <f t="shared" si="934"/>
        <v>46.340430039190757</v>
      </c>
      <c r="JD213" s="263">
        <f t="shared" si="934"/>
        <v>46.340430039190757</v>
      </c>
      <c r="JE213" s="263">
        <f t="shared" si="934"/>
        <v>46.340430039190757</v>
      </c>
      <c r="JF213" s="263">
        <f t="shared" si="934"/>
        <v>46.340430039190757</v>
      </c>
      <c r="JG213" s="263">
        <f t="shared" si="934"/>
        <v>30.046803834339581</v>
      </c>
      <c r="JH213" s="230">
        <f t="shared" si="935"/>
        <v>586.42986706916645</v>
      </c>
      <c r="JI213" s="266"/>
      <c r="JJ213" s="263">
        <f t="shared" si="936"/>
        <v>146.10948446744442</v>
      </c>
      <c r="JK213" s="263">
        <f t="shared" si="936"/>
        <v>72.820675775871194</v>
      </c>
      <c r="JL213" s="263">
        <f t="shared" si="936"/>
        <v>72.820675775871194</v>
      </c>
      <c r="JM213" s="263">
        <f t="shared" si="936"/>
        <v>72.820675775871194</v>
      </c>
      <c r="JN213" s="263">
        <f t="shared" si="936"/>
        <v>72.820675775871194</v>
      </c>
      <c r="JO213" s="263">
        <f t="shared" si="936"/>
        <v>72.820675775871194</v>
      </c>
      <c r="JP213" s="263">
        <f t="shared" si="936"/>
        <v>72.820675775871194</v>
      </c>
      <c r="JQ213" s="263">
        <f t="shared" si="936"/>
        <v>72.820675775871194</v>
      </c>
      <c r="JR213" s="263">
        <f t="shared" si="936"/>
        <v>72.820675775871194</v>
      </c>
      <c r="JS213" s="263">
        <f t="shared" si="936"/>
        <v>72.820675775871194</v>
      </c>
      <c r="JT213" s="263">
        <f t="shared" si="936"/>
        <v>72.820675775871194</v>
      </c>
      <c r="JU213" s="263">
        <f t="shared" si="936"/>
        <v>47.216406025390775</v>
      </c>
      <c r="JV213" s="230">
        <f t="shared" si="937"/>
        <v>921.53264825154736</v>
      </c>
      <c r="JW213" s="266"/>
      <c r="JX213" s="263">
        <f t="shared" si="938"/>
        <v>66.413402030656556</v>
      </c>
      <c r="JY213" s="263">
        <f t="shared" si="938"/>
        <v>33.100307170850549</v>
      </c>
      <c r="JZ213" s="263">
        <f t="shared" si="938"/>
        <v>33.100307170850549</v>
      </c>
      <c r="KA213" s="263">
        <f t="shared" si="938"/>
        <v>33.100307170850549</v>
      </c>
      <c r="KB213" s="263">
        <f t="shared" si="938"/>
        <v>33.100307170850549</v>
      </c>
      <c r="KC213" s="263">
        <f t="shared" si="938"/>
        <v>33.100307170850549</v>
      </c>
      <c r="KD213" s="263">
        <f t="shared" si="938"/>
        <v>33.100307170850549</v>
      </c>
      <c r="KE213" s="263">
        <f t="shared" si="938"/>
        <v>33.100307170850549</v>
      </c>
      <c r="KF213" s="263">
        <f t="shared" si="938"/>
        <v>33.100307170850549</v>
      </c>
      <c r="KG213" s="263">
        <f t="shared" si="938"/>
        <v>33.100307170850549</v>
      </c>
      <c r="KH213" s="263">
        <f t="shared" si="938"/>
        <v>33.100307170850549</v>
      </c>
      <c r="KI213" s="263">
        <f t="shared" si="938"/>
        <v>21.462002738813986</v>
      </c>
      <c r="KJ213" s="230">
        <f t="shared" si="939"/>
        <v>418.87847647797605</v>
      </c>
      <c r="KK213" s="266"/>
      <c r="KL213" s="263">
        <f t="shared" si="940"/>
        <v>26.565360812262625</v>
      </c>
      <c r="KM213" s="263">
        <f t="shared" si="940"/>
        <v>13.240122868340217</v>
      </c>
      <c r="KN213" s="263">
        <f t="shared" si="940"/>
        <v>13.240122868340217</v>
      </c>
      <c r="KO213" s="263">
        <f t="shared" si="940"/>
        <v>13.240122868340217</v>
      </c>
      <c r="KP213" s="263">
        <f t="shared" si="940"/>
        <v>13.240122868340217</v>
      </c>
      <c r="KQ213" s="263">
        <f t="shared" si="940"/>
        <v>13.240122868340217</v>
      </c>
      <c r="KR213" s="263">
        <f t="shared" si="940"/>
        <v>13.240122868340217</v>
      </c>
      <c r="KS213" s="263">
        <f t="shared" si="940"/>
        <v>13.240122868340217</v>
      </c>
      <c r="KT213" s="263">
        <f t="shared" si="940"/>
        <v>13.240122868340217</v>
      </c>
      <c r="KU213" s="263">
        <f t="shared" si="940"/>
        <v>13.240122868340217</v>
      </c>
      <c r="KV213" s="263">
        <f t="shared" si="940"/>
        <v>13.240122868340217</v>
      </c>
      <c r="KW213" s="263">
        <f t="shared" si="940"/>
        <v>8.5848010955255951</v>
      </c>
      <c r="KX213" s="230">
        <f t="shared" si="941"/>
        <v>167.55139059119043</v>
      </c>
      <c r="KY213" s="266"/>
      <c r="KZ213" s="263">
        <f t="shared" si="942"/>
        <v>13.282680406131313</v>
      </c>
      <c r="LA213" s="263">
        <f t="shared" si="942"/>
        <v>6.6200614341701085</v>
      </c>
      <c r="LB213" s="263">
        <f t="shared" si="942"/>
        <v>6.6200614341701085</v>
      </c>
      <c r="LC213" s="263">
        <f t="shared" si="942"/>
        <v>6.6200614341701085</v>
      </c>
      <c r="LD213" s="263">
        <f t="shared" si="942"/>
        <v>6.6200614341701085</v>
      </c>
      <c r="LE213" s="263">
        <f t="shared" si="942"/>
        <v>6.6200614341701085</v>
      </c>
      <c r="LF213" s="263">
        <f t="shared" si="942"/>
        <v>6.6200614341701085</v>
      </c>
      <c r="LG213" s="263">
        <f t="shared" si="942"/>
        <v>6.6200614341701085</v>
      </c>
      <c r="LH213" s="263">
        <f t="shared" si="942"/>
        <v>6.6200614341701085</v>
      </c>
      <c r="LI213" s="263">
        <f t="shared" si="942"/>
        <v>6.6200614341701085</v>
      </c>
      <c r="LJ213" s="263">
        <f t="shared" si="942"/>
        <v>6.6200614341701085</v>
      </c>
      <c r="LK213" s="263">
        <f t="shared" si="942"/>
        <v>4.2924005477627976</v>
      </c>
      <c r="LL213" s="230">
        <f t="shared" si="943"/>
        <v>83.775695295595213</v>
      </c>
      <c r="LM213" s="266"/>
      <c r="LN213" s="263">
        <v>0</v>
      </c>
      <c r="LO213" s="264">
        <v>0</v>
      </c>
      <c r="LP213" s="265">
        <v>0</v>
      </c>
      <c r="LQ213" s="265">
        <v>0</v>
      </c>
      <c r="LR213" s="265">
        <v>0</v>
      </c>
      <c r="LS213" s="265">
        <v>0</v>
      </c>
      <c r="LT213" s="265">
        <v>0</v>
      </c>
      <c r="LU213" s="265">
        <v>0</v>
      </c>
      <c r="LV213" s="265">
        <v>0</v>
      </c>
      <c r="LW213" s="265">
        <v>0</v>
      </c>
      <c r="LX213" s="265">
        <v>0</v>
      </c>
      <c r="LY213" s="265">
        <v>0</v>
      </c>
      <c r="LZ213" s="230">
        <f t="shared" si="944"/>
        <v>0</v>
      </c>
      <c r="MA213" s="266"/>
      <c r="MB213" s="230">
        <f t="shared" si="945"/>
        <v>3017.8495770726472</v>
      </c>
      <c r="MC213" s="230">
        <f t="shared" si="945"/>
        <v>1085.6900752038978</v>
      </c>
      <c r="MD213" s="230">
        <f t="shared" si="945"/>
        <v>1989.8249655756804</v>
      </c>
      <c r="ME213" s="230">
        <f t="shared" si="945"/>
        <v>1989.8249655756804</v>
      </c>
      <c r="MF213" s="230">
        <f t="shared" si="945"/>
        <v>1989.8249655756804</v>
      </c>
      <c r="MG213" s="230">
        <f t="shared" si="945"/>
        <v>1989.8249655756804</v>
      </c>
      <c r="MH213" s="230">
        <f t="shared" si="945"/>
        <v>1989.8249655756804</v>
      </c>
      <c r="MI213" s="230">
        <f t="shared" si="945"/>
        <v>1989.8249655756804</v>
      </c>
      <c r="MJ213" s="230">
        <f t="shared" si="945"/>
        <v>1989.8249655756804</v>
      </c>
      <c r="MK213" s="230">
        <f t="shared" si="945"/>
        <v>1989.8249655756804</v>
      </c>
      <c r="ML213" s="230">
        <f t="shared" si="945"/>
        <v>1989.8249655756804</v>
      </c>
      <c r="MM213" s="230">
        <f t="shared" si="945"/>
        <v>1608.0885802048811</v>
      </c>
      <c r="MN213" s="230">
        <f t="shared" si="948"/>
        <v>23620.052922662551</v>
      </c>
    </row>
    <row r="214" spans="1:352" x14ac:dyDescent="0.25">
      <c r="A214" s="262"/>
      <c r="B214" s="64" t="s">
        <v>87</v>
      </c>
      <c r="C214" s="98"/>
      <c r="D214" s="263">
        <f t="shared" si="899"/>
        <v>54.851937597409474</v>
      </c>
      <c r="E214" s="263">
        <f t="shared" si="899"/>
        <v>54.851937597409474</v>
      </c>
      <c r="F214" s="263">
        <f t="shared" si="899"/>
        <v>54.851937597409474</v>
      </c>
      <c r="G214" s="263">
        <f t="shared" si="899"/>
        <v>54.851937597409474</v>
      </c>
      <c r="H214" s="263">
        <f t="shared" si="899"/>
        <v>54.851937597409474</v>
      </c>
      <c r="I214" s="263">
        <f t="shared" si="899"/>
        <v>54.851937597409474</v>
      </c>
      <c r="J214" s="263">
        <f t="shared" si="899"/>
        <v>54.851937597409474</v>
      </c>
      <c r="K214" s="263">
        <f t="shared" si="899"/>
        <v>54.851937597409474</v>
      </c>
      <c r="L214" s="263">
        <f t="shared" si="899"/>
        <v>54.851937597409474</v>
      </c>
      <c r="M214" s="263">
        <f t="shared" si="899"/>
        <v>54.851937597409474</v>
      </c>
      <c r="N214" s="263">
        <f t="shared" si="899"/>
        <v>54.851937597409474</v>
      </c>
      <c r="O214" s="263">
        <f t="shared" si="899"/>
        <v>47.995445397733292</v>
      </c>
      <c r="P214" s="230">
        <f t="shared" si="900"/>
        <v>651.36675896923748</v>
      </c>
      <c r="Q214" s="266"/>
      <c r="R214" s="263">
        <f t="shared" si="901"/>
        <v>5.6743383721458081</v>
      </c>
      <c r="S214" s="263">
        <f t="shared" si="901"/>
        <v>5.6743383721458081</v>
      </c>
      <c r="T214" s="263">
        <f t="shared" si="901"/>
        <v>5.6743383721458081</v>
      </c>
      <c r="U214" s="263">
        <f t="shared" si="901"/>
        <v>5.6743383721458081</v>
      </c>
      <c r="V214" s="263">
        <f t="shared" si="901"/>
        <v>5.6743383721458081</v>
      </c>
      <c r="W214" s="263">
        <f t="shared" si="901"/>
        <v>5.6743383721458081</v>
      </c>
      <c r="X214" s="263">
        <f t="shared" si="901"/>
        <v>5.6743383721458081</v>
      </c>
      <c r="Y214" s="263">
        <f t="shared" si="901"/>
        <v>5.6743383721458081</v>
      </c>
      <c r="Z214" s="263">
        <f t="shared" si="901"/>
        <v>5.6743383721458081</v>
      </c>
      <c r="AA214" s="263">
        <f t="shared" si="901"/>
        <v>5.6743383721458081</v>
      </c>
      <c r="AB214" s="263">
        <f t="shared" si="901"/>
        <v>5.6743383721458081</v>
      </c>
      <c r="AC214" s="263">
        <f t="shared" si="901"/>
        <v>4.9650460756275816</v>
      </c>
      <c r="AD214" s="230">
        <f t="shared" si="902"/>
        <v>67.382768169231483</v>
      </c>
      <c r="AE214" s="266"/>
      <c r="AF214" s="263">
        <f t="shared" si="903"/>
        <v>5.6743383721458081</v>
      </c>
      <c r="AG214" s="263">
        <f t="shared" si="903"/>
        <v>5.6743383721458081</v>
      </c>
      <c r="AH214" s="263">
        <f t="shared" si="903"/>
        <v>5.6743383721458081</v>
      </c>
      <c r="AI214" s="263">
        <f t="shared" si="903"/>
        <v>5.6743383721458081</v>
      </c>
      <c r="AJ214" s="263">
        <f t="shared" si="903"/>
        <v>5.6743383721458081</v>
      </c>
      <c r="AK214" s="263">
        <f t="shared" si="903"/>
        <v>5.6743383721458081</v>
      </c>
      <c r="AL214" s="263">
        <f t="shared" si="903"/>
        <v>5.6743383721458081</v>
      </c>
      <c r="AM214" s="263">
        <f t="shared" si="903"/>
        <v>5.6743383721458081</v>
      </c>
      <c r="AN214" s="263">
        <f t="shared" si="903"/>
        <v>5.6743383721458081</v>
      </c>
      <c r="AO214" s="263">
        <f t="shared" si="903"/>
        <v>5.6743383721458081</v>
      </c>
      <c r="AP214" s="263">
        <f t="shared" si="903"/>
        <v>5.6743383721458081</v>
      </c>
      <c r="AQ214" s="263">
        <f t="shared" si="903"/>
        <v>4.9650460756275816</v>
      </c>
      <c r="AR214" s="230">
        <f t="shared" si="904"/>
        <v>67.382768169231483</v>
      </c>
      <c r="AS214" s="266"/>
      <c r="AT214" s="263">
        <f t="shared" si="905"/>
        <v>3.7828922480972054</v>
      </c>
      <c r="AU214" s="263">
        <f t="shared" si="905"/>
        <v>3.7828922480972054</v>
      </c>
      <c r="AV214" s="263">
        <f t="shared" si="905"/>
        <v>3.7828922480972054</v>
      </c>
      <c r="AW214" s="263">
        <f t="shared" si="905"/>
        <v>3.7828922480972054</v>
      </c>
      <c r="AX214" s="263">
        <f t="shared" si="905"/>
        <v>3.7828922480972054</v>
      </c>
      <c r="AY214" s="263">
        <f t="shared" si="905"/>
        <v>3.7828922480972054</v>
      </c>
      <c r="AZ214" s="263">
        <f t="shared" si="905"/>
        <v>3.7828922480972054</v>
      </c>
      <c r="BA214" s="263">
        <f t="shared" si="905"/>
        <v>3.7828922480972054</v>
      </c>
      <c r="BB214" s="263">
        <f t="shared" si="905"/>
        <v>3.7828922480972054</v>
      </c>
      <c r="BC214" s="263">
        <f t="shared" si="905"/>
        <v>3.7828922480972054</v>
      </c>
      <c r="BD214" s="263">
        <f t="shared" si="905"/>
        <v>3.7828922480972054</v>
      </c>
      <c r="BE214" s="263">
        <f t="shared" si="905"/>
        <v>3.3100307170850543</v>
      </c>
      <c r="BF214" s="230">
        <f t="shared" si="906"/>
        <v>44.921845446154315</v>
      </c>
      <c r="BG214" s="224"/>
      <c r="BH214" s="263">
        <f t="shared" si="907"/>
        <v>28.37169186072904</v>
      </c>
      <c r="BI214" s="263">
        <f t="shared" si="907"/>
        <v>28.37169186072904</v>
      </c>
      <c r="BJ214" s="263">
        <f t="shared" si="907"/>
        <v>28.37169186072904</v>
      </c>
      <c r="BK214" s="263">
        <f t="shared" si="907"/>
        <v>28.37169186072904</v>
      </c>
      <c r="BL214" s="263">
        <f t="shared" si="907"/>
        <v>28.37169186072904</v>
      </c>
      <c r="BM214" s="263">
        <f t="shared" si="907"/>
        <v>28.37169186072904</v>
      </c>
      <c r="BN214" s="263">
        <f t="shared" si="907"/>
        <v>28.37169186072904</v>
      </c>
      <c r="BO214" s="263">
        <f t="shared" si="907"/>
        <v>28.37169186072904</v>
      </c>
      <c r="BP214" s="263">
        <f t="shared" si="907"/>
        <v>28.37169186072904</v>
      </c>
      <c r="BQ214" s="263">
        <f t="shared" si="907"/>
        <v>28.37169186072904</v>
      </c>
      <c r="BR214" s="263">
        <f t="shared" si="907"/>
        <v>28.37169186072904</v>
      </c>
      <c r="BS214" s="263">
        <f t="shared" si="907"/>
        <v>24.82523037813791</v>
      </c>
      <c r="BT214" s="230">
        <f t="shared" si="908"/>
        <v>336.91384084615731</v>
      </c>
      <c r="BU214" s="266"/>
      <c r="BV214" s="263">
        <f t="shared" si="909"/>
        <v>1.8914461240486027</v>
      </c>
      <c r="BW214" s="263">
        <f t="shared" si="909"/>
        <v>1.8914461240486027</v>
      </c>
      <c r="BX214" s="263">
        <f t="shared" si="909"/>
        <v>1.8914461240486027</v>
      </c>
      <c r="BY214" s="263">
        <f t="shared" si="909"/>
        <v>1.8914461240486027</v>
      </c>
      <c r="BZ214" s="263">
        <f t="shared" si="909"/>
        <v>1.8914461240486027</v>
      </c>
      <c r="CA214" s="263">
        <f t="shared" si="909"/>
        <v>1.8914461240486027</v>
      </c>
      <c r="CB214" s="263">
        <f t="shared" si="909"/>
        <v>1.8914461240486027</v>
      </c>
      <c r="CC214" s="263">
        <f t="shared" si="909"/>
        <v>1.8914461240486027</v>
      </c>
      <c r="CD214" s="263">
        <f t="shared" si="909"/>
        <v>1.8914461240486027</v>
      </c>
      <c r="CE214" s="263">
        <f t="shared" si="909"/>
        <v>1.8914461240486027</v>
      </c>
      <c r="CF214" s="263">
        <f t="shared" si="909"/>
        <v>1.8914461240486027</v>
      </c>
      <c r="CG214" s="263">
        <f t="shared" si="909"/>
        <v>1.6550153585425271</v>
      </c>
      <c r="CH214" s="230">
        <f t="shared" si="910"/>
        <v>22.460922723077157</v>
      </c>
      <c r="CI214" s="266"/>
      <c r="CJ214" s="263">
        <f t="shared" si="911"/>
        <v>20.80590736453463</v>
      </c>
      <c r="CK214" s="263">
        <f t="shared" si="911"/>
        <v>20.80590736453463</v>
      </c>
      <c r="CL214" s="263">
        <f t="shared" si="911"/>
        <v>20.80590736453463</v>
      </c>
      <c r="CM214" s="263">
        <f t="shared" si="911"/>
        <v>20.80590736453463</v>
      </c>
      <c r="CN214" s="263">
        <f t="shared" si="911"/>
        <v>20.80590736453463</v>
      </c>
      <c r="CO214" s="263">
        <f t="shared" si="911"/>
        <v>20.80590736453463</v>
      </c>
      <c r="CP214" s="263">
        <f t="shared" si="911"/>
        <v>20.80590736453463</v>
      </c>
      <c r="CQ214" s="263">
        <f t="shared" si="911"/>
        <v>20.80590736453463</v>
      </c>
      <c r="CR214" s="263">
        <f t="shared" si="911"/>
        <v>20.80590736453463</v>
      </c>
      <c r="CS214" s="263">
        <f t="shared" si="911"/>
        <v>20.80590736453463</v>
      </c>
      <c r="CT214" s="263">
        <f t="shared" si="911"/>
        <v>20.80590736453463</v>
      </c>
      <c r="CU214" s="263">
        <f t="shared" si="911"/>
        <v>18.205168943967799</v>
      </c>
      <c r="CV214" s="230">
        <f t="shared" si="912"/>
        <v>247.0701499538487</v>
      </c>
      <c r="CW214" s="266"/>
      <c r="CX214" s="263">
        <f t="shared" si="913"/>
        <v>52.960491473360868</v>
      </c>
      <c r="CY214" s="263">
        <f t="shared" si="913"/>
        <v>52.960491473360868</v>
      </c>
      <c r="CZ214" s="263">
        <f t="shared" si="913"/>
        <v>52.960491473360868</v>
      </c>
      <c r="DA214" s="263">
        <f t="shared" si="913"/>
        <v>52.960491473360868</v>
      </c>
      <c r="DB214" s="263">
        <f t="shared" si="913"/>
        <v>52.960491473360868</v>
      </c>
      <c r="DC214" s="263">
        <f t="shared" si="913"/>
        <v>52.960491473360868</v>
      </c>
      <c r="DD214" s="263">
        <f t="shared" si="913"/>
        <v>52.960491473360868</v>
      </c>
      <c r="DE214" s="263">
        <f t="shared" si="913"/>
        <v>52.960491473360868</v>
      </c>
      <c r="DF214" s="263">
        <f t="shared" si="913"/>
        <v>52.960491473360868</v>
      </c>
      <c r="DG214" s="263">
        <f t="shared" si="913"/>
        <v>52.960491473360868</v>
      </c>
      <c r="DH214" s="263">
        <f t="shared" si="913"/>
        <v>52.960491473360868</v>
      </c>
      <c r="DI214" s="263">
        <f t="shared" si="913"/>
        <v>46.340430039190757</v>
      </c>
      <c r="DJ214" s="230">
        <f t="shared" si="914"/>
        <v>628.90583624616045</v>
      </c>
      <c r="DK214" s="266"/>
      <c r="DL214" s="263">
        <f t="shared" si="915"/>
        <v>52.960491473360868</v>
      </c>
      <c r="DM214" s="263">
        <f t="shared" si="915"/>
        <v>52.960491473360868</v>
      </c>
      <c r="DN214" s="263">
        <f t="shared" si="915"/>
        <v>52.960491473360868</v>
      </c>
      <c r="DO214" s="263">
        <f t="shared" si="915"/>
        <v>52.960491473360868</v>
      </c>
      <c r="DP214" s="263">
        <f t="shared" si="915"/>
        <v>52.960491473360868</v>
      </c>
      <c r="DQ214" s="263">
        <f t="shared" si="915"/>
        <v>52.960491473360868</v>
      </c>
      <c r="DR214" s="263">
        <f t="shared" si="915"/>
        <v>52.960491473360868</v>
      </c>
      <c r="DS214" s="263">
        <f t="shared" si="915"/>
        <v>52.960491473360868</v>
      </c>
      <c r="DT214" s="263">
        <f t="shared" si="915"/>
        <v>52.960491473360868</v>
      </c>
      <c r="DU214" s="263">
        <f t="shared" si="915"/>
        <v>52.960491473360868</v>
      </c>
      <c r="DV214" s="263">
        <f t="shared" si="915"/>
        <v>52.960491473360868</v>
      </c>
      <c r="DW214" s="263">
        <f t="shared" si="915"/>
        <v>46.340430039190757</v>
      </c>
      <c r="DX214" s="230">
        <f t="shared" si="916"/>
        <v>628.90583624616045</v>
      </c>
      <c r="DY214" s="266"/>
      <c r="DZ214" s="263">
        <f t="shared" si="917"/>
        <v>1.8914461240486027</v>
      </c>
      <c r="EA214" s="263">
        <f t="shared" si="917"/>
        <v>1.8914461240486027</v>
      </c>
      <c r="EB214" s="263">
        <f t="shared" si="917"/>
        <v>1.8914461240486027</v>
      </c>
      <c r="EC214" s="263">
        <f t="shared" si="917"/>
        <v>1.8914461240486027</v>
      </c>
      <c r="ED214" s="263">
        <f t="shared" si="917"/>
        <v>1.8914461240486027</v>
      </c>
      <c r="EE214" s="263">
        <f t="shared" si="917"/>
        <v>1.8914461240486027</v>
      </c>
      <c r="EF214" s="263">
        <f t="shared" si="917"/>
        <v>1.8914461240486027</v>
      </c>
      <c r="EG214" s="263">
        <f t="shared" si="917"/>
        <v>1.8914461240486027</v>
      </c>
      <c r="EH214" s="263">
        <f t="shared" si="917"/>
        <v>1.8914461240486027</v>
      </c>
      <c r="EI214" s="263">
        <f t="shared" si="917"/>
        <v>1.8914461240486027</v>
      </c>
      <c r="EJ214" s="263">
        <f t="shared" si="917"/>
        <v>1.8914461240486027</v>
      </c>
      <c r="EK214" s="263">
        <f t="shared" si="917"/>
        <v>1.6550153585425271</v>
      </c>
      <c r="EL214" s="230">
        <f t="shared" si="918"/>
        <v>22.460922723077157</v>
      </c>
      <c r="EM214" s="266"/>
      <c r="EN214" s="263">
        <f t="shared" si="919"/>
        <v>3.7828922480972054</v>
      </c>
      <c r="EO214" s="263">
        <f t="shared" si="919"/>
        <v>3.7828922480972054</v>
      </c>
      <c r="EP214" s="263">
        <f t="shared" si="919"/>
        <v>3.7828922480972054</v>
      </c>
      <c r="EQ214" s="263">
        <f t="shared" si="919"/>
        <v>3.7828922480972054</v>
      </c>
      <c r="ER214" s="263">
        <f t="shared" si="919"/>
        <v>3.7828922480972054</v>
      </c>
      <c r="ES214" s="263">
        <f t="shared" si="919"/>
        <v>3.7828922480972054</v>
      </c>
      <c r="ET214" s="263">
        <f t="shared" si="919"/>
        <v>3.7828922480972054</v>
      </c>
      <c r="EU214" s="263">
        <f t="shared" si="919"/>
        <v>3.7828922480972054</v>
      </c>
      <c r="EV214" s="263">
        <f t="shared" si="919"/>
        <v>3.7828922480972054</v>
      </c>
      <c r="EW214" s="263">
        <f t="shared" si="919"/>
        <v>3.7828922480972054</v>
      </c>
      <c r="EX214" s="263">
        <f t="shared" si="919"/>
        <v>3.7828922480972054</v>
      </c>
      <c r="EY214" s="263">
        <f t="shared" si="919"/>
        <v>3.3100307170850543</v>
      </c>
      <c r="EZ214" s="230">
        <f t="shared" si="920"/>
        <v>44.921845446154315</v>
      </c>
      <c r="FA214" s="266"/>
      <c r="FB214" s="263">
        <f t="shared" si="921"/>
        <v>1.8914461240486027</v>
      </c>
      <c r="FC214" s="263">
        <f t="shared" si="921"/>
        <v>1.8914461240486027</v>
      </c>
      <c r="FD214" s="263">
        <f t="shared" si="921"/>
        <v>1.8914461240486027</v>
      </c>
      <c r="FE214" s="263">
        <f t="shared" si="921"/>
        <v>1.8914461240486027</v>
      </c>
      <c r="FF214" s="263">
        <f t="shared" si="921"/>
        <v>1.8914461240486027</v>
      </c>
      <c r="FG214" s="263">
        <f t="shared" si="921"/>
        <v>1.8914461240486027</v>
      </c>
      <c r="FH214" s="263">
        <f t="shared" si="921"/>
        <v>1.8914461240486027</v>
      </c>
      <c r="FI214" s="263">
        <f t="shared" si="921"/>
        <v>1.8914461240486027</v>
      </c>
      <c r="FJ214" s="263">
        <f t="shared" si="921"/>
        <v>1.8914461240486027</v>
      </c>
      <c r="FK214" s="263">
        <f t="shared" si="921"/>
        <v>1.8914461240486027</v>
      </c>
      <c r="FL214" s="263">
        <f t="shared" si="921"/>
        <v>1.8914461240486027</v>
      </c>
      <c r="FM214" s="263">
        <f t="shared" si="921"/>
        <v>1.6550153585425271</v>
      </c>
      <c r="FN214" s="230">
        <f t="shared" si="922"/>
        <v>22.460922723077157</v>
      </c>
      <c r="FO214" s="266"/>
      <c r="FP214" s="263">
        <f t="shared" si="923"/>
        <v>13.240122868340217</v>
      </c>
      <c r="FQ214" s="263">
        <f t="shared" si="923"/>
        <v>13.240122868340217</v>
      </c>
      <c r="FR214" s="263">
        <f t="shared" si="923"/>
        <v>13.240122868340217</v>
      </c>
      <c r="FS214" s="263">
        <f t="shared" si="923"/>
        <v>13.240122868340217</v>
      </c>
      <c r="FT214" s="263">
        <f t="shared" si="923"/>
        <v>13.240122868340217</v>
      </c>
      <c r="FU214" s="263">
        <f t="shared" si="923"/>
        <v>13.240122868340217</v>
      </c>
      <c r="FV214" s="263">
        <f t="shared" si="923"/>
        <v>13.240122868340217</v>
      </c>
      <c r="FW214" s="263">
        <f t="shared" si="923"/>
        <v>13.240122868340217</v>
      </c>
      <c r="FX214" s="263">
        <f t="shared" si="923"/>
        <v>13.240122868340217</v>
      </c>
      <c r="FY214" s="263">
        <f t="shared" si="923"/>
        <v>13.240122868340217</v>
      </c>
      <c r="FZ214" s="263">
        <f t="shared" si="923"/>
        <v>13.240122868340217</v>
      </c>
      <c r="GA214" s="263">
        <f t="shared" si="923"/>
        <v>11.585107509797689</v>
      </c>
      <c r="GB214" s="230">
        <f t="shared" si="924"/>
        <v>157.22645906154011</v>
      </c>
      <c r="GC214" s="266"/>
      <c r="GD214" s="263">
        <f t="shared" si="925"/>
        <v>1.8914461240486027</v>
      </c>
      <c r="GE214" s="263">
        <f t="shared" si="925"/>
        <v>1.8914461240486027</v>
      </c>
      <c r="GF214" s="263">
        <f t="shared" si="925"/>
        <v>1.8914461240486027</v>
      </c>
      <c r="GG214" s="263">
        <f t="shared" si="925"/>
        <v>1.8914461240486027</v>
      </c>
      <c r="GH214" s="263">
        <f t="shared" si="925"/>
        <v>1.8914461240486027</v>
      </c>
      <c r="GI214" s="263">
        <f t="shared" si="925"/>
        <v>1.8914461240486027</v>
      </c>
      <c r="GJ214" s="263">
        <f t="shared" si="925"/>
        <v>1.8914461240486027</v>
      </c>
      <c r="GK214" s="263">
        <f t="shared" si="925"/>
        <v>1.8914461240486027</v>
      </c>
      <c r="GL214" s="263">
        <f t="shared" si="925"/>
        <v>1.8914461240486027</v>
      </c>
      <c r="GM214" s="263">
        <f t="shared" si="925"/>
        <v>1.8914461240486027</v>
      </c>
      <c r="GN214" s="263">
        <f t="shared" si="925"/>
        <v>1.8914461240486027</v>
      </c>
      <c r="GO214" s="263">
        <f t="shared" si="925"/>
        <v>1.6550153585425271</v>
      </c>
      <c r="GP214" s="230">
        <f t="shared" si="926"/>
        <v>22.460922723077157</v>
      </c>
      <c r="GQ214" s="266"/>
      <c r="GR214" s="263">
        <f t="shared" si="927"/>
        <v>0</v>
      </c>
      <c r="GS214" s="263">
        <f t="shared" si="927"/>
        <v>0</v>
      </c>
      <c r="GT214" s="263">
        <f t="shared" si="927"/>
        <v>119.16110581506196</v>
      </c>
      <c r="GU214" s="263">
        <f t="shared" si="927"/>
        <v>119.16110581506196</v>
      </c>
      <c r="GV214" s="263">
        <f t="shared" si="927"/>
        <v>119.16110581506196</v>
      </c>
      <c r="GW214" s="263">
        <f t="shared" si="927"/>
        <v>119.16110581506196</v>
      </c>
      <c r="GX214" s="263">
        <f t="shared" si="927"/>
        <v>119.16110581506196</v>
      </c>
      <c r="GY214" s="263">
        <f t="shared" si="927"/>
        <v>119.16110581506196</v>
      </c>
      <c r="GZ214" s="263">
        <f t="shared" si="927"/>
        <v>119.16110581506196</v>
      </c>
      <c r="HA214" s="263">
        <f t="shared" si="927"/>
        <v>119.16110581506196</v>
      </c>
      <c r="HB214" s="263">
        <f t="shared" si="927"/>
        <v>119.16110581506196</v>
      </c>
      <c r="HC214" s="263">
        <f t="shared" si="927"/>
        <v>119.16110581506196</v>
      </c>
      <c r="HD214" s="230">
        <f t="shared" si="947"/>
        <v>0</v>
      </c>
      <c r="HE214" s="266"/>
      <c r="HF214" s="263">
        <f t="shared" si="928"/>
        <v>7.5657844961944107</v>
      </c>
      <c r="HG214" s="263">
        <f t="shared" si="928"/>
        <v>7.5657844961944107</v>
      </c>
      <c r="HH214" s="263">
        <f t="shared" si="928"/>
        <v>7.5657844961944107</v>
      </c>
      <c r="HI214" s="263">
        <f t="shared" si="928"/>
        <v>7.5657844961944107</v>
      </c>
      <c r="HJ214" s="263">
        <f t="shared" si="928"/>
        <v>7.5657844961944107</v>
      </c>
      <c r="HK214" s="263">
        <f t="shared" si="928"/>
        <v>7.5657844961944107</v>
      </c>
      <c r="HL214" s="263">
        <f t="shared" si="928"/>
        <v>7.5657844961944107</v>
      </c>
      <c r="HM214" s="263">
        <f t="shared" si="928"/>
        <v>7.5657844961944107</v>
      </c>
      <c r="HN214" s="263">
        <f t="shared" si="928"/>
        <v>7.5657844961944107</v>
      </c>
      <c r="HO214" s="263">
        <f t="shared" si="928"/>
        <v>7.5657844961944107</v>
      </c>
      <c r="HP214" s="263">
        <f t="shared" si="928"/>
        <v>7.5657844961944107</v>
      </c>
      <c r="HQ214" s="263">
        <f t="shared" si="928"/>
        <v>6.6200614341701085</v>
      </c>
      <c r="HR214" s="230">
        <f t="shared" si="929"/>
        <v>89.843690892308629</v>
      </c>
      <c r="HS214" s="266"/>
      <c r="HT214" s="263">
        <f t="shared" si="930"/>
        <v>1.8914461240486027</v>
      </c>
      <c r="HU214" s="263">
        <f t="shared" si="930"/>
        <v>1.8914461240486027</v>
      </c>
      <c r="HV214" s="263">
        <f t="shared" si="930"/>
        <v>1.8914461240486027</v>
      </c>
      <c r="HW214" s="263">
        <f t="shared" si="930"/>
        <v>1.8914461240486027</v>
      </c>
      <c r="HX214" s="263">
        <f t="shared" si="930"/>
        <v>1.8914461240486027</v>
      </c>
      <c r="HY214" s="263">
        <f t="shared" si="930"/>
        <v>1.8914461240486027</v>
      </c>
      <c r="HZ214" s="263">
        <f t="shared" si="930"/>
        <v>1.8914461240486027</v>
      </c>
      <c r="IA214" s="263">
        <f t="shared" si="930"/>
        <v>1.8914461240486027</v>
      </c>
      <c r="IB214" s="263">
        <f t="shared" si="930"/>
        <v>1.8914461240486027</v>
      </c>
      <c r="IC214" s="263">
        <f t="shared" si="930"/>
        <v>1.8914461240486027</v>
      </c>
      <c r="ID214" s="263">
        <f t="shared" si="930"/>
        <v>1.8914461240486027</v>
      </c>
      <c r="IE214" s="263">
        <f t="shared" si="930"/>
        <v>1.6550153585425271</v>
      </c>
      <c r="IF214" s="230">
        <f t="shared" si="931"/>
        <v>22.460922723077157</v>
      </c>
      <c r="IG214" s="266"/>
      <c r="IH214" s="263">
        <f t="shared" si="932"/>
        <v>1.8914461240486027</v>
      </c>
      <c r="II214" s="263">
        <f t="shared" si="932"/>
        <v>1.8914461240486027</v>
      </c>
      <c r="IJ214" s="263">
        <f t="shared" si="932"/>
        <v>1.8914461240486027</v>
      </c>
      <c r="IK214" s="263">
        <f t="shared" si="932"/>
        <v>1.8914461240486027</v>
      </c>
      <c r="IL214" s="263">
        <f t="shared" si="932"/>
        <v>1.8914461240486027</v>
      </c>
      <c r="IM214" s="263">
        <f t="shared" si="932"/>
        <v>1.8914461240486027</v>
      </c>
      <c r="IN214" s="263">
        <f t="shared" si="932"/>
        <v>1.8914461240486027</v>
      </c>
      <c r="IO214" s="263">
        <f t="shared" si="932"/>
        <v>1.8914461240486027</v>
      </c>
      <c r="IP214" s="263">
        <f t="shared" si="932"/>
        <v>1.8914461240486027</v>
      </c>
      <c r="IQ214" s="263">
        <f t="shared" si="932"/>
        <v>1.8914461240486027</v>
      </c>
      <c r="IR214" s="263">
        <f t="shared" si="932"/>
        <v>1.8914461240486027</v>
      </c>
      <c r="IS214" s="263">
        <f t="shared" si="932"/>
        <v>1.6550153585425271</v>
      </c>
      <c r="IT214" s="230">
        <f t="shared" si="933"/>
        <v>22.460922723077157</v>
      </c>
      <c r="IU214" s="266"/>
      <c r="IV214" s="263">
        <f t="shared" si="934"/>
        <v>13.240122868340217</v>
      </c>
      <c r="IW214" s="263">
        <f t="shared" si="934"/>
        <v>13.240122868340217</v>
      </c>
      <c r="IX214" s="263">
        <f t="shared" si="934"/>
        <v>13.240122868340217</v>
      </c>
      <c r="IY214" s="263">
        <f t="shared" si="934"/>
        <v>13.240122868340217</v>
      </c>
      <c r="IZ214" s="263">
        <f t="shared" si="934"/>
        <v>13.240122868340217</v>
      </c>
      <c r="JA214" s="263">
        <f t="shared" si="934"/>
        <v>13.240122868340217</v>
      </c>
      <c r="JB214" s="263">
        <f t="shared" si="934"/>
        <v>13.240122868340217</v>
      </c>
      <c r="JC214" s="263">
        <f t="shared" si="934"/>
        <v>13.240122868340217</v>
      </c>
      <c r="JD214" s="263">
        <f t="shared" si="934"/>
        <v>13.240122868340217</v>
      </c>
      <c r="JE214" s="263">
        <f t="shared" si="934"/>
        <v>13.240122868340217</v>
      </c>
      <c r="JF214" s="263">
        <f t="shared" si="934"/>
        <v>13.240122868340217</v>
      </c>
      <c r="JG214" s="263">
        <f t="shared" si="934"/>
        <v>11.585107509797689</v>
      </c>
      <c r="JH214" s="230">
        <f t="shared" si="935"/>
        <v>157.22645906154011</v>
      </c>
      <c r="JI214" s="266"/>
      <c r="JJ214" s="263">
        <f t="shared" si="936"/>
        <v>20.80590736453463</v>
      </c>
      <c r="JK214" s="263">
        <f t="shared" si="936"/>
        <v>20.80590736453463</v>
      </c>
      <c r="JL214" s="263">
        <f t="shared" si="936"/>
        <v>20.80590736453463</v>
      </c>
      <c r="JM214" s="263">
        <f t="shared" si="936"/>
        <v>20.80590736453463</v>
      </c>
      <c r="JN214" s="263">
        <f t="shared" si="936"/>
        <v>20.80590736453463</v>
      </c>
      <c r="JO214" s="263">
        <f t="shared" si="936"/>
        <v>20.80590736453463</v>
      </c>
      <c r="JP214" s="263">
        <f t="shared" si="936"/>
        <v>20.80590736453463</v>
      </c>
      <c r="JQ214" s="263">
        <f t="shared" si="936"/>
        <v>20.80590736453463</v>
      </c>
      <c r="JR214" s="263">
        <f t="shared" si="936"/>
        <v>20.80590736453463</v>
      </c>
      <c r="JS214" s="263">
        <f t="shared" si="936"/>
        <v>20.80590736453463</v>
      </c>
      <c r="JT214" s="263">
        <f t="shared" si="936"/>
        <v>20.80590736453463</v>
      </c>
      <c r="JU214" s="263">
        <f t="shared" si="936"/>
        <v>18.205168943967799</v>
      </c>
      <c r="JV214" s="230">
        <f t="shared" si="937"/>
        <v>247.0701499538487</v>
      </c>
      <c r="JW214" s="266"/>
      <c r="JX214" s="263">
        <f t="shared" si="938"/>
        <v>9.4572306202430134</v>
      </c>
      <c r="JY214" s="263">
        <f t="shared" si="938"/>
        <v>9.4572306202430134</v>
      </c>
      <c r="JZ214" s="263">
        <f t="shared" si="938"/>
        <v>9.4572306202430134</v>
      </c>
      <c r="KA214" s="263">
        <f t="shared" si="938"/>
        <v>9.4572306202430134</v>
      </c>
      <c r="KB214" s="263">
        <f t="shared" si="938"/>
        <v>9.4572306202430134</v>
      </c>
      <c r="KC214" s="263">
        <f t="shared" si="938"/>
        <v>9.4572306202430134</v>
      </c>
      <c r="KD214" s="263">
        <f t="shared" si="938"/>
        <v>9.4572306202430134</v>
      </c>
      <c r="KE214" s="263">
        <f t="shared" si="938"/>
        <v>9.4572306202430134</v>
      </c>
      <c r="KF214" s="263">
        <f t="shared" si="938"/>
        <v>9.4572306202430134</v>
      </c>
      <c r="KG214" s="263">
        <f t="shared" si="938"/>
        <v>9.4572306202430134</v>
      </c>
      <c r="KH214" s="263">
        <f t="shared" si="938"/>
        <v>9.4572306202430134</v>
      </c>
      <c r="KI214" s="263">
        <f t="shared" si="938"/>
        <v>8.2750767927126372</v>
      </c>
      <c r="KJ214" s="230">
        <f t="shared" si="939"/>
        <v>112.30461361538576</v>
      </c>
      <c r="KK214" s="266"/>
      <c r="KL214" s="263">
        <f t="shared" si="940"/>
        <v>3.7828922480972054</v>
      </c>
      <c r="KM214" s="263">
        <f t="shared" si="940"/>
        <v>3.7828922480972054</v>
      </c>
      <c r="KN214" s="263">
        <f t="shared" si="940"/>
        <v>3.7828922480972054</v>
      </c>
      <c r="KO214" s="263">
        <f t="shared" si="940"/>
        <v>3.7828922480972054</v>
      </c>
      <c r="KP214" s="263">
        <f t="shared" si="940"/>
        <v>3.7828922480972054</v>
      </c>
      <c r="KQ214" s="263">
        <f t="shared" si="940"/>
        <v>3.7828922480972054</v>
      </c>
      <c r="KR214" s="263">
        <f t="shared" si="940"/>
        <v>3.7828922480972054</v>
      </c>
      <c r="KS214" s="263">
        <f t="shared" si="940"/>
        <v>3.7828922480972054</v>
      </c>
      <c r="KT214" s="263">
        <f t="shared" si="940"/>
        <v>3.7828922480972054</v>
      </c>
      <c r="KU214" s="263">
        <f t="shared" si="940"/>
        <v>3.7828922480972054</v>
      </c>
      <c r="KV214" s="263">
        <f t="shared" si="940"/>
        <v>3.7828922480972054</v>
      </c>
      <c r="KW214" s="263">
        <f t="shared" si="940"/>
        <v>3.3100307170850543</v>
      </c>
      <c r="KX214" s="230">
        <f t="shared" si="941"/>
        <v>44.921845446154315</v>
      </c>
      <c r="KY214" s="266"/>
      <c r="KZ214" s="263">
        <f t="shared" si="942"/>
        <v>1.8914461240486027</v>
      </c>
      <c r="LA214" s="263">
        <f t="shared" si="942"/>
        <v>1.8914461240486027</v>
      </c>
      <c r="LB214" s="263">
        <f t="shared" si="942"/>
        <v>1.8914461240486027</v>
      </c>
      <c r="LC214" s="263">
        <f t="shared" si="942"/>
        <v>1.8914461240486027</v>
      </c>
      <c r="LD214" s="263">
        <f t="shared" si="942"/>
        <v>1.8914461240486027</v>
      </c>
      <c r="LE214" s="263">
        <f t="shared" si="942"/>
        <v>1.8914461240486027</v>
      </c>
      <c r="LF214" s="263">
        <f t="shared" si="942"/>
        <v>1.8914461240486027</v>
      </c>
      <c r="LG214" s="263">
        <f t="shared" si="942"/>
        <v>1.8914461240486027</v>
      </c>
      <c r="LH214" s="263">
        <f t="shared" si="942"/>
        <v>1.8914461240486027</v>
      </c>
      <c r="LI214" s="263">
        <f t="shared" si="942"/>
        <v>1.8914461240486027</v>
      </c>
      <c r="LJ214" s="263">
        <f t="shared" si="942"/>
        <v>1.8914461240486027</v>
      </c>
      <c r="LK214" s="263">
        <f t="shared" si="942"/>
        <v>1.6550153585425271</v>
      </c>
      <c r="LL214" s="230">
        <f t="shared" si="943"/>
        <v>22.460922723077157</v>
      </c>
      <c r="LM214" s="266"/>
      <c r="LN214" s="263">
        <v>0</v>
      </c>
      <c r="LO214" s="264">
        <v>0</v>
      </c>
      <c r="LP214" s="265">
        <v>0</v>
      </c>
      <c r="LQ214" s="265">
        <v>0</v>
      </c>
      <c r="LR214" s="265">
        <v>0</v>
      </c>
      <c r="LS214" s="265">
        <v>0</v>
      </c>
      <c r="LT214" s="265">
        <v>0</v>
      </c>
      <c r="LU214" s="265">
        <v>0</v>
      </c>
      <c r="LV214" s="265">
        <v>0</v>
      </c>
      <c r="LW214" s="265">
        <v>0</v>
      </c>
      <c r="LX214" s="265">
        <v>0</v>
      </c>
      <c r="LY214" s="265">
        <v>0</v>
      </c>
      <c r="LZ214" s="230">
        <f t="shared" si="944"/>
        <v>0</v>
      </c>
      <c r="MA214" s="266"/>
      <c r="MB214" s="230">
        <f t="shared" si="945"/>
        <v>310.19716434397088</v>
      </c>
      <c r="MC214" s="230">
        <f t="shared" si="945"/>
        <v>310.19716434397088</v>
      </c>
      <c r="MD214" s="230">
        <f t="shared" si="945"/>
        <v>429.35827015903283</v>
      </c>
      <c r="ME214" s="230">
        <f t="shared" si="945"/>
        <v>429.35827015903283</v>
      </c>
      <c r="MF214" s="230">
        <f t="shared" si="945"/>
        <v>429.35827015903283</v>
      </c>
      <c r="MG214" s="230">
        <f t="shared" si="945"/>
        <v>429.35827015903283</v>
      </c>
      <c r="MH214" s="230">
        <f t="shared" si="945"/>
        <v>429.35827015903283</v>
      </c>
      <c r="MI214" s="230">
        <f t="shared" si="945"/>
        <v>429.35827015903283</v>
      </c>
      <c r="MJ214" s="230">
        <f t="shared" si="945"/>
        <v>429.35827015903283</v>
      </c>
      <c r="MK214" s="230">
        <f t="shared" si="945"/>
        <v>429.35827015903283</v>
      </c>
      <c r="ML214" s="230">
        <f t="shared" si="945"/>
        <v>429.35827015903283</v>
      </c>
      <c r="MM214" s="230">
        <f t="shared" si="945"/>
        <v>390.58362461603645</v>
      </c>
      <c r="MN214" s="230">
        <f t="shared" si="948"/>
        <v>4875.2023847352748</v>
      </c>
    </row>
    <row r="215" spans="1:352" x14ac:dyDescent="0.25">
      <c r="A215" s="262"/>
      <c r="B215" s="64" t="s">
        <v>88</v>
      </c>
      <c r="C215" s="98"/>
      <c r="D215" s="263">
        <f t="shared" si="899"/>
        <v>2.7425968798704741</v>
      </c>
      <c r="E215" s="263">
        <f t="shared" si="899"/>
        <v>2.7425968798704741</v>
      </c>
      <c r="F215" s="263">
        <f t="shared" si="899"/>
        <v>2.7425968798704741</v>
      </c>
      <c r="G215" s="263">
        <f t="shared" si="899"/>
        <v>2.7425968798704741</v>
      </c>
      <c r="H215" s="263">
        <f t="shared" si="899"/>
        <v>2.7425968798704741</v>
      </c>
      <c r="I215" s="263">
        <f t="shared" si="899"/>
        <v>2.7425968798704741</v>
      </c>
      <c r="J215" s="263">
        <f t="shared" si="899"/>
        <v>2.7425968798704741</v>
      </c>
      <c r="K215" s="263">
        <f t="shared" si="899"/>
        <v>2.7425968798704741</v>
      </c>
      <c r="L215" s="263">
        <f t="shared" si="899"/>
        <v>2.7425968798704741</v>
      </c>
      <c r="M215" s="263">
        <f t="shared" si="899"/>
        <v>2.7425968798704741</v>
      </c>
      <c r="N215" s="263">
        <f t="shared" si="899"/>
        <v>2.7425968798704741</v>
      </c>
      <c r="O215" s="263">
        <f t="shared" si="899"/>
        <v>2.7425968798704741</v>
      </c>
      <c r="P215" s="230">
        <f t="shared" si="900"/>
        <v>32.911162558445696</v>
      </c>
      <c r="Q215" s="266"/>
      <c r="R215" s="263">
        <f t="shared" si="901"/>
        <v>0.28371691860729037</v>
      </c>
      <c r="S215" s="263">
        <f t="shared" si="901"/>
        <v>0.28371691860729037</v>
      </c>
      <c r="T215" s="263">
        <f t="shared" si="901"/>
        <v>0.28371691860729037</v>
      </c>
      <c r="U215" s="263">
        <f t="shared" si="901"/>
        <v>0.28371691860729037</v>
      </c>
      <c r="V215" s="263">
        <f t="shared" si="901"/>
        <v>0.28371691860729037</v>
      </c>
      <c r="W215" s="263">
        <f t="shared" si="901"/>
        <v>0.28371691860729037</v>
      </c>
      <c r="X215" s="263">
        <f t="shared" si="901"/>
        <v>0.28371691860729037</v>
      </c>
      <c r="Y215" s="263">
        <f t="shared" si="901"/>
        <v>0.28371691860729037</v>
      </c>
      <c r="Z215" s="263">
        <f t="shared" si="901"/>
        <v>0.28371691860729037</v>
      </c>
      <c r="AA215" s="263">
        <f t="shared" si="901"/>
        <v>0.28371691860729037</v>
      </c>
      <c r="AB215" s="263">
        <f t="shared" si="901"/>
        <v>0.28371691860729037</v>
      </c>
      <c r="AC215" s="263">
        <f t="shared" si="901"/>
        <v>0.28371691860729037</v>
      </c>
      <c r="AD215" s="230">
        <f t="shared" si="902"/>
        <v>3.4046030232874842</v>
      </c>
      <c r="AE215" s="266"/>
      <c r="AF215" s="263">
        <f t="shared" si="903"/>
        <v>0.28371691860729037</v>
      </c>
      <c r="AG215" s="263">
        <f t="shared" si="903"/>
        <v>0.28371691860729037</v>
      </c>
      <c r="AH215" s="263">
        <f t="shared" si="903"/>
        <v>0.28371691860729037</v>
      </c>
      <c r="AI215" s="263">
        <f t="shared" si="903"/>
        <v>0.28371691860729037</v>
      </c>
      <c r="AJ215" s="263">
        <f t="shared" si="903"/>
        <v>0.28371691860729037</v>
      </c>
      <c r="AK215" s="263">
        <f t="shared" si="903"/>
        <v>0.28371691860729037</v>
      </c>
      <c r="AL215" s="263">
        <f t="shared" si="903"/>
        <v>0.28371691860729037</v>
      </c>
      <c r="AM215" s="263">
        <f t="shared" si="903"/>
        <v>0.28371691860729037</v>
      </c>
      <c r="AN215" s="263">
        <f t="shared" si="903"/>
        <v>0.28371691860729037</v>
      </c>
      <c r="AO215" s="263">
        <f t="shared" si="903"/>
        <v>0.28371691860729037</v>
      </c>
      <c r="AP215" s="263">
        <f t="shared" si="903"/>
        <v>0.28371691860729037</v>
      </c>
      <c r="AQ215" s="263">
        <f t="shared" si="903"/>
        <v>0.28371691860729037</v>
      </c>
      <c r="AR215" s="230">
        <f t="shared" si="904"/>
        <v>3.4046030232874842</v>
      </c>
      <c r="AS215" s="266"/>
      <c r="AT215" s="263">
        <f t="shared" si="905"/>
        <v>0.18914461240486027</v>
      </c>
      <c r="AU215" s="263">
        <f t="shared" si="905"/>
        <v>0.18914461240486027</v>
      </c>
      <c r="AV215" s="263">
        <f t="shared" si="905"/>
        <v>0.18914461240486027</v>
      </c>
      <c r="AW215" s="263">
        <f t="shared" si="905"/>
        <v>0.18914461240486027</v>
      </c>
      <c r="AX215" s="263">
        <f t="shared" si="905"/>
        <v>0.18914461240486027</v>
      </c>
      <c r="AY215" s="263">
        <f t="shared" si="905"/>
        <v>0.18914461240486027</v>
      </c>
      <c r="AZ215" s="263">
        <f t="shared" si="905"/>
        <v>0.18914461240486027</v>
      </c>
      <c r="BA215" s="263">
        <f t="shared" si="905"/>
        <v>0.18914461240486027</v>
      </c>
      <c r="BB215" s="263">
        <f t="shared" si="905"/>
        <v>0.18914461240486027</v>
      </c>
      <c r="BC215" s="263">
        <f t="shared" si="905"/>
        <v>0.18914461240486027</v>
      </c>
      <c r="BD215" s="263">
        <f t="shared" si="905"/>
        <v>0.18914461240486027</v>
      </c>
      <c r="BE215" s="263">
        <f t="shared" si="905"/>
        <v>0.18914461240486027</v>
      </c>
      <c r="BF215" s="230">
        <f t="shared" si="906"/>
        <v>2.2697353488583238</v>
      </c>
      <c r="BG215" s="224"/>
      <c r="BH215" s="263">
        <f t="shared" si="907"/>
        <v>1.418584593036452</v>
      </c>
      <c r="BI215" s="263">
        <f t="shared" si="907"/>
        <v>1.418584593036452</v>
      </c>
      <c r="BJ215" s="263">
        <f t="shared" si="907"/>
        <v>1.418584593036452</v>
      </c>
      <c r="BK215" s="263">
        <f t="shared" si="907"/>
        <v>1.418584593036452</v>
      </c>
      <c r="BL215" s="263">
        <f t="shared" si="907"/>
        <v>1.418584593036452</v>
      </c>
      <c r="BM215" s="263">
        <f t="shared" si="907"/>
        <v>1.418584593036452</v>
      </c>
      <c r="BN215" s="263">
        <f t="shared" si="907"/>
        <v>1.418584593036452</v>
      </c>
      <c r="BO215" s="263">
        <f t="shared" si="907"/>
        <v>1.418584593036452</v>
      </c>
      <c r="BP215" s="263">
        <f t="shared" si="907"/>
        <v>1.418584593036452</v>
      </c>
      <c r="BQ215" s="263">
        <f t="shared" si="907"/>
        <v>1.418584593036452</v>
      </c>
      <c r="BR215" s="263">
        <f t="shared" si="907"/>
        <v>1.418584593036452</v>
      </c>
      <c r="BS215" s="263">
        <f t="shared" si="907"/>
        <v>1.418584593036452</v>
      </c>
      <c r="BT215" s="230">
        <f t="shared" si="908"/>
        <v>17.023015116437428</v>
      </c>
      <c r="BU215" s="266"/>
      <c r="BV215" s="263">
        <f t="shared" si="909"/>
        <v>9.4572306202430137E-2</v>
      </c>
      <c r="BW215" s="263">
        <f t="shared" si="909"/>
        <v>9.4572306202430137E-2</v>
      </c>
      <c r="BX215" s="263">
        <f t="shared" si="909"/>
        <v>9.4572306202430137E-2</v>
      </c>
      <c r="BY215" s="263">
        <f t="shared" si="909"/>
        <v>9.4572306202430137E-2</v>
      </c>
      <c r="BZ215" s="263">
        <f t="shared" si="909"/>
        <v>9.4572306202430137E-2</v>
      </c>
      <c r="CA215" s="263">
        <f t="shared" si="909"/>
        <v>9.4572306202430137E-2</v>
      </c>
      <c r="CB215" s="263">
        <f t="shared" si="909"/>
        <v>9.4572306202430137E-2</v>
      </c>
      <c r="CC215" s="263">
        <f t="shared" si="909"/>
        <v>9.4572306202430137E-2</v>
      </c>
      <c r="CD215" s="263">
        <f t="shared" si="909"/>
        <v>9.4572306202430137E-2</v>
      </c>
      <c r="CE215" s="263">
        <f t="shared" si="909"/>
        <v>9.4572306202430137E-2</v>
      </c>
      <c r="CF215" s="263">
        <f t="shared" si="909"/>
        <v>9.4572306202430137E-2</v>
      </c>
      <c r="CG215" s="263">
        <f t="shared" si="909"/>
        <v>9.4572306202430137E-2</v>
      </c>
      <c r="CH215" s="230">
        <f t="shared" si="910"/>
        <v>1.1348676744291619</v>
      </c>
      <c r="CI215" s="266"/>
      <c r="CJ215" s="263">
        <f t="shared" si="911"/>
        <v>1.0402953682267315</v>
      </c>
      <c r="CK215" s="263">
        <f t="shared" si="911"/>
        <v>1.0402953682267315</v>
      </c>
      <c r="CL215" s="263">
        <f t="shared" si="911"/>
        <v>1.0402953682267315</v>
      </c>
      <c r="CM215" s="263">
        <f t="shared" si="911"/>
        <v>1.0402953682267315</v>
      </c>
      <c r="CN215" s="263">
        <f t="shared" si="911"/>
        <v>1.0402953682267315</v>
      </c>
      <c r="CO215" s="263">
        <f t="shared" si="911"/>
        <v>1.0402953682267315</v>
      </c>
      <c r="CP215" s="263">
        <f t="shared" si="911"/>
        <v>1.0402953682267315</v>
      </c>
      <c r="CQ215" s="263">
        <f t="shared" si="911"/>
        <v>1.0402953682267315</v>
      </c>
      <c r="CR215" s="263">
        <f t="shared" si="911"/>
        <v>1.0402953682267315</v>
      </c>
      <c r="CS215" s="263">
        <f t="shared" si="911"/>
        <v>1.0402953682267315</v>
      </c>
      <c r="CT215" s="263">
        <f t="shared" si="911"/>
        <v>1.0402953682267315</v>
      </c>
      <c r="CU215" s="263">
        <f t="shared" si="911"/>
        <v>1.0402953682267315</v>
      </c>
      <c r="CV215" s="230">
        <f t="shared" si="912"/>
        <v>12.483544418720777</v>
      </c>
      <c r="CW215" s="266"/>
      <c r="CX215" s="263">
        <f t="shared" si="913"/>
        <v>2.6480245736680437</v>
      </c>
      <c r="CY215" s="263">
        <f t="shared" si="913"/>
        <v>2.6480245736680437</v>
      </c>
      <c r="CZ215" s="263">
        <f t="shared" si="913"/>
        <v>2.6480245736680437</v>
      </c>
      <c r="DA215" s="263">
        <f t="shared" si="913"/>
        <v>2.6480245736680437</v>
      </c>
      <c r="DB215" s="263">
        <f t="shared" si="913"/>
        <v>2.6480245736680437</v>
      </c>
      <c r="DC215" s="263">
        <f t="shared" si="913"/>
        <v>2.6480245736680437</v>
      </c>
      <c r="DD215" s="263">
        <f t="shared" si="913"/>
        <v>2.6480245736680437</v>
      </c>
      <c r="DE215" s="263">
        <f t="shared" si="913"/>
        <v>2.6480245736680437</v>
      </c>
      <c r="DF215" s="263">
        <f t="shared" si="913"/>
        <v>2.6480245736680437</v>
      </c>
      <c r="DG215" s="263">
        <f t="shared" si="913"/>
        <v>2.6480245736680437</v>
      </c>
      <c r="DH215" s="263">
        <f t="shared" si="913"/>
        <v>2.6480245736680437</v>
      </c>
      <c r="DI215" s="263">
        <f t="shared" si="913"/>
        <v>2.6480245736680437</v>
      </c>
      <c r="DJ215" s="230">
        <f t="shared" si="914"/>
        <v>31.776294884016519</v>
      </c>
      <c r="DK215" s="266"/>
      <c r="DL215" s="263">
        <f t="shared" si="915"/>
        <v>2.6480245736680437</v>
      </c>
      <c r="DM215" s="263">
        <f t="shared" si="915"/>
        <v>2.6480245736680437</v>
      </c>
      <c r="DN215" s="263">
        <f t="shared" si="915"/>
        <v>2.6480245736680437</v>
      </c>
      <c r="DO215" s="263">
        <f t="shared" si="915"/>
        <v>2.6480245736680437</v>
      </c>
      <c r="DP215" s="263">
        <f t="shared" si="915"/>
        <v>2.6480245736680437</v>
      </c>
      <c r="DQ215" s="263">
        <f t="shared" si="915"/>
        <v>2.6480245736680437</v>
      </c>
      <c r="DR215" s="263">
        <f t="shared" si="915"/>
        <v>2.6480245736680437</v>
      </c>
      <c r="DS215" s="263">
        <f t="shared" si="915"/>
        <v>2.6480245736680437</v>
      </c>
      <c r="DT215" s="263">
        <f t="shared" si="915"/>
        <v>2.6480245736680437</v>
      </c>
      <c r="DU215" s="263">
        <f t="shared" si="915"/>
        <v>2.6480245736680437</v>
      </c>
      <c r="DV215" s="263">
        <f t="shared" si="915"/>
        <v>2.6480245736680437</v>
      </c>
      <c r="DW215" s="263">
        <f t="shared" si="915"/>
        <v>2.6480245736680437</v>
      </c>
      <c r="DX215" s="230">
        <f t="shared" si="916"/>
        <v>31.776294884016519</v>
      </c>
      <c r="DY215" s="266"/>
      <c r="DZ215" s="263">
        <f t="shared" si="917"/>
        <v>9.4572306202430137E-2</v>
      </c>
      <c r="EA215" s="263">
        <f t="shared" si="917"/>
        <v>9.4572306202430137E-2</v>
      </c>
      <c r="EB215" s="263">
        <f t="shared" si="917"/>
        <v>9.4572306202430137E-2</v>
      </c>
      <c r="EC215" s="263">
        <f t="shared" si="917"/>
        <v>9.4572306202430137E-2</v>
      </c>
      <c r="ED215" s="263">
        <f t="shared" si="917"/>
        <v>9.4572306202430137E-2</v>
      </c>
      <c r="EE215" s="263">
        <f t="shared" si="917"/>
        <v>9.4572306202430137E-2</v>
      </c>
      <c r="EF215" s="263">
        <f t="shared" si="917"/>
        <v>9.4572306202430137E-2</v>
      </c>
      <c r="EG215" s="263">
        <f t="shared" si="917"/>
        <v>9.4572306202430137E-2</v>
      </c>
      <c r="EH215" s="263">
        <f t="shared" si="917"/>
        <v>9.4572306202430137E-2</v>
      </c>
      <c r="EI215" s="263">
        <f t="shared" si="917"/>
        <v>9.4572306202430137E-2</v>
      </c>
      <c r="EJ215" s="263">
        <f t="shared" si="917"/>
        <v>9.4572306202430137E-2</v>
      </c>
      <c r="EK215" s="263">
        <f t="shared" si="917"/>
        <v>9.4572306202430137E-2</v>
      </c>
      <c r="EL215" s="230">
        <f t="shared" si="918"/>
        <v>1.1348676744291619</v>
      </c>
      <c r="EM215" s="266"/>
      <c r="EN215" s="263">
        <f t="shared" si="919"/>
        <v>0.18914461240486027</v>
      </c>
      <c r="EO215" s="263">
        <f t="shared" si="919"/>
        <v>0.18914461240486027</v>
      </c>
      <c r="EP215" s="263">
        <f t="shared" si="919"/>
        <v>0.18914461240486027</v>
      </c>
      <c r="EQ215" s="263">
        <f t="shared" si="919"/>
        <v>0.18914461240486027</v>
      </c>
      <c r="ER215" s="263">
        <f t="shared" si="919"/>
        <v>0.18914461240486027</v>
      </c>
      <c r="ES215" s="263">
        <f t="shared" si="919"/>
        <v>0.18914461240486027</v>
      </c>
      <c r="ET215" s="263">
        <f t="shared" si="919"/>
        <v>0.18914461240486027</v>
      </c>
      <c r="EU215" s="263">
        <f t="shared" si="919"/>
        <v>0.18914461240486027</v>
      </c>
      <c r="EV215" s="263">
        <f t="shared" si="919"/>
        <v>0.18914461240486027</v>
      </c>
      <c r="EW215" s="263">
        <f t="shared" si="919"/>
        <v>0.18914461240486027</v>
      </c>
      <c r="EX215" s="263">
        <f t="shared" si="919"/>
        <v>0.18914461240486027</v>
      </c>
      <c r="EY215" s="263">
        <f t="shared" si="919"/>
        <v>0.18914461240486027</v>
      </c>
      <c r="EZ215" s="230">
        <f t="shared" si="920"/>
        <v>2.2697353488583238</v>
      </c>
      <c r="FA215" s="266"/>
      <c r="FB215" s="263">
        <f t="shared" si="921"/>
        <v>9.4572306202430137E-2</v>
      </c>
      <c r="FC215" s="263">
        <f t="shared" si="921"/>
        <v>9.4572306202430137E-2</v>
      </c>
      <c r="FD215" s="263">
        <f t="shared" si="921"/>
        <v>9.4572306202430137E-2</v>
      </c>
      <c r="FE215" s="263">
        <f t="shared" si="921"/>
        <v>9.4572306202430137E-2</v>
      </c>
      <c r="FF215" s="263">
        <f t="shared" si="921"/>
        <v>9.4572306202430137E-2</v>
      </c>
      <c r="FG215" s="263">
        <f t="shared" si="921"/>
        <v>9.4572306202430137E-2</v>
      </c>
      <c r="FH215" s="263">
        <f t="shared" si="921"/>
        <v>9.4572306202430137E-2</v>
      </c>
      <c r="FI215" s="263">
        <f t="shared" si="921"/>
        <v>9.4572306202430137E-2</v>
      </c>
      <c r="FJ215" s="263">
        <f t="shared" si="921"/>
        <v>9.4572306202430137E-2</v>
      </c>
      <c r="FK215" s="263">
        <f t="shared" si="921"/>
        <v>9.4572306202430137E-2</v>
      </c>
      <c r="FL215" s="263">
        <f t="shared" si="921"/>
        <v>9.4572306202430137E-2</v>
      </c>
      <c r="FM215" s="263">
        <f t="shared" si="921"/>
        <v>9.4572306202430137E-2</v>
      </c>
      <c r="FN215" s="230">
        <f t="shared" si="922"/>
        <v>1.1348676744291619</v>
      </c>
      <c r="FO215" s="266"/>
      <c r="FP215" s="263">
        <f t="shared" si="923"/>
        <v>0.66200614341701092</v>
      </c>
      <c r="FQ215" s="263">
        <f t="shared" si="923"/>
        <v>0.66200614341701092</v>
      </c>
      <c r="FR215" s="263">
        <f t="shared" si="923"/>
        <v>0.66200614341701092</v>
      </c>
      <c r="FS215" s="263">
        <f t="shared" si="923"/>
        <v>0.66200614341701092</v>
      </c>
      <c r="FT215" s="263">
        <f t="shared" si="923"/>
        <v>0.66200614341701092</v>
      </c>
      <c r="FU215" s="263">
        <f t="shared" si="923"/>
        <v>0.66200614341701092</v>
      </c>
      <c r="FV215" s="263">
        <f t="shared" si="923"/>
        <v>0.66200614341701092</v>
      </c>
      <c r="FW215" s="263">
        <f t="shared" si="923"/>
        <v>0.66200614341701092</v>
      </c>
      <c r="FX215" s="263">
        <f t="shared" si="923"/>
        <v>0.66200614341701092</v>
      </c>
      <c r="FY215" s="263">
        <f t="shared" si="923"/>
        <v>0.66200614341701092</v>
      </c>
      <c r="FZ215" s="263">
        <f t="shared" si="923"/>
        <v>0.66200614341701092</v>
      </c>
      <c r="GA215" s="263">
        <f t="shared" si="923"/>
        <v>0.66200614341701092</v>
      </c>
      <c r="GB215" s="230">
        <f t="shared" si="924"/>
        <v>7.9440737210041297</v>
      </c>
      <c r="GC215" s="266"/>
      <c r="GD215" s="263">
        <f t="shared" si="925"/>
        <v>9.4572306202430137E-2</v>
      </c>
      <c r="GE215" s="263">
        <f t="shared" si="925"/>
        <v>9.4572306202430137E-2</v>
      </c>
      <c r="GF215" s="263">
        <f t="shared" si="925"/>
        <v>9.4572306202430137E-2</v>
      </c>
      <c r="GG215" s="263">
        <f t="shared" si="925"/>
        <v>9.4572306202430137E-2</v>
      </c>
      <c r="GH215" s="263">
        <f t="shared" si="925"/>
        <v>9.4572306202430137E-2</v>
      </c>
      <c r="GI215" s="263">
        <f t="shared" si="925"/>
        <v>9.4572306202430137E-2</v>
      </c>
      <c r="GJ215" s="263">
        <f t="shared" si="925"/>
        <v>9.4572306202430137E-2</v>
      </c>
      <c r="GK215" s="263">
        <f t="shared" si="925"/>
        <v>9.4572306202430137E-2</v>
      </c>
      <c r="GL215" s="263">
        <f t="shared" si="925"/>
        <v>9.4572306202430137E-2</v>
      </c>
      <c r="GM215" s="263">
        <f t="shared" si="925"/>
        <v>9.4572306202430137E-2</v>
      </c>
      <c r="GN215" s="263">
        <f t="shared" si="925"/>
        <v>9.4572306202430137E-2</v>
      </c>
      <c r="GO215" s="263">
        <f t="shared" si="925"/>
        <v>9.4572306202430137E-2</v>
      </c>
      <c r="GP215" s="230">
        <f t="shared" si="926"/>
        <v>1.1348676744291619</v>
      </c>
      <c r="GQ215" s="266"/>
      <c r="GR215" s="263">
        <f t="shared" si="927"/>
        <v>0</v>
      </c>
      <c r="GS215" s="263">
        <f t="shared" si="927"/>
        <v>0</v>
      </c>
      <c r="GT215" s="263">
        <f t="shared" si="927"/>
        <v>23.832221163012392</v>
      </c>
      <c r="GU215" s="263">
        <f t="shared" si="927"/>
        <v>23.832221163012392</v>
      </c>
      <c r="GV215" s="263">
        <f t="shared" si="927"/>
        <v>23.832221163012392</v>
      </c>
      <c r="GW215" s="263">
        <f t="shared" si="927"/>
        <v>23.832221163012392</v>
      </c>
      <c r="GX215" s="263">
        <f t="shared" si="927"/>
        <v>23.832221163012392</v>
      </c>
      <c r="GY215" s="263">
        <f t="shared" si="927"/>
        <v>23.832221163012392</v>
      </c>
      <c r="GZ215" s="263">
        <f t="shared" si="927"/>
        <v>23.832221163012392</v>
      </c>
      <c r="HA215" s="263">
        <f t="shared" si="927"/>
        <v>23.832221163012392</v>
      </c>
      <c r="HB215" s="263">
        <f t="shared" si="927"/>
        <v>23.832221163012392</v>
      </c>
      <c r="HC215" s="263">
        <f t="shared" si="927"/>
        <v>23.832221163012392</v>
      </c>
      <c r="HD215" s="230">
        <f t="shared" si="947"/>
        <v>0</v>
      </c>
      <c r="HE215" s="266"/>
      <c r="HF215" s="263">
        <f t="shared" si="928"/>
        <v>0.37828922480972055</v>
      </c>
      <c r="HG215" s="263">
        <f t="shared" si="928"/>
        <v>0.37828922480972055</v>
      </c>
      <c r="HH215" s="263">
        <f t="shared" si="928"/>
        <v>0.37828922480972055</v>
      </c>
      <c r="HI215" s="263">
        <f t="shared" si="928"/>
        <v>0.37828922480972055</v>
      </c>
      <c r="HJ215" s="263">
        <f t="shared" si="928"/>
        <v>0.37828922480972055</v>
      </c>
      <c r="HK215" s="263">
        <f t="shared" si="928"/>
        <v>0.37828922480972055</v>
      </c>
      <c r="HL215" s="263">
        <f t="shared" si="928"/>
        <v>0.37828922480972055</v>
      </c>
      <c r="HM215" s="263">
        <f t="shared" si="928"/>
        <v>0.37828922480972055</v>
      </c>
      <c r="HN215" s="263">
        <f t="shared" si="928"/>
        <v>0.37828922480972055</v>
      </c>
      <c r="HO215" s="263">
        <f t="shared" si="928"/>
        <v>0.37828922480972055</v>
      </c>
      <c r="HP215" s="263">
        <f t="shared" si="928"/>
        <v>0.37828922480972055</v>
      </c>
      <c r="HQ215" s="263">
        <f t="shared" si="928"/>
        <v>0.37828922480972055</v>
      </c>
      <c r="HR215" s="230">
        <f t="shared" si="929"/>
        <v>4.5394706977166477</v>
      </c>
      <c r="HS215" s="266"/>
      <c r="HT215" s="263">
        <f t="shared" si="930"/>
        <v>9.4572306202430137E-2</v>
      </c>
      <c r="HU215" s="263">
        <f t="shared" si="930"/>
        <v>9.4572306202430137E-2</v>
      </c>
      <c r="HV215" s="263">
        <f t="shared" si="930"/>
        <v>9.4572306202430137E-2</v>
      </c>
      <c r="HW215" s="263">
        <f t="shared" si="930"/>
        <v>9.4572306202430137E-2</v>
      </c>
      <c r="HX215" s="263">
        <f t="shared" si="930"/>
        <v>9.4572306202430137E-2</v>
      </c>
      <c r="HY215" s="263">
        <f t="shared" si="930"/>
        <v>9.4572306202430137E-2</v>
      </c>
      <c r="HZ215" s="263">
        <f t="shared" si="930"/>
        <v>9.4572306202430137E-2</v>
      </c>
      <c r="IA215" s="263">
        <f t="shared" si="930"/>
        <v>9.4572306202430137E-2</v>
      </c>
      <c r="IB215" s="263">
        <f t="shared" si="930"/>
        <v>9.4572306202430137E-2</v>
      </c>
      <c r="IC215" s="263">
        <f t="shared" si="930"/>
        <v>9.4572306202430137E-2</v>
      </c>
      <c r="ID215" s="263">
        <f t="shared" si="930"/>
        <v>9.4572306202430137E-2</v>
      </c>
      <c r="IE215" s="263">
        <f t="shared" si="930"/>
        <v>9.4572306202430137E-2</v>
      </c>
      <c r="IF215" s="230">
        <f t="shared" si="931"/>
        <v>1.1348676744291619</v>
      </c>
      <c r="IG215" s="266"/>
      <c r="IH215" s="263">
        <f t="shared" si="932"/>
        <v>9.4572306202430137E-2</v>
      </c>
      <c r="II215" s="263">
        <f t="shared" si="932"/>
        <v>9.4572306202430137E-2</v>
      </c>
      <c r="IJ215" s="263">
        <f t="shared" si="932"/>
        <v>9.4572306202430137E-2</v>
      </c>
      <c r="IK215" s="263">
        <f t="shared" si="932"/>
        <v>9.4572306202430137E-2</v>
      </c>
      <c r="IL215" s="263">
        <f t="shared" si="932"/>
        <v>9.4572306202430137E-2</v>
      </c>
      <c r="IM215" s="263">
        <f t="shared" si="932"/>
        <v>9.4572306202430137E-2</v>
      </c>
      <c r="IN215" s="263">
        <f t="shared" si="932"/>
        <v>9.4572306202430137E-2</v>
      </c>
      <c r="IO215" s="263">
        <f t="shared" si="932"/>
        <v>9.4572306202430137E-2</v>
      </c>
      <c r="IP215" s="263">
        <f t="shared" si="932"/>
        <v>9.4572306202430137E-2</v>
      </c>
      <c r="IQ215" s="263">
        <f t="shared" si="932"/>
        <v>9.4572306202430137E-2</v>
      </c>
      <c r="IR215" s="263">
        <f t="shared" si="932"/>
        <v>9.4572306202430137E-2</v>
      </c>
      <c r="IS215" s="263">
        <f t="shared" si="932"/>
        <v>9.4572306202430137E-2</v>
      </c>
      <c r="IT215" s="230">
        <f t="shared" si="933"/>
        <v>1.1348676744291619</v>
      </c>
      <c r="IU215" s="266"/>
      <c r="IV215" s="263">
        <f t="shared" si="934"/>
        <v>0.66200614341701092</v>
      </c>
      <c r="IW215" s="263">
        <f t="shared" si="934"/>
        <v>0.66200614341701092</v>
      </c>
      <c r="IX215" s="263">
        <f t="shared" si="934"/>
        <v>0.66200614341701092</v>
      </c>
      <c r="IY215" s="263">
        <f t="shared" si="934"/>
        <v>0.66200614341701092</v>
      </c>
      <c r="IZ215" s="263">
        <f t="shared" si="934"/>
        <v>0.66200614341701092</v>
      </c>
      <c r="JA215" s="263">
        <f t="shared" si="934"/>
        <v>0.66200614341701092</v>
      </c>
      <c r="JB215" s="263">
        <f t="shared" si="934"/>
        <v>0.66200614341701092</v>
      </c>
      <c r="JC215" s="263">
        <f t="shared" si="934"/>
        <v>0.66200614341701092</v>
      </c>
      <c r="JD215" s="263">
        <f t="shared" si="934"/>
        <v>0.66200614341701092</v>
      </c>
      <c r="JE215" s="263">
        <f t="shared" si="934"/>
        <v>0.66200614341701092</v>
      </c>
      <c r="JF215" s="263">
        <f t="shared" si="934"/>
        <v>0.66200614341701092</v>
      </c>
      <c r="JG215" s="263">
        <f t="shared" si="934"/>
        <v>0.66200614341701092</v>
      </c>
      <c r="JH215" s="230">
        <f t="shared" si="935"/>
        <v>7.9440737210041297</v>
      </c>
      <c r="JI215" s="266"/>
      <c r="JJ215" s="263">
        <f t="shared" si="936"/>
        <v>1.0402953682267315</v>
      </c>
      <c r="JK215" s="263">
        <f t="shared" si="936"/>
        <v>1.0402953682267315</v>
      </c>
      <c r="JL215" s="263">
        <f t="shared" si="936"/>
        <v>1.0402953682267315</v>
      </c>
      <c r="JM215" s="263">
        <f t="shared" si="936"/>
        <v>1.0402953682267315</v>
      </c>
      <c r="JN215" s="263">
        <f t="shared" si="936"/>
        <v>1.0402953682267315</v>
      </c>
      <c r="JO215" s="263">
        <f t="shared" si="936"/>
        <v>1.0402953682267315</v>
      </c>
      <c r="JP215" s="263">
        <f t="shared" si="936"/>
        <v>1.0402953682267315</v>
      </c>
      <c r="JQ215" s="263">
        <f t="shared" si="936"/>
        <v>1.0402953682267315</v>
      </c>
      <c r="JR215" s="263">
        <f t="shared" si="936"/>
        <v>1.0402953682267315</v>
      </c>
      <c r="JS215" s="263">
        <f t="shared" si="936"/>
        <v>1.0402953682267315</v>
      </c>
      <c r="JT215" s="263">
        <f t="shared" si="936"/>
        <v>1.0402953682267315</v>
      </c>
      <c r="JU215" s="263">
        <f t="shared" si="936"/>
        <v>1.0402953682267315</v>
      </c>
      <c r="JV215" s="230">
        <f t="shared" si="937"/>
        <v>12.483544418720777</v>
      </c>
      <c r="JW215" s="266"/>
      <c r="JX215" s="263">
        <f t="shared" si="938"/>
        <v>0.47286153101215067</v>
      </c>
      <c r="JY215" s="263">
        <f t="shared" si="938"/>
        <v>0.47286153101215067</v>
      </c>
      <c r="JZ215" s="263">
        <f t="shared" si="938"/>
        <v>0.47286153101215067</v>
      </c>
      <c r="KA215" s="263">
        <f t="shared" si="938"/>
        <v>0.47286153101215067</v>
      </c>
      <c r="KB215" s="263">
        <f t="shared" si="938"/>
        <v>0.47286153101215067</v>
      </c>
      <c r="KC215" s="263">
        <f t="shared" si="938"/>
        <v>0.47286153101215067</v>
      </c>
      <c r="KD215" s="263">
        <f t="shared" si="938"/>
        <v>0.47286153101215067</v>
      </c>
      <c r="KE215" s="263">
        <f t="shared" si="938"/>
        <v>0.47286153101215067</v>
      </c>
      <c r="KF215" s="263">
        <f t="shared" si="938"/>
        <v>0.47286153101215067</v>
      </c>
      <c r="KG215" s="263">
        <f t="shared" si="938"/>
        <v>0.47286153101215067</v>
      </c>
      <c r="KH215" s="263">
        <f t="shared" si="938"/>
        <v>0.47286153101215067</v>
      </c>
      <c r="KI215" s="263">
        <f t="shared" si="938"/>
        <v>0.47286153101215067</v>
      </c>
      <c r="KJ215" s="230">
        <f t="shared" si="939"/>
        <v>5.6743383721458081</v>
      </c>
      <c r="KK215" s="266"/>
      <c r="KL215" s="263">
        <f t="shared" si="940"/>
        <v>0.18914461240486027</v>
      </c>
      <c r="KM215" s="263">
        <f t="shared" si="940"/>
        <v>0.18914461240486027</v>
      </c>
      <c r="KN215" s="263">
        <f t="shared" si="940"/>
        <v>0.18914461240486027</v>
      </c>
      <c r="KO215" s="263">
        <f t="shared" si="940"/>
        <v>0.18914461240486027</v>
      </c>
      <c r="KP215" s="263">
        <f t="shared" si="940"/>
        <v>0.18914461240486027</v>
      </c>
      <c r="KQ215" s="263">
        <f t="shared" si="940"/>
        <v>0.18914461240486027</v>
      </c>
      <c r="KR215" s="263">
        <f t="shared" si="940"/>
        <v>0.18914461240486027</v>
      </c>
      <c r="KS215" s="263">
        <f t="shared" si="940"/>
        <v>0.18914461240486027</v>
      </c>
      <c r="KT215" s="263">
        <f t="shared" si="940"/>
        <v>0.18914461240486027</v>
      </c>
      <c r="KU215" s="263">
        <f t="shared" si="940"/>
        <v>0.18914461240486027</v>
      </c>
      <c r="KV215" s="263">
        <f t="shared" si="940"/>
        <v>0.18914461240486027</v>
      </c>
      <c r="KW215" s="263">
        <f t="shared" si="940"/>
        <v>0.18914461240486027</v>
      </c>
      <c r="KX215" s="230">
        <f t="shared" si="941"/>
        <v>2.2697353488583238</v>
      </c>
      <c r="KY215" s="266"/>
      <c r="KZ215" s="263">
        <f t="shared" si="942"/>
        <v>9.4572306202430137E-2</v>
      </c>
      <c r="LA215" s="263">
        <f t="shared" si="942"/>
        <v>9.4572306202430137E-2</v>
      </c>
      <c r="LB215" s="263">
        <f t="shared" si="942"/>
        <v>9.4572306202430137E-2</v>
      </c>
      <c r="LC215" s="263">
        <f t="shared" si="942"/>
        <v>9.4572306202430137E-2</v>
      </c>
      <c r="LD215" s="263">
        <f t="shared" si="942"/>
        <v>9.4572306202430137E-2</v>
      </c>
      <c r="LE215" s="263">
        <f t="shared" si="942"/>
        <v>9.4572306202430137E-2</v>
      </c>
      <c r="LF215" s="263">
        <f t="shared" si="942"/>
        <v>9.4572306202430137E-2</v>
      </c>
      <c r="LG215" s="263">
        <f t="shared" si="942"/>
        <v>9.4572306202430137E-2</v>
      </c>
      <c r="LH215" s="263">
        <f t="shared" si="942"/>
        <v>9.4572306202430137E-2</v>
      </c>
      <c r="LI215" s="263">
        <f t="shared" si="942"/>
        <v>9.4572306202430137E-2</v>
      </c>
      <c r="LJ215" s="263">
        <f t="shared" si="942"/>
        <v>9.4572306202430137E-2</v>
      </c>
      <c r="LK215" s="263">
        <f t="shared" si="942"/>
        <v>9.4572306202430137E-2</v>
      </c>
      <c r="LL215" s="230">
        <f t="shared" si="943"/>
        <v>1.1348676744291619</v>
      </c>
      <c r="LM215" s="266"/>
      <c r="LN215" s="263">
        <v>0</v>
      </c>
      <c r="LO215" s="264">
        <v>0</v>
      </c>
      <c r="LP215" s="265">
        <v>0</v>
      </c>
      <c r="LQ215" s="265">
        <v>0</v>
      </c>
      <c r="LR215" s="265">
        <v>0</v>
      </c>
      <c r="LS215" s="265">
        <v>0</v>
      </c>
      <c r="LT215" s="265">
        <v>0</v>
      </c>
      <c r="LU215" s="265">
        <v>0</v>
      </c>
      <c r="LV215" s="265">
        <v>0</v>
      </c>
      <c r="LW215" s="265">
        <v>0</v>
      </c>
      <c r="LX215" s="265">
        <v>0</v>
      </c>
      <c r="LY215" s="265">
        <v>0</v>
      </c>
      <c r="LZ215" s="230">
        <f t="shared" si="944"/>
        <v>0</v>
      </c>
      <c r="MA215" s="266"/>
      <c r="MB215" s="230">
        <f t="shared" si="945"/>
        <v>15.509858217198541</v>
      </c>
      <c r="MC215" s="230">
        <f t="shared" si="945"/>
        <v>15.509858217198541</v>
      </c>
      <c r="MD215" s="230">
        <f t="shared" si="945"/>
        <v>39.342079380210926</v>
      </c>
      <c r="ME215" s="230">
        <f t="shared" si="945"/>
        <v>39.342079380210926</v>
      </c>
      <c r="MF215" s="230">
        <f t="shared" si="945"/>
        <v>39.342079380210926</v>
      </c>
      <c r="MG215" s="230">
        <f t="shared" si="945"/>
        <v>39.342079380210926</v>
      </c>
      <c r="MH215" s="230">
        <f t="shared" si="945"/>
        <v>39.342079380210926</v>
      </c>
      <c r="MI215" s="230">
        <f t="shared" si="945"/>
        <v>39.342079380210926</v>
      </c>
      <c r="MJ215" s="230">
        <f t="shared" si="945"/>
        <v>39.342079380210926</v>
      </c>
      <c r="MK215" s="230">
        <f t="shared" si="945"/>
        <v>39.342079380210926</v>
      </c>
      <c r="ML215" s="230">
        <f t="shared" si="945"/>
        <v>39.342079380210926</v>
      </c>
      <c r="MM215" s="230">
        <f t="shared" si="945"/>
        <v>39.342079380210926</v>
      </c>
      <c r="MN215" s="230">
        <f t="shared" si="948"/>
        <v>424.44051023650627</v>
      </c>
    </row>
    <row r="216" spans="1:352" x14ac:dyDescent="0.25">
      <c r="A216" s="262"/>
      <c r="B216" s="64" t="s">
        <v>89</v>
      </c>
      <c r="C216" s="98"/>
      <c r="D216" s="263">
        <f t="shared" si="899"/>
        <v>196.07433201058203</v>
      </c>
      <c r="E216" s="263">
        <f t="shared" si="899"/>
        <v>196.07433201058203</v>
      </c>
      <c r="F216" s="263">
        <f t="shared" si="899"/>
        <v>196.07433201058203</v>
      </c>
      <c r="G216" s="263">
        <f t="shared" si="899"/>
        <v>205.87803902116406</v>
      </c>
      <c r="H216" s="263">
        <f t="shared" si="899"/>
        <v>205.87803902116406</v>
      </c>
      <c r="I216" s="263">
        <f t="shared" si="899"/>
        <v>205.87803902116406</v>
      </c>
      <c r="J216" s="263">
        <f t="shared" si="899"/>
        <v>205.87803902116406</v>
      </c>
      <c r="K216" s="263">
        <f t="shared" si="899"/>
        <v>205.87803902116406</v>
      </c>
      <c r="L216" s="263">
        <f t="shared" si="899"/>
        <v>205.87803902116406</v>
      </c>
      <c r="M216" s="263">
        <f t="shared" si="899"/>
        <v>205.87803902116406</v>
      </c>
      <c r="N216" s="263">
        <f t="shared" si="899"/>
        <v>205.87803902116406</v>
      </c>
      <c r="O216" s="263">
        <f t="shared" si="899"/>
        <v>205.87803902116406</v>
      </c>
      <c r="P216" s="230">
        <f t="shared" si="900"/>
        <v>2441.1253472222229</v>
      </c>
      <c r="Q216" s="266"/>
      <c r="R216" s="263">
        <f t="shared" si="901"/>
        <v>20.283551587301591</v>
      </c>
      <c r="S216" s="263">
        <f t="shared" si="901"/>
        <v>20.283551587301591</v>
      </c>
      <c r="T216" s="263">
        <f t="shared" si="901"/>
        <v>20.283551587301591</v>
      </c>
      <c r="U216" s="263">
        <f t="shared" si="901"/>
        <v>21.297728174603176</v>
      </c>
      <c r="V216" s="263">
        <f t="shared" si="901"/>
        <v>21.297728174603176</v>
      </c>
      <c r="W216" s="263">
        <f t="shared" si="901"/>
        <v>21.297728174603176</v>
      </c>
      <c r="X216" s="263">
        <f t="shared" si="901"/>
        <v>21.297728174603176</v>
      </c>
      <c r="Y216" s="263">
        <f t="shared" si="901"/>
        <v>21.297728174603176</v>
      </c>
      <c r="Z216" s="263">
        <f t="shared" si="901"/>
        <v>21.297728174603176</v>
      </c>
      <c r="AA216" s="263">
        <f t="shared" si="901"/>
        <v>21.297728174603176</v>
      </c>
      <c r="AB216" s="263">
        <f t="shared" si="901"/>
        <v>21.297728174603176</v>
      </c>
      <c r="AC216" s="263">
        <f t="shared" si="901"/>
        <v>21.297728174603176</v>
      </c>
      <c r="AD216" s="230">
        <f t="shared" si="902"/>
        <v>252.53020833333338</v>
      </c>
      <c r="AE216" s="266"/>
      <c r="AF216" s="263">
        <f t="shared" si="903"/>
        <v>20.283551587301591</v>
      </c>
      <c r="AG216" s="263">
        <f t="shared" si="903"/>
        <v>20.283551587301591</v>
      </c>
      <c r="AH216" s="263">
        <f t="shared" si="903"/>
        <v>20.283551587301591</v>
      </c>
      <c r="AI216" s="263">
        <f t="shared" si="903"/>
        <v>21.297728174603176</v>
      </c>
      <c r="AJ216" s="263">
        <f t="shared" si="903"/>
        <v>21.297728174603176</v>
      </c>
      <c r="AK216" s="263">
        <f t="shared" si="903"/>
        <v>21.297728174603176</v>
      </c>
      <c r="AL216" s="263">
        <f t="shared" si="903"/>
        <v>21.297728174603176</v>
      </c>
      <c r="AM216" s="263">
        <f t="shared" si="903"/>
        <v>21.297728174603176</v>
      </c>
      <c r="AN216" s="263">
        <f t="shared" si="903"/>
        <v>21.297728174603176</v>
      </c>
      <c r="AO216" s="263">
        <f t="shared" si="903"/>
        <v>21.297728174603176</v>
      </c>
      <c r="AP216" s="263">
        <f t="shared" si="903"/>
        <v>21.297728174603176</v>
      </c>
      <c r="AQ216" s="263">
        <f t="shared" si="903"/>
        <v>21.297728174603176</v>
      </c>
      <c r="AR216" s="230">
        <f t="shared" si="904"/>
        <v>252.53020833333338</v>
      </c>
      <c r="AS216" s="266"/>
      <c r="AT216" s="263">
        <f t="shared" si="905"/>
        <v>13.522367724867726</v>
      </c>
      <c r="AU216" s="263">
        <f t="shared" si="905"/>
        <v>13.522367724867726</v>
      </c>
      <c r="AV216" s="263">
        <f t="shared" si="905"/>
        <v>13.522367724867726</v>
      </c>
      <c r="AW216" s="263">
        <f t="shared" si="905"/>
        <v>14.198485449735452</v>
      </c>
      <c r="AX216" s="263">
        <f t="shared" si="905"/>
        <v>14.198485449735452</v>
      </c>
      <c r="AY216" s="263">
        <f t="shared" si="905"/>
        <v>14.198485449735452</v>
      </c>
      <c r="AZ216" s="263">
        <f t="shared" si="905"/>
        <v>14.198485449735452</v>
      </c>
      <c r="BA216" s="263">
        <f t="shared" si="905"/>
        <v>14.198485449735452</v>
      </c>
      <c r="BB216" s="263">
        <f t="shared" si="905"/>
        <v>14.198485449735452</v>
      </c>
      <c r="BC216" s="263">
        <f t="shared" si="905"/>
        <v>14.198485449735452</v>
      </c>
      <c r="BD216" s="263">
        <f t="shared" si="905"/>
        <v>14.198485449735452</v>
      </c>
      <c r="BE216" s="263">
        <f t="shared" si="905"/>
        <v>14.198485449735452</v>
      </c>
      <c r="BF216" s="230">
        <f t="shared" si="906"/>
        <v>168.35347222222225</v>
      </c>
      <c r="BG216" s="224"/>
      <c r="BH216" s="263">
        <f t="shared" si="907"/>
        <v>101.41775793650795</v>
      </c>
      <c r="BI216" s="263">
        <f t="shared" si="907"/>
        <v>101.41775793650795</v>
      </c>
      <c r="BJ216" s="263">
        <f t="shared" si="907"/>
        <v>101.41775793650795</v>
      </c>
      <c r="BK216" s="263">
        <f t="shared" si="907"/>
        <v>106.4886408730159</v>
      </c>
      <c r="BL216" s="263">
        <f t="shared" si="907"/>
        <v>106.4886408730159</v>
      </c>
      <c r="BM216" s="263">
        <f t="shared" si="907"/>
        <v>106.4886408730159</v>
      </c>
      <c r="BN216" s="263">
        <f t="shared" si="907"/>
        <v>106.4886408730159</v>
      </c>
      <c r="BO216" s="263">
        <f t="shared" si="907"/>
        <v>106.4886408730159</v>
      </c>
      <c r="BP216" s="263">
        <f t="shared" si="907"/>
        <v>106.4886408730159</v>
      </c>
      <c r="BQ216" s="263">
        <f t="shared" si="907"/>
        <v>106.4886408730159</v>
      </c>
      <c r="BR216" s="263">
        <f t="shared" si="907"/>
        <v>106.4886408730159</v>
      </c>
      <c r="BS216" s="263">
        <f t="shared" si="907"/>
        <v>106.4886408730159</v>
      </c>
      <c r="BT216" s="230">
        <f t="shared" si="908"/>
        <v>1262.651041666667</v>
      </c>
      <c r="BU216" s="266"/>
      <c r="BV216" s="263">
        <f t="shared" si="909"/>
        <v>6.7611838624338629</v>
      </c>
      <c r="BW216" s="263">
        <f t="shared" si="909"/>
        <v>6.7611838624338629</v>
      </c>
      <c r="BX216" s="263">
        <f t="shared" si="909"/>
        <v>6.7611838624338629</v>
      </c>
      <c r="BY216" s="263">
        <f t="shared" si="909"/>
        <v>7.0992427248677261</v>
      </c>
      <c r="BZ216" s="263">
        <f t="shared" si="909"/>
        <v>7.0992427248677261</v>
      </c>
      <c r="CA216" s="263">
        <f t="shared" si="909"/>
        <v>7.0992427248677261</v>
      </c>
      <c r="CB216" s="263">
        <f t="shared" si="909"/>
        <v>7.0992427248677261</v>
      </c>
      <c r="CC216" s="263">
        <f t="shared" si="909"/>
        <v>7.0992427248677261</v>
      </c>
      <c r="CD216" s="263">
        <f t="shared" si="909"/>
        <v>7.0992427248677261</v>
      </c>
      <c r="CE216" s="263">
        <f t="shared" si="909"/>
        <v>7.0992427248677261</v>
      </c>
      <c r="CF216" s="263">
        <f t="shared" si="909"/>
        <v>7.0992427248677261</v>
      </c>
      <c r="CG216" s="263">
        <f t="shared" si="909"/>
        <v>7.0992427248677261</v>
      </c>
      <c r="CH216" s="230">
        <f t="shared" si="910"/>
        <v>84.176736111111126</v>
      </c>
      <c r="CI216" s="266"/>
      <c r="CJ216" s="263">
        <f t="shared" si="911"/>
        <v>74.373022486772498</v>
      </c>
      <c r="CK216" s="263">
        <f t="shared" si="911"/>
        <v>74.373022486772498</v>
      </c>
      <c r="CL216" s="263">
        <f t="shared" si="911"/>
        <v>74.373022486772498</v>
      </c>
      <c r="CM216" s="263">
        <f t="shared" si="911"/>
        <v>78.091669973544981</v>
      </c>
      <c r="CN216" s="263">
        <f t="shared" si="911"/>
        <v>78.091669973544981</v>
      </c>
      <c r="CO216" s="263">
        <f t="shared" si="911"/>
        <v>78.091669973544981</v>
      </c>
      <c r="CP216" s="263">
        <f t="shared" si="911"/>
        <v>78.091669973544981</v>
      </c>
      <c r="CQ216" s="263">
        <f t="shared" si="911"/>
        <v>78.091669973544981</v>
      </c>
      <c r="CR216" s="263">
        <f t="shared" si="911"/>
        <v>78.091669973544981</v>
      </c>
      <c r="CS216" s="263">
        <f t="shared" si="911"/>
        <v>78.091669973544981</v>
      </c>
      <c r="CT216" s="263">
        <f t="shared" si="911"/>
        <v>78.091669973544981</v>
      </c>
      <c r="CU216" s="263">
        <f t="shared" si="911"/>
        <v>78.091669973544981</v>
      </c>
      <c r="CV216" s="230">
        <f t="shared" si="912"/>
        <v>925.94409722222235</v>
      </c>
      <c r="CW216" s="266"/>
      <c r="CX216" s="263">
        <f t="shared" si="913"/>
        <v>189.31314814814817</v>
      </c>
      <c r="CY216" s="263">
        <f t="shared" si="913"/>
        <v>189.31314814814817</v>
      </c>
      <c r="CZ216" s="263">
        <f t="shared" si="913"/>
        <v>189.31314814814817</v>
      </c>
      <c r="DA216" s="263">
        <f t="shared" si="913"/>
        <v>198.77879629629635</v>
      </c>
      <c r="DB216" s="263">
        <f t="shared" si="913"/>
        <v>198.77879629629635</v>
      </c>
      <c r="DC216" s="263">
        <f t="shared" si="913"/>
        <v>198.77879629629635</v>
      </c>
      <c r="DD216" s="263">
        <f t="shared" si="913"/>
        <v>198.77879629629635</v>
      </c>
      <c r="DE216" s="263">
        <f t="shared" si="913"/>
        <v>198.77879629629635</v>
      </c>
      <c r="DF216" s="263">
        <f t="shared" si="913"/>
        <v>198.77879629629635</v>
      </c>
      <c r="DG216" s="263">
        <f t="shared" si="913"/>
        <v>198.77879629629635</v>
      </c>
      <c r="DH216" s="263">
        <f t="shared" si="913"/>
        <v>198.77879629629635</v>
      </c>
      <c r="DI216" s="263">
        <f t="shared" si="913"/>
        <v>198.77879629629635</v>
      </c>
      <c r="DJ216" s="230">
        <f t="shared" si="914"/>
        <v>2356.9486111111114</v>
      </c>
      <c r="DK216" s="266"/>
      <c r="DL216" s="263">
        <f t="shared" si="915"/>
        <v>189.31314814814817</v>
      </c>
      <c r="DM216" s="263">
        <f t="shared" si="915"/>
        <v>189.31314814814817</v>
      </c>
      <c r="DN216" s="263">
        <f t="shared" si="915"/>
        <v>189.31314814814817</v>
      </c>
      <c r="DO216" s="263">
        <f t="shared" si="915"/>
        <v>198.77879629629635</v>
      </c>
      <c r="DP216" s="263">
        <f t="shared" si="915"/>
        <v>198.77879629629635</v>
      </c>
      <c r="DQ216" s="263">
        <f t="shared" si="915"/>
        <v>198.77879629629635</v>
      </c>
      <c r="DR216" s="263">
        <f t="shared" si="915"/>
        <v>198.77879629629635</v>
      </c>
      <c r="DS216" s="263">
        <f t="shared" si="915"/>
        <v>198.77879629629635</v>
      </c>
      <c r="DT216" s="263">
        <f t="shared" si="915"/>
        <v>198.77879629629635</v>
      </c>
      <c r="DU216" s="263">
        <f t="shared" si="915"/>
        <v>198.77879629629635</v>
      </c>
      <c r="DV216" s="263">
        <f t="shared" si="915"/>
        <v>198.77879629629635</v>
      </c>
      <c r="DW216" s="263">
        <f t="shared" si="915"/>
        <v>198.77879629629635</v>
      </c>
      <c r="DX216" s="230">
        <f t="shared" si="916"/>
        <v>2356.9486111111114</v>
      </c>
      <c r="DY216" s="266"/>
      <c r="DZ216" s="263">
        <f t="shared" si="917"/>
        <v>6.7611838624338629</v>
      </c>
      <c r="EA216" s="263">
        <f t="shared" si="917"/>
        <v>6.7611838624338629</v>
      </c>
      <c r="EB216" s="263">
        <f t="shared" si="917"/>
        <v>6.7611838624338629</v>
      </c>
      <c r="EC216" s="263">
        <f t="shared" si="917"/>
        <v>7.0992427248677261</v>
      </c>
      <c r="ED216" s="263">
        <f t="shared" si="917"/>
        <v>7.0992427248677261</v>
      </c>
      <c r="EE216" s="263">
        <f t="shared" si="917"/>
        <v>7.0992427248677261</v>
      </c>
      <c r="EF216" s="263">
        <f t="shared" si="917"/>
        <v>7.0992427248677261</v>
      </c>
      <c r="EG216" s="263">
        <f t="shared" si="917"/>
        <v>7.0992427248677261</v>
      </c>
      <c r="EH216" s="263">
        <f t="shared" si="917"/>
        <v>7.0992427248677261</v>
      </c>
      <c r="EI216" s="263">
        <f t="shared" si="917"/>
        <v>7.0992427248677261</v>
      </c>
      <c r="EJ216" s="263">
        <f t="shared" si="917"/>
        <v>7.0992427248677261</v>
      </c>
      <c r="EK216" s="263">
        <f t="shared" si="917"/>
        <v>7.0992427248677261</v>
      </c>
      <c r="EL216" s="230">
        <f t="shared" si="918"/>
        <v>84.176736111111126</v>
      </c>
      <c r="EM216" s="266"/>
      <c r="EN216" s="263">
        <f t="shared" si="919"/>
        <v>13.522367724867726</v>
      </c>
      <c r="EO216" s="263">
        <f t="shared" si="919"/>
        <v>13.522367724867726</v>
      </c>
      <c r="EP216" s="263">
        <f t="shared" si="919"/>
        <v>13.522367724867726</v>
      </c>
      <c r="EQ216" s="263">
        <f t="shared" si="919"/>
        <v>14.198485449735452</v>
      </c>
      <c r="ER216" s="263">
        <f t="shared" si="919"/>
        <v>14.198485449735452</v>
      </c>
      <c r="ES216" s="263">
        <f t="shared" si="919"/>
        <v>14.198485449735452</v>
      </c>
      <c r="ET216" s="263">
        <f t="shared" si="919"/>
        <v>14.198485449735452</v>
      </c>
      <c r="EU216" s="263">
        <f t="shared" si="919"/>
        <v>14.198485449735452</v>
      </c>
      <c r="EV216" s="263">
        <f t="shared" si="919"/>
        <v>14.198485449735452</v>
      </c>
      <c r="EW216" s="263">
        <f t="shared" si="919"/>
        <v>14.198485449735452</v>
      </c>
      <c r="EX216" s="263">
        <f t="shared" si="919"/>
        <v>14.198485449735452</v>
      </c>
      <c r="EY216" s="263">
        <f t="shared" si="919"/>
        <v>14.198485449735452</v>
      </c>
      <c r="EZ216" s="230">
        <f t="shared" si="920"/>
        <v>168.35347222222225</v>
      </c>
      <c r="FA216" s="266"/>
      <c r="FB216" s="263">
        <f t="shared" si="921"/>
        <v>6.7611838624338629</v>
      </c>
      <c r="FC216" s="263">
        <f t="shared" si="921"/>
        <v>6.7611838624338629</v>
      </c>
      <c r="FD216" s="263">
        <f t="shared" si="921"/>
        <v>6.7611838624338629</v>
      </c>
      <c r="FE216" s="263">
        <f t="shared" si="921"/>
        <v>7.0992427248677261</v>
      </c>
      <c r="FF216" s="263">
        <f t="shared" si="921"/>
        <v>7.0992427248677261</v>
      </c>
      <c r="FG216" s="263">
        <f t="shared" si="921"/>
        <v>7.0992427248677261</v>
      </c>
      <c r="FH216" s="263">
        <f t="shared" si="921"/>
        <v>7.0992427248677261</v>
      </c>
      <c r="FI216" s="263">
        <f t="shared" si="921"/>
        <v>7.0992427248677261</v>
      </c>
      <c r="FJ216" s="263">
        <f t="shared" si="921"/>
        <v>7.0992427248677261</v>
      </c>
      <c r="FK216" s="263">
        <f t="shared" si="921"/>
        <v>7.0992427248677261</v>
      </c>
      <c r="FL216" s="263">
        <f t="shared" si="921"/>
        <v>7.0992427248677261</v>
      </c>
      <c r="FM216" s="263">
        <f t="shared" si="921"/>
        <v>7.0992427248677261</v>
      </c>
      <c r="FN216" s="230">
        <f t="shared" si="922"/>
        <v>84.176736111111126</v>
      </c>
      <c r="FO216" s="266"/>
      <c r="FP216" s="263">
        <f t="shared" si="923"/>
        <v>47.328287037037043</v>
      </c>
      <c r="FQ216" s="263">
        <f t="shared" si="923"/>
        <v>47.328287037037043</v>
      </c>
      <c r="FR216" s="263">
        <f t="shared" si="923"/>
        <v>47.328287037037043</v>
      </c>
      <c r="FS216" s="263">
        <f t="shared" si="923"/>
        <v>49.694699074074087</v>
      </c>
      <c r="FT216" s="263">
        <f t="shared" si="923"/>
        <v>49.694699074074087</v>
      </c>
      <c r="FU216" s="263">
        <f t="shared" si="923"/>
        <v>49.694699074074087</v>
      </c>
      <c r="FV216" s="263">
        <f t="shared" si="923"/>
        <v>49.694699074074087</v>
      </c>
      <c r="FW216" s="263">
        <f t="shared" si="923"/>
        <v>49.694699074074087</v>
      </c>
      <c r="FX216" s="263">
        <f t="shared" si="923"/>
        <v>49.694699074074087</v>
      </c>
      <c r="FY216" s="263">
        <f t="shared" si="923"/>
        <v>49.694699074074087</v>
      </c>
      <c r="FZ216" s="263">
        <f t="shared" si="923"/>
        <v>49.694699074074087</v>
      </c>
      <c r="GA216" s="263">
        <f t="shared" si="923"/>
        <v>49.694699074074087</v>
      </c>
      <c r="GB216" s="230">
        <f t="shared" si="924"/>
        <v>589.23715277777785</v>
      </c>
      <c r="GC216" s="266"/>
      <c r="GD216" s="263">
        <f t="shared" si="925"/>
        <v>6.7611838624338629</v>
      </c>
      <c r="GE216" s="263">
        <f t="shared" si="925"/>
        <v>6.7611838624338629</v>
      </c>
      <c r="GF216" s="263">
        <f t="shared" si="925"/>
        <v>6.7611838624338629</v>
      </c>
      <c r="GG216" s="263">
        <f t="shared" si="925"/>
        <v>7.0992427248677261</v>
      </c>
      <c r="GH216" s="263">
        <f t="shared" si="925"/>
        <v>7.0992427248677261</v>
      </c>
      <c r="GI216" s="263">
        <f t="shared" si="925"/>
        <v>7.0992427248677261</v>
      </c>
      <c r="GJ216" s="263">
        <f t="shared" si="925"/>
        <v>7.0992427248677261</v>
      </c>
      <c r="GK216" s="263">
        <f t="shared" si="925"/>
        <v>7.0992427248677261</v>
      </c>
      <c r="GL216" s="263">
        <f t="shared" si="925"/>
        <v>7.0992427248677261</v>
      </c>
      <c r="GM216" s="263">
        <f t="shared" si="925"/>
        <v>7.0992427248677261</v>
      </c>
      <c r="GN216" s="263">
        <f t="shared" si="925"/>
        <v>7.0992427248677261</v>
      </c>
      <c r="GO216" s="263">
        <f t="shared" si="925"/>
        <v>7.0992427248677261</v>
      </c>
      <c r="GP216" s="230">
        <f t="shared" si="926"/>
        <v>84.176736111111126</v>
      </c>
      <c r="GQ216" s="266"/>
      <c r="GR216" s="263">
        <f t="shared" si="927"/>
        <v>0</v>
      </c>
      <c r="GS216" s="263">
        <f t="shared" si="927"/>
        <v>0</v>
      </c>
      <c r="GT216" s="263">
        <f t="shared" si="927"/>
        <v>0</v>
      </c>
      <c r="GU216" s="263">
        <f t="shared" si="927"/>
        <v>0</v>
      </c>
      <c r="GV216" s="263">
        <f t="shared" si="927"/>
        <v>0</v>
      </c>
      <c r="GW216" s="263">
        <f t="shared" si="927"/>
        <v>0</v>
      </c>
      <c r="GX216" s="263">
        <f t="shared" si="927"/>
        <v>0</v>
      </c>
      <c r="GY216" s="263">
        <f t="shared" si="927"/>
        <v>0</v>
      </c>
      <c r="GZ216" s="263">
        <f t="shared" si="927"/>
        <v>0</v>
      </c>
      <c r="HA216" s="263">
        <f t="shared" si="927"/>
        <v>0</v>
      </c>
      <c r="HB216" s="263">
        <f t="shared" si="927"/>
        <v>0</v>
      </c>
      <c r="HC216" s="263">
        <f t="shared" si="927"/>
        <v>0</v>
      </c>
      <c r="HD216" s="230">
        <f t="shared" si="947"/>
        <v>0</v>
      </c>
      <c r="HE216" s="266"/>
      <c r="HF216" s="263">
        <f t="shared" si="928"/>
        <v>27.044735449735452</v>
      </c>
      <c r="HG216" s="263">
        <f t="shared" si="928"/>
        <v>27.044735449735452</v>
      </c>
      <c r="HH216" s="263">
        <f t="shared" si="928"/>
        <v>27.044735449735452</v>
      </c>
      <c r="HI216" s="263">
        <f t="shared" si="928"/>
        <v>28.396970899470904</v>
      </c>
      <c r="HJ216" s="263">
        <f t="shared" si="928"/>
        <v>28.396970899470904</v>
      </c>
      <c r="HK216" s="263">
        <f t="shared" si="928"/>
        <v>28.396970899470904</v>
      </c>
      <c r="HL216" s="263">
        <f t="shared" si="928"/>
        <v>28.396970899470904</v>
      </c>
      <c r="HM216" s="263">
        <f t="shared" si="928"/>
        <v>28.396970899470904</v>
      </c>
      <c r="HN216" s="263">
        <f t="shared" si="928"/>
        <v>28.396970899470904</v>
      </c>
      <c r="HO216" s="263">
        <f t="shared" si="928"/>
        <v>28.396970899470904</v>
      </c>
      <c r="HP216" s="263">
        <f t="shared" si="928"/>
        <v>28.396970899470904</v>
      </c>
      <c r="HQ216" s="263">
        <f t="shared" si="928"/>
        <v>28.396970899470904</v>
      </c>
      <c r="HR216" s="230">
        <f t="shared" si="929"/>
        <v>336.7069444444445</v>
      </c>
      <c r="HS216" s="266"/>
      <c r="HT216" s="263">
        <f t="shared" si="930"/>
        <v>6.7611838624338629</v>
      </c>
      <c r="HU216" s="263">
        <f t="shared" si="930"/>
        <v>6.7611838624338629</v>
      </c>
      <c r="HV216" s="263">
        <f t="shared" si="930"/>
        <v>6.7611838624338629</v>
      </c>
      <c r="HW216" s="263">
        <f t="shared" si="930"/>
        <v>7.0992427248677261</v>
      </c>
      <c r="HX216" s="263">
        <f t="shared" si="930"/>
        <v>7.0992427248677261</v>
      </c>
      <c r="HY216" s="263">
        <f t="shared" si="930"/>
        <v>7.0992427248677261</v>
      </c>
      <c r="HZ216" s="263">
        <f t="shared" si="930"/>
        <v>7.0992427248677261</v>
      </c>
      <c r="IA216" s="263">
        <f t="shared" si="930"/>
        <v>7.0992427248677261</v>
      </c>
      <c r="IB216" s="263">
        <f t="shared" si="930"/>
        <v>7.0992427248677261</v>
      </c>
      <c r="IC216" s="263">
        <f t="shared" si="930"/>
        <v>7.0992427248677261</v>
      </c>
      <c r="ID216" s="263">
        <f t="shared" si="930"/>
        <v>7.0992427248677261</v>
      </c>
      <c r="IE216" s="263">
        <f t="shared" si="930"/>
        <v>7.0992427248677261</v>
      </c>
      <c r="IF216" s="230">
        <f t="shared" si="931"/>
        <v>84.176736111111126</v>
      </c>
      <c r="IG216" s="266"/>
      <c r="IH216" s="263">
        <f t="shared" si="932"/>
        <v>6.7611838624338629</v>
      </c>
      <c r="II216" s="263">
        <f t="shared" si="932"/>
        <v>6.7611838624338629</v>
      </c>
      <c r="IJ216" s="263">
        <f t="shared" si="932"/>
        <v>6.7611838624338629</v>
      </c>
      <c r="IK216" s="263">
        <f t="shared" si="932"/>
        <v>7.0992427248677261</v>
      </c>
      <c r="IL216" s="263">
        <f t="shared" si="932"/>
        <v>7.0992427248677261</v>
      </c>
      <c r="IM216" s="263">
        <f t="shared" si="932"/>
        <v>7.0992427248677261</v>
      </c>
      <c r="IN216" s="263">
        <f t="shared" si="932"/>
        <v>7.0992427248677261</v>
      </c>
      <c r="IO216" s="263">
        <f t="shared" si="932"/>
        <v>7.0992427248677261</v>
      </c>
      <c r="IP216" s="263">
        <f t="shared" si="932"/>
        <v>7.0992427248677261</v>
      </c>
      <c r="IQ216" s="263">
        <f t="shared" si="932"/>
        <v>7.0992427248677261</v>
      </c>
      <c r="IR216" s="263">
        <f t="shared" si="932"/>
        <v>7.0992427248677261</v>
      </c>
      <c r="IS216" s="263">
        <f t="shared" si="932"/>
        <v>7.0992427248677261</v>
      </c>
      <c r="IT216" s="230">
        <f t="shared" si="933"/>
        <v>84.176736111111126</v>
      </c>
      <c r="IU216" s="266"/>
      <c r="IV216" s="263">
        <f t="shared" si="934"/>
        <v>47.328287037037043</v>
      </c>
      <c r="IW216" s="263">
        <f t="shared" si="934"/>
        <v>47.328287037037043</v>
      </c>
      <c r="IX216" s="263">
        <f t="shared" si="934"/>
        <v>47.328287037037043</v>
      </c>
      <c r="IY216" s="263">
        <f t="shared" si="934"/>
        <v>49.694699074074087</v>
      </c>
      <c r="IZ216" s="263">
        <f t="shared" si="934"/>
        <v>49.694699074074087</v>
      </c>
      <c r="JA216" s="263">
        <f t="shared" si="934"/>
        <v>49.694699074074087</v>
      </c>
      <c r="JB216" s="263">
        <f t="shared" si="934"/>
        <v>49.694699074074087</v>
      </c>
      <c r="JC216" s="263">
        <f t="shared" si="934"/>
        <v>49.694699074074087</v>
      </c>
      <c r="JD216" s="263">
        <f t="shared" si="934"/>
        <v>49.694699074074087</v>
      </c>
      <c r="JE216" s="263">
        <f t="shared" si="934"/>
        <v>49.694699074074087</v>
      </c>
      <c r="JF216" s="263">
        <f t="shared" si="934"/>
        <v>49.694699074074087</v>
      </c>
      <c r="JG216" s="263">
        <f t="shared" si="934"/>
        <v>49.694699074074087</v>
      </c>
      <c r="JH216" s="230">
        <f t="shared" si="935"/>
        <v>589.23715277777785</v>
      </c>
      <c r="JI216" s="266"/>
      <c r="JJ216" s="263">
        <f t="shared" si="936"/>
        <v>74.373022486772498</v>
      </c>
      <c r="JK216" s="263">
        <f t="shared" si="936"/>
        <v>74.373022486772498</v>
      </c>
      <c r="JL216" s="263">
        <f t="shared" si="936"/>
        <v>74.373022486772498</v>
      </c>
      <c r="JM216" s="263">
        <f t="shared" si="936"/>
        <v>78.091669973544981</v>
      </c>
      <c r="JN216" s="263">
        <f t="shared" si="936"/>
        <v>78.091669973544981</v>
      </c>
      <c r="JO216" s="263">
        <f t="shared" si="936"/>
        <v>78.091669973544981</v>
      </c>
      <c r="JP216" s="263">
        <f t="shared" si="936"/>
        <v>78.091669973544981</v>
      </c>
      <c r="JQ216" s="263">
        <f t="shared" si="936"/>
        <v>78.091669973544981</v>
      </c>
      <c r="JR216" s="263">
        <f t="shared" si="936"/>
        <v>78.091669973544981</v>
      </c>
      <c r="JS216" s="263">
        <f t="shared" si="936"/>
        <v>78.091669973544981</v>
      </c>
      <c r="JT216" s="263">
        <f t="shared" si="936"/>
        <v>78.091669973544981</v>
      </c>
      <c r="JU216" s="263">
        <f t="shared" si="936"/>
        <v>78.091669973544981</v>
      </c>
      <c r="JV216" s="230">
        <f t="shared" si="937"/>
        <v>925.94409722222235</v>
      </c>
      <c r="JW216" s="266"/>
      <c r="JX216" s="263">
        <f t="shared" si="938"/>
        <v>33.805919312169316</v>
      </c>
      <c r="JY216" s="263">
        <f t="shared" si="938"/>
        <v>33.805919312169316</v>
      </c>
      <c r="JZ216" s="263">
        <f t="shared" si="938"/>
        <v>33.805919312169316</v>
      </c>
      <c r="KA216" s="263">
        <f t="shared" si="938"/>
        <v>35.49621362433863</v>
      </c>
      <c r="KB216" s="263">
        <f t="shared" si="938"/>
        <v>35.49621362433863</v>
      </c>
      <c r="KC216" s="263">
        <f t="shared" si="938"/>
        <v>35.49621362433863</v>
      </c>
      <c r="KD216" s="263">
        <f t="shared" si="938"/>
        <v>35.49621362433863</v>
      </c>
      <c r="KE216" s="263">
        <f t="shared" si="938"/>
        <v>35.49621362433863</v>
      </c>
      <c r="KF216" s="263">
        <f t="shared" si="938"/>
        <v>35.49621362433863</v>
      </c>
      <c r="KG216" s="263">
        <f t="shared" si="938"/>
        <v>35.49621362433863</v>
      </c>
      <c r="KH216" s="263">
        <f t="shared" si="938"/>
        <v>35.49621362433863</v>
      </c>
      <c r="KI216" s="263">
        <f t="shared" si="938"/>
        <v>35.49621362433863</v>
      </c>
      <c r="KJ216" s="230">
        <f t="shared" si="939"/>
        <v>420.88368055555554</v>
      </c>
      <c r="KK216" s="266"/>
      <c r="KL216" s="263">
        <f t="shared" si="940"/>
        <v>13.522367724867726</v>
      </c>
      <c r="KM216" s="263">
        <f t="shared" si="940"/>
        <v>13.522367724867726</v>
      </c>
      <c r="KN216" s="263">
        <f t="shared" si="940"/>
        <v>13.522367724867726</v>
      </c>
      <c r="KO216" s="263">
        <f t="shared" si="940"/>
        <v>14.198485449735452</v>
      </c>
      <c r="KP216" s="263">
        <f t="shared" si="940"/>
        <v>14.198485449735452</v>
      </c>
      <c r="KQ216" s="263">
        <f t="shared" si="940"/>
        <v>14.198485449735452</v>
      </c>
      <c r="KR216" s="263">
        <f t="shared" si="940"/>
        <v>14.198485449735452</v>
      </c>
      <c r="KS216" s="263">
        <f t="shared" si="940"/>
        <v>14.198485449735452</v>
      </c>
      <c r="KT216" s="263">
        <f t="shared" si="940"/>
        <v>14.198485449735452</v>
      </c>
      <c r="KU216" s="263">
        <f t="shared" si="940"/>
        <v>14.198485449735452</v>
      </c>
      <c r="KV216" s="263">
        <f t="shared" si="940"/>
        <v>14.198485449735452</v>
      </c>
      <c r="KW216" s="263">
        <f t="shared" si="940"/>
        <v>14.198485449735452</v>
      </c>
      <c r="KX216" s="230">
        <f t="shared" si="941"/>
        <v>168.35347222222225</v>
      </c>
      <c r="KY216" s="266"/>
      <c r="KZ216" s="263">
        <f t="shared" si="942"/>
        <v>6.7611838624338629</v>
      </c>
      <c r="LA216" s="263">
        <f t="shared" si="942"/>
        <v>6.7611838624338629</v>
      </c>
      <c r="LB216" s="263">
        <f t="shared" si="942"/>
        <v>6.7611838624338629</v>
      </c>
      <c r="LC216" s="263">
        <f t="shared" si="942"/>
        <v>7.0992427248677261</v>
      </c>
      <c r="LD216" s="263">
        <f t="shared" si="942"/>
        <v>7.0992427248677261</v>
      </c>
      <c r="LE216" s="263">
        <f t="shared" si="942"/>
        <v>7.0992427248677261</v>
      </c>
      <c r="LF216" s="263">
        <f t="shared" si="942"/>
        <v>7.0992427248677261</v>
      </c>
      <c r="LG216" s="263">
        <f t="shared" si="942"/>
        <v>7.0992427248677261</v>
      </c>
      <c r="LH216" s="263">
        <f t="shared" si="942"/>
        <v>7.0992427248677261</v>
      </c>
      <c r="LI216" s="263">
        <f t="shared" si="942"/>
        <v>7.0992427248677261</v>
      </c>
      <c r="LJ216" s="263">
        <f t="shared" si="942"/>
        <v>7.0992427248677261</v>
      </c>
      <c r="LK216" s="263">
        <f t="shared" si="942"/>
        <v>7.0992427248677261</v>
      </c>
      <c r="LL216" s="230">
        <f t="shared" si="943"/>
        <v>84.176736111111126</v>
      </c>
      <c r="LM216" s="266"/>
      <c r="LN216" s="263">
        <v>0</v>
      </c>
      <c r="LO216" s="264">
        <v>0</v>
      </c>
      <c r="LP216" s="265">
        <v>0</v>
      </c>
      <c r="LQ216" s="265">
        <v>0</v>
      </c>
      <c r="LR216" s="265">
        <v>0</v>
      </c>
      <c r="LS216" s="265">
        <v>0</v>
      </c>
      <c r="LT216" s="265">
        <v>0</v>
      </c>
      <c r="LU216" s="265">
        <v>0</v>
      </c>
      <c r="LV216" s="265">
        <v>0</v>
      </c>
      <c r="LW216" s="265">
        <v>0</v>
      </c>
      <c r="LX216" s="265">
        <v>0</v>
      </c>
      <c r="LY216" s="265">
        <v>0</v>
      </c>
      <c r="LZ216" s="230">
        <f t="shared" si="944"/>
        <v>0</v>
      </c>
      <c r="MA216" s="266"/>
      <c r="MB216" s="230">
        <f t="shared" si="945"/>
        <v>1108.8341534391541</v>
      </c>
      <c r="MC216" s="230">
        <f t="shared" si="945"/>
        <v>1108.8341534391541</v>
      </c>
      <c r="MD216" s="230">
        <f t="shared" si="945"/>
        <v>1108.8341534391541</v>
      </c>
      <c r="ME216" s="230">
        <f t="shared" si="945"/>
        <v>1164.2758068783073</v>
      </c>
      <c r="MF216" s="230">
        <f t="shared" si="945"/>
        <v>1164.2758068783073</v>
      </c>
      <c r="MG216" s="230">
        <f t="shared" si="945"/>
        <v>1164.2758068783073</v>
      </c>
      <c r="MH216" s="230">
        <f t="shared" si="945"/>
        <v>1164.2758068783073</v>
      </c>
      <c r="MI216" s="230">
        <f t="shared" si="945"/>
        <v>1164.2758068783073</v>
      </c>
      <c r="MJ216" s="230">
        <f t="shared" si="945"/>
        <v>1164.2758068783073</v>
      </c>
      <c r="MK216" s="230">
        <f t="shared" si="945"/>
        <v>1164.2758068783073</v>
      </c>
      <c r="ML216" s="230">
        <f t="shared" si="945"/>
        <v>1164.2758068783073</v>
      </c>
      <c r="MM216" s="230">
        <f t="shared" si="945"/>
        <v>1164.2758068783073</v>
      </c>
      <c r="MN216" s="230">
        <f t="shared" si="948"/>
        <v>13804.984722222232</v>
      </c>
    </row>
    <row r="217" spans="1:352" x14ac:dyDescent="0.25">
      <c r="A217" s="262"/>
      <c r="B217" s="64" t="s">
        <v>90</v>
      </c>
      <c r="C217" s="172"/>
      <c r="D217" s="263">
        <f t="shared" si="899"/>
        <v>21.940775038963793</v>
      </c>
      <c r="E217" s="263">
        <f t="shared" si="899"/>
        <v>21.940775038963793</v>
      </c>
      <c r="F217" s="263">
        <f t="shared" si="899"/>
        <v>168.66970811203413</v>
      </c>
      <c r="G217" s="263">
        <f t="shared" si="899"/>
        <v>21.940775038963793</v>
      </c>
      <c r="H217" s="263">
        <f t="shared" si="899"/>
        <v>65.822325116891363</v>
      </c>
      <c r="I217" s="263">
        <f t="shared" si="899"/>
        <v>21.940775038963793</v>
      </c>
      <c r="J217" s="263">
        <f t="shared" si="899"/>
        <v>296.20046302601116</v>
      </c>
      <c r="K217" s="263">
        <f t="shared" si="899"/>
        <v>21.940775038963793</v>
      </c>
      <c r="L217" s="263">
        <f t="shared" si="899"/>
        <v>46.624146957798054</v>
      </c>
      <c r="M217" s="263">
        <f t="shared" si="899"/>
        <v>32.225513338478066</v>
      </c>
      <c r="N217" s="263">
        <f t="shared" si="899"/>
        <v>69.936220436697084</v>
      </c>
      <c r="O217" s="263">
        <f t="shared" si="899"/>
        <v>42.51025163799234</v>
      </c>
      <c r="P217" s="230">
        <f t="shared" si="900"/>
        <v>831.6925038207213</v>
      </c>
      <c r="Q217" s="266"/>
      <c r="R217" s="263">
        <f t="shared" si="901"/>
        <v>2.269735348858323</v>
      </c>
      <c r="S217" s="263">
        <f t="shared" si="901"/>
        <v>2.269735348858323</v>
      </c>
      <c r="T217" s="263">
        <f t="shared" si="901"/>
        <v>17.448590494348359</v>
      </c>
      <c r="U217" s="263">
        <f t="shared" si="901"/>
        <v>2.269735348858323</v>
      </c>
      <c r="V217" s="263">
        <f t="shared" si="901"/>
        <v>6.8092060465749693</v>
      </c>
      <c r="W217" s="263">
        <f t="shared" si="901"/>
        <v>2.269735348858323</v>
      </c>
      <c r="X217" s="263">
        <f t="shared" si="901"/>
        <v>30.641427209587363</v>
      </c>
      <c r="Y217" s="263">
        <f t="shared" si="901"/>
        <v>2.269735348858323</v>
      </c>
      <c r="Z217" s="263">
        <f t="shared" si="901"/>
        <v>4.8231876163239358</v>
      </c>
      <c r="AA217" s="263">
        <f t="shared" si="901"/>
        <v>3.3336737936356622</v>
      </c>
      <c r="AB217" s="263">
        <f t="shared" si="901"/>
        <v>7.2347814244859041</v>
      </c>
      <c r="AC217" s="263">
        <f t="shared" si="901"/>
        <v>4.397612238413001</v>
      </c>
      <c r="AD217" s="230">
        <f t="shared" si="902"/>
        <v>86.037155567660818</v>
      </c>
      <c r="AE217" s="266"/>
      <c r="AF217" s="263">
        <f t="shared" si="903"/>
        <v>2.269735348858323</v>
      </c>
      <c r="AG217" s="263">
        <f t="shared" si="903"/>
        <v>2.269735348858323</v>
      </c>
      <c r="AH217" s="263">
        <f t="shared" si="903"/>
        <v>17.448590494348359</v>
      </c>
      <c r="AI217" s="263">
        <f t="shared" si="903"/>
        <v>2.269735348858323</v>
      </c>
      <c r="AJ217" s="263">
        <f t="shared" si="903"/>
        <v>6.8092060465749693</v>
      </c>
      <c r="AK217" s="263">
        <f t="shared" si="903"/>
        <v>2.269735348858323</v>
      </c>
      <c r="AL217" s="263">
        <f t="shared" si="903"/>
        <v>30.641427209587363</v>
      </c>
      <c r="AM217" s="263">
        <f t="shared" si="903"/>
        <v>2.269735348858323</v>
      </c>
      <c r="AN217" s="263">
        <f t="shared" si="903"/>
        <v>4.8231876163239358</v>
      </c>
      <c r="AO217" s="263">
        <f t="shared" si="903"/>
        <v>3.3336737936356622</v>
      </c>
      <c r="AP217" s="263">
        <f t="shared" si="903"/>
        <v>7.2347814244859041</v>
      </c>
      <c r="AQ217" s="263">
        <f t="shared" si="903"/>
        <v>4.397612238413001</v>
      </c>
      <c r="AR217" s="230">
        <f t="shared" si="904"/>
        <v>86.037155567660818</v>
      </c>
      <c r="AS217" s="266"/>
      <c r="AT217" s="263">
        <f t="shared" si="905"/>
        <v>1.5131568992388822</v>
      </c>
      <c r="AU217" s="263">
        <f t="shared" si="905"/>
        <v>1.5131568992388822</v>
      </c>
      <c r="AV217" s="263">
        <f t="shared" si="905"/>
        <v>11.632393662898906</v>
      </c>
      <c r="AW217" s="263">
        <f t="shared" si="905"/>
        <v>1.5131568992388822</v>
      </c>
      <c r="AX217" s="263">
        <f t="shared" si="905"/>
        <v>4.5394706977166459</v>
      </c>
      <c r="AY217" s="263">
        <f t="shared" si="905"/>
        <v>1.5131568992388822</v>
      </c>
      <c r="AZ217" s="263">
        <f t="shared" si="905"/>
        <v>20.427618139724906</v>
      </c>
      <c r="BA217" s="263">
        <f t="shared" si="905"/>
        <v>1.5131568992388822</v>
      </c>
      <c r="BB217" s="263">
        <f t="shared" si="905"/>
        <v>3.2154584108826243</v>
      </c>
      <c r="BC217" s="263">
        <f t="shared" si="905"/>
        <v>2.222449195757108</v>
      </c>
      <c r="BD217" s="263">
        <f t="shared" si="905"/>
        <v>4.8231876163239367</v>
      </c>
      <c r="BE217" s="263">
        <f t="shared" si="905"/>
        <v>2.931741492275334</v>
      </c>
      <c r="BF217" s="230">
        <f t="shared" si="906"/>
        <v>57.358103711773872</v>
      </c>
      <c r="BG217" s="224"/>
      <c r="BH217" s="263">
        <f t="shared" si="907"/>
        <v>11.348676744291616</v>
      </c>
      <c r="BI217" s="263">
        <f t="shared" si="907"/>
        <v>11.348676744291616</v>
      </c>
      <c r="BJ217" s="263">
        <f t="shared" si="907"/>
        <v>87.242952471741788</v>
      </c>
      <c r="BK217" s="263">
        <f t="shared" si="907"/>
        <v>11.348676744291616</v>
      </c>
      <c r="BL217" s="263">
        <f t="shared" si="907"/>
        <v>34.046030232874848</v>
      </c>
      <c r="BM217" s="263">
        <f t="shared" si="907"/>
        <v>11.348676744291616</v>
      </c>
      <c r="BN217" s="263">
        <f t="shared" si="907"/>
        <v>153.20713604793681</v>
      </c>
      <c r="BO217" s="263">
        <f t="shared" si="907"/>
        <v>11.348676744291616</v>
      </c>
      <c r="BP217" s="263">
        <f t="shared" si="907"/>
        <v>24.115938081619682</v>
      </c>
      <c r="BQ217" s="263">
        <f t="shared" si="907"/>
        <v>16.66836896817831</v>
      </c>
      <c r="BR217" s="263">
        <f t="shared" si="907"/>
        <v>36.173907122429526</v>
      </c>
      <c r="BS217" s="263">
        <f t="shared" si="907"/>
        <v>21.988061192065004</v>
      </c>
      <c r="BT217" s="230">
        <f t="shared" si="908"/>
        <v>430.18577783830403</v>
      </c>
      <c r="BU217" s="266"/>
      <c r="BV217" s="263">
        <f t="shared" si="909"/>
        <v>0.7565784496194411</v>
      </c>
      <c r="BW217" s="263">
        <f t="shared" si="909"/>
        <v>0.7565784496194411</v>
      </c>
      <c r="BX217" s="263">
        <f t="shared" si="909"/>
        <v>5.816196831449453</v>
      </c>
      <c r="BY217" s="263">
        <f t="shared" si="909"/>
        <v>0.7565784496194411</v>
      </c>
      <c r="BZ217" s="263">
        <f t="shared" si="909"/>
        <v>2.269735348858323</v>
      </c>
      <c r="CA217" s="263">
        <f t="shared" si="909"/>
        <v>0.7565784496194411</v>
      </c>
      <c r="CB217" s="263">
        <f t="shared" si="909"/>
        <v>10.213809069862453</v>
      </c>
      <c r="CC217" s="263">
        <f t="shared" si="909"/>
        <v>0.7565784496194411</v>
      </c>
      <c r="CD217" s="263">
        <f t="shared" si="909"/>
        <v>1.6077292054413121</v>
      </c>
      <c r="CE217" s="263">
        <f t="shared" si="909"/>
        <v>1.111224597878554</v>
      </c>
      <c r="CF217" s="263">
        <f t="shared" si="909"/>
        <v>2.4115938081619683</v>
      </c>
      <c r="CG217" s="263">
        <f t="shared" si="909"/>
        <v>1.465870746137667</v>
      </c>
      <c r="CH217" s="230">
        <f t="shared" si="910"/>
        <v>28.679051855886936</v>
      </c>
      <c r="CI217" s="266"/>
      <c r="CJ217" s="263">
        <f t="shared" si="911"/>
        <v>8.3223629458138522</v>
      </c>
      <c r="CK217" s="263">
        <f t="shared" si="911"/>
        <v>8.3223629458138522</v>
      </c>
      <c r="CL217" s="263">
        <f t="shared" si="911"/>
        <v>63.978165145943976</v>
      </c>
      <c r="CM217" s="263">
        <f t="shared" si="911"/>
        <v>8.3223629458138522</v>
      </c>
      <c r="CN217" s="263">
        <f t="shared" si="911"/>
        <v>24.967088837441555</v>
      </c>
      <c r="CO217" s="263">
        <f t="shared" si="911"/>
        <v>8.3223629458138522</v>
      </c>
      <c r="CP217" s="263">
        <f t="shared" si="911"/>
        <v>112.35189976848697</v>
      </c>
      <c r="CQ217" s="263">
        <f t="shared" si="911"/>
        <v>8.3223629458138522</v>
      </c>
      <c r="CR217" s="263">
        <f t="shared" si="911"/>
        <v>17.685021259854434</v>
      </c>
      <c r="CS217" s="263">
        <f t="shared" si="911"/>
        <v>12.223470576664095</v>
      </c>
      <c r="CT217" s="263">
        <f t="shared" si="911"/>
        <v>26.527531889781649</v>
      </c>
      <c r="CU217" s="263">
        <f t="shared" si="911"/>
        <v>16.124578207514336</v>
      </c>
      <c r="CV217" s="230">
        <f t="shared" si="912"/>
        <v>315.46957041475628</v>
      </c>
      <c r="CW217" s="266"/>
      <c r="CX217" s="263">
        <f t="shared" si="913"/>
        <v>21.184196589344349</v>
      </c>
      <c r="CY217" s="263">
        <f t="shared" si="913"/>
        <v>21.184196589344349</v>
      </c>
      <c r="CZ217" s="263">
        <f t="shared" si="913"/>
        <v>162.85351128058468</v>
      </c>
      <c r="DA217" s="263">
        <f t="shared" si="913"/>
        <v>21.184196589344349</v>
      </c>
      <c r="DB217" s="263">
        <f t="shared" si="913"/>
        <v>63.552589768033052</v>
      </c>
      <c r="DC217" s="263">
        <f t="shared" si="913"/>
        <v>21.184196589344349</v>
      </c>
      <c r="DD217" s="263">
        <f t="shared" si="913"/>
        <v>285.9866539561487</v>
      </c>
      <c r="DE217" s="263">
        <f t="shared" si="913"/>
        <v>21.184196589344349</v>
      </c>
      <c r="DF217" s="263">
        <f t="shared" si="913"/>
        <v>45.016417752356737</v>
      </c>
      <c r="DG217" s="263">
        <f t="shared" si="913"/>
        <v>31.114288740599516</v>
      </c>
      <c r="DH217" s="263">
        <f t="shared" si="913"/>
        <v>67.524626628535117</v>
      </c>
      <c r="DI217" s="263">
        <f t="shared" si="913"/>
        <v>41.044380891854672</v>
      </c>
      <c r="DJ217" s="230">
        <f t="shared" si="914"/>
        <v>803.01345196483408</v>
      </c>
      <c r="DK217" s="266"/>
      <c r="DL217" s="263">
        <f t="shared" si="915"/>
        <v>21.184196589344349</v>
      </c>
      <c r="DM217" s="263">
        <f t="shared" si="915"/>
        <v>21.184196589344349</v>
      </c>
      <c r="DN217" s="263">
        <f t="shared" si="915"/>
        <v>162.85351128058468</v>
      </c>
      <c r="DO217" s="263">
        <f t="shared" si="915"/>
        <v>21.184196589344349</v>
      </c>
      <c r="DP217" s="263">
        <f t="shared" si="915"/>
        <v>63.552589768033052</v>
      </c>
      <c r="DQ217" s="263">
        <f t="shared" si="915"/>
        <v>21.184196589344349</v>
      </c>
      <c r="DR217" s="263">
        <f t="shared" si="915"/>
        <v>285.9866539561487</v>
      </c>
      <c r="DS217" s="263">
        <f t="shared" si="915"/>
        <v>21.184196589344349</v>
      </c>
      <c r="DT217" s="263">
        <f t="shared" si="915"/>
        <v>45.016417752356737</v>
      </c>
      <c r="DU217" s="263">
        <f t="shared" si="915"/>
        <v>31.114288740599516</v>
      </c>
      <c r="DV217" s="263">
        <f t="shared" si="915"/>
        <v>67.524626628535117</v>
      </c>
      <c r="DW217" s="263">
        <f t="shared" si="915"/>
        <v>41.044380891854672</v>
      </c>
      <c r="DX217" s="230">
        <f t="shared" si="916"/>
        <v>803.01345196483408</v>
      </c>
      <c r="DY217" s="266"/>
      <c r="DZ217" s="263">
        <f t="shared" si="917"/>
        <v>0.7565784496194411</v>
      </c>
      <c r="EA217" s="263">
        <f t="shared" si="917"/>
        <v>0.7565784496194411</v>
      </c>
      <c r="EB217" s="263">
        <f t="shared" si="917"/>
        <v>5.816196831449453</v>
      </c>
      <c r="EC217" s="263">
        <f t="shared" si="917"/>
        <v>0.7565784496194411</v>
      </c>
      <c r="ED217" s="263">
        <f t="shared" si="917"/>
        <v>2.269735348858323</v>
      </c>
      <c r="EE217" s="263">
        <f t="shared" si="917"/>
        <v>0.7565784496194411</v>
      </c>
      <c r="EF217" s="263">
        <f t="shared" si="917"/>
        <v>10.213809069862453</v>
      </c>
      <c r="EG217" s="263">
        <f t="shared" si="917"/>
        <v>0.7565784496194411</v>
      </c>
      <c r="EH217" s="263">
        <f t="shared" si="917"/>
        <v>1.6077292054413121</v>
      </c>
      <c r="EI217" s="263">
        <f t="shared" si="917"/>
        <v>1.111224597878554</v>
      </c>
      <c r="EJ217" s="263">
        <f t="shared" si="917"/>
        <v>2.4115938081619683</v>
      </c>
      <c r="EK217" s="263">
        <f t="shared" si="917"/>
        <v>1.465870746137667</v>
      </c>
      <c r="EL217" s="230">
        <f t="shared" si="918"/>
        <v>28.679051855886936</v>
      </c>
      <c r="EM217" s="266"/>
      <c r="EN217" s="263">
        <f t="shared" si="919"/>
        <v>1.5131568992388822</v>
      </c>
      <c r="EO217" s="263">
        <f t="shared" si="919"/>
        <v>1.5131568992388822</v>
      </c>
      <c r="EP217" s="263">
        <f t="shared" si="919"/>
        <v>11.632393662898906</v>
      </c>
      <c r="EQ217" s="263">
        <f t="shared" si="919"/>
        <v>1.5131568992388822</v>
      </c>
      <c r="ER217" s="263">
        <f t="shared" si="919"/>
        <v>4.5394706977166459</v>
      </c>
      <c r="ES217" s="263">
        <f t="shared" si="919"/>
        <v>1.5131568992388822</v>
      </c>
      <c r="ET217" s="263">
        <f t="shared" si="919"/>
        <v>20.427618139724906</v>
      </c>
      <c r="EU217" s="263">
        <f t="shared" si="919"/>
        <v>1.5131568992388822</v>
      </c>
      <c r="EV217" s="263">
        <f t="shared" si="919"/>
        <v>3.2154584108826243</v>
      </c>
      <c r="EW217" s="263">
        <f t="shared" si="919"/>
        <v>2.222449195757108</v>
      </c>
      <c r="EX217" s="263">
        <f t="shared" si="919"/>
        <v>4.8231876163239367</v>
      </c>
      <c r="EY217" s="263">
        <f t="shared" si="919"/>
        <v>2.931741492275334</v>
      </c>
      <c r="EZ217" s="230">
        <f t="shared" si="920"/>
        <v>57.358103711773872</v>
      </c>
      <c r="FA217" s="266"/>
      <c r="FB217" s="263">
        <f t="shared" si="921"/>
        <v>0.7565784496194411</v>
      </c>
      <c r="FC217" s="263">
        <f t="shared" si="921"/>
        <v>0.7565784496194411</v>
      </c>
      <c r="FD217" s="263">
        <f t="shared" si="921"/>
        <v>5.816196831449453</v>
      </c>
      <c r="FE217" s="263">
        <f t="shared" si="921"/>
        <v>0.7565784496194411</v>
      </c>
      <c r="FF217" s="263">
        <f t="shared" si="921"/>
        <v>2.269735348858323</v>
      </c>
      <c r="FG217" s="263">
        <f t="shared" si="921"/>
        <v>0.7565784496194411</v>
      </c>
      <c r="FH217" s="263">
        <f t="shared" si="921"/>
        <v>10.213809069862453</v>
      </c>
      <c r="FI217" s="263">
        <f t="shared" si="921"/>
        <v>0.7565784496194411</v>
      </c>
      <c r="FJ217" s="263">
        <f t="shared" si="921"/>
        <v>1.6077292054413121</v>
      </c>
      <c r="FK217" s="263">
        <f t="shared" si="921"/>
        <v>1.111224597878554</v>
      </c>
      <c r="FL217" s="263">
        <f t="shared" si="921"/>
        <v>2.4115938081619683</v>
      </c>
      <c r="FM217" s="263">
        <f t="shared" si="921"/>
        <v>1.465870746137667</v>
      </c>
      <c r="FN217" s="230">
        <f t="shared" si="922"/>
        <v>28.679051855886936</v>
      </c>
      <c r="FO217" s="266"/>
      <c r="FP217" s="263">
        <f t="shared" si="923"/>
        <v>5.2960491473360873</v>
      </c>
      <c r="FQ217" s="263">
        <f t="shared" si="923"/>
        <v>5.2960491473360873</v>
      </c>
      <c r="FR217" s="263">
        <f t="shared" si="923"/>
        <v>40.713377820146171</v>
      </c>
      <c r="FS217" s="263">
        <f t="shared" si="923"/>
        <v>5.2960491473360873</v>
      </c>
      <c r="FT217" s="263">
        <f t="shared" si="923"/>
        <v>15.888147442008263</v>
      </c>
      <c r="FU217" s="263">
        <f t="shared" si="923"/>
        <v>5.2960491473360873</v>
      </c>
      <c r="FV217" s="263">
        <f t="shared" si="923"/>
        <v>71.496663489037175</v>
      </c>
      <c r="FW217" s="263">
        <f t="shared" si="923"/>
        <v>5.2960491473360873</v>
      </c>
      <c r="FX217" s="263">
        <f t="shared" si="923"/>
        <v>11.254104438089184</v>
      </c>
      <c r="FY217" s="263">
        <f t="shared" si="923"/>
        <v>7.778572185149879</v>
      </c>
      <c r="FZ217" s="263">
        <f t="shared" si="923"/>
        <v>16.881156657133779</v>
      </c>
      <c r="GA217" s="263">
        <f t="shared" si="923"/>
        <v>10.261095222963668</v>
      </c>
      <c r="GB217" s="230">
        <f t="shared" si="924"/>
        <v>200.75336299120852</v>
      </c>
      <c r="GC217" s="266"/>
      <c r="GD217" s="263">
        <f t="shared" si="925"/>
        <v>0.7565784496194411</v>
      </c>
      <c r="GE217" s="263">
        <f t="shared" si="925"/>
        <v>0.7565784496194411</v>
      </c>
      <c r="GF217" s="263">
        <f t="shared" si="925"/>
        <v>5.816196831449453</v>
      </c>
      <c r="GG217" s="263">
        <f t="shared" si="925"/>
        <v>0.7565784496194411</v>
      </c>
      <c r="GH217" s="263">
        <f t="shared" si="925"/>
        <v>2.269735348858323</v>
      </c>
      <c r="GI217" s="263">
        <f t="shared" si="925"/>
        <v>0.7565784496194411</v>
      </c>
      <c r="GJ217" s="263">
        <f t="shared" si="925"/>
        <v>10.213809069862453</v>
      </c>
      <c r="GK217" s="263">
        <f t="shared" si="925"/>
        <v>0.7565784496194411</v>
      </c>
      <c r="GL217" s="263">
        <f t="shared" si="925"/>
        <v>1.6077292054413121</v>
      </c>
      <c r="GM217" s="263">
        <f t="shared" si="925"/>
        <v>1.111224597878554</v>
      </c>
      <c r="GN217" s="263">
        <f t="shared" si="925"/>
        <v>2.4115938081619683</v>
      </c>
      <c r="GO217" s="263">
        <f t="shared" si="925"/>
        <v>1.465870746137667</v>
      </c>
      <c r="GP217" s="230">
        <f t="shared" si="926"/>
        <v>28.679051855886936</v>
      </c>
      <c r="GQ217" s="266"/>
      <c r="GR217" s="263">
        <f t="shared" si="927"/>
        <v>0</v>
      </c>
      <c r="GS217" s="263">
        <f t="shared" si="927"/>
        <v>0</v>
      </c>
      <c r="GT217" s="263">
        <f t="shared" si="927"/>
        <v>0</v>
      </c>
      <c r="GU217" s="263">
        <f t="shared" si="927"/>
        <v>0</v>
      </c>
      <c r="GV217" s="263">
        <f t="shared" si="927"/>
        <v>0</v>
      </c>
      <c r="GW217" s="263">
        <f t="shared" si="927"/>
        <v>0</v>
      </c>
      <c r="GX217" s="263">
        <f t="shared" si="927"/>
        <v>0</v>
      </c>
      <c r="GY217" s="263">
        <f t="shared" si="927"/>
        <v>0</v>
      </c>
      <c r="GZ217" s="263">
        <f t="shared" si="927"/>
        <v>0</v>
      </c>
      <c r="HA217" s="263">
        <f t="shared" si="927"/>
        <v>0</v>
      </c>
      <c r="HB217" s="263">
        <f t="shared" si="927"/>
        <v>0</v>
      </c>
      <c r="HC217" s="263">
        <f t="shared" si="927"/>
        <v>0</v>
      </c>
      <c r="HD217" s="230">
        <f t="shared" si="947"/>
        <v>0</v>
      </c>
      <c r="HE217" s="266"/>
      <c r="HF217" s="263">
        <f t="shared" si="928"/>
        <v>3.0263137984777644</v>
      </c>
      <c r="HG217" s="263">
        <f t="shared" si="928"/>
        <v>3.0263137984777644</v>
      </c>
      <c r="HH217" s="263">
        <f t="shared" si="928"/>
        <v>23.264787325797812</v>
      </c>
      <c r="HI217" s="263">
        <f t="shared" si="928"/>
        <v>3.0263137984777644</v>
      </c>
      <c r="HJ217" s="263">
        <f t="shared" si="928"/>
        <v>9.0789413954332918</v>
      </c>
      <c r="HK217" s="263">
        <f t="shared" si="928"/>
        <v>3.0263137984777644</v>
      </c>
      <c r="HL217" s="263">
        <f t="shared" si="928"/>
        <v>40.855236279449812</v>
      </c>
      <c r="HM217" s="263">
        <f t="shared" si="928"/>
        <v>3.0263137984777644</v>
      </c>
      <c r="HN217" s="263">
        <f t="shared" si="928"/>
        <v>6.4309168217652486</v>
      </c>
      <c r="HO217" s="263">
        <f t="shared" si="928"/>
        <v>4.444898391514216</v>
      </c>
      <c r="HP217" s="263">
        <f t="shared" si="928"/>
        <v>9.6463752326478733</v>
      </c>
      <c r="HQ217" s="263">
        <f t="shared" si="928"/>
        <v>5.863482984550668</v>
      </c>
      <c r="HR217" s="230">
        <f t="shared" si="929"/>
        <v>114.71620742354774</v>
      </c>
      <c r="HS217" s="266"/>
      <c r="HT217" s="263">
        <f t="shared" si="930"/>
        <v>0.7565784496194411</v>
      </c>
      <c r="HU217" s="263">
        <f t="shared" si="930"/>
        <v>0.7565784496194411</v>
      </c>
      <c r="HV217" s="263">
        <f t="shared" si="930"/>
        <v>5.816196831449453</v>
      </c>
      <c r="HW217" s="263">
        <f t="shared" si="930"/>
        <v>0.7565784496194411</v>
      </c>
      <c r="HX217" s="263">
        <f t="shared" si="930"/>
        <v>2.269735348858323</v>
      </c>
      <c r="HY217" s="263">
        <f t="shared" si="930"/>
        <v>0.7565784496194411</v>
      </c>
      <c r="HZ217" s="263">
        <f t="shared" si="930"/>
        <v>10.213809069862453</v>
      </c>
      <c r="IA217" s="263">
        <f t="shared" si="930"/>
        <v>0.7565784496194411</v>
      </c>
      <c r="IB217" s="263">
        <f t="shared" si="930"/>
        <v>1.6077292054413121</v>
      </c>
      <c r="IC217" s="263">
        <f t="shared" si="930"/>
        <v>1.111224597878554</v>
      </c>
      <c r="ID217" s="263">
        <f t="shared" si="930"/>
        <v>2.4115938081619683</v>
      </c>
      <c r="IE217" s="263">
        <f t="shared" si="930"/>
        <v>1.465870746137667</v>
      </c>
      <c r="IF217" s="230">
        <f t="shared" si="931"/>
        <v>28.679051855886936</v>
      </c>
      <c r="IG217" s="266"/>
      <c r="IH217" s="263">
        <f t="shared" si="932"/>
        <v>0.7565784496194411</v>
      </c>
      <c r="II217" s="263">
        <f t="shared" si="932"/>
        <v>0.7565784496194411</v>
      </c>
      <c r="IJ217" s="263">
        <f t="shared" si="932"/>
        <v>5.816196831449453</v>
      </c>
      <c r="IK217" s="263">
        <f t="shared" si="932"/>
        <v>0.7565784496194411</v>
      </c>
      <c r="IL217" s="263">
        <f t="shared" si="932"/>
        <v>2.269735348858323</v>
      </c>
      <c r="IM217" s="263">
        <f t="shared" si="932"/>
        <v>0.7565784496194411</v>
      </c>
      <c r="IN217" s="263">
        <f t="shared" si="932"/>
        <v>10.213809069862453</v>
      </c>
      <c r="IO217" s="263">
        <f t="shared" si="932"/>
        <v>0.7565784496194411</v>
      </c>
      <c r="IP217" s="263">
        <f t="shared" si="932"/>
        <v>1.6077292054413121</v>
      </c>
      <c r="IQ217" s="263">
        <f t="shared" si="932"/>
        <v>1.111224597878554</v>
      </c>
      <c r="IR217" s="263">
        <f t="shared" si="932"/>
        <v>2.4115938081619683</v>
      </c>
      <c r="IS217" s="263">
        <f t="shared" si="932"/>
        <v>1.465870746137667</v>
      </c>
      <c r="IT217" s="230">
        <f t="shared" si="933"/>
        <v>28.679051855886936</v>
      </c>
      <c r="IU217" s="266"/>
      <c r="IV217" s="263">
        <f t="shared" si="934"/>
        <v>5.2960491473360873</v>
      </c>
      <c r="IW217" s="263">
        <f t="shared" si="934"/>
        <v>5.2960491473360873</v>
      </c>
      <c r="IX217" s="263">
        <f t="shared" si="934"/>
        <v>40.713377820146171</v>
      </c>
      <c r="IY217" s="263">
        <f t="shared" si="934"/>
        <v>5.2960491473360873</v>
      </c>
      <c r="IZ217" s="263">
        <f t="shared" si="934"/>
        <v>15.888147442008263</v>
      </c>
      <c r="JA217" s="263">
        <f t="shared" si="934"/>
        <v>5.2960491473360873</v>
      </c>
      <c r="JB217" s="263">
        <f t="shared" si="934"/>
        <v>71.496663489037175</v>
      </c>
      <c r="JC217" s="263">
        <f t="shared" si="934"/>
        <v>5.2960491473360873</v>
      </c>
      <c r="JD217" s="263">
        <f t="shared" si="934"/>
        <v>11.254104438089184</v>
      </c>
      <c r="JE217" s="263">
        <f t="shared" si="934"/>
        <v>7.778572185149879</v>
      </c>
      <c r="JF217" s="263">
        <f t="shared" si="934"/>
        <v>16.881156657133779</v>
      </c>
      <c r="JG217" s="263">
        <f t="shared" si="934"/>
        <v>10.261095222963668</v>
      </c>
      <c r="JH217" s="230">
        <f t="shared" si="935"/>
        <v>200.75336299120852</v>
      </c>
      <c r="JI217" s="266"/>
      <c r="JJ217" s="263">
        <f t="shared" si="936"/>
        <v>8.3223629458138522</v>
      </c>
      <c r="JK217" s="263">
        <f t="shared" si="936"/>
        <v>8.3223629458138522</v>
      </c>
      <c r="JL217" s="263">
        <f t="shared" si="936"/>
        <v>63.978165145943976</v>
      </c>
      <c r="JM217" s="263">
        <f t="shared" si="936"/>
        <v>8.3223629458138522</v>
      </c>
      <c r="JN217" s="263">
        <f t="shared" si="936"/>
        <v>24.967088837441555</v>
      </c>
      <c r="JO217" s="263">
        <f t="shared" si="936"/>
        <v>8.3223629458138522</v>
      </c>
      <c r="JP217" s="263">
        <f t="shared" si="936"/>
        <v>112.35189976848697</v>
      </c>
      <c r="JQ217" s="263">
        <f t="shared" si="936"/>
        <v>8.3223629458138522</v>
      </c>
      <c r="JR217" s="263">
        <f t="shared" si="936"/>
        <v>17.685021259854434</v>
      </c>
      <c r="JS217" s="263">
        <f t="shared" si="936"/>
        <v>12.223470576664095</v>
      </c>
      <c r="JT217" s="263">
        <f t="shared" si="936"/>
        <v>26.527531889781649</v>
      </c>
      <c r="JU217" s="263">
        <f t="shared" si="936"/>
        <v>16.124578207514336</v>
      </c>
      <c r="JV217" s="230">
        <f t="shared" si="937"/>
        <v>315.46957041475628</v>
      </c>
      <c r="JW217" s="266"/>
      <c r="JX217" s="263">
        <f t="shared" si="938"/>
        <v>3.7828922480972054</v>
      </c>
      <c r="JY217" s="263">
        <f t="shared" si="938"/>
        <v>3.7828922480972054</v>
      </c>
      <c r="JZ217" s="263">
        <f t="shared" si="938"/>
        <v>29.080984157247261</v>
      </c>
      <c r="KA217" s="263">
        <f t="shared" si="938"/>
        <v>3.7828922480972054</v>
      </c>
      <c r="KB217" s="263">
        <f t="shared" si="938"/>
        <v>11.348676744291616</v>
      </c>
      <c r="KC217" s="263">
        <f t="shared" si="938"/>
        <v>3.7828922480972054</v>
      </c>
      <c r="KD217" s="263">
        <f t="shared" si="938"/>
        <v>51.069045349312262</v>
      </c>
      <c r="KE217" s="263">
        <f t="shared" si="938"/>
        <v>3.7828922480972054</v>
      </c>
      <c r="KF217" s="263">
        <f t="shared" si="938"/>
        <v>8.0386460272065605</v>
      </c>
      <c r="KG217" s="263">
        <f t="shared" si="938"/>
        <v>5.5561229893927697</v>
      </c>
      <c r="KH217" s="263">
        <f t="shared" si="938"/>
        <v>12.057969040809841</v>
      </c>
      <c r="KI217" s="263">
        <f t="shared" si="938"/>
        <v>7.329353730688335</v>
      </c>
      <c r="KJ217" s="230">
        <f t="shared" si="939"/>
        <v>143.39525927943467</v>
      </c>
      <c r="KK217" s="266"/>
      <c r="KL217" s="263">
        <f t="shared" si="940"/>
        <v>1.5131568992388822</v>
      </c>
      <c r="KM217" s="263">
        <f t="shared" si="940"/>
        <v>1.5131568992388822</v>
      </c>
      <c r="KN217" s="263">
        <f t="shared" si="940"/>
        <v>11.632393662898906</v>
      </c>
      <c r="KO217" s="263">
        <f t="shared" si="940"/>
        <v>1.5131568992388822</v>
      </c>
      <c r="KP217" s="263">
        <f t="shared" si="940"/>
        <v>4.5394706977166459</v>
      </c>
      <c r="KQ217" s="263">
        <f t="shared" si="940"/>
        <v>1.5131568992388822</v>
      </c>
      <c r="KR217" s="263">
        <f t="shared" si="940"/>
        <v>20.427618139724906</v>
      </c>
      <c r="KS217" s="263">
        <f t="shared" si="940"/>
        <v>1.5131568992388822</v>
      </c>
      <c r="KT217" s="263">
        <f t="shared" si="940"/>
        <v>3.2154584108826243</v>
      </c>
      <c r="KU217" s="263">
        <f t="shared" si="940"/>
        <v>2.222449195757108</v>
      </c>
      <c r="KV217" s="263">
        <f t="shared" si="940"/>
        <v>4.8231876163239367</v>
      </c>
      <c r="KW217" s="263">
        <f t="shared" si="940"/>
        <v>2.931741492275334</v>
      </c>
      <c r="KX217" s="230">
        <f t="shared" si="941"/>
        <v>57.358103711773872</v>
      </c>
      <c r="KY217" s="266"/>
      <c r="KZ217" s="263">
        <f t="shared" si="942"/>
        <v>0.7565784496194411</v>
      </c>
      <c r="LA217" s="263">
        <f t="shared" si="942"/>
        <v>0.7565784496194411</v>
      </c>
      <c r="LB217" s="263">
        <f t="shared" si="942"/>
        <v>5.816196831449453</v>
      </c>
      <c r="LC217" s="263">
        <f t="shared" si="942"/>
        <v>0.7565784496194411</v>
      </c>
      <c r="LD217" s="263">
        <f t="shared" si="942"/>
        <v>2.269735348858323</v>
      </c>
      <c r="LE217" s="263">
        <f t="shared" si="942"/>
        <v>0.7565784496194411</v>
      </c>
      <c r="LF217" s="263">
        <f t="shared" si="942"/>
        <v>10.213809069862453</v>
      </c>
      <c r="LG217" s="263">
        <f t="shared" si="942"/>
        <v>0.7565784496194411</v>
      </c>
      <c r="LH217" s="263">
        <f t="shared" si="942"/>
        <v>1.6077292054413121</v>
      </c>
      <c r="LI217" s="263">
        <f t="shared" si="942"/>
        <v>1.111224597878554</v>
      </c>
      <c r="LJ217" s="263">
        <f t="shared" si="942"/>
        <v>2.4115938081619683</v>
      </c>
      <c r="LK217" s="263">
        <f t="shared" si="942"/>
        <v>1.465870746137667</v>
      </c>
      <c r="LL217" s="230">
        <f t="shared" si="943"/>
        <v>28.679051855886936</v>
      </c>
      <c r="LM217" s="266"/>
      <c r="LN217" s="263">
        <v>0</v>
      </c>
      <c r="LO217" s="264">
        <v>0</v>
      </c>
      <c r="LP217" s="265">
        <v>0</v>
      </c>
      <c r="LQ217" s="265">
        <v>0</v>
      </c>
      <c r="LR217" s="265">
        <v>0</v>
      </c>
      <c r="LS217" s="265">
        <v>0</v>
      </c>
      <c r="LT217" s="265">
        <v>0</v>
      </c>
      <c r="LU217" s="265">
        <v>0</v>
      </c>
      <c r="LV217" s="265">
        <v>0</v>
      </c>
      <c r="LW217" s="265">
        <v>0</v>
      </c>
      <c r="LX217" s="265">
        <v>0</v>
      </c>
      <c r="LY217" s="265">
        <v>0</v>
      </c>
      <c r="LZ217" s="230">
        <f t="shared" si="944"/>
        <v>0</v>
      </c>
      <c r="MA217" s="266"/>
      <c r="MB217" s="230">
        <f t="shared" si="945"/>
        <v>124.07886573758833</v>
      </c>
      <c r="MC217" s="230">
        <f t="shared" si="945"/>
        <v>124.07886573758833</v>
      </c>
      <c r="MD217" s="230">
        <f t="shared" si="945"/>
        <v>953.8562803577106</v>
      </c>
      <c r="ME217" s="230">
        <f t="shared" si="945"/>
        <v>124.07886573758833</v>
      </c>
      <c r="MF217" s="230">
        <f t="shared" si="945"/>
        <v>372.23659721276499</v>
      </c>
      <c r="MG217" s="230">
        <f t="shared" si="945"/>
        <v>124.07886573758833</v>
      </c>
      <c r="MH217" s="230">
        <f t="shared" si="945"/>
        <v>1675.0646874574427</v>
      </c>
      <c r="MI217" s="230">
        <f t="shared" si="945"/>
        <v>124.07886573758833</v>
      </c>
      <c r="MJ217" s="230">
        <f t="shared" si="945"/>
        <v>263.66758969237509</v>
      </c>
      <c r="MK217" s="230">
        <f t="shared" si="945"/>
        <v>182.2408340520829</v>
      </c>
      <c r="ML217" s="230">
        <f t="shared" si="945"/>
        <v>395.50138453856277</v>
      </c>
      <c r="MM217" s="230">
        <f t="shared" si="945"/>
        <v>240.40280236657728</v>
      </c>
      <c r="MN217" s="230">
        <f t="shared" si="948"/>
        <v>4703.3645043654578</v>
      </c>
    </row>
    <row r="218" spans="1:352" x14ac:dyDescent="0.25">
      <c r="A218" s="262"/>
      <c r="B218" s="64" t="s">
        <v>91</v>
      </c>
      <c r="C218" s="98"/>
      <c r="D218" s="263">
        <f t="shared" si="899"/>
        <v>0</v>
      </c>
      <c r="E218" s="263">
        <f t="shared" si="899"/>
        <v>0</v>
      </c>
      <c r="F218" s="263">
        <f t="shared" si="899"/>
        <v>0</v>
      </c>
      <c r="G218" s="263">
        <f t="shared" si="899"/>
        <v>0</v>
      </c>
      <c r="H218" s="263">
        <f t="shared" si="899"/>
        <v>0</v>
      </c>
      <c r="I218" s="263">
        <f t="shared" si="899"/>
        <v>0</v>
      </c>
      <c r="J218" s="263">
        <f t="shared" si="899"/>
        <v>0</v>
      </c>
      <c r="K218" s="263">
        <f t="shared" si="899"/>
        <v>0</v>
      </c>
      <c r="L218" s="263">
        <f t="shared" si="899"/>
        <v>0</v>
      </c>
      <c r="M218" s="263">
        <f t="shared" si="899"/>
        <v>0</v>
      </c>
      <c r="N218" s="263">
        <f t="shared" si="899"/>
        <v>0</v>
      </c>
      <c r="O218" s="263">
        <f t="shared" si="899"/>
        <v>0</v>
      </c>
      <c r="P218" s="230">
        <f t="shared" si="900"/>
        <v>0</v>
      </c>
      <c r="Q218" s="266"/>
      <c r="R218" s="263">
        <f t="shared" si="901"/>
        <v>0</v>
      </c>
      <c r="S218" s="263">
        <f t="shared" si="901"/>
        <v>0</v>
      </c>
      <c r="T218" s="263">
        <f t="shared" si="901"/>
        <v>0</v>
      </c>
      <c r="U218" s="263">
        <f t="shared" si="901"/>
        <v>0</v>
      </c>
      <c r="V218" s="263">
        <f t="shared" si="901"/>
        <v>0</v>
      </c>
      <c r="W218" s="263">
        <f t="shared" si="901"/>
        <v>0</v>
      </c>
      <c r="X218" s="263">
        <f t="shared" si="901"/>
        <v>0</v>
      </c>
      <c r="Y218" s="263">
        <f t="shared" si="901"/>
        <v>0</v>
      </c>
      <c r="Z218" s="263">
        <f t="shared" si="901"/>
        <v>0</v>
      </c>
      <c r="AA218" s="263">
        <f t="shared" si="901"/>
        <v>0</v>
      </c>
      <c r="AB218" s="263">
        <f t="shared" si="901"/>
        <v>0</v>
      </c>
      <c r="AC218" s="263">
        <f t="shared" si="901"/>
        <v>0</v>
      </c>
      <c r="AD218" s="230">
        <f t="shared" si="902"/>
        <v>0</v>
      </c>
      <c r="AE218" s="266"/>
      <c r="AF218" s="263">
        <f t="shared" si="903"/>
        <v>0</v>
      </c>
      <c r="AG218" s="263">
        <f t="shared" si="903"/>
        <v>0</v>
      </c>
      <c r="AH218" s="263">
        <f t="shared" si="903"/>
        <v>0</v>
      </c>
      <c r="AI218" s="263">
        <f t="shared" si="903"/>
        <v>0</v>
      </c>
      <c r="AJ218" s="263">
        <f t="shared" si="903"/>
        <v>0</v>
      </c>
      <c r="AK218" s="263">
        <f t="shared" si="903"/>
        <v>0</v>
      </c>
      <c r="AL218" s="263">
        <f t="shared" si="903"/>
        <v>0</v>
      </c>
      <c r="AM218" s="263">
        <f t="shared" si="903"/>
        <v>0</v>
      </c>
      <c r="AN218" s="263">
        <f t="shared" si="903"/>
        <v>0</v>
      </c>
      <c r="AO218" s="263">
        <f t="shared" si="903"/>
        <v>0</v>
      </c>
      <c r="AP218" s="263">
        <f t="shared" si="903"/>
        <v>0</v>
      </c>
      <c r="AQ218" s="263">
        <f t="shared" si="903"/>
        <v>0</v>
      </c>
      <c r="AR218" s="230">
        <f t="shared" si="904"/>
        <v>0</v>
      </c>
      <c r="AS218" s="266"/>
      <c r="AT218" s="263">
        <f t="shared" si="905"/>
        <v>0</v>
      </c>
      <c r="AU218" s="263">
        <f t="shared" si="905"/>
        <v>0</v>
      </c>
      <c r="AV218" s="263">
        <f t="shared" si="905"/>
        <v>0</v>
      </c>
      <c r="AW218" s="263">
        <f t="shared" si="905"/>
        <v>0</v>
      </c>
      <c r="AX218" s="263">
        <f t="shared" si="905"/>
        <v>0</v>
      </c>
      <c r="AY218" s="263">
        <f t="shared" si="905"/>
        <v>0</v>
      </c>
      <c r="AZ218" s="263">
        <f t="shared" si="905"/>
        <v>0</v>
      </c>
      <c r="BA218" s="263">
        <f t="shared" si="905"/>
        <v>0</v>
      </c>
      <c r="BB218" s="263">
        <f t="shared" si="905"/>
        <v>0</v>
      </c>
      <c r="BC218" s="263">
        <f t="shared" si="905"/>
        <v>0</v>
      </c>
      <c r="BD218" s="263">
        <f t="shared" si="905"/>
        <v>0</v>
      </c>
      <c r="BE218" s="263">
        <f t="shared" si="905"/>
        <v>0</v>
      </c>
      <c r="BF218" s="230">
        <f t="shared" si="906"/>
        <v>0</v>
      </c>
      <c r="BG218" s="224"/>
      <c r="BH218" s="263">
        <f t="shared" si="907"/>
        <v>0</v>
      </c>
      <c r="BI218" s="263">
        <f t="shared" si="907"/>
        <v>0</v>
      </c>
      <c r="BJ218" s="263">
        <f t="shared" si="907"/>
        <v>0</v>
      </c>
      <c r="BK218" s="263">
        <f t="shared" si="907"/>
        <v>0</v>
      </c>
      <c r="BL218" s="263">
        <f t="shared" si="907"/>
        <v>0</v>
      </c>
      <c r="BM218" s="263">
        <f t="shared" si="907"/>
        <v>0</v>
      </c>
      <c r="BN218" s="263">
        <f t="shared" si="907"/>
        <v>0</v>
      </c>
      <c r="BO218" s="263">
        <f t="shared" si="907"/>
        <v>0</v>
      </c>
      <c r="BP218" s="263">
        <f t="shared" si="907"/>
        <v>0</v>
      </c>
      <c r="BQ218" s="263">
        <f t="shared" si="907"/>
        <v>0</v>
      </c>
      <c r="BR218" s="263">
        <f t="shared" si="907"/>
        <v>0</v>
      </c>
      <c r="BS218" s="263">
        <f t="shared" si="907"/>
        <v>0</v>
      </c>
      <c r="BT218" s="230">
        <f t="shared" si="908"/>
        <v>0</v>
      </c>
      <c r="BU218" s="266"/>
      <c r="BV218" s="263">
        <f t="shared" si="909"/>
        <v>0</v>
      </c>
      <c r="BW218" s="263">
        <f t="shared" si="909"/>
        <v>0</v>
      </c>
      <c r="BX218" s="263">
        <f t="shared" si="909"/>
        <v>0</v>
      </c>
      <c r="BY218" s="263">
        <f t="shared" si="909"/>
        <v>0</v>
      </c>
      <c r="BZ218" s="263">
        <f t="shared" si="909"/>
        <v>0</v>
      </c>
      <c r="CA218" s="263">
        <f t="shared" si="909"/>
        <v>0</v>
      </c>
      <c r="CB218" s="263">
        <f t="shared" si="909"/>
        <v>0</v>
      </c>
      <c r="CC218" s="263">
        <f t="shared" si="909"/>
        <v>0</v>
      </c>
      <c r="CD218" s="263">
        <f t="shared" si="909"/>
        <v>0</v>
      </c>
      <c r="CE218" s="263">
        <f t="shared" si="909"/>
        <v>0</v>
      </c>
      <c r="CF218" s="263">
        <f t="shared" si="909"/>
        <v>0</v>
      </c>
      <c r="CG218" s="263">
        <f t="shared" si="909"/>
        <v>0</v>
      </c>
      <c r="CH218" s="230">
        <f t="shared" si="910"/>
        <v>0</v>
      </c>
      <c r="CI218" s="266"/>
      <c r="CJ218" s="263">
        <f t="shared" si="911"/>
        <v>0</v>
      </c>
      <c r="CK218" s="263">
        <f t="shared" si="911"/>
        <v>0</v>
      </c>
      <c r="CL218" s="263">
        <f t="shared" si="911"/>
        <v>0</v>
      </c>
      <c r="CM218" s="263">
        <f t="shared" si="911"/>
        <v>0</v>
      </c>
      <c r="CN218" s="263">
        <f t="shared" si="911"/>
        <v>0</v>
      </c>
      <c r="CO218" s="263">
        <f t="shared" si="911"/>
        <v>0</v>
      </c>
      <c r="CP218" s="263">
        <f t="shared" si="911"/>
        <v>0</v>
      </c>
      <c r="CQ218" s="263">
        <f t="shared" si="911"/>
        <v>0</v>
      </c>
      <c r="CR218" s="263">
        <f t="shared" si="911"/>
        <v>0</v>
      </c>
      <c r="CS218" s="263">
        <f t="shared" si="911"/>
        <v>0</v>
      </c>
      <c r="CT218" s="263">
        <f t="shared" si="911"/>
        <v>0</v>
      </c>
      <c r="CU218" s="263">
        <f t="shared" si="911"/>
        <v>0</v>
      </c>
      <c r="CV218" s="230">
        <f t="shared" si="912"/>
        <v>0</v>
      </c>
      <c r="CW218" s="266"/>
      <c r="CX218" s="263">
        <f t="shared" si="913"/>
        <v>0</v>
      </c>
      <c r="CY218" s="263">
        <f t="shared" si="913"/>
        <v>0</v>
      </c>
      <c r="CZ218" s="263">
        <f t="shared" si="913"/>
        <v>0</v>
      </c>
      <c r="DA218" s="263">
        <f t="shared" si="913"/>
        <v>0</v>
      </c>
      <c r="DB218" s="263">
        <f t="shared" si="913"/>
        <v>0</v>
      </c>
      <c r="DC218" s="263">
        <f t="shared" si="913"/>
        <v>0</v>
      </c>
      <c r="DD218" s="263">
        <f t="shared" si="913"/>
        <v>0</v>
      </c>
      <c r="DE218" s="263">
        <f t="shared" si="913"/>
        <v>0</v>
      </c>
      <c r="DF218" s="263">
        <f t="shared" si="913"/>
        <v>0</v>
      </c>
      <c r="DG218" s="263">
        <f t="shared" si="913"/>
        <v>0</v>
      </c>
      <c r="DH218" s="263">
        <f t="shared" si="913"/>
        <v>0</v>
      </c>
      <c r="DI218" s="263">
        <f t="shared" si="913"/>
        <v>0</v>
      </c>
      <c r="DJ218" s="230">
        <f t="shared" si="914"/>
        <v>0</v>
      </c>
      <c r="DK218" s="266"/>
      <c r="DL218" s="263">
        <f t="shared" si="915"/>
        <v>0</v>
      </c>
      <c r="DM218" s="263">
        <f t="shared" si="915"/>
        <v>0</v>
      </c>
      <c r="DN218" s="263">
        <f t="shared" si="915"/>
        <v>0</v>
      </c>
      <c r="DO218" s="263">
        <f t="shared" si="915"/>
        <v>0</v>
      </c>
      <c r="DP218" s="263">
        <f t="shared" si="915"/>
        <v>0</v>
      </c>
      <c r="DQ218" s="263">
        <f t="shared" si="915"/>
        <v>0</v>
      </c>
      <c r="DR218" s="263">
        <f t="shared" si="915"/>
        <v>0</v>
      </c>
      <c r="DS218" s="263">
        <f t="shared" si="915"/>
        <v>0</v>
      </c>
      <c r="DT218" s="263">
        <f t="shared" si="915"/>
        <v>0</v>
      </c>
      <c r="DU218" s="263">
        <f t="shared" si="915"/>
        <v>0</v>
      </c>
      <c r="DV218" s="263">
        <f t="shared" si="915"/>
        <v>0</v>
      </c>
      <c r="DW218" s="263">
        <f t="shared" si="915"/>
        <v>0</v>
      </c>
      <c r="DX218" s="230">
        <f t="shared" si="916"/>
        <v>0</v>
      </c>
      <c r="DY218" s="266"/>
      <c r="DZ218" s="263">
        <f t="shared" si="917"/>
        <v>0</v>
      </c>
      <c r="EA218" s="263">
        <f t="shared" si="917"/>
        <v>0</v>
      </c>
      <c r="EB218" s="263">
        <f t="shared" si="917"/>
        <v>0</v>
      </c>
      <c r="EC218" s="263">
        <f t="shared" si="917"/>
        <v>0</v>
      </c>
      <c r="ED218" s="263">
        <f t="shared" si="917"/>
        <v>0</v>
      </c>
      <c r="EE218" s="263">
        <f t="shared" si="917"/>
        <v>0</v>
      </c>
      <c r="EF218" s="263">
        <f t="shared" si="917"/>
        <v>0</v>
      </c>
      <c r="EG218" s="263">
        <f t="shared" si="917"/>
        <v>0</v>
      </c>
      <c r="EH218" s="263">
        <f t="shared" si="917"/>
        <v>0</v>
      </c>
      <c r="EI218" s="263">
        <f t="shared" si="917"/>
        <v>0</v>
      </c>
      <c r="EJ218" s="263">
        <f t="shared" si="917"/>
        <v>0</v>
      </c>
      <c r="EK218" s="263">
        <f t="shared" si="917"/>
        <v>0</v>
      </c>
      <c r="EL218" s="230">
        <f t="shared" si="918"/>
        <v>0</v>
      </c>
      <c r="EM218" s="266"/>
      <c r="EN218" s="263">
        <f t="shared" si="919"/>
        <v>0</v>
      </c>
      <c r="EO218" s="263">
        <f t="shared" si="919"/>
        <v>0</v>
      </c>
      <c r="EP218" s="263">
        <f t="shared" si="919"/>
        <v>0</v>
      </c>
      <c r="EQ218" s="263">
        <f t="shared" si="919"/>
        <v>0</v>
      </c>
      <c r="ER218" s="263">
        <f t="shared" si="919"/>
        <v>0</v>
      </c>
      <c r="ES218" s="263">
        <f t="shared" si="919"/>
        <v>0</v>
      </c>
      <c r="ET218" s="263">
        <f t="shared" si="919"/>
        <v>0</v>
      </c>
      <c r="EU218" s="263">
        <f t="shared" si="919"/>
        <v>0</v>
      </c>
      <c r="EV218" s="263">
        <f t="shared" si="919"/>
        <v>0</v>
      </c>
      <c r="EW218" s="263">
        <f t="shared" si="919"/>
        <v>0</v>
      </c>
      <c r="EX218" s="263">
        <f t="shared" si="919"/>
        <v>0</v>
      </c>
      <c r="EY218" s="263">
        <f t="shared" si="919"/>
        <v>0</v>
      </c>
      <c r="EZ218" s="230">
        <f t="shared" si="920"/>
        <v>0</v>
      </c>
      <c r="FA218" s="266"/>
      <c r="FB218" s="263">
        <f t="shared" si="921"/>
        <v>0</v>
      </c>
      <c r="FC218" s="263">
        <f t="shared" si="921"/>
        <v>0</v>
      </c>
      <c r="FD218" s="263">
        <f t="shared" si="921"/>
        <v>0</v>
      </c>
      <c r="FE218" s="263">
        <f t="shared" si="921"/>
        <v>0</v>
      </c>
      <c r="FF218" s="263">
        <f t="shared" si="921"/>
        <v>0</v>
      </c>
      <c r="FG218" s="263">
        <f t="shared" si="921"/>
        <v>0</v>
      </c>
      <c r="FH218" s="263">
        <f t="shared" si="921"/>
        <v>0</v>
      </c>
      <c r="FI218" s="263">
        <f t="shared" si="921"/>
        <v>0</v>
      </c>
      <c r="FJ218" s="263">
        <f t="shared" si="921"/>
        <v>0</v>
      </c>
      <c r="FK218" s="263">
        <f t="shared" si="921"/>
        <v>0</v>
      </c>
      <c r="FL218" s="263">
        <f t="shared" si="921"/>
        <v>0</v>
      </c>
      <c r="FM218" s="263">
        <f t="shared" si="921"/>
        <v>0</v>
      </c>
      <c r="FN218" s="230">
        <f t="shared" si="922"/>
        <v>0</v>
      </c>
      <c r="FO218" s="266"/>
      <c r="FP218" s="263">
        <f t="shared" si="923"/>
        <v>0</v>
      </c>
      <c r="FQ218" s="263">
        <f t="shared" si="923"/>
        <v>0</v>
      </c>
      <c r="FR218" s="263">
        <f t="shared" si="923"/>
        <v>0</v>
      </c>
      <c r="FS218" s="263">
        <f t="shared" si="923"/>
        <v>0</v>
      </c>
      <c r="FT218" s="263">
        <f t="shared" si="923"/>
        <v>0</v>
      </c>
      <c r="FU218" s="263">
        <f t="shared" si="923"/>
        <v>0</v>
      </c>
      <c r="FV218" s="263">
        <f t="shared" si="923"/>
        <v>0</v>
      </c>
      <c r="FW218" s="263">
        <f t="shared" si="923"/>
        <v>0</v>
      </c>
      <c r="FX218" s="263">
        <f t="shared" si="923"/>
        <v>0</v>
      </c>
      <c r="FY218" s="263">
        <f t="shared" si="923"/>
        <v>0</v>
      </c>
      <c r="FZ218" s="263">
        <f t="shared" si="923"/>
        <v>0</v>
      </c>
      <c r="GA218" s="263">
        <f t="shared" si="923"/>
        <v>0</v>
      </c>
      <c r="GB218" s="230">
        <f t="shared" si="924"/>
        <v>0</v>
      </c>
      <c r="GC218" s="266"/>
      <c r="GD218" s="263">
        <f t="shared" si="925"/>
        <v>0</v>
      </c>
      <c r="GE218" s="263">
        <f t="shared" si="925"/>
        <v>0</v>
      </c>
      <c r="GF218" s="263">
        <f t="shared" si="925"/>
        <v>0</v>
      </c>
      <c r="GG218" s="263">
        <f t="shared" si="925"/>
        <v>0</v>
      </c>
      <c r="GH218" s="263">
        <f t="shared" si="925"/>
        <v>0</v>
      </c>
      <c r="GI218" s="263">
        <f t="shared" si="925"/>
        <v>0</v>
      </c>
      <c r="GJ218" s="263">
        <f t="shared" si="925"/>
        <v>0</v>
      </c>
      <c r="GK218" s="263">
        <f t="shared" si="925"/>
        <v>0</v>
      </c>
      <c r="GL218" s="263">
        <f t="shared" si="925"/>
        <v>0</v>
      </c>
      <c r="GM218" s="263">
        <f t="shared" si="925"/>
        <v>0</v>
      </c>
      <c r="GN218" s="263">
        <f t="shared" si="925"/>
        <v>0</v>
      </c>
      <c r="GO218" s="263">
        <f t="shared" si="925"/>
        <v>0</v>
      </c>
      <c r="GP218" s="230">
        <f t="shared" si="926"/>
        <v>0</v>
      </c>
      <c r="GQ218" s="266"/>
      <c r="GR218" s="263">
        <f t="shared" si="927"/>
        <v>0</v>
      </c>
      <c r="GS218" s="263">
        <f t="shared" si="927"/>
        <v>0</v>
      </c>
      <c r="GT218" s="263">
        <f t="shared" si="927"/>
        <v>0</v>
      </c>
      <c r="GU218" s="263">
        <f t="shared" si="927"/>
        <v>0</v>
      </c>
      <c r="GV218" s="263">
        <f t="shared" si="927"/>
        <v>0</v>
      </c>
      <c r="GW218" s="263">
        <f t="shared" si="927"/>
        <v>0</v>
      </c>
      <c r="GX218" s="263">
        <f t="shared" si="927"/>
        <v>0</v>
      </c>
      <c r="GY218" s="263">
        <f t="shared" si="927"/>
        <v>0</v>
      </c>
      <c r="GZ218" s="263">
        <f t="shared" si="927"/>
        <v>0</v>
      </c>
      <c r="HA218" s="263">
        <f t="shared" si="927"/>
        <v>0</v>
      </c>
      <c r="HB218" s="263">
        <f t="shared" si="927"/>
        <v>0</v>
      </c>
      <c r="HC218" s="263">
        <f t="shared" si="927"/>
        <v>0</v>
      </c>
      <c r="HD218" s="230">
        <f t="shared" si="947"/>
        <v>0</v>
      </c>
      <c r="HE218" s="266"/>
      <c r="HF218" s="263">
        <f t="shared" si="928"/>
        <v>0</v>
      </c>
      <c r="HG218" s="263">
        <f t="shared" si="928"/>
        <v>0</v>
      </c>
      <c r="HH218" s="263">
        <f t="shared" si="928"/>
        <v>0</v>
      </c>
      <c r="HI218" s="263">
        <f t="shared" si="928"/>
        <v>0</v>
      </c>
      <c r="HJ218" s="263">
        <f t="shared" si="928"/>
        <v>0</v>
      </c>
      <c r="HK218" s="263">
        <f t="shared" si="928"/>
        <v>0</v>
      </c>
      <c r="HL218" s="263">
        <f t="shared" si="928"/>
        <v>0</v>
      </c>
      <c r="HM218" s="263">
        <f t="shared" si="928"/>
        <v>0</v>
      </c>
      <c r="HN218" s="263">
        <f t="shared" si="928"/>
        <v>0</v>
      </c>
      <c r="HO218" s="263">
        <f t="shared" si="928"/>
        <v>0</v>
      </c>
      <c r="HP218" s="263">
        <f t="shared" si="928"/>
        <v>0</v>
      </c>
      <c r="HQ218" s="263">
        <f t="shared" si="928"/>
        <v>0</v>
      </c>
      <c r="HR218" s="230">
        <f t="shared" si="929"/>
        <v>0</v>
      </c>
      <c r="HS218" s="266"/>
      <c r="HT218" s="263">
        <f t="shared" si="930"/>
        <v>0</v>
      </c>
      <c r="HU218" s="263">
        <f t="shared" si="930"/>
        <v>0</v>
      </c>
      <c r="HV218" s="263">
        <f t="shared" si="930"/>
        <v>0</v>
      </c>
      <c r="HW218" s="263">
        <f t="shared" si="930"/>
        <v>0</v>
      </c>
      <c r="HX218" s="263">
        <f t="shared" si="930"/>
        <v>0</v>
      </c>
      <c r="HY218" s="263">
        <f t="shared" si="930"/>
        <v>0</v>
      </c>
      <c r="HZ218" s="263">
        <f t="shared" si="930"/>
        <v>0</v>
      </c>
      <c r="IA218" s="263">
        <f t="shared" si="930"/>
        <v>0</v>
      </c>
      <c r="IB218" s="263">
        <f t="shared" si="930"/>
        <v>0</v>
      </c>
      <c r="IC218" s="263">
        <f t="shared" si="930"/>
        <v>0</v>
      </c>
      <c r="ID218" s="263">
        <f t="shared" si="930"/>
        <v>0</v>
      </c>
      <c r="IE218" s="263">
        <f t="shared" si="930"/>
        <v>0</v>
      </c>
      <c r="IF218" s="230">
        <f t="shared" si="931"/>
        <v>0</v>
      </c>
      <c r="IG218" s="266"/>
      <c r="IH218" s="263">
        <f t="shared" si="932"/>
        <v>0</v>
      </c>
      <c r="II218" s="263">
        <f t="shared" si="932"/>
        <v>0</v>
      </c>
      <c r="IJ218" s="263">
        <f t="shared" si="932"/>
        <v>0</v>
      </c>
      <c r="IK218" s="263">
        <f t="shared" si="932"/>
        <v>0</v>
      </c>
      <c r="IL218" s="263">
        <f t="shared" si="932"/>
        <v>0</v>
      </c>
      <c r="IM218" s="263">
        <f t="shared" si="932"/>
        <v>0</v>
      </c>
      <c r="IN218" s="263">
        <f t="shared" si="932"/>
        <v>0</v>
      </c>
      <c r="IO218" s="263">
        <f t="shared" si="932"/>
        <v>0</v>
      </c>
      <c r="IP218" s="263">
        <f t="shared" si="932"/>
        <v>0</v>
      </c>
      <c r="IQ218" s="263">
        <f t="shared" si="932"/>
        <v>0</v>
      </c>
      <c r="IR218" s="263">
        <f t="shared" si="932"/>
        <v>0</v>
      </c>
      <c r="IS218" s="263">
        <f t="shared" si="932"/>
        <v>0</v>
      </c>
      <c r="IT218" s="230">
        <f t="shared" si="933"/>
        <v>0</v>
      </c>
      <c r="IU218" s="266"/>
      <c r="IV218" s="263">
        <f t="shared" si="934"/>
        <v>0</v>
      </c>
      <c r="IW218" s="263">
        <f t="shared" si="934"/>
        <v>0</v>
      </c>
      <c r="IX218" s="263">
        <f t="shared" si="934"/>
        <v>0</v>
      </c>
      <c r="IY218" s="263">
        <f t="shared" si="934"/>
        <v>0</v>
      </c>
      <c r="IZ218" s="263">
        <f t="shared" si="934"/>
        <v>0</v>
      </c>
      <c r="JA218" s="263">
        <f t="shared" si="934"/>
        <v>0</v>
      </c>
      <c r="JB218" s="263">
        <f t="shared" si="934"/>
        <v>0</v>
      </c>
      <c r="JC218" s="263">
        <f t="shared" si="934"/>
        <v>0</v>
      </c>
      <c r="JD218" s="263">
        <f t="shared" si="934"/>
        <v>0</v>
      </c>
      <c r="JE218" s="263">
        <f t="shared" si="934"/>
        <v>0</v>
      </c>
      <c r="JF218" s="263">
        <f t="shared" si="934"/>
        <v>0</v>
      </c>
      <c r="JG218" s="263">
        <f t="shared" si="934"/>
        <v>0</v>
      </c>
      <c r="JH218" s="230">
        <f t="shared" si="935"/>
        <v>0</v>
      </c>
      <c r="JI218" s="266"/>
      <c r="JJ218" s="263">
        <f t="shared" si="936"/>
        <v>0</v>
      </c>
      <c r="JK218" s="263">
        <f t="shared" si="936"/>
        <v>0</v>
      </c>
      <c r="JL218" s="263">
        <f t="shared" si="936"/>
        <v>0</v>
      </c>
      <c r="JM218" s="263">
        <f t="shared" si="936"/>
        <v>0</v>
      </c>
      <c r="JN218" s="263">
        <f t="shared" si="936"/>
        <v>0</v>
      </c>
      <c r="JO218" s="263">
        <f t="shared" si="936"/>
        <v>0</v>
      </c>
      <c r="JP218" s="263">
        <f t="shared" si="936"/>
        <v>0</v>
      </c>
      <c r="JQ218" s="263">
        <f t="shared" si="936"/>
        <v>0</v>
      </c>
      <c r="JR218" s="263">
        <f t="shared" si="936"/>
        <v>0</v>
      </c>
      <c r="JS218" s="263">
        <f t="shared" si="936"/>
        <v>0</v>
      </c>
      <c r="JT218" s="263">
        <f t="shared" si="936"/>
        <v>0</v>
      </c>
      <c r="JU218" s="263">
        <f t="shared" si="936"/>
        <v>0</v>
      </c>
      <c r="JV218" s="230">
        <f t="shared" si="937"/>
        <v>0</v>
      </c>
      <c r="JW218" s="266"/>
      <c r="JX218" s="263">
        <f t="shared" si="938"/>
        <v>0</v>
      </c>
      <c r="JY218" s="263">
        <f t="shared" si="938"/>
        <v>0</v>
      </c>
      <c r="JZ218" s="263">
        <f t="shared" si="938"/>
        <v>0</v>
      </c>
      <c r="KA218" s="263">
        <f t="shared" si="938"/>
        <v>0</v>
      </c>
      <c r="KB218" s="263">
        <f t="shared" si="938"/>
        <v>0</v>
      </c>
      <c r="KC218" s="263">
        <f t="shared" si="938"/>
        <v>0</v>
      </c>
      <c r="KD218" s="263">
        <f t="shared" si="938"/>
        <v>0</v>
      </c>
      <c r="KE218" s="263">
        <f t="shared" si="938"/>
        <v>0</v>
      </c>
      <c r="KF218" s="263">
        <f t="shared" si="938"/>
        <v>0</v>
      </c>
      <c r="KG218" s="263">
        <f t="shared" si="938"/>
        <v>0</v>
      </c>
      <c r="KH218" s="263">
        <f t="shared" si="938"/>
        <v>0</v>
      </c>
      <c r="KI218" s="263">
        <f t="shared" si="938"/>
        <v>0</v>
      </c>
      <c r="KJ218" s="230">
        <f t="shared" si="939"/>
        <v>0</v>
      </c>
      <c r="KK218" s="266"/>
      <c r="KL218" s="263">
        <f t="shared" si="940"/>
        <v>0</v>
      </c>
      <c r="KM218" s="263">
        <f t="shared" si="940"/>
        <v>0</v>
      </c>
      <c r="KN218" s="263">
        <f t="shared" si="940"/>
        <v>0</v>
      </c>
      <c r="KO218" s="263">
        <f t="shared" si="940"/>
        <v>0</v>
      </c>
      <c r="KP218" s="263">
        <f t="shared" si="940"/>
        <v>0</v>
      </c>
      <c r="KQ218" s="263">
        <f t="shared" si="940"/>
        <v>0</v>
      </c>
      <c r="KR218" s="263">
        <f t="shared" si="940"/>
        <v>0</v>
      </c>
      <c r="KS218" s="263">
        <f t="shared" si="940"/>
        <v>0</v>
      </c>
      <c r="KT218" s="263">
        <f t="shared" si="940"/>
        <v>0</v>
      </c>
      <c r="KU218" s="263">
        <f t="shared" si="940"/>
        <v>0</v>
      </c>
      <c r="KV218" s="263">
        <f t="shared" si="940"/>
        <v>0</v>
      </c>
      <c r="KW218" s="263">
        <f t="shared" si="940"/>
        <v>0</v>
      </c>
      <c r="KX218" s="230">
        <f t="shared" si="941"/>
        <v>0</v>
      </c>
      <c r="KY218" s="266"/>
      <c r="KZ218" s="263">
        <f t="shared" si="942"/>
        <v>0</v>
      </c>
      <c r="LA218" s="263">
        <f t="shared" si="942"/>
        <v>0</v>
      </c>
      <c r="LB218" s="263">
        <f t="shared" si="942"/>
        <v>0</v>
      </c>
      <c r="LC218" s="263">
        <f t="shared" si="942"/>
        <v>0</v>
      </c>
      <c r="LD218" s="263">
        <f t="shared" si="942"/>
        <v>0</v>
      </c>
      <c r="LE218" s="263">
        <f t="shared" si="942"/>
        <v>0</v>
      </c>
      <c r="LF218" s="263">
        <f t="shared" si="942"/>
        <v>0</v>
      </c>
      <c r="LG218" s="263">
        <f t="shared" si="942"/>
        <v>0</v>
      </c>
      <c r="LH218" s="263">
        <f t="shared" si="942"/>
        <v>0</v>
      </c>
      <c r="LI218" s="263">
        <f t="shared" si="942"/>
        <v>0</v>
      </c>
      <c r="LJ218" s="263">
        <f t="shared" si="942"/>
        <v>0</v>
      </c>
      <c r="LK218" s="263">
        <f t="shared" si="942"/>
        <v>0</v>
      </c>
      <c r="LL218" s="230">
        <f t="shared" si="943"/>
        <v>0</v>
      </c>
      <c r="LM218" s="266"/>
      <c r="LN218" s="263">
        <v>0</v>
      </c>
      <c r="LO218" s="264">
        <v>0</v>
      </c>
      <c r="LP218" s="265">
        <v>0</v>
      </c>
      <c r="LQ218" s="265">
        <v>0</v>
      </c>
      <c r="LR218" s="265">
        <v>0</v>
      </c>
      <c r="LS218" s="265">
        <v>0</v>
      </c>
      <c r="LT218" s="265">
        <v>0</v>
      </c>
      <c r="LU218" s="265">
        <v>0</v>
      </c>
      <c r="LV218" s="265">
        <v>0</v>
      </c>
      <c r="LW218" s="265">
        <v>0</v>
      </c>
      <c r="LX218" s="265">
        <v>0</v>
      </c>
      <c r="LY218" s="265">
        <v>0</v>
      </c>
      <c r="LZ218" s="230">
        <f t="shared" si="944"/>
        <v>0</v>
      </c>
      <c r="MA218" s="266"/>
      <c r="MB218" s="230">
        <f t="shared" si="945"/>
        <v>0</v>
      </c>
      <c r="MC218" s="230">
        <f t="shared" si="945"/>
        <v>0</v>
      </c>
      <c r="MD218" s="230">
        <f t="shared" si="945"/>
        <v>0</v>
      </c>
      <c r="ME218" s="230">
        <f t="shared" si="945"/>
        <v>0</v>
      </c>
      <c r="MF218" s="230">
        <f t="shared" si="945"/>
        <v>0</v>
      </c>
      <c r="MG218" s="230">
        <f t="shared" si="945"/>
        <v>0</v>
      </c>
      <c r="MH218" s="230">
        <f t="shared" si="945"/>
        <v>0</v>
      </c>
      <c r="MI218" s="230">
        <f t="shared" si="945"/>
        <v>0</v>
      </c>
      <c r="MJ218" s="230">
        <f t="shared" si="945"/>
        <v>0</v>
      </c>
      <c r="MK218" s="230">
        <f t="shared" si="945"/>
        <v>0</v>
      </c>
      <c r="ML218" s="230">
        <f t="shared" si="945"/>
        <v>0</v>
      </c>
      <c r="MM218" s="230">
        <f t="shared" si="945"/>
        <v>0</v>
      </c>
      <c r="MN218" s="230">
        <f t="shared" si="948"/>
        <v>0</v>
      </c>
    </row>
    <row r="219" spans="1:352" x14ac:dyDescent="0.25">
      <c r="A219" s="262"/>
      <c r="B219" s="64" t="s">
        <v>92</v>
      </c>
      <c r="C219" s="202"/>
      <c r="D219" s="263">
        <f t="shared" ref="D219:O223" si="949">+D76/$D$144</f>
        <v>8.2277906396114204</v>
      </c>
      <c r="E219" s="263">
        <f t="shared" si="949"/>
        <v>8.2277906396114204</v>
      </c>
      <c r="F219" s="263">
        <f t="shared" si="949"/>
        <v>8.2277906396114204</v>
      </c>
      <c r="G219" s="263">
        <f t="shared" si="949"/>
        <v>8.2277906396114204</v>
      </c>
      <c r="H219" s="263">
        <f t="shared" si="949"/>
        <v>8.2277906396114204</v>
      </c>
      <c r="I219" s="263">
        <f t="shared" si="949"/>
        <v>8.2277906396114204</v>
      </c>
      <c r="J219" s="263">
        <f t="shared" si="949"/>
        <v>351.05240062342068</v>
      </c>
      <c r="K219" s="263">
        <f t="shared" si="949"/>
        <v>32.911162558445682</v>
      </c>
      <c r="L219" s="263">
        <f t="shared" si="949"/>
        <v>222.50556841738921</v>
      </c>
      <c r="M219" s="263">
        <f t="shared" si="949"/>
        <v>8.2277906396114204</v>
      </c>
      <c r="N219" s="263">
        <f t="shared" si="949"/>
        <v>8.2277906396114204</v>
      </c>
      <c r="O219" s="263">
        <f t="shared" si="949"/>
        <v>8.2277906396114204</v>
      </c>
      <c r="P219" s="230">
        <f t="shared" si="900"/>
        <v>680.51924735575824</v>
      </c>
      <c r="Q219" s="266"/>
      <c r="R219" s="263">
        <f t="shared" ref="R219:AC223" si="950">+R76/$D$144</f>
        <v>0.85115075582187116</v>
      </c>
      <c r="S219" s="263">
        <f t="shared" si="950"/>
        <v>0.85115075582187116</v>
      </c>
      <c r="T219" s="263">
        <f t="shared" si="950"/>
        <v>0.85115075582187116</v>
      </c>
      <c r="U219" s="263">
        <f t="shared" si="950"/>
        <v>0.85115075582187116</v>
      </c>
      <c r="V219" s="263">
        <f t="shared" si="950"/>
        <v>0.85115075582187116</v>
      </c>
      <c r="W219" s="263">
        <f t="shared" si="950"/>
        <v>0.85115075582187116</v>
      </c>
      <c r="X219" s="263">
        <f t="shared" si="950"/>
        <v>36.315765581733167</v>
      </c>
      <c r="Y219" s="263">
        <f t="shared" si="950"/>
        <v>3.4046030232874847</v>
      </c>
      <c r="Z219" s="263">
        <f t="shared" si="950"/>
        <v>23.017817422488537</v>
      </c>
      <c r="AA219" s="263">
        <f t="shared" si="950"/>
        <v>0.85115075582187116</v>
      </c>
      <c r="AB219" s="263">
        <f t="shared" si="950"/>
        <v>0.85115075582187116</v>
      </c>
      <c r="AC219" s="263">
        <f t="shared" si="950"/>
        <v>0.85115075582187116</v>
      </c>
      <c r="AD219" s="230">
        <f t="shared" si="902"/>
        <v>70.398542829906049</v>
      </c>
      <c r="AE219" s="266"/>
      <c r="AF219" s="263">
        <f t="shared" ref="AF219:AQ223" si="951">+AF76/$D$144</f>
        <v>0.85115075582187116</v>
      </c>
      <c r="AG219" s="263">
        <f t="shared" si="951"/>
        <v>0.85115075582187116</v>
      </c>
      <c r="AH219" s="263">
        <f t="shared" si="951"/>
        <v>0.85115075582187116</v>
      </c>
      <c r="AI219" s="263">
        <f t="shared" si="951"/>
        <v>0.85115075582187116</v>
      </c>
      <c r="AJ219" s="263">
        <f t="shared" si="951"/>
        <v>0.85115075582187116</v>
      </c>
      <c r="AK219" s="263">
        <f t="shared" si="951"/>
        <v>0.85115075582187116</v>
      </c>
      <c r="AL219" s="263">
        <f t="shared" si="951"/>
        <v>36.315765581733167</v>
      </c>
      <c r="AM219" s="263">
        <f t="shared" si="951"/>
        <v>3.4046030232874847</v>
      </c>
      <c r="AN219" s="263">
        <f t="shared" si="951"/>
        <v>23.017817422488537</v>
      </c>
      <c r="AO219" s="263">
        <f t="shared" si="951"/>
        <v>0.85115075582187116</v>
      </c>
      <c r="AP219" s="263">
        <f t="shared" si="951"/>
        <v>0.85115075582187116</v>
      </c>
      <c r="AQ219" s="263">
        <f t="shared" si="951"/>
        <v>0.85115075582187116</v>
      </c>
      <c r="AR219" s="230">
        <f t="shared" si="904"/>
        <v>70.398542829906049</v>
      </c>
      <c r="AS219" s="266"/>
      <c r="AT219" s="263">
        <f t="shared" ref="AT219:BE223" si="952">+AT76/$D$144</f>
        <v>0.56743383721458074</v>
      </c>
      <c r="AU219" s="263">
        <f t="shared" si="952"/>
        <v>0.56743383721458074</v>
      </c>
      <c r="AV219" s="263">
        <f t="shared" si="952"/>
        <v>0.56743383721458074</v>
      </c>
      <c r="AW219" s="263">
        <f t="shared" si="952"/>
        <v>0.56743383721458074</v>
      </c>
      <c r="AX219" s="263">
        <f t="shared" si="952"/>
        <v>0.56743383721458074</v>
      </c>
      <c r="AY219" s="263">
        <f t="shared" si="952"/>
        <v>0.56743383721458074</v>
      </c>
      <c r="AZ219" s="263">
        <f t="shared" si="952"/>
        <v>24.210510387822115</v>
      </c>
      <c r="BA219" s="263">
        <f t="shared" si="952"/>
        <v>2.269735348858323</v>
      </c>
      <c r="BB219" s="263">
        <f t="shared" si="952"/>
        <v>15.345211614992358</v>
      </c>
      <c r="BC219" s="263">
        <f t="shared" si="952"/>
        <v>0.56743383721458074</v>
      </c>
      <c r="BD219" s="263">
        <f t="shared" si="952"/>
        <v>0.56743383721458074</v>
      </c>
      <c r="BE219" s="263">
        <f t="shared" si="952"/>
        <v>0.56743383721458074</v>
      </c>
      <c r="BF219" s="230">
        <f t="shared" si="906"/>
        <v>46.932361886604021</v>
      </c>
      <c r="BG219" s="224"/>
      <c r="BH219" s="263">
        <f t="shared" ref="BH219:BS223" si="953">+BH76/$D$144</f>
        <v>4.255753779109356</v>
      </c>
      <c r="BI219" s="263">
        <f t="shared" si="953"/>
        <v>4.255753779109356</v>
      </c>
      <c r="BJ219" s="263">
        <f t="shared" si="953"/>
        <v>4.255753779109356</v>
      </c>
      <c r="BK219" s="263">
        <f t="shared" si="953"/>
        <v>4.255753779109356</v>
      </c>
      <c r="BL219" s="263">
        <f t="shared" si="953"/>
        <v>4.255753779109356</v>
      </c>
      <c r="BM219" s="263">
        <f t="shared" si="953"/>
        <v>4.255753779109356</v>
      </c>
      <c r="BN219" s="263">
        <f t="shared" si="953"/>
        <v>181.57882790866586</v>
      </c>
      <c r="BO219" s="263">
        <f t="shared" si="953"/>
        <v>17.023015116437424</v>
      </c>
      <c r="BP219" s="263">
        <f t="shared" si="953"/>
        <v>115.08908711244268</v>
      </c>
      <c r="BQ219" s="263">
        <f t="shared" si="953"/>
        <v>4.255753779109356</v>
      </c>
      <c r="BR219" s="263">
        <f t="shared" si="953"/>
        <v>4.255753779109356</v>
      </c>
      <c r="BS219" s="263">
        <f t="shared" si="953"/>
        <v>4.255753779109356</v>
      </c>
      <c r="BT219" s="230">
        <f t="shared" si="908"/>
        <v>351.99271414953012</v>
      </c>
      <c r="BU219" s="266"/>
      <c r="BV219" s="263">
        <f t="shared" ref="BV219:CG223" si="954">+BV76/$D$144</f>
        <v>0.28371691860729037</v>
      </c>
      <c r="BW219" s="263">
        <f t="shared" si="954"/>
        <v>0.28371691860729037</v>
      </c>
      <c r="BX219" s="263">
        <f t="shared" si="954"/>
        <v>0.28371691860729037</v>
      </c>
      <c r="BY219" s="263">
        <f t="shared" si="954"/>
        <v>0.28371691860729037</v>
      </c>
      <c r="BZ219" s="263">
        <f t="shared" si="954"/>
        <v>0.28371691860729037</v>
      </c>
      <c r="CA219" s="263">
        <f t="shared" si="954"/>
        <v>0.28371691860729037</v>
      </c>
      <c r="CB219" s="263">
        <f t="shared" si="954"/>
        <v>12.105255193911058</v>
      </c>
      <c r="CC219" s="263">
        <f t="shared" si="954"/>
        <v>1.1348676744291615</v>
      </c>
      <c r="CD219" s="263">
        <f t="shared" si="954"/>
        <v>7.6726058074961792</v>
      </c>
      <c r="CE219" s="263">
        <f t="shared" si="954"/>
        <v>0.28371691860729037</v>
      </c>
      <c r="CF219" s="263">
        <f t="shared" si="954"/>
        <v>0.28371691860729037</v>
      </c>
      <c r="CG219" s="263">
        <f t="shared" si="954"/>
        <v>0.28371691860729037</v>
      </c>
      <c r="CH219" s="230">
        <f t="shared" si="910"/>
        <v>23.46618094330201</v>
      </c>
      <c r="CI219" s="266"/>
      <c r="CJ219" s="263">
        <f t="shared" ref="CJ219:CU223" si="955">+CJ76/$D$144</f>
        <v>3.1208861046801943</v>
      </c>
      <c r="CK219" s="263">
        <f t="shared" si="955"/>
        <v>3.1208861046801943</v>
      </c>
      <c r="CL219" s="263">
        <f t="shared" si="955"/>
        <v>3.1208861046801943</v>
      </c>
      <c r="CM219" s="263">
        <f t="shared" si="955"/>
        <v>3.1208861046801943</v>
      </c>
      <c r="CN219" s="263">
        <f t="shared" si="955"/>
        <v>3.1208861046801943</v>
      </c>
      <c r="CO219" s="263">
        <f t="shared" si="955"/>
        <v>3.1208861046801943</v>
      </c>
      <c r="CP219" s="263">
        <f t="shared" si="955"/>
        <v>133.15780713302163</v>
      </c>
      <c r="CQ219" s="263">
        <f t="shared" si="955"/>
        <v>12.483544418720777</v>
      </c>
      <c r="CR219" s="263">
        <f t="shared" si="955"/>
        <v>84.398663882457967</v>
      </c>
      <c r="CS219" s="263">
        <f t="shared" si="955"/>
        <v>3.1208861046801943</v>
      </c>
      <c r="CT219" s="263">
        <f t="shared" si="955"/>
        <v>3.1208861046801943</v>
      </c>
      <c r="CU219" s="263">
        <f t="shared" si="955"/>
        <v>3.1208861046801943</v>
      </c>
      <c r="CV219" s="230">
        <f t="shared" si="912"/>
        <v>258.12799037632215</v>
      </c>
      <c r="CW219" s="266"/>
      <c r="CX219" s="263">
        <f t="shared" ref="CX219:DI223" si="956">+CX76/$D$144</f>
        <v>7.9440737210041314</v>
      </c>
      <c r="CY219" s="263">
        <f t="shared" si="956"/>
        <v>7.9440737210041314</v>
      </c>
      <c r="CZ219" s="263">
        <f t="shared" si="956"/>
        <v>7.9440737210041314</v>
      </c>
      <c r="DA219" s="263">
        <f t="shared" si="956"/>
        <v>7.9440737210041314</v>
      </c>
      <c r="DB219" s="263">
        <f t="shared" si="956"/>
        <v>7.9440737210041314</v>
      </c>
      <c r="DC219" s="263">
        <f t="shared" si="956"/>
        <v>7.9440737210041314</v>
      </c>
      <c r="DD219" s="263">
        <f t="shared" si="956"/>
        <v>338.94714542950959</v>
      </c>
      <c r="DE219" s="263">
        <f t="shared" si="956"/>
        <v>31.776294884016526</v>
      </c>
      <c r="DF219" s="263">
        <f t="shared" si="956"/>
        <v>214.83296260989303</v>
      </c>
      <c r="DG219" s="263">
        <f t="shared" si="956"/>
        <v>7.9440737210041314</v>
      </c>
      <c r="DH219" s="263">
        <f t="shared" si="956"/>
        <v>7.9440737210041314</v>
      </c>
      <c r="DI219" s="263">
        <f t="shared" si="956"/>
        <v>7.9440737210041314</v>
      </c>
      <c r="DJ219" s="230">
        <f t="shared" si="914"/>
        <v>657.05306641245625</v>
      </c>
      <c r="DK219" s="266"/>
      <c r="DL219" s="263">
        <f t="shared" ref="DL219:DW223" si="957">+DL76/$D$144</f>
        <v>7.9440737210041314</v>
      </c>
      <c r="DM219" s="263">
        <f t="shared" si="957"/>
        <v>7.9440737210041314</v>
      </c>
      <c r="DN219" s="263">
        <f t="shared" si="957"/>
        <v>7.9440737210041314</v>
      </c>
      <c r="DO219" s="263">
        <f t="shared" si="957"/>
        <v>7.9440737210041314</v>
      </c>
      <c r="DP219" s="263">
        <f t="shared" si="957"/>
        <v>7.9440737210041314</v>
      </c>
      <c r="DQ219" s="263">
        <f t="shared" si="957"/>
        <v>7.9440737210041314</v>
      </c>
      <c r="DR219" s="263">
        <f t="shared" si="957"/>
        <v>338.94714542950959</v>
      </c>
      <c r="DS219" s="263">
        <f t="shared" si="957"/>
        <v>31.776294884016526</v>
      </c>
      <c r="DT219" s="263">
        <f t="shared" si="957"/>
        <v>214.83296260989303</v>
      </c>
      <c r="DU219" s="263">
        <f t="shared" si="957"/>
        <v>7.9440737210041314</v>
      </c>
      <c r="DV219" s="263">
        <f t="shared" si="957"/>
        <v>7.9440737210041314</v>
      </c>
      <c r="DW219" s="263">
        <f t="shared" si="957"/>
        <v>7.9440737210041314</v>
      </c>
      <c r="DX219" s="230">
        <f t="shared" si="916"/>
        <v>657.05306641245625</v>
      </c>
      <c r="DY219" s="266"/>
      <c r="DZ219" s="263">
        <f t="shared" ref="DZ219:EK223" si="958">+DZ76/$D$144</f>
        <v>0.28371691860729037</v>
      </c>
      <c r="EA219" s="263">
        <f t="shared" si="958"/>
        <v>0.28371691860729037</v>
      </c>
      <c r="EB219" s="263">
        <f t="shared" si="958"/>
        <v>0.28371691860729037</v>
      </c>
      <c r="EC219" s="263">
        <f t="shared" si="958"/>
        <v>0.28371691860729037</v>
      </c>
      <c r="ED219" s="263">
        <f t="shared" si="958"/>
        <v>0.28371691860729037</v>
      </c>
      <c r="EE219" s="263">
        <f t="shared" si="958"/>
        <v>0.28371691860729037</v>
      </c>
      <c r="EF219" s="263">
        <f t="shared" si="958"/>
        <v>12.105255193911058</v>
      </c>
      <c r="EG219" s="263">
        <f t="shared" si="958"/>
        <v>1.1348676744291615</v>
      </c>
      <c r="EH219" s="263">
        <f t="shared" si="958"/>
        <v>7.6726058074961792</v>
      </c>
      <c r="EI219" s="263">
        <f t="shared" si="958"/>
        <v>0.28371691860729037</v>
      </c>
      <c r="EJ219" s="263">
        <f t="shared" si="958"/>
        <v>0.28371691860729037</v>
      </c>
      <c r="EK219" s="263">
        <f t="shared" si="958"/>
        <v>0.28371691860729037</v>
      </c>
      <c r="EL219" s="230">
        <f t="shared" si="918"/>
        <v>23.46618094330201</v>
      </c>
      <c r="EM219" s="266"/>
      <c r="EN219" s="263">
        <f t="shared" ref="EN219:EY223" si="959">+EN76/$D$144</f>
        <v>0.56743383721458074</v>
      </c>
      <c r="EO219" s="263">
        <f t="shared" si="959"/>
        <v>0.56743383721458074</v>
      </c>
      <c r="EP219" s="263">
        <f t="shared" si="959"/>
        <v>0.56743383721458074</v>
      </c>
      <c r="EQ219" s="263">
        <f t="shared" si="959"/>
        <v>0.56743383721458074</v>
      </c>
      <c r="ER219" s="263">
        <f t="shared" si="959"/>
        <v>0.56743383721458074</v>
      </c>
      <c r="ES219" s="263">
        <f t="shared" si="959"/>
        <v>0.56743383721458074</v>
      </c>
      <c r="ET219" s="263">
        <f t="shared" si="959"/>
        <v>24.210510387822115</v>
      </c>
      <c r="EU219" s="263">
        <f t="shared" si="959"/>
        <v>2.269735348858323</v>
      </c>
      <c r="EV219" s="263">
        <f t="shared" si="959"/>
        <v>15.345211614992358</v>
      </c>
      <c r="EW219" s="263">
        <f t="shared" si="959"/>
        <v>0.56743383721458074</v>
      </c>
      <c r="EX219" s="263">
        <f t="shared" si="959"/>
        <v>0.56743383721458074</v>
      </c>
      <c r="EY219" s="263">
        <f t="shared" si="959"/>
        <v>0.56743383721458074</v>
      </c>
      <c r="EZ219" s="230">
        <f t="shared" si="920"/>
        <v>46.932361886604021</v>
      </c>
      <c r="FA219" s="266"/>
      <c r="FB219" s="263">
        <f t="shared" ref="FB219:FM223" si="960">+FB76/$D$144</f>
        <v>0.28371691860729037</v>
      </c>
      <c r="FC219" s="263">
        <f t="shared" si="960"/>
        <v>0.28371691860729037</v>
      </c>
      <c r="FD219" s="263">
        <f t="shared" si="960"/>
        <v>0.28371691860729037</v>
      </c>
      <c r="FE219" s="263">
        <f t="shared" si="960"/>
        <v>0.28371691860729037</v>
      </c>
      <c r="FF219" s="263">
        <f t="shared" si="960"/>
        <v>0.28371691860729037</v>
      </c>
      <c r="FG219" s="263">
        <f t="shared" si="960"/>
        <v>0.28371691860729037</v>
      </c>
      <c r="FH219" s="263">
        <f t="shared" si="960"/>
        <v>12.105255193911058</v>
      </c>
      <c r="FI219" s="263">
        <f t="shared" si="960"/>
        <v>1.1348676744291615</v>
      </c>
      <c r="FJ219" s="263">
        <f t="shared" si="960"/>
        <v>7.6726058074961792</v>
      </c>
      <c r="FK219" s="263">
        <f t="shared" si="960"/>
        <v>0.28371691860729037</v>
      </c>
      <c r="FL219" s="263">
        <f t="shared" si="960"/>
        <v>0.28371691860729037</v>
      </c>
      <c r="FM219" s="263">
        <f t="shared" si="960"/>
        <v>0.28371691860729037</v>
      </c>
      <c r="FN219" s="230">
        <f t="shared" si="922"/>
        <v>23.46618094330201</v>
      </c>
      <c r="FO219" s="266"/>
      <c r="FP219" s="263">
        <f t="shared" ref="FP219:GA223" si="961">+FP76/$D$144</f>
        <v>1.9860184302510329</v>
      </c>
      <c r="FQ219" s="263">
        <f t="shared" si="961"/>
        <v>1.9860184302510329</v>
      </c>
      <c r="FR219" s="263">
        <f t="shared" si="961"/>
        <v>1.9860184302510329</v>
      </c>
      <c r="FS219" s="263">
        <f t="shared" si="961"/>
        <v>1.9860184302510329</v>
      </c>
      <c r="FT219" s="263">
        <f t="shared" si="961"/>
        <v>1.9860184302510329</v>
      </c>
      <c r="FU219" s="263">
        <f t="shared" si="961"/>
        <v>1.9860184302510329</v>
      </c>
      <c r="FV219" s="263">
        <f t="shared" si="961"/>
        <v>84.736786357377397</v>
      </c>
      <c r="FW219" s="263">
        <f t="shared" si="961"/>
        <v>7.9440737210041314</v>
      </c>
      <c r="FX219" s="263">
        <f t="shared" si="961"/>
        <v>53.708240652473258</v>
      </c>
      <c r="FY219" s="263">
        <f t="shared" si="961"/>
        <v>1.9860184302510329</v>
      </c>
      <c r="FZ219" s="263">
        <f t="shared" si="961"/>
        <v>1.9860184302510329</v>
      </c>
      <c r="GA219" s="263">
        <f t="shared" si="961"/>
        <v>1.9860184302510329</v>
      </c>
      <c r="GB219" s="230">
        <f t="shared" si="924"/>
        <v>164.26326660311406</v>
      </c>
      <c r="GC219" s="266"/>
      <c r="GD219" s="263">
        <f t="shared" ref="GD219:GO223" si="962">+GD76/$D$144</f>
        <v>0.28371691860729037</v>
      </c>
      <c r="GE219" s="263">
        <f t="shared" si="962"/>
        <v>0.28371691860729037</v>
      </c>
      <c r="GF219" s="263">
        <f t="shared" si="962"/>
        <v>0.28371691860729037</v>
      </c>
      <c r="GG219" s="263">
        <f t="shared" si="962"/>
        <v>0.28371691860729037</v>
      </c>
      <c r="GH219" s="263">
        <f t="shared" si="962"/>
        <v>0.28371691860729037</v>
      </c>
      <c r="GI219" s="263">
        <f t="shared" si="962"/>
        <v>0.28371691860729037</v>
      </c>
      <c r="GJ219" s="263">
        <f t="shared" si="962"/>
        <v>12.105255193911058</v>
      </c>
      <c r="GK219" s="263">
        <f t="shared" si="962"/>
        <v>1.1348676744291615</v>
      </c>
      <c r="GL219" s="263">
        <f t="shared" si="962"/>
        <v>7.6726058074961792</v>
      </c>
      <c r="GM219" s="263">
        <f t="shared" si="962"/>
        <v>0.28371691860729037</v>
      </c>
      <c r="GN219" s="263">
        <f t="shared" si="962"/>
        <v>0.28371691860729037</v>
      </c>
      <c r="GO219" s="263">
        <f t="shared" si="962"/>
        <v>0.28371691860729037</v>
      </c>
      <c r="GP219" s="230">
        <f t="shared" si="926"/>
        <v>23.46618094330201</v>
      </c>
      <c r="GQ219" s="266"/>
      <c r="GR219" s="263">
        <f t="shared" ref="GR219:HC223" si="963">+GR76/$D$144</f>
        <v>0</v>
      </c>
      <c r="GS219" s="263">
        <f t="shared" si="963"/>
        <v>0</v>
      </c>
      <c r="GT219" s="263">
        <f t="shared" si="963"/>
        <v>0</v>
      </c>
      <c r="GU219" s="263">
        <f t="shared" si="963"/>
        <v>0</v>
      </c>
      <c r="GV219" s="263">
        <f t="shared" si="963"/>
        <v>0</v>
      </c>
      <c r="GW219" s="263">
        <f t="shared" si="963"/>
        <v>0</v>
      </c>
      <c r="GX219" s="263">
        <f t="shared" si="963"/>
        <v>0</v>
      </c>
      <c r="GY219" s="263">
        <f t="shared" si="963"/>
        <v>0</v>
      </c>
      <c r="GZ219" s="263">
        <f t="shared" si="963"/>
        <v>0</v>
      </c>
      <c r="HA219" s="263">
        <f t="shared" si="963"/>
        <v>0</v>
      </c>
      <c r="HB219" s="263">
        <f t="shared" si="963"/>
        <v>0</v>
      </c>
      <c r="HC219" s="263">
        <f t="shared" si="963"/>
        <v>0</v>
      </c>
      <c r="HD219" s="230">
        <f t="shared" si="947"/>
        <v>0</v>
      </c>
      <c r="HE219" s="266"/>
      <c r="HF219" s="263">
        <f t="shared" ref="HF219:HQ223" si="964">+HF76/$D$144</f>
        <v>1.1348676744291615</v>
      </c>
      <c r="HG219" s="263">
        <f t="shared" si="964"/>
        <v>1.1348676744291615</v>
      </c>
      <c r="HH219" s="263">
        <f t="shared" si="964"/>
        <v>1.1348676744291615</v>
      </c>
      <c r="HI219" s="263">
        <f t="shared" si="964"/>
        <v>1.1348676744291615</v>
      </c>
      <c r="HJ219" s="263">
        <f t="shared" si="964"/>
        <v>1.1348676744291615</v>
      </c>
      <c r="HK219" s="263">
        <f t="shared" si="964"/>
        <v>1.1348676744291615</v>
      </c>
      <c r="HL219" s="263">
        <f t="shared" si="964"/>
        <v>48.42102077564423</v>
      </c>
      <c r="HM219" s="263">
        <f t="shared" si="964"/>
        <v>4.5394706977166459</v>
      </c>
      <c r="HN219" s="263">
        <f t="shared" si="964"/>
        <v>30.690423229984717</v>
      </c>
      <c r="HO219" s="263">
        <f t="shared" si="964"/>
        <v>1.1348676744291615</v>
      </c>
      <c r="HP219" s="263">
        <f t="shared" si="964"/>
        <v>1.1348676744291615</v>
      </c>
      <c r="HQ219" s="263">
        <f t="shared" si="964"/>
        <v>1.1348676744291615</v>
      </c>
      <c r="HR219" s="230">
        <f t="shared" si="929"/>
        <v>93.864723773208041</v>
      </c>
      <c r="HS219" s="266"/>
      <c r="HT219" s="263">
        <f t="shared" ref="HT219:IE223" si="965">+HT76/$D$144</f>
        <v>0.28371691860729037</v>
      </c>
      <c r="HU219" s="263">
        <f t="shared" si="965"/>
        <v>0.28371691860729037</v>
      </c>
      <c r="HV219" s="263">
        <f t="shared" si="965"/>
        <v>0.28371691860729037</v>
      </c>
      <c r="HW219" s="263">
        <f t="shared" si="965"/>
        <v>0.28371691860729037</v>
      </c>
      <c r="HX219" s="263">
        <f t="shared" si="965"/>
        <v>0.28371691860729037</v>
      </c>
      <c r="HY219" s="263">
        <f t="shared" si="965"/>
        <v>0.28371691860729037</v>
      </c>
      <c r="HZ219" s="263">
        <f t="shared" si="965"/>
        <v>12.105255193911058</v>
      </c>
      <c r="IA219" s="263">
        <f t="shared" si="965"/>
        <v>1.1348676744291615</v>
      </c>
      <c r="IB219" s="263">
        <f t="shared" si="965"/>
        <v>7.6726058074961792</v>
      </c>
      <c r="IC219" s="263">
        <f t="shared" si="965"/>
        <v>0.28371691860729037</v>
      </c>
      <c r="ID219" s="263">
        <f t="shared" si="965"/>
        <v>0.28371691860729037</v>
      </c>
      <c r="IE219" s="263">
        <f t="shared" si="965"/>
        <v>0.28371691860729037</v>
      </c>
      <c r="IF219" s="230">
        <f t="shared" si="931"/>
        <v>23.46618094330201</v>
      </c>
      <c r="IG219" s="266"/>
      <c r="IH219" s="263">
        <f t="shared" ref="IH219:IS223" si="966">+IH76/$D$144</f>
        <v>0.28371691860729037</v>
      </c>
      <c r="II219" s="263">
        <f t="shared" si="966"/>
        <v>0.28371691860729037</v>
      </c>
      <c r="IJ219" s="263">
        <f t="shared" si="966"/>
        <v>0.28371691860729037</v>
      </c>
      <c r="IK219" s="263">
        <f t="shared" si="966"/>
        <v>0.28371691860729037</v>
      </c>
      <c r="IL219" s="263">
        <f t="shared" si="966"/>
        <v>0.28371691860729037</v>
      </c>
      <c r="IM219" s="263">
        <f t="shared" si="966"/>
        <v>0.28371691860729037</v>
      </c>
      <c r="IN219" s="263">
        <f t="shared" si="966"/>
        <v>12.105255193911058</v>
      </c>
      <c r="IO219" s="263">
        <f t="shared" si="966"/>
        <v>1.1348676744291615</v>
      </c>
      <c r="IP219" s="263">
        <f t="shared" si="966"/>
        <v>7.6726058074961792</v>
      </c>
      <c r="IQ219" s="263">
        <f t="shared" si="966"/>
        <v>0.28371691860729037</v>
      </c>
      <c r="IR219" s="263">
        <f t="shared" si="966"/>
        <v>0.28371691860729037</v>
      </c>
      <c r="IS219" s="263">
        <f t="shared" si="966"/>
        <v>0.28371691860729037</v>
      </c>
      <c r="IT219" s="230">
        <f t="shared" si="933"/>
        <v>23.46618094330201</v>
      </c>
      <c r="IU219" s="266"/>
      <c r="IV219" s="263">
        <f t="shared" ref="IV219:JG223" si="967">+IV76/$D$144</f>
        <v>1.9860184302510329</v>
      </c>
      <c r="IW219" s="263">
        <f t="shared" si="967"/>
        <v>1.9860184302510329</v>
      </c>
      <c r="IX219" s="263">
        <f t="shared" si="967"/>
        <v>1.9860184302510329</v>
      </c>
      <c r="IY219" s="263">
        <f t="shared" si="967"/>
        <v>1.9860184302510329</v>
      </c>
      <c r="IZ219" s="263">
        <f t="shared" si="967"/>
        <v>1.9860184302510329</v>
      </c>
      <c r="JA219" s="263">
        <f t="shared" si="967"/>
        <v>1.9860184302510329</v>
      </c>
      <c r="JB219" s="263">
        <f t="shared" si="967"/>
        <v>84.736786357377397</v>
      </c>
      <c r="JC219" s="263">
        <f t="shared" si="967"/>
        <v>7.9440737210041314</v>
      </c>
      <c r="JD219" s="263">
        <f t="shared" si="967"/>
        <v>53.708240652473258</v>
      </c>
      <c r="JE219" s="263">
        <f t="shared" si="967"/>
        <v>1.9860184302510329</v>
      </c>
      <c r="JF219" s="263">
        <f t="shared" si="967"/>
        <v>1.9860184302510329</v>
      </c>
      <c r="JG219" s="263">
        <f t="shared" si="967"/>
        <v>1.9860184302510329</v>
      </c>
      <c r="JH219" s="230">
        <f t="shared" si="935"/>
        <v>164.26326660311406</v>
      </c>
      <c r="JI219" s="266"/>
      <c r="JJ219" s="263">
        <f t="shared" ref="JJ219:JU223" si="968">+JJ76/$D$144</f>
        <v>3.1208861046801943</v>
      </c>
      <c r="JK219" s="263">
        <f t="shared" si="968"/>
        <v>3.1208861046801943</v>
      </c>
      <c r="JL219" s="263">
        <f t="shared" si="968"/>
        <v>3.1208861046801943</v>
      </c>
      <c r="JM219" s="263">
        <f t="shared" si="968"/>
        <v>3.1208861046801943</v>
      </c>
      <c r="JN219" s="263">
        <f t="shared" si="968"/>
        <v>3.1208861046801943</v>
      </c>
      <c r="JO219" s="263">
        <f t="shared" si="968"/>
        <v>3.1208861046801943</v>
      </c>
      <c r="JP219" s="263">
        <f t="shared" si="968"/>
        <v>133.15780713302163</v>
      </c>
      <c r="JQ219" s="263">
        <f t="shared" si="968"/>
        <v>12.483544418720777</v>
      </c>
      <c r="JR219" s="263">
        <f t="shared" si="968"/>
        <v>84.398663882457967</v>
      </c>
      <c r="JS219" s="263">
        <f t="shared" si="968"/>
        <v>3.1208861046801943</v>
      </c>
      <c r="JT219" s="263">
        <f t="shared" si="968"/>
        <v>3.1208861046801943</v>
      </c>
      <c r="JU219" s="263">
        <f t="shared" si="968"/>
        <v>3.1208861046801943</v>
      </c>
      <c r="JV219" s="230">
        <f t="shared" si="937"/>
        <v>258.12799037632215</v>
      </c>
      <c r="JW219" s="266"/>
      <c r="JX219" s="263">
        <f t="shared" ref="JX219:KI223" si="969">+JX76/$D$144</f>
        <v>1.418584593036452</v>
      </c>
      <c r="JY219" s="263">
        <f t="shared" si="969"/>
        <v>1.418584593036452</v>
      </c>
      <c r="JZ219" s="263">
        <f t="shared" si="969"/>
        <v>1.418584593036452</v>
      </c>
      <c r="KA219" s="263">
        <f t="shared" si="969"/>
        <v>1.418584593036452</v>
      </c>
      <c r="KB219" s="263">
        <f t="shared" si="969"/>
        <v>1.418584593036452</v>
      </c>
      <c r="KC219" s="263">
        <f t="shared" si="969"/>
        <v>1.418584593036452</v>
      </c>
      <c r="KD219" s="263">
        <f t="shared" si="969"/>
        <v>60.526275969555286</v>
      </c>
      <c r="KE219" s="263">
        <f t="shared" si="969"/>
        <v>5.6743383721458081</v>
      </c>
      <c r="KF219" s="263">
        <f t="shared" si="969"/>
        <v>38.363029037480899</v>
      </c>
      <c r="KG219" s="263">
        <f t="shared" si="969"/>
        <v>1.418584593036452</v>
      </c>
      <c r="KH219" s="263">
        <f t="shared" si="969"/>
        <v>1.418584593036452</v>
      </c>
      <c r="KI219" s="263">
        <f t="shared" si="969"/>
        <v>1.418584593036452</v>
      </c>
      <c r="KJ219" s="230">
        <f t="shared" si="939"/>
        <v>117.33090471651008</v>
      </c>
      <c r="KK219" s="266"/>
      <c r="KL219" s="263">
        <f t="shared" ref="KL219:KW223" si="970">+KL76/$D$144</f>
        <v>0.56743383721458074</v>
      </c>
      <c r="KM219" s="263">
        <f t="shared" si="970"/>
        <v>0.56743383721458074</v>
      </c>
      <c r="KN219" s="263">
        <f t="shared" si="970"/>
        <v>0.56743383721458074</v>
      </c>
      <c r="KO219" s="263">
        <f t="shared" si="970"/>
        <v>0.56743383721458074</v>
      </c>
      <c r="KP219" s="263">
        <f t="shared" si="970"/>
        <v>0.56743383721458074</v>
      </c>
      <c r="KQ219" s="263">
        <f t="shared" si="970"/>
        <v>0.56743383721458074</v>
      </c>
      <c r="KR219" s="263">
        <f t="shared" si="970"/>
        <v>24.210510387822115</v>
      </c>
      <c r="KS219" s="263">
        <f t="shared" si="970"/>
        <v>2.269735348858323</v>
      </c>
      <c r="KT219" s="263">
        <f t="shared" si="970"/>
        <v>15.345211614992358</v>
      </c>
      <c r="KU219" s="263">
        <f t="shared" si="970"/>
        <v>0.56743383721458074</v>
      </c>
      <c r="KV219" s="263">
        <f t="shared" si="970"/>
        <v>0.56743383721458074</v>
      </c>
      <c r="KW219" s="263">
        <f t="shared" si="970"/>
        <v>0.56743383721458074</v>
      </c>
      <c r="KX219" s="230">
        <f t="shared" si="941"/>
        <v>46.932361886604021</v>
      </c>
      <c r="KY219" s="266"/>
      <c r="KZ219" s="263">
        <f t="shared" ref="KZ219:LK223" si="971">+KZ76/$D$144</f>
        <v>0.28371691860729037</v>
      </c>
      <c r="LA219" s="263">
        <f t="shared" si="971"/>
        <v>0.28371691860729037</v>
      </c>
      <c r="LB219" s="263">
        <f t="shared" si="971"/>
        <v>0.28371691860729037</v>
      </c>
      <c r="LC219" s="263">
        <f t="shared" si="971"/>
        <v>0.28371691860729037</v>
      </c>
      <c r="LD219" s="263">
        <f t="shared" si="971"/>
        <v>0.28371691860729037</v>
      </c>
      <c r="LE219" s="263">
        <f t="shared" si="971"/>
        <v>0.28371691860729037</v>
      </c>
      <c r="LF219" s="263">
        <f t="shared" si="971"/>
        <v>12.105255193911058</v>
      </c>
      <c r="LG219" s="263">
        <f t="shared" si="971"/>
        <v>1.1348676744291615</v>
      </c>
      <c r="LH219" s="263">
        <f t="shared" si="971"/>
        <v>7.6726058074961792</v>
      </c>
      <c r="LI219" s="263">
        <f t="shared" si="971"/>
        <v>0.28371691860729037</v>
      </c>
      <c r="LJ219" s="263">
        <f t="shared" si="971"/>
        <v>0.28371691860729037</v>
      </c>
      <c r="LK219" s="263">
        <f t="shared" si="971"/>
        <v>0.28371691860729037</v>
      </c>
      <c r="LL219" s="230">
        <f t="shared" si="943"/>
        <v>23.46618094330201</v>
      </c>
      <c r="LM219" s="266"/>
      <c r="LN219" s="263">
        <v>0</v>
      </c>
      <c r="LO219" s="264">
        <v>0</v>
      </c>
      <c r="LP219" s="265">
        <v>0</v>
      </c>
      <c r="LQ219" s="265">
        <v>0</v>
      </c>
      <c r="LR219" s="265">
        <v>0</v>
      </c>
      <c r="LS219" s="265">
        <v>0</v>
      </c>
      <c r="LT219" s="265">
        <v>0</v>
      </c>
      <c r="LU219" s="265">
        <v>0</v>
      </c>
      <c r="LV219" s="265">
        <v>0</v>
      </c>
      <c r="LW219" s="265">
        <v>0</v>
      </c>
      <c r="LX219" s="265">
        <v>0</v>
      </c>
      <c r="LY219" s="265">
        <v>0</v>
      </c>
      <c r="LZ219" s="230">
        <f t="shared" si="944"/>
        <v>0</v>
      </c>
      <c r="MA219" s="266"/>
      <c r="MB219" s="230">
        <f t="shared" ref="MB219:MM223" si="972">SUMIF($D$6:$LY$6,MB$3,$D219:$LY219)</f>
        <v>46.529574651595624</v>
      </c>
      <c r="MC219" s="230">
        <f t="shared" si="972"/>
        <v>46.529574651595624</v>
      </c>
      <c r="MD219" s="230">
        <f t="shared" si="972"/>
        <v>46.529574651595624</v>
      </c>
      <c r="ME219" s="230">
        <f t="shared" si="972"/>
        <v>46.529574651595624</v>
      </c>
      <c r="MF219" s="230">
        <f t="shared" si="972"/>
        <v>46.529574651595624</v>
      </c>
      <c r="MG219" s="230">
        <f t="shared" si="972"/>
        <v>46.529574651595624</v>
      </c>
      <c r="MH219" s="230">
        <f t="shared" si="972"/>
        <v>1985.2618518014133</v>
      </c>
      <c r="MI219" s="230">
        <f t="shared" si="972"/>
        <v>186.1182986063825</v>
      </c>
      <c r="MJ219" s="230">
        <f t="shared" si="972"/>
        <v>1258.3073524293734</v>
      </c>
      <c r="MK219" s="230">
        <f t="shared" si="972"/>
        <v>46.529574651595624</v>
      </c>
      <c r="ML219" s="230">
        <f t="shared" si="972"/>
        <v>46.529574651595624</v>
      </c>
      <c r="MM219" s="230">
        <f t="shared" si="972"/>
        <v>46.529574651595624</v>
      </c>
      <c r="MN219" s="230">
        <f t="shared" si="948"/>
        <v>3848.45367470153</v>
      </c>
    </row>
    <row r="220" spans="1:352" x14ac:dyDescent="0.25">
      <c r="A220" s="262"/>
      <c r="B220" s="64" t="s">
        <v>93</v>
      </c>
      <c r="C220" s="98"/>
      <c r="D220" s="263">
        <f t="shared" si="949"/>
        <v>41.138953198057102</v>
      </c>
      <c r="E220" s="263">
        <f t="shared" si="949"/>
        <v>0</v>
      </c>
      <c r="F220" s="263">
        <f t="shared" si="949"/>
        <v>0</v>
      </c>
      <c r="G220" s="263">
        <f t="shared" si="949"/>
        <v>0</v>
      </c>
      <c r="H220" s="263">
        <f t="shared" si="949"/>
        <v>0</v>
      </c>
      <c r="I220" s="263">
        <f t="shared" si="949"/>
        <v>3.4282460998380921</v>
      </c>
      <c r="J220" s="263">
        <f t="shared" si="949"/>
        <v>0</v>
      </c>
      <c r="K220" s="263">
        <f t="shared" si="949"/>
        <v>0</v>
      </c>
      <c r="L220" s="263">
        <f t="shared" si="949"/>
        <v>0</v>
      </c>
      <c r="M220" s="263">
        <f t="shared" si="949"/>
        <v>0</v>
      </c>
      <c r="N220" s="263">
        <f t="shared" si="949"/>
        <v>13.712984399352369</v>
      </c>
      <c r="O220" s="263">
        <f t="shared" si="949"/>
        <v>0</v>
      </c>
      <c r="P220" s="230">
        <f t="shared" si="900"/>
        <v>58.280183697247566</v>
      </c>
      <c r="Q220" s="266"/>
      <c r="R220" s="263">
        <f t="shared" si="950"/>
        <v>4.255753779109356</v>
      </c>
      <c r="S220" s="263">
        <f t="shared" si="950"/>
        <v>0</v>
      </c>
      <c r="T220" s="263">
        <f t="shared" si="950"/>
        <v>0</v>
      </c>
      <c r="U220" s="263">
        <f t="shared" si="950"/>
        <v>0</v>
      </c>
      <c r="V220" s="263">
        <f t="shared" si="950"/>
        <v>0</v>
      </c>
      <c r="W220" s="263">
        <f t="shared" si="950"/>
        <v>0.354646148259113</v>
      </c>
      <c r="X220" s="263">
        <f t="shared" si="950"/>
        <v>0</v>
      </c>
      <c r="Y220" s="263">
        <f t="shared" si="950"/>
        <v>0</v>
      </c>
      <c r="Z220" s="263">
        <f t="shared" si="950"/>
        <v>0</v>
      </c>
      <c r="AA220" s="263">
        <f t="shared" si="950"/>
        <v>0</v>
      </c>
      <c r="AB220" s="263">
        <f t="shared" si="950"/>
        <v>1.418584593036452</v>
      </c>
      <c r="AC220" s="263">
        <f t="shared" si="950"/>
        <v>0</v>
      </c>
      <c r="AD220" s="230">
        <f t="shared" si="902"/>
        <v>6.0289845204049213</v>
      </c>
      <c r="AE220" s="266"/>
      <c r="AF220" s="263">
        <f t="shared" si="951"/>
        <v>4.255753779109356</v>
      </c>
      <c r="AG220" s="263">
        <f t="shared" si="951"/>
        <v>0</v>
      </c>
      <c r="AH220" s="263">
        <f t="shared" si="951"/>
        <v>0</v>
      </c>
      <c r="AI220" s="263">
        <f t="shared" si="951"/>
        <v>0</v>
      </c>
      <c r="AJ220" s="263">
        <f t="shared" si="951"/>
        <v>0</v>
      </c>
      <c r="AK220" s="263">
        <f t="shared" si="951"/>
        <v>0.354646148259113</v>
      </c>
      <c r="AL220" s="263">
        <f t="shared" si="951"/>
        <v>0</v>
      </c>
      <c r="AM220" s="263">
        <f t="shared" si="951"/>
        <v>0</v>
      </c>
      <c r="AN220" s="263">
        <f t="shared" si="951"/>
        <v>0</v>
      </c>
      <c r="AO220" s="263">
        <f t="shared" si="951"/>
        <v>0</v>
      </c>
      <c r="AP220" s="263">
        <f t="shared" si="951"/>
        <v>1.418584593036452</v>
      </c>
      <c r="AQ220" s="263">
        <f t="shared" si="951"/>
        <v>0</v>
      </c>
      <c r="AR220" s="230">
        <f t="shared" si="904"/>
        <v>6.0289845204049213</v>
      </c>
      <c r="AS220" s="266"/>
      <c r="AT220" s="263">
        <f t="shared" si="952"/>
        <v>2.837169186072904</v>
      </c>
      <c r="AU220" s="263">
        <f t="shared" si="952"/>
        <v>0</v>
      </c>
      <c r="AV220" s="263">
        <f t="shared" si="952"/>
        <v>0</v>
      </c>
      <c r="AW220" s="263">
        <f t="shared" si="952"/>
        <v>0</v>
      </c>
      <c r="AX220" s="263">
        <f t="shared" si="952"/>
        <v>0</v>
      </c>
      <c r="AY220" s="263">
        <f t="shared" si="952"/>
        <v>0.23643076550607534</v>
      </c>
      <c r="AZ220" s="263">
        <f t="shared" si="952"/>
        <v>0</v>
      </c>
      <c r="BA220" s="263">
        <f t="shared" si="952"/>
        <v>0</v>
      </c>
      <c r="BB220" s="263">
        <f t="shared" si="952"/>
        <v>0</v>
      </c>
      <c r="BC220" s="263">
        <f t="shared" si="952"/>
        <v>0</v>
      </c>
      <c r="BD220" s="263">
        <f t="shared" si="952"/>
        <v>0.94572306202430134</v>
      </c>
      <c r="BE220" s="263">
        <f t="shared" si="952"/>
        <v>0</v>
      </c>
      <c r="BF220" s="230">
        <f t="shared" si="906"/>
        <v>4.0193230136032803</v>
      </c>
      <c r="BG220" s="224"/>
      <c r="BH220" s="263">
        <f t="shared" si="953"/>
        <v>21.278768895546779</v>
      </c>
      <c r="BI220" s="263">
        <f t="shared" si="953"/>
        <v>0</v>
      </c>
      <c r="BJ220" s="263">
        <f t="shared" si="953"/>
        <v>0</v>
      </c>
      <c r="BK220" s="263">
        <f t="shared" si="953"/>
        <v>0</v>
      </c>
      <c r="BL220" s="263">
        <f t="shared" si="953"/>
        <v>0</v>
      </c>
      <c r="BM220" s="263">
        <f t="shared" si="953"/>
        <v>1.773230741295565</v>
      </c>
      <c r="BN220" s="263">
        <f t="shared" si="953"/>
        <v>0</v>
      </c>
      <c r="BO220" s="263">
        <f t="shared" si="953"/>
        <v>0</v>
      </c>
      <c r="BP220" s="263">
        <f t="shared" si="953"/>
        <v>0</v>
      </c>
      <c r="BQ220" s="263">
        <f t="shared" si="953"/>
        <v>0</v>
      </c>
      <c r="BR220" s="263">
        <f t="shared" si="953"/>
        <v>7.0929229651822601</v>
      </c>
      <c r="BS220" s="263">
        <f t="shared" si="953"/>
        <v>0</v>
      </c>
      <c r="BT220" s="230">
        <f t="shared" si="908"/>
        <v>30.144922602024604</v>
      </c>
      <c r="BU220" s="266"/>
      <c r="BV220" s="263">
        <f t="shared" si="954"/>
        <v>1.418584593036452</v>
      </c>
      <c r="BW220" s="263">
        <f t="shared" si="954"/>
        <v>0</v>
      </c>
      <c r="BX220" s="263">
        <f t="shared" si="954"/>
        <v>0</v>
      </c>
      <c r="BY220" s="263">
        <f t="shared" si="954"/>
        <v>0</v>
      </c>
      <c r="BZ220" s="263">
        <f t="shared" si="954"/>
        <v>0</v>
      </c>
      <c r="CA220" s="263">
        <f t="shared" si="954"/>
        <v>0.11821538275303767</v>
      </c>
      <c r="CB220" s="263">
        <f t="shared" si="954"/>
        <v>0</v>
      </c>
      <c r="CC220" s="263">
        <f t="shared" si="954"/>
        <v>0</v>
      </c>
      <c r="CD220" s="263">
        <f t="shared" si="954"/>
        <v>0</v>
      </c>
      <c r="CE220" s="263">
        <f t="shared" si="954"/>
        <v>0</v>
      </c>
      <c r="CF220" s="263">
        <f t="shared" si="954"/>
        <v>0.47286153101215067</v>
      </c>
      <c r="CG220" s="263">
        <f t="shared" si="954"/>
        <v>0</v>
      </c>
      <c r="CH220" s="230">
        <f t="shared" si="910"/>
        <v>2.0096615068016401</v>
      </c>
      <c r="CI220" s="266"/>
      <c r="CJ220" s="263">
        <f t="shared" si="955"/>
        <v>15.604430523400973</v>
      </c>
      <c r="CK220" s="263">
        <f t="shared" si="955"/>
        <v>0</v>
      </c>
      <c r="CL220" s="263">
        <f t="shared" si="955"/>
        <v>0</v>
      </c>
      <c r="CM220" s="263">
        <f t="shared" si="955"/>
        <v>0</v>
      </c>
      <c r="CN220" s="263">
        <f t="shared" si="955"/>
        <v>0</v>
      </c>
      <c r="CO220" s="263">
        <f t="shared" si="955"/>
        <v>1.3003692102834143</v>
      </c>
      <c r="CP220" s="263">
        <f t="shared" si="955"/>
        <v>0</v>
      </c>
      <c r="CQ220" s="263">
        <f t="shared" si="955"/>
        <v>0</v>
      </c>
      <c r="CR220" s="263">
        <f t="shared" si="955"/>
        <v>0</v>
      </c>
      <c r="CS220" s="263">
        <f t="shared" si="955"/>
        <v>0</v>
      </c>
      <c r="CT220" s="263">
        <f t="shared" si="955"/>
        <v>5.2014768411336574</v>
      </c>
      <c r="CU220" s="263">
        <f t="shared" si="955"/>
        <v>0</v>
      </c>
      <c r="CV220" s="230">
        <f t="shared" si="912"/>
        <v>22.106276574818047</v>
      </c>
      <c r="CW220" s="266"/>
      <c r="CX220" s="263">
        <f t="shared" si="956"/>
        <v>39.720368605020653</v>
      </c>
      <c r="CY220" s="263">
        <f t="shared" si="956"/>
        <v>0</v>
      </c>
      <c r="CZ220" s="263">
        <f t="shared" si="956"/>
        <v>0</v>
      </c>
      <c r="DA220" s="263">
        <f t="shared" si="956"/>
        <v>0</v>
      </c>
      <c r="DB220" s="263">
        <f t="shared" si="956"/>
        <v>0</v>
      </c>
      <c r="DC220" s="263">
        <f t="shared" si="956"/>
        <v>3.3100307170850543</v>
      </c>
      <c r="DD220" s="263">
        <f t="shared" si="956"/>
        <v>0</v>
      </c>
      <c r="DE220" s="263">
        <f t="shared" si="956"/>
        <v>0</v>
      </c>
      <c r="DF220" s="263">
        <f t="shared" si="956"/>
        <v>0</v>
      </c>
      <c r="DG220" s="263">
        <f t="shared" si="956"/>
        <v>0</v>
      </c>
      <c r="DH220" s="263">
        <f t="shared" si="956"/>
        <v>13.240122868340217</v>
      </c>
      <c r="DI220" s="263">
        <f t="shared" si="956"/>
        <v>0</v>
      </c>
      <c r="DJ220" s="230">
        <f t="shared" si="914"/>
        <v>56.270522190445924</v>
      </c>
      <c r="DK220" s="266"/>
      <c r="DL220" s="263">
        <f t="shared" si="957"/>
        <v>39.720368605020653</v>
      </c>
      <c r="DM220" s="263">
        <f t="shared" si="957"/>
        <v>0</v>
      </c>
      <c r="DN220" s="263">
        <f t="shared" si="957"/>
        <v>0</v>
      </c>
      <c r="DO220" s="263">
        <f t="shared" si="957"/>
        <v>0</v>
      </c>
      <c r="DP220" s="263">
        <f t="shared" si="957"/>
        <v>0</v>
      </c>
      <c r="DQ220" s="263">
        <f t="shared" si="957"/>
        <v>3.3100307170850543</v>
      </c>
      <c r="DR220" s="263">
        <f t="shared" si="957"/>
        <v>0</v>
      </c>
      <c r="DS220" s="263">
        <f t="shared" si="957"/>
        <v>0</v>
      </c>
      <c r="DT220" s="263">
        <f t="shared" si="957"/>
        <v>0</v>
      </c>
      <c r="DU220" s="263">
        <f t="shared" si="957"/>
        <v>0</v>
      </c>
      <c r="DV220" s="263">
        <f t="shared" si="957"/>
        <v>13.240122868340217</v>
      </c>
      <c r="DW220" s="263">
        <f t="shared" si="957"/>
        <v>0</v>
      </c>
      <c r="DX220" s="230">
        <f t="shared" si="916"/>
        <v>56.270522190445924</v>
      </c>
      <c r="DY220" s="266"/>
      <c r="DZ220" s="263">
        <f t="shared" si="958"/>
        <v>1.418584593036452</v>
      </c>
      <c r="EA220" s="263">
        <f t="shared" si="958"/>
        <v>0</v>
      </c>
      <c r="EB220" s="263">
        <f t="shared" si="958"/>
        <v>0</v>
      </c>
      <c r="EC220" s="263">
        <f t="shared" si="958"/>
        <v>0</v>
      </c>
      <c r="ED220" s="263">
        <f t="shared" si="958"/>
        <v>0</v>
      </c>
      <c r="EE220" s="263">
        <f t="shared" si="958"/>
        <v>0.11821538275303767</v>
      </c>
      <c r="EF220" s="263">
        <f t="shared" si="958"/>
        <v>0</v>
      </c>
      <c r="EG220" s="263">
        <f t="shared" si="958"/>
        <v>0</v>
      </c>
      <c r="EH220" s="263">
        <f t="shared" si="958"/>
        <v>0</v>
      </c>
      <c r="EI220" s="263">
        <f t="shared" si="958"/>
        <v>0</v>
      </c>
      <c r="EJ220" s="263">
        <f t="shared" si="958"/>
        <v>0.47286153101215067</v>
      </c>
      <c r="EK220" s="263">
        <f t="shared" si="958"/>
        <v>0</v>
      </c>
      <c r="EL220" s="230">
        <f t="shared" si="918"/>
        <v>2.0096615068016401</v>
      </c>
      <c r="EM220" s="266"/>
      <c r="EN220" s="263">
        <f t="shared" si="959"/>
        <v>2.837169186072904</v>
      </c>
      <c r="EO220" s="263">
        <f t="shared" si="959"/>
        <v>0</v>
      </c>
      <c r="EP220" s="263">
        <f t="shared" si="959"/>
        <v>0</v>
      </c>
      <c r="EQ220" s="263">
        <f t="shared" si="959"/>
        <v>0</v>
      </c>
      <c r="ER220" s="263">
        <f t="shared" si="959"/>
        <v>0</v>
      </c>
      <c r="ES220" s="263">
        <f t="shared" si="959"/>
        <v>0.23643076550607534</v>
      </c>
      <c r="ET220" s="263">
        <f t="shared" si="959"/>
        <v>0</v>
      </c>
      <c r="EU220" s="263">
        <f t="shared" si="959"/>
        <v>0</v>
      </c>
      <c r="EV220" s="263">
        <f t="shared" si="959"/>
        <v>0</v>
      </c>
      <c r="EW220" s="263">
        <f t="shared" si="959"/>
        <v>0</v>
      </c>
      <c r="EX220" s="263">
        <f t="shared" si="959"/>
        <v>0.94572306202430134</v>
      </c>
      <c r="EY220" s="263">
        <f t="shared" si="959"/>
        <v>0</v>
      </c>
      <c r="EZ220" s="230">
        <f t="shared" si="920"/>
        <v>4.0193230136032803</v>
      </c>
      <c r="FA220" s="266"/>
      <c r="FB220" s="263">
        <f t="shared" si="960"/>
        <v>1.418584593036452</v>
      </c>
      <c r="FC220" s="263">
        <f t="shared" si="960"/>
        <v>0</v>
      </c>
      <c r="FD220" s="263">
        <f t="shared" si="960"/>
        <v>0</v>
      </c>
      <c r="FE220" s="263">
        <f t="shared" si="960"/>
        <v>0</v>
      </c>
      <c r="FF220" s="263">
        <f t="shared" si="960"/>
        <v>0</v>
      </c>
      <c r="FG220" s="263">
        <f t="shared" si="960"/>
        <v>0.11821538275303767</v>
      </c>
      <c r="FH220" s="263">
        <f t="shared" si="960"/>
        <v>0</v>
      </c>
      <c r="FI220" s="263">
        <f t="shared" si="960"/>
        <v>0</v>
      </c>
      <c r="FJ220" s="263">
        <f t="shared" si="960"/>
        <v>0</v>
      </c>
      <c r="FK220" s="263">
        <f t="shared" si="960"/>
        <v>0</v>
      </c>
      <c r="FL220" s="263">
        <f t="shared" si="960"/>
        <v>0.47286153101215067</v>
      </c>
      <c r="FM220" s="263">
        <f t="shared" si="960"/>
        <v>0</v>
      </c>
      <c r="FN220" s="230">
        <f t="shared" si="922"/>
        <v>2.0096615068016401</v>
      </c>
      <c r="FO220" s="266"/>
      <c r="FP220" s="263">
        <f t="shared" si="961"/>
        <v>9.9300921512551632</v>
      </c>
      <c r="FQ220" s="263">
        <f t="shared" si="961"/>
        <v>0</v>
      </c>
      <c r="FR220" s="263">
        <f t="shared" si="961"/>
        <v>0</v>
      </c>
      <c r="FS220" s="263">
        <f t="shared" si="961"/>
        <v>0</v>
      </c>
      <c r="FT220" s="263">
        <f t="shared" si="961"/>
        <v>0</v>
      </c>
      <c r="FU220" s="263">
        <f t="shared" si="961"/>
        <v>0.82750767927126356</v>
      </c>
      <c r="FV220" s="263">
        <f t="shared" si="961"/>
        <v>0</v>
      </c>
      <c r="FW220" s="263">
        <f t="shared" si="961"/>
        <v>0</v>
      </c>
      <c r="FX220" s="263">
        <f t="shared" si="961"/>
        <v>0</v>
      </c>
      <c r="FY220" s="263">
        <f t="shared" si="961"/>
        <v>0</v>
      </c>
      <c r="FZ220" s="263">
        <f t="shared" si="961"/>
        <v>3.3100307170850543</v>
      </c>
      <c r="GA220" s="263">
        <f t="shared" si="961"/>
        <v>0</v>
      </c>
      <c r="GB220" s="230">
        <f t="shared" si="924"/>
        <v>14.067630547611481</v>
      </c>
      <c r="GC220" s="266"/>
      <c r="GD220" s="263">
        <f t="shared" si="962"/>
        <v>1.418584593036452</v>
      </c>
      <c r="GE220" s="263">
        <f t="shared" si="962"/>
        <v>0</v>
      </c>
      <c r="GF220" s="263">
        <f t="shared" si="962"/>
        <v>0</v>
      </c>
      <c r="GG220" s="263">
        <f t="shared" si="962"/>
        <v>0</v>
      </c>
      <c r="GH220" s="263">
        <f t="shared" si="962"/>
        <v>0</v>
      </c>
      <c r="GI220" s="263">
        <f t="shared" si="962"/>
        <v>0.11821538275303767</v>
      </c>
      <c r="GJ220" s="263">
        <f t="shared" si="962"/>
        <v>0</v>
      </c>
      <c r="GK220" s="263">
        <f t="shared" si="962"/>
        <v>0</v>
      </c>
      <c r="GL220" s="263">
        <f t="shared" si="962"/>
        <v>0</v>
      </c>
      <c r="GM220" s="263">
        <f t="shared" si="962"/>
        <v>0</v>
      </c>
      <c r="GN220" s="263">
        <f t="shared" si="962"/>
        <v>0.47286153101215067</v>
      </c>
      <c r="GO220" s="263">
        <f t="shared" si="962"/>
        <v>0</v>
      </c>
      <c r="GP220" s="230">
        <f t="shared" si="926"/>
        <v>2.0096615068016401</v>
      </c>
      <c r="GQ220" s="266"/>
      <c r="GR220" s="263">
        <f t="shared" si="963"/>
        <v>238.32221163012392</v>
      </c>
      <c r="GS220" s="263">
        <f t="shared" si="963"/>
        <v>0</v>
      </c>
      <c r="GT220" s="263">
        <f t="shared" si="963"/>
        <v>0</v>
      </c>
      <c r="GU220" s="263">
        <f t="shared" si="963"/>
        <v>0</v>
      </c>
      <c r="GV220" s="263">
        <f t="shared" si="963"/>
        <v>0</v>
      </c>
      <c r="GW220" s="263">
        <f t="shared" si="963"/>
        <v>0</v>
      </c>
      <c r="GX220" s="263">
        <f t="shared" si="963"/>
        <v>0</v>
      </c>
      <c r="GY220" s="263">
        <f t="shared" si="963"/>
        <v>0</v>
      </c>
      <c r="GZ220" s="263">
        <f t="shared" si="963"/>
        <v>0</v>
      </c>
      <c r="HA220" s="263">
        <f t="shared" si="963"/>
        <v>0</v>
      </c>
      <c r="HB220" s="263">
        <f t="shared" si="963"/>
        <v>0</v>
      </c>
      <c r="HC220" s="263">
        <f t="shared" si="963"/>
        <v>0</v>
      </c>
      <c r="HD220" s="230">
        <f t="shared" si="947"/>
        <v>0</v>
      </c>
      <c r="HE220" s="266"/>
      <c r="HF220" s="263">
        <f t="shared" si="964"/>
        <v>5.6743383721458081</v>
      </c>
      <c r="HG220" s="263">
        <f t="shared" si="964"/>
        <v>0</v>
      </c>
      <c r="HH220" s="263">
        <f t="shared" si="964"/>
        <v>0</v>
      </c>
      <c r="HI220" s="263">
        <f t="shared" si="964"/>
        <v>0</v>
      </c>
      <c r="HJ220" s="263">
        <f t="shared" si="964"/>
        <v>0</v>
      </c>
      <c r="HK220" s="263">
        <f t="shared" si="964"/>
        <v>0.47286153101215067</v>
      </c>
      <c r="HL220" s="263">
        <f t="shared" si="964"/>
        <v>0</v>
      </c>
      <c r="HM220" s="263">
        <f t="shared" si="964"/>
        <v>0</v>
      </c>
      <c r="HN220" s="263">
        <f t="shared" si="964"/>
        <v>0</v>
      </c>
      <c r="HO220" s="263">
        <f t="shared" si="964"/>
        <v>0</v>
      </c>
      <c r="HP220" s="263">
        <f t="shared" si="964"/>
        <v>1.8914461240486027</v>
      </c>
      <c r="HQ220" s="263">
        <f t="shared" si="964"/>
        <v>0</v>
      </c>
      <c r="HR220" s="230">
        <f t="shared" si="929"/>
        <v>8.0386460272065605</v>
      </c>
      <c r="HS220" s="266"/>
      <c r="HT220" s="263">
        <f t="shared" si="965"/>
        <v>1.418584593036452</v>
      </c>
      <c r="HU220" s="263">
        <f t="shared" si="965"/>
        <v>0</v>
      </c>
      <c r="HV220" s="263">
        <f t="shared" si="965"/>
        <v>0</v>
      </c>
      <c r="HW220" s="263">
        <f t="shared" si="965"/>
        <v>0</v>
      </c>
      <c r="HX220" s="263">
        <f t="shared" si="965"/>
        <v>0</v>
      </c>
      <c r="HY220" s="263">
        <f t="shared" si="965"/>
        <v>0.11821538275303767</v>
      </c>
      <c r="HZ220" s="263">
        <f t="shared" si="965"/>
        <v>0</v>
      </c>
      <c r="IA220" s="263">
        <f t="shared" si="965"/>
        <v>0</v>
      </c>
      <c r="IB220" s="263">
        <f t="shared" si="965"/>
        <v>0</v>
      </c>
      <c r="IC220" s="263">
        <f t="shared" si="965"/>
        <v>0</v>
      </c>
      <c r="ID220" s="263">
        <f t="shared" si="965"/>
        <v>0.47286153101215067</v>
      </c>
      <c r="IE220" s="263">
        <f t="shared" si="965"/>
        <v>0</v>
      </c>
      <c r="IF220" s="230">
        <f t="shared" si="931"/>
        <v>2.0096615068016401</v>
      </c>
      <c r="IG220" s="266"/>
      <c r="IH220" s="263">
        <f t="shared" si="966"/>
        <v>1.418584593036452</v>
      </c>
      <c r="II220" s="263">
        <f t="shared" si="966"/>
        <v>0</v>
      </c>
      <c r="IJ220" s="263">
        <f t="shared" si="966"/>
        <v>0</v>
      </c>
      <c r="IK220" s="263">
        <f t="shared" si="966"/>
        <v>0</v>
      </c>
      <c r="IL220" s="263">
        <f t="shared" si="966"/>
        <v>0</v>
      </c>
      <c r="IM220" s="263">
        <f t="shared" si="966"/>
        <v>0.11821538275303767</v>
      </c>
      <c r="IN220" s="263">
        <f t="shared" si="966"/>
        <v>0</v>
      </c>
      <c r="IO220" s="263">
        <f t="shared" si="966"/>
        <v>0</v>
      </c>
      <c r="IP220" s="263">
        <f t="shared" si="966"/>
        <v>0</v>
      </c>
      <c r="IQ220" s="263">
        <f t="shared" si="966"/>
        <v>0</v>
      </c>
      <c r="IR220" s="263">
        <f t="shared" si="966"/>
        <v>0.47286153101215067</v>
      </c>
      <c r="IS220" s="263">
        <f t="shared" si="966"/>
        <v>0</v>
      </c>
      <c r="IT220" s="230">
        <f t="shared" si="933"/>
        <v>2.0096615068016401</v>
      </c>
      <c r="IU220" s="266"/>
      <c r="IV220" s="263">
        <f t="shared" si="967"/>
        <v>9.9300921512551632</v>
      </c>
      <c r="IW220" s="263">
        <f t="shared" si="967"/>
        <v>0</v>
      </c>
      <c r="IX220" s="263">
        <f t="shared" si="967"/>
        <v>0</v>
      </c>
      <c r="IY220" s="263">
        <f t="shared" si="967"/>
        <v>0</v>
      </c>
      <c r="IZ220" s="263">
        <f t="shared" si="967"/>
        <v>0</v>
      </c>
      <c r="JA220" s="263">
        <f t="shared" si="967"/>
        <v>0.82750767927126356</v>
      </c>
      <c r="JB220" s="263">
        <f t="shared" si="967"/>
        <v>0</v>
      </c>
      <c r="JC220" s="263">
        <f t="shared" si="967"/>
        <v>0</v>
      </c>
      <c r="JD220" s="263">
        <f t="shared" si="967"/>
        <v>0</v>
      </c>
      <c r="JE220" s="263">
        <f t="shared" si="967"/>
        <v>0</v>
      </c>
      <c r="JF220" s="263">
        <f t="shared" si="967"/>
        <v>3.3100307170850543</v>
      </c>
      <c r="JG220" s="263">
        <f t="shared" si="967"/>
        <v>0</v>
      </c>
      <c r="JH220" s="230">
        <f t="shared" si="935"/>
        <v>14.067630547611481</v>
      </c>
      <c r="JI220" s="266"/>
      <c r="JJ220" s="263">
        <f t="shared" si="968"/>
        <v>15.604430523400973</v>
      </c>
      <c r="JK220" s="263">
        <f t="shared" si="968"/>
        <v>0</v>
      </c>
      <c r="JL220" s="263">
        <f t="shared" si="968"/>
        <v>0</v>
      </c>
      <c r="JM220" s="263">
        <f t="shared" si="968"/>
        <v>0</v>
      </c>
      <c r="JN220" s="263">
        <f t="shared" si="968"/>
        <v>0</v>
      </c>
      <c r="JO220" s="263">
        <f t="shared" si="968"/>
        <v>1.3003692102834143</v>
      </c>
      <c r="JP220" s="263">
        <f t="shared" si="968"/>
        <v>0</v>
      </c>
      <c r="JQ220" s="263">
        <f t="shared" si="968"/>
        <v>0</v>
      </c>
      <c r="JR220" s="263">
        <f t="shared" si="968"/>
        <v>0</v>
      </c>
      <c r="JS220" s="263">
        <f t="shared" si="968"/>
        <v>0</v>
      </c>
      <c r="JT220" s="263">
        <f t="shared" si="968"/>
        <v>5.2014768411336574</v>
      </c>
      <c r="JU220" s="263">
        <f t="shared" si="968"/>
        <v>0</v>
      </c>
      <c r="JV220" s="230">
        <f t="shared" si="937"/>
        <v>22.106276574818047</v>
      </c>
      <c r="JW220" s="266"/>
      <c r="JX220" s="263">
        <f t="shared" si="969"/>
        <v>7.0929229651822601</v>
      </c>
      <c r="JY220" s="263">
        <f t="shared" si="969"/>
        <v>0</v>
      </c>
      <c r="JZ220" s="263">
        <f t="shared" si="969"/>
        <v>0</v>
      </c>
      <c r="KA220" s="263">
        <f t="shared" si="969"/>
        <v>0</v>
      </c>
      <c r="KB220" s="263">
        <f t="shared" si="969"/>
        <v>0</v>
      </c>
      <c r="KC220" s="263">
        <f t="shared" si="969"/>
        <v>0.59107691376518834</v>
      </c>
      <c r="KD220" s="263">
        <f t="shared" si="969"/>
        <v>0</v>
      </c>
      <c r="KE220" s="263">
        <f t="shared" si="969"/>
        <v>0</v>
      </c>
      <c r="KF220" s="263">
        <f t="shared" si="969"/>
        <v>0</v>
      </c>
      <c r="KG220" s="263">
        <f t="shared" si="969"/>
        <v>0</v>
      </c>
      <c r="KH220" s="263">
        <f t="shared" si="969"/>
        <v>2.3643076550607534</v>
      </c>
      <c r="KI220" s="263">
        <f t="shared" si="969"/>
        <v>0</v>
      </c>
      <c r="KJ220" s="230">
        <f t="shared" si="939"/>
        <v>10.048307534008202</v>
      </c>
      <c r="KK220" s="266"/>
      <c r="KL220" s="263">
        <f t="shared" si="970"/>
        <v>2.837169186072904</v>
      </c>
      <c r="KM220" s="263">
        <f t="shared" si="970"/>
        <v>0</v>
      </c>
      <c r="KN220" s="263">
        <f t="shared" si="970"/>
        <v>0</v>
      </c>
      <c r="KO220" s="263">
        <f t="shared" si="970"/>
        <v>0</v>
      </c>
      <c r="KP220" s="263">
        <f t="shared" si="970"/>
        <v>0</v>
      </c>
      <c r="KQ220" s="263">
        <f t="shared" si="970"/>
        <v>0.23643076550607534</v>
      </c>
      <c r="KR220" s="263">
        <f t="shared" si="970"/>
        <v>0</v>
      </c>
      <c r="KS220" s="263">
        <f t="shared" si="970"/>
        <v>0</v>
      </c>
      <c r="KT220" s="263">
        <f t="shared" si="970"/>
        <v>0</v>
      </c>
      <c r="KU220" s="263">
        <f t="shared" si="970"/>
        <v>0</v>
      </c>
      <c r="KV220" s="263">
        <f t="shared" si="970"/>
        <v>0.94572306202430134</v>
      </c>
      <c r="KW220" s="263">
        <f t="shared" si="970"/>
        <v>0</v>
      </c>
      <c r="KX220" s="230">
        <f t="shared" si="941"/>
        <v>4.0193230136032803</v>
      </c>
      <c r="KY220" s="266"/>
      <c r="KZ220" s="263">
        <f t="shared" si="971"/>
        <v>1.418584593036452</v>
      </c>
      <c r="LA220" s="263">
        <f t="shared" si="971"/>
        <v>0</v>
      </c>
      <c r="LB220" s="263">
        <f t="shared" si="971"/>
        <v>0</v>
      </c>
      <c r="LC220" s="263">
        <f t="shared" si="971"/>
        <v>0</v>
      </c>
      <c r="LD220" s="263">
        <f t="shared" si="971"/>
        <v>0</v>
      </c>
      <c r="LE220" s="263">
        <f t="shared" si="971"/>
        <v>0.11821538275303767</v>
      </c>
      <c r="LF220" s="263">
        <f t="shared" si="971"/>
        <v>0</v>
      </c>
      <c r="LG220" s="263">
        <f t="shared" si="971"/>
        <v>0</v>
      </c>
      <c r="LH220" s="263">
        <f t="shared" si="971"/>
        <v>0</v>
      </c>
      <c r="LI220" s="263">
        <f t="shared" si="971"/>
        <v>0</v>
      </c>
      <c r="LJ220" s="263">
        <f t="shared" si="971"/>
        <v>0.47286153101215067</v>
      </c>
      <c r="LK220" s="263">
        <f t="shared" si="971"/>
        <v>0</v>
      </c>
      <c r="LL220" s="230">
        <f t="shared" si="943"/>
        <v>2.0096615068016401</v>
      </c>
      <c r="LM220" s="266"/>
      <c r="LN220" s="263">
        <v>0</v>
      </c>
      <c r="LO220" s="264">
        <v>0</v>
      </c>
      <c r="LP220" s="265">
        <v>0</v>
      </c>
      <c r="LQ220" s="265">
        <v>0</v>
      </c>
      <c r="LR220" s="265">
        <v>0</v>
      </c>
      <c r="LS220" s="265">
        <v>0</v>
      </c>
      <c r="LT220" s="265">
        <v>0</v>
      </c>
      <c r="LU220" s="265">
        <v>0</v>
      </c>
      <c r="LV220" s="265">
        <v>0</v>
      </c>
      <c r="LW220" s="265">
        <v>0</v>
      </c>
      <c r="LX220" s="265">
        <v>0</v>
      </c>
      <c r="LY220" s="265">
        <v>0</v>
      </c>
      <c r="LZ220" s="230">
        <f t="shared" si="944"/>
        <v>0</v>
      </c>
      <c r="MA220" s="266"/>
      <c r="MB220" s="230">
        <f t="shared" si="972"/>
        <v>470.97008488810206</v>
      </c>
      <c r="MC220" s="230">
        <f t="shared" si="972"/>
        <v>0</v>
      </c>
      <c r="MD220" s="230">
        <f t="shared" si="972"/>
        <v>0</v>
      </c>
      <c r="ME220" s="230">
        <f t="shared" si="972"/>
        <v>0</v>
      </c>
      <c r="MF220" s="230">
        <f t="shared" si="972"/>
        <v>0</v>
      </c>
      <c r="MG220" s="230">
        <f t="shared" si="972"/>
        <v>19.38732277149818</v>
      </c>
      <c r="MH220" s="230">
        <f t="shared" si="972"/>
        <v>0</v>
      </c>
      <c r="MI220" s="230">
        <f t="shared" si="972"/>
        <v>0</v>
      </c>
      <c r="MJ220" s="230">
        <f t="shared" si="972"/>
        <v>0</v>
      </c>
      <c r="MK220" s="230">
        <f t="shared" si="972"/>
        <v>0</v>
      </c>
      <c r="ML220" s="230">
        <f t="shared" si="972"/>
        <v>77.549291085992721</v>
      </c>
      <c r="MM220" s="230">
        <f t="shared" si="972"/>
        <v>0</v>
      </c>
      <c r="MN220" s="230">
        <f t="shared" si="948"/>
        <v>567.90669874559296</v>
      </c>
    </row>
    <row r="221" spans="1:352" x14ac:dyDescent="0.25">
      <c r="A221" s="262"/>
      <c r="B221" s="64" t="s">
        <v>94</v>
      </c>
      <c r="C221" s="98"/>
      <c r="D221" s="263">
        <f t="shared" si="949"/>
        <v>20.569476599028551</v>
      </c>
      <c r="E221" s="263">
        <f t="shared" si="949"/>
        <v>20.569476599028551</v>
      </c>
      <c r="F221" s="263">
        <f t="shared" si="949"/>
        <v>20.569476599028551</v>
      </c>
      <c r="G221" s="263">
        <f t="shared" si="949"/>
        <v>20.569476599028551</v>
      </c>
      <c r="H221" s="263">
        <f t="shared" si="949"/>
        <v>20.569476599028551</v>
      </c>
      <c r="I221" s="263">
        <f t="shared" si="949"/>
        <v>20.569476599028551</v>
      </c>
      <c r="J221" s="263">
        <f t="shared" si="949"/>
        <v>20.569476599028551</v>
      </c>
      <c r="K221" s="263">
        <f t="shared" si="949"/>
        <v>20.569476599028551</v>
      </c>
      <c r="L221" s="263">
        <f t="shared" si="949"/>
        <v>2077.5171365018837</v>
      </c>
      <c r="M221" s="263">
        <f t="shared" si="949"/>
        <v>20.569476599028551</v>
      </c>
      <c r="N221" s="263">
        <f t="shared" si="949"/>
        <v>20.569476599028551</v>
      </c>
      <c r="O221" s="263">
        <f t="shared" si="949"/>
        <v>20.569476599028551</v>
      </c>
      <c r="P221" s="230">
        <f t="shared" si="900"/>
        <v>2303.7813790911973</v>
      </c>
      <c r="Q221" s="266"/>
      <c r="R221" s="263">
        <f t="shared" si="950"/>
        <v>2.127876889554678</v>
      </c>
      <c r="S221" s="263">
        <f t="shared" si="950"/>
        <v>2.127876889554678</v>
      </c>
      <c r="T221" s="263">
        <f t="shared" si="950"/>
        <v>2.127876889554678</v>
      </c>
      <c r="U221" s="263">
        <f t="shared" si="950"/>
        <v>2.127876889554678</v>
      </c>
      <c r="V221" s="263">
        <f t="shared" si="950"/>
        <v>2.127876889554678</v>
      </c>
      <c r="W221" s="263">
        <f t="shared" si="950"/>
        <v>2.127876889554678</v>
      </c>
      <c r="X221" s="263">
        <f t="shared" si="950"/>
        <v>2.127876889554678</v>
      </c>
      <c r="Y221" s="263">
        <f t="shared" si="950"/>
        <v>2.127876889554678</v>
      </c>
      <c r="Z221" s="263">
        <f t="shared" si="950"/>
        <v>214.91556584502243</v>
      </c>
      <c r="AA221" s="263">
        <f t="shared" si="950"/>
        <v>2.127876889554678</v>
      </c>
      <c r="AB221" s="263">
        <f t="shared" si="950"/>
        <v>2.127876889554678</v>
      </c>
      <c r="AC221" s="263">
        <f t="shared" si="950"/>
        <v>2.127876889554678</v>
      </c>
      <c r="AD221" s="230">
        <f t="shared" si="902"/>
        <v>238.32221163012386</v>
      </c>
      <c r="AE221" s="266"/>
      <c r="AF221" s="263">
        <f t="shared" si="951"/>
        <v>2.127876889554678</v>
      </c>
      <c r="AG221" s="263">
        <f t="shared" si="951"/>
        <v>2.127876889554678</v>
      </c>
      <c r="AH221" s="263">
        <f t="shared" si="951"/>
        <v>2.127876889554678</v>
      </c>
      <c r="AI221" s="263">
        <f t="shared" si="951"/>
        <v>2.127876889554678</v>
      </c>
      <c r="AJ221" s="263">
        <f t="shared" si="951"/>
        <v>2.127876889554678</v>
      </c>
      <c r="AK221" s="263">
        <f t="shared" si="951"/>
        <v>2.127876889554678</v>
      </c>
      <c r="AL221" s="263">
        <f t="shared" si="951"/>
        <v>2.127876889554678</v>
      </c>
      <c r="AM221" s="263">
        <f t="shared" si="951"/>
        <v>2.127876889554678</v>
      </c>
      <c r="AN221" s="263">
        <f t="shared" si="951"/>
        <v>214.91556584502243</v>
      </c>
      <c r="AO221" s="263">
        <f t="shared" si="951"/>
        <v>2.127876889554678</v>
      </c>
      <c r="AP221" s="263">
        <f t="shared" si="951"/>
        <v>2.127876889554678</v>
      </c>
      <c r="AQ221" s="263">
        <f t="shared" si="951"/>
        <v>2.127876889554678</v>
      </c>
      <c r="AR221" s="230">
        <f t="shared" si="904"/>
        <v>238.32221163012386</v>
      </c>
      <c r="AS221" s="266"/>
      <c r="AT221" s="263">
        <f t="shared" si="952"/>
        <v>1.418584593036452</v>
      </c>
      <c r="AU221" s="263">
        <f t="shared" si="952"/>
        <v>1.418584593036452</v>
      </c>
      <c r="AV221" s="263">
        <f t="shared" si="952"/>
        <v>1.418584593036452</v>
      </c>
      <c r="AW221" s="263">
        <f t="shared" si="952"/>
        <v>1.418584593036452</v>
      </c>
      <c r="AX221" s="263">
        <f t="shared" si="952"/>
        <v>1.418584593036452</v>
      </c>
      <c r="AY221" s="263">
        <f t="shared" si="952"/>
        <v>1.418584593036452</v>
      </c>
      <c r="AZ221" s="263">
        <f t="shared" si="952"/>
        <v>1.418584593036452</v>
      </c>
      <c r="BA221" s="263">
        <f t="shared" si="952"/>
        <v>1.418584593036452</v>
      </c>
      <c r="BB221" s="263">
        <f t="shared" si="952"/>
        <v>143.27704389668165</v>
      </c>
      <c r="BC221" s="263">
        <f t="shared" si="952"/>
        <v>1.418584593036452</v>
      </c>
      <c r="BD221" s="263">
        <f t="shared" si="952"/>
        <v>1.418584593036452</v>
      </c>
      <c r="BE221" s="263">
        <f t="shared" si="952"/>
        <v>1.418584593036452</v>
      </c>
      <c r="BF221" s="230">
        <f t="shared" si="906"/>
        <v>158.88147442008264</v>
      </c>
      <c r="BG221" s="224"/>
      <c r="BH221" s="263">
        <f t="shared" si="953"/>
        <v>10.63938444777339</v>
      </c>
      <c r="BI221" s="263">
        <f t="shared" si="953"/>
        <v>10.63938444777339</v>
      </c>
      <c r="BJ221" s="263">
        <f t="shared" si="953"/>
        <v>10.63938444777339</v>
      </c>
      <c r="BK221" s="263">
        <f t="shared" si="953"/>
        <v>10.63938444777339</v>
      </c>
      <c r="BL221" s="263">
        <f t="shared" si="953"/>
        <v>10.63938444777339</v>
      </c>
      <c r="BM221" s="263">
        <f t="shared" si="953"/>
        <v>10.63938444777339</v>
      </c>
      <c r="BN221" s="263">
        <f t="shared" si="953"/>
        <v>10.63938444777339</v>
      </c>
      <c r="BO221" s="263">
        <f t="shared" si="953"/>
        <v>10.63938444777339</v>
      </c>
      <c r="BP221" s="263">
        <f t="shared" si="953"/>
        <v>1074.5778292251123</v>
      </c>
      <c r="BQ221" s="263">
        <f t="shared" si="953"/>
        <v>10.63938444777339</v>
      </c>
      <c r="BR221" s="263">
        <f t="shared" si="953"/>
        <v>10.63938444777339</v>
      </c>
      <c r="BS221" s="263">
        <f t="shared" si="953"/>
        <v>10.63938444777339</v>
      </c>
      <c r="BT221" s="230">
        <f t="shared" si="908"/>
        <v>1191.6110581506196</v>
      </c>
      <c r="BU221" s="266"/>
      <c r="BV221" s="263">
        <f t="shared" si="954"/>
        <v>0.70929229651822601</v>
      </c>
      <c r="BW221" s="263">
        <f t="shared" si="954"/>
        <v>0.70929229651822601</v>
      </c>
      <c r="BX221" s="263">
        <f t="shared" si="954"/>
        <v>0.70929229651822601</v>
      </c>
      <c r="BY221" s="263">
        <f t="shared" si="954"/>
        <v>0.70929229651822601</v>
      </c>
      <c r="BZ221" s="263">
        <f t="shared" si="954"/>
        <v>0.70929229651822601</v>
      </c>
      <c r="CA221" s="263">
        <f t="shared" si="954"/>
        <v>0.70929229651822601</v>
      </c>
      <c r="CB221" s="263">
        <f t="shared" si="954"/>
        <v>0.70929229651822601</v>
      </c>
      <c r="CC221" s="263">
        <f t="shared" si="954"/>
        <v>0.70929229651822601</v>
      </c>
      <c r="CD221" s="263">
        <f t="shared" si="954"/>
        <v>71.638521948340824</v>
      </c>
      <c r="CE221" s="263">
        <f t="shared" si="954"/>
        <v>0.70929229651822601</v>
      </c>
      <c r="CF221" s="263">
        <f t="shared" si="954"/>
        <v>0.70929229651822601</v>
      </c>
      <c r="CG221" s="263">
        <f t="shared" si="954"/>
        <v>0.70929229651822601</v>
      </c>
      <c r="CH221" s="230">
        <f t="shared" si="910"/>
        <v>79.44073721004132</v>
      </c>
      <c r="CI221" s="266"/>
      <c r="CJ221" s="263">
        <f t="shared" si="955"/>
        <v>7.8022152617004865</v>
      </c>
      <c r="CK221" s="263">
        <f t="shared" si="955"/>
        <v>7.8022152617004865</v>
      </c>
      <c r="CL221" s="263">
        <f t="shared" si="955"/>
        <v>7.8022152617004865</v>
      </c>
      <c r="CM221" s="263">
        <f t="shared" si="955"/>
        <v>7.8022152617004865</v>
      </c>
      <c r="CN221" s="263">
        <f t="shared" si="955"/>
        <v>7.8022152617004865</v>
      </c>
      <c r="CO221" s="263">
        <f t="shared" si="955"/>
        <v>7.8022152617004865</v>
      </c>
      <c r="CP221" s="263">
        <f t="shared" si="955"/>
        <v>7.8022152617004865</v>
      </c>
      <c r="CQ221" s="263">
        <f t="shared" si="955"/>
        <v>7.8022152617004865</v>
      </c>
      <c r="CR221" s="263">
        <f t="shared" si="955"/>
        <v>788.02374143174904</v>
      </c>
      <c r="CS221" s="263">
        <f t="shared" si="955"/>
        <v>7.8022152617004865</v>
      </c>
      <c r="CT221" s="263">
        <f t="shared" si="955"/>
        <v>7.8022152617004865</v>
      </c>
      <c r="CU221" s="263">
        <f t="shared" si="955"/>
        <v>7.8022152617004865</v>
      </c>
      <c r="CV221" s="230">
        <f t="shared" si="912"/>
        <v>873.84810931045422</v>
      </c>
      <c r="CW221" s="266"/>
      <c r="CX221" s="263">
        <f t="shared" si="956"/>
        <v>19.860184302510326</v>
      </c>
      <c r="CY221" s="263">
        <f t="shared" si="956"/>
        <v>19.860184302510326</v>
      </c>
      <c r="CZ221" s="263">
        <f t="shared" si="956"/>
        <v>19.860184302510326</v>
      </c>
      <c r="DA221" s="263">
        <f t="shared" si="956"/>
        <v>19.860184302510326</v>
      </c>
      <c r="DB221" s="263">
        <f t="shared" si="956"/>
        <v>19.860184302510326</v>
      </c>
      <c r="DC221" s="263">
        <f t="shared" si="956"/>
        <v>19.860184302510326</v>
      </c>
      <c r="DD221" s="263">
        <f t="shared" si="956"/>
        <v>19.860184302510326</v>
      </c>
      <c r="DE221" s="263">
        <f t="shared" si="956"/>
        <v>19.860184302510326</v>
      </c>
      <c r="DF221" s="263">
        <f t="shared" si="956"/>
        <v>2005.8786145535428</v>
      </c>
      <c r="DG221" s="263">
        <f t="shared" si="956"/>
        <v>19.860184302510326</v>
      </c>
      <c r="DH221" s="263">
        <f t="shared" si="956"/>
        <v>19.860184302510326</v>
      </c>
      <c r="DI221" s="263">
        <f t="shared" si="956"/>
        <v>19.860184302510326</v>
      </c>
      <c r="DJ221" s="230">
        <f t="shared" si="914"/>
        <v>2224.3406418811564</v>
      </c>
      <c r="DK221" s="266"/>
      <c r="DL221" s="263">
        <f t="shared" si="957"/>
        <v>19.860184302510326</v>
      </c>
      <c r="DM221" s="263">
        <f t="shared" si="957"/>
        <v>19.860184302510326</v>
      </c>
      <c r="DN221" s="263">
        <f t="shared" si="957"/>
        <v>19.860184302510326</v>
      </c>
      <c r="DO221" s="263">
        <f t="shared" si="957"/>
        <v>19.860184302510326</v>
      </c>
      <c r="DP221" s="263">
        <f t="shared" si="957"/>
        <v>19.860184302510326</v>
      </c>
      <c r="DQ221" s="263">
        <f t="shared" si="957"/>
        <v>19.860184302510326</v>
      </c>
      <c r="DR221" s="263">
        <f t="shared" si="957"/>
        <v>19.860184302510326</v>
      </c>
      <c r="DS221" s="263">
        <f t="shared" si="957"/>
        <v>19.860184302510326</v>
      </c>
      <c r="DT221" s="263">
        <f t="shared" si="957"/>
        <v>2005.8786145535428</v>
      </c>
      <c r="DU221" s="263">
        <f t="shared" si="957"/>
        <v>19.860184302510326</v>
      </c>
      <c r="DV221" s="263">
        <f t="shared" si="957"/>
        <v>19.860184302510326</v>
      </c>
      <c r="DW221" s="263">
        <f t="shared" si="957"/>
        <v>19.860184302510326</v>
      </c>
      <c r="DX221" s="230">
        <f t="shared" si="916"/>
        <v>2224.3406418811564</v>
      </c>
      <c r="DY221" s="266"/>
      <c r="DZ221" s="263">
        <f t="shared" si="958"/>
        <v>0.70929229651822601</v>
      </c>
      <c r="EA221" s="263">
        <f t="shared" si="958"/>
        <v>0.70929229651822601</v>
      </c>
      <c r="EB221" s="263">
        <f t="shared" si="958"/>
        <v>0.70929229651822601</v>
      </c>
      <c r="EC221" s="263">
        <f t="shared" si="958"/>
        <v>0.70929229651822601</v>
      </c>
      <c r="ED221" s="263">
        <f t="shared" si="958"/>
        <v>0.70929229651822601</v>
      </c>
      <c r="EE221" s="263">
        <f t="shared" si="958"/>
        <v>0.70929229651822601</v>
      </c>
      <c r="EF221" s="263">
        <f t="shared" si="958"/>
        <v>0.70929229651822601</v>
      </c>
      <c r="EG221" s="263">
        <f t="shared" si="958"/>
        <v>0.70929229651822601</v>
      </c>
      <c r="EH221" s="263">
        <f t="shared" si="958"/>
        <v>71.638521948340824</v>
      </c>
      <c r="EI221" s="263">
        <f t="shared" si="958"/>
        <v>0.70929229651822601</v>
      </c>
      <c r="EJ221" s="263">
        <f t="shared" si="958"/>
        <v>0.70929229651822601</v>
      </c>
      <c r="EK221" s="263">
        <f t="shared" si="958"/>
        <v>0.70929229651822601</v>
      </c>
      <c r="EL221" s="230">
        <f t="shared" si="918"/>
        <v>79.44073721004132</v>
      </c>
      <c r="EM221" s="266"/>
      <c r="EN221" s="263">
        <f t="shared" si="959"/>
        <v>1.418584593036452</v>
      </c>
      <c r="EO221" s="263">
        <f t="shared" si="959"/>
        <v>1.418584593036452</v>
      </c>
      <c r="EP221" s="263">
        <f t="shared" si="959"/>
        <v>1.418584593036452</v>
      </c>
      <c r="EQ221" s="263">
        <f t="shared" si="959"/>
        <v>1.418584593036452</v>
      </c>
      <c r="ER221" s="263">
        <f t="shared" si="959"/>
        <v>1.418584593036452</v>
      </c>
      <c r="ES221" s="263">
        <f t="shared" si="959"/>
        <v>1.418584593036452</v>
      </c>
      <c r="ET221" s="263">
        <f t="shared" si="959"/>
        <v>1.418584593036452</v>
      </c>
      <c r="EU221" s="263">
        <f t="shared" si="959"/>
        <v>1.418584593036452</v>
      </c>
      <c r="EV221" s="263">
        <f t="shared" si="959"/>
        <v>143.27704389668165</v>
      </c>
      <c r="EW221" s="263">
        <f t="shared" si="959"/>
        <v>1.418584593036452</v>
      </c>
      <c r="EX221" s="263">
        <f t="shared" si="959"/>
        <v>1.418584593036452</v>
      </c>
      <c r="EY221" s="263">
        <f t="shared" si="959"/>
        <v>1.418584593036452</v>
      </c>
      <c r="EZ221" s="230">
        <f t="shared" si="920"/>
        <v>158.88147442008264</v>
      </c>
      <c r="FA221" s="266"/>
      <c r="FB221" s="263">
        <f t="shared" si="960"/>
        <v>0.70929229651822601</v>
      </c>
      <c r="FC221" s="263">
        <f t="shared" si="960"/>
        <v>0.70929229651822601</v>
      </c>
      <c r="FD221" s="263">
        <f t="shared" si="960"/>
        <v>0.70929229651822601</v>
      </c>
      <c r="FE221" s="263">
        <f t="shared" si="960"/>
        <v>0.70929229651822601</v>
      </c>
      <c r="FF221" s="263">
        <f t="shared" si="960"/>
        <v>0.70929229651822601</v>
      </c>
      <c r="FG221" s="263">
        <f t="shared" si="960"/>
        <v>0.70929229651822601</v>
      </c>
      <c r="FH221" s="263">
        <f t="shared" si="960"/>
        <v>0.70929229651822601</v>
      </c>
      <c r="FI221" s="263">
        <f t="shared" si="960"/>
        <v>0.70929229651822601</v>
      </c>
      <c r="FJ221" s="263">
        <f t="shared" si="960"/>
        <v>71.638521948340824</v>
      </c>
      <c r="FK221" s="263">
        <f t="shared" si="960"/>
        <v>0.70929229651822601</v>
      </c>
      <c r="FL221" s="263">
        <f t="shared" si="960"/>
        <v>0.70929229651822601</v>
      </c>
      <c r="FM221" s="263">
        <f t="shared" si="960"/>
        <v>0.70929229651822601</v>
      </c>
      <c r="FN221" s="230">
        <f t="shared" si="922"/>
        <v>79.44073721004132</v>
      </c>
      <c r="FO221" s="266"/>
      <c r="FP221" s="263">
        <f t="shared" si="961"/>
        <v>4.9650460756275816</v>
      </c>
      <c r="FQ221" s="263">
        <f t="shared" si="961"/>
        <v>4.9650460756275816</v>
      </c>
      <c r="FR221" s="263">
        <f t="shared" si="961"/>
        <v>4.9650460756275816</v>
      </c>
      <c r="FS221" s="263">
        <f t="shared" si="961"/>
        <v>4.9650460756275816</v>
      </c>
      <c r="FT221" s="263">
        <f t="shared" si="961"/>
        <v>4.9650460756275816</v>
      </c>
      <c r="FU221" s="263">
        <f t="shared" si="961"/>
        <v>4.9650460756275816</v>
      </c>
      <c r="FV221" s="263">
        <f t="shared" si="961"/>
        <v>4.9650460756275816</v>
      </c>
      <c r="FW221" s="263">
        <f t="shared" si="961"/>
        <v>4.9650460756275816</v>
      </c>
      <c r="FX221" s="263">
        <f t="shared" si="961"/>
        <v>501.46965363838569</v>
      </c>
      <c r="FY221" s="263">
        <f t="shared" si="961"/>
        <v>4.9650460756275816</v>
      </c>
      <c r="FZ221" s="263">
        <f t="shared" si="961"/>
        <v>4.9650460756275816</v>
      </c>
      <c r="GA221" s="263">
        <f t="shared" si="961"/>
        <v>4.9650460756275816</v>
      </c>
      <c r="GB221" s="230">
        <f t="shared" si="924"/>
        <v>556.08516047028911</v>
      </c>
      <c r="GC221" s="266"/>
      <c r="GD221" s="263">
        <f t="shared" si="962"/>
        <v>0.70929229651822601</v>
      </c>
      <c r="GE221" s="263">
        <f t="shared" si="962"/>
        <v>0.70929229651822601</v>
      </c>
      <c r="GF221" s="263">
        <f t="shared" si="962"/>
        <v>0.70929229651822601</v>
      </c>
      <c r="GG221" s="263">
        <f t="shared" si="962"/>
        <v>0.70929229651822601</v>
      </c>
      <c r="GH221" s="263">
        <f t="shared" si="962"/>
        <v>0.70929229651822601</v>
      </c>
      <c r="GI221" s="263">
        <f t="shared" si="962"/>
        <v>0.70929229651822601</v>
      </c>
      <c r="GJ221" s="263">
        <f t="shared" si="962"/>
        <v>0.70929229651822601</v>
      </c>
      <c r="GK221" s="263">
        <f t="shared" si="962"/>
        <v>0.70929229651822601</v>
      </c>
      <c r="GL221" s="263">
        <f t="shared" si="962"/>
        <v>71.638521948340824</v>
      </c>
      <c r="GM221" s="263">
        <f t="shared" si="962"/>
        <v>0.70929229651822601</v>
      </c>
      <c r="GN221" s="263">
        <f t="shared" si="962"/>
        <v>0.70929229651822601</v>
      </c>
      <c r="GO221" s="263">
        <f t="shared" si="962"/>
        <v>0.70929229651822601</v>
      </c>
      <c r="GP221" s="230">
        <f t="shared" si="926"/>
        <v>79.44073721004132</v>
      </c>
      <c r="GQ221" s="266"/>
      <c r="GR221" s="263">
        <f t="shared" si="963"/>
        <v>0</v>
      </c>
      <c r="GS221" s="263">
        <f t="shared" si="963"/>
        <v>0</v>
      </c>
      <c r="GT221" s="263">
        <f t="shared" si="963"/>
        <v>178.74165872259294</v>
      </c>
      <c r="GU221" s="263">
        <f t="shared" si="963"/>
        <v>178.74165872259294</v>
      </c>
      <c r="GV221" s="263">
        <f t="shared" si="963"/>
        <v>178.74165872259294</v>
      </c>
      <c r="GW221" s="263">
        <f t="shared" si="963"/>
        <v>178.74165872259294</v>
      </c>
      <c r="GX221" s="263">
        <f t="shared" si="963"/>
        <v>178.74165872259294</v>
      </c>
      <c r="GY221" s="263">
        <f t="shared" si="963"/>
        <v>178.74165872259294</v>
      </c>
      <c r="GZ221" s="263">
        <f t="shared" si="963"/>
        <v>178.74165872259294</v>
      </c>
      <c r="HA221" s="263">
        <f t="shared" si="963"/>
        <v>178.74165872259294</v>
      </c>
      <c r="HB221" s="263">
        <f t="shared" si="963"/>
        <v>178.74165872259294</v>
      </c>
      <c r="HC221" s="263">
        <f t="shared" si="963"/>
        <v>178.74165872259294</v>
      </c>
      <c r="HD221" s="230">
        <f t="shared" si="947"/>
        <v>0</v>
      </c>
      <c r="HE221" s="266"/>
      <c r="HF221" s="263">
        <f t="shared" si="964"/>
        <v>2.837169186072904</v>
      </c>
      <c r="HG221" s="263">
        <f t="shared" si="964"/>
        <v>2.837169186072904</v>
      </c>
      <c r="HH221" s="263">
        <f t="shared" si="964"/>
        <v>2.837169186072904</v>
      </c>
      <c r="HI221" s="263">
        <f t="shared" si="964"/>
        <v>2.837169186072904</v>
      </c>
      <c r="HJ221" s="263">
        <f t="shared" si="964"/>
        <v>2.837169186072904</v>
      </c>
      <c r="HK221" s="263">
        <f t="shared" si="964"/>
        <v>2.837169186072904</v>
      </c>
      <c r="HL221" s="263">
        <f t="shared" si="964"/>
        <v>2.837169186072904</v>
      </c>
      <c r="HM221" s="263">
        <f t="shared" si="964"/>
        <v>2.837169186072904</v>
      </c>
      <c r="HN221" s="263">
        <f t="shared" si="964"/>
        <v>286.55408779336329</v>
      </c>
      <c r="HO221" s="263">
        <f t="shared" si="964"/>
        <v>2.837169186072904</v>
      </c>
      <c r="HP221" s="263">
        <f t="shared" si="964"/>
        <v>2.837169186072904</v>
      </c>
      <c r="HQ221" s="263">
        <f t="shared" si="964"/>
        <v>2.837169186072904</v>
      </c>
      <c r="HR221" s="230">
        <f t="shared" si="929"/>
        <v>317.76294884016528</v>
      </c>
      <c r="HS221" s="266"/>
      <c r="HT221" s="263">
        <f t="shared" si="965"/>
        <v>0.70929229651822601</v>
      </c>
      <c r="HU221" s="263">
        <f t="shared" si="965"/>
        <v>0.70929229651822601</v>
      </c>
      <c r="HV221" s="263">
        <f t="shared" si="965"/>
        <v>0.70929229651822601</v>
      </c>
      <c r="HW221" s="263">
        <f t="shared" si="965"/>
        <v>0.70929229651822601</v>
      </c>
      <c r="HX221" s="263">
        <f t="shared" si="965"/>
        <v>0.70929229651822601</v>
      </c>
      <c r="HY221" s="263">
        <f t="shared" si="965"/>
        <v>0.70929229651822601</v>
      </c>
      <c r="HZ221" s="263">
        <f t="shared" si="965"/>
        <v>0.70929229651822601</v>
      </c>
      <c r="IA221" s="263">
        <f t="shared" si="965"/>
        <v>0.70929229651822601</v>
      </c>
      <c r="IB221" s="263">
        <f t="shared" si="965"/>
        <v>71.638521948340824</v>
      </c>
      <c r="IC221" s="263">
        <f t="shared" si="965"/>
        <v>0.70929229651822601</v>
      </c>
      <c r="ID221" s="263">
        <f t="shared" si="965"/>
        <v>0.70929229651822601</v>
      </c>
      <c r="IE221" s="263">
        <f t="shared" si="965"/>
        <v>0.70929229651822601</v>
      </c>
      <c r="IF221" s="230">
        <f t="shared" si="931"/>
        <v>79.44073721004132</v>
      </c>
      <c r="IG221" s="266"/>
      <c r="IH221" s="263">
        <f t="shared" si="966"/>
        <v>0.70929229651822601</v>
      </c>
      <c r="II221" s="263">
        <f t="shared" si="966"/>
        <v>0.70929229651822601</v>
      </c>
      <c r="IJ221" s="263">
        <f t="shared" si="966"/>
        <v>0.70929229651822601</v>
      </c>
      <c r="IK221" s="263">
        <f t="shared" si="966"/>
        <v>0.70929229651822601</v>
      </c>
      <c r="IL221" s="263">
        <f t="shared" si="966"/>
        <v>0.70929229651822601</v>
      </c>
      <c r="IM221" s="263">
        <f t="shared" si="966"/>
        <v>0.70929229651822601</v>
      </c>
      <c r="IN221" s="263">
        <f t="shared" si="966"/>
        <v>0.70929229651822601</v>
      </c>
      <c r="IO221" s="263">
        <f t="shared" si="966"/>
        <v>0.70929229651822601</v>
      </c>
      <c r="IP221" s="263">
        <f t="shared" si="966"/>
        <v>71.638521948340824</v>
      </c>
      <c r="IQ221" s="263">
        <f t="shared" si="966"/>
        <v>0.70929229651822601</v>
      </c>
      <c r="IR221" s="263">
        <f t="shared" si="966"/>
        <v>0.70929229651822601</v>
      </c>
      <c r="IS221" s="263">
        <f t="shared" si="966"/>
        <v>0.70929229651822601</v>
      </c>
      <c r="IT221" s="230">
        <f t="shared" si="933"/>
        <v>79.44073721004132</v>
      </c>
      <c r="IU221" s="266"/>
      <c r="IV221" s="263">
        <f t="shared" si="967"/>
        <v>4.9650460756275816</v>
      </c>
      <c r="IW221" s="263">
        <f t="shared" si="967"/>
        <v>4.9650460756275816</v>
      </c>
      <c r="IX221" s="263">
        <f t="shared" si="967"/>
        <v>4.9650460756275816</v>
      </c>
      <c r="IY221" s="263">
        <f t="shared" si="967"/>
        <v>4.9650460756275816</v>
      </c>
      <c r="IZ221" s="263">
        <f t="shared" si="967"/>
        <v>4.9650460756275816</v>
      </c>
      <c r="JA221" s="263">
        <f t="shared" si="967"/>
        <v>4.9650460756275816</v>
      </c>
      <c r="JB221" s="263">
        <f t="shared" si="967"/>
        <v>4.9650460756275816</v>
      </c>
      <c r="JC221" s="263">
        <f t="shared" si="967"/>
        <v>4.9650460756275816</v>
      </c>
      <c r="JD221" s="263">
        <f t="shared" si="967"/>
        <v>501.46965363838569</v>
      </c>
      <c r="JE221" s="263">
        <f t="shared" si="967"/>
        <v>4.9650460756275816</v>
      </c>
      <c r="JF221" s="263">
        <f t="shared" si="967"/>
        <v>4.9650460756275816</v>
      </c>
      <c r="JG221" s="263">
        <f t="shared" si="967"/>
        <v>4.9650460756275816</v>
      </c>
      <c r="JH221" s="230">
        <f t="shared" si="935"/>
        <v>556.08516047028911</v>
      </c>
      <c r="JI221" s="266"/>
      <c r="JJ221" s="263">
        <f t="shared" si="968"/>
        <v>7.8022152617004865</v>
      </c>
      <c r="JK221" s="263">
        <f t="shared" si="968"/>
        <v>7.8022152617004865</v>
      </c>
      <c r="JL221" s="263">
        <f t="shared" si="968"/>
        <v>7.8022152617004865</v>
      </c>
      <c r="JM221" s="263">
        <f t="shared" si="968"/>
        <v>7.8022152617004865</v>
      </c>
      <c r="JN221" s="263">
        <f t="shared" si="968"/>
        <v>7.8022152617004865</v>
      </c>
      <c r="JO221" s="263">
        <f t="shared" si="968"/>
        <v>7.8022152617004865</v>
      </c>
      <c r="JP221" s="263">
        <f t="shared" si="968"/>
        <v>7.8022152617004865</v>
      </c>
      <c r="JQ221" s="263">
        <f t="shared" si="968"/>
        <v>7.8022152617004865</v>
      </c>
      <c r="JR221" s="263">
        <f t="shared" si="968"/>
        <v>788.02374143174904</v>
      </c>
      <c r="JS221" s="263">
        <f t="shared" si="968"/>
        <v>7.8022152617004865</v>
      </c>
      <c r="JT221" s="263">
        <f t="shared" si="968"/>
        <v>7.8022152617004865</v>
      </c>
      <c r="JU221" s="263">
        <f t="shared" si="968"/>
        <v>7.8022152617004865</v>
      </c>
      <c r="JV221" s="230">
        <f t="shared" si="937"/>
        <v>873.84810931045422</v>
      </c>
      <c r="JW221" s="266"/>
      <c r="JX221" s="263">
        <f t="shared" si="969"/>
        <v>3.54646148259113</v>
      </c>
      <c r="JY221" s="263">
        <f t="shared" si="969"/>
        <v>3.54646148259113</v>
      </c>
      <c r="JZ221" s="263">
        <f t="shared" si="969"/>
        <v>3.54646148259113</v>
      </c>
      <c r="KA221" s="263">
        <f t="shared" si="969"/>
        <v>3.54646148259113</v>
      </c>
      <c r="KB221" s="263">
        <f t="shared" si="969"/>
        <v>3.54646148259113</v>
      </c>
      <c r="KC221" s="263">
        <f t="shared" si="969"/>
        <v>3.54646148259113</v>
      </c>
      <c r="KD221" s="263">
        <f t="shared" si="969"/>
        <v>3.54646148259113</v>
      </c>
      <c r="KE221" s="263">
        <f t="shared" si="969"/>
        <v>3.54646148259113</v>
      </c>
      <c r="KF221" s="263">
        <f t="shared" si="969"/>
        <v>358.19260974170413</v>
      </c>
      <c r="KG221" s="263">
        <f t="shared" si="969"/>
        <v>3.54646148259113</v>
      </c>
      <c r="KH221" s="263">
        <f t="shared" si="969"/>
        <v>3.54646148259113</v>
      </c>
      <c r="KI221" s="263">
        <f t="shared" si="969"/>
        <v>3.54646148259113</v>
      </c>
      <c r="KJ221" s="230">
        <f t="shared" si="939"/>
        <v>397.20368605020661</v>
      </c>
      <c r="KK221" s="266"/>
      <c r="KL221" s="263">
        <f t="shared" si="970"/>
        <v>1.418584593036452</v>
      </c>
      <c r="KM221" s="263">
        <f t="shared" si="970"/>
        <v>1.418584593036452</v>
      </c>
      <c r="KN221" s="263">
        <f t="shared" si="970"/>
        <v>1.418584593036452</v>
      </c>
      <c r="KO221" s="263">
        <f t="shared" si="970"/>
        <v>1.418584593036452</v>
      </c>
      <c r="KP221" s="263">
        <f t="shared" si="970"/>
        <v>1.418584593036452</v>
      </c>
      <c r="KQ221" s="263">
        <f t="shared" si="970"/>
        <v>1.418584593036452</v>
      </c>
      <c r="KR221" s="263">
        <f t="shared" si="970"/>
        <v>1.418584593036452</v>
      </c>
      <c r="KS221" s="263">
        <f t="shared" si="970"/>
        <v>1.418584593036452</v>
      </c>
      <c r="KT221" s="263">
        <f t="shared" si="970"/>
        <v>143.27704389668165</v>
      </c>
      <c r="KU221" s="263">
        <f t="shared" si="970"/>
        <v>1.418584593036452</v>
      </c>
      <c r="KV221" s="263">
        <f t="shared" si="970"/>
        <v>1.418584593036452</v>
      </c>
      <c r="KW221" s="263">
        <f t="shared" si="970"/>
        <v>1.418584593036452</v>
      </c>
      <c r="KX221" s="230">
        <f t="shared" si="941"/>
        <v>158.88147442008264</v>
      </c>
      <c r="KY221" s="266"/>
      <c r="KZ221" s="263">
        <f t="shared" si="971"/>
        <v>0.70929229651822601</v>
      </c>
      <c r="LA221" s="263">
        <f t="shared" si="971"/>
        <v>0.70929229651822601</v>
      </c>
      <c r="LB221" s="263">
        <f t="shared" si="971"/>
        <v>0.70929229651822601</v>
      </c>
      <c r="LC221" s="263">
        <f t="shared" si="971"/>
        <v>0.70929229651822601</v>
      </c>
      <c r="LD221" s="263">
        <f t="shared" si="971"/>
        <v>0.70929229651822601</v>
      </c>
      <c r="LE221" s="263">
        <f t="shared" si="971"/>
        <v>0.70929229651822601</v>
      </c>
      <c r="LF221" s="263">
        <f t="shared" si="971"/>
        <v>0.70929229651822601</v>
      </c>
      <c r="LG221" s="263">
        <f t="shared" si="971"/>
        <v>0.70929229651822601</v>
      </c>
      <c r="LH221" s="263">
        <f t="shared" si="971"/>
        <v>71.638521948340824</v>
      </c>
      <c r="LI221" s="263">
        <f t="shared" si="971"/>
        <v>0.70929229651822601</v>
      </c>
      <c r="LJ221" s="263">
        <f t="shared" si="971"/>
        <v>0.70929229651822601</v>
      </c>
      <c r="LK221" s="263">
        <f t="shared" si="971"/>
        <v>0.70929229651822601</v>
      </c>
      <c r="LL221" s="230">
        <f t="shared" si="943"/>
        <v>79.44073721004132</v>
      </c>
      <c r="LM221" s="266"/>
      <c r="LN221" s="263">
        <v>0</v>
      </c>
      <c r="LO221" s="264">
        <v>0</v>
      </c>
      <c r="LP221" s="265">
        <v>0</v>
      </c>
      <c r="LQ221" s="265">
        <v>0</v>
      </c>
      <c r="LR221" s="265">
        <v>0</v>
      </c>
      <c r="LS221" s="265">
        <v>0</v>
      </c>
      <c r="LT221" s="265">
        <v>0</v>
      </c>
      <c r="LU221" s="265">
        <v>0</v>
      </c>
      <c r="LV221" s="265">
        <v>0</v>
      </c>
      <c r="LW221" s="265">
        <v>0</v>
      </c>
      <c r="LX221" s="265">
        <v>0</v>
      </c>
      <c r="LY221" s="265">
        <v>0</v>
      </c>
      <c r="LZ221" s="230">
        <f t="shared" si="944"/>
        <v>0</v>
      </c>
      <c r="MA221" s="266"/>
      <c r="MB221" s="230">
        <f t="shared" si="972"/>
        <v>116.32393662898909</v>
      </c>
      <c r="MC221" s="230">
        <f t="shared" si="972"/>
        <v>116.32393662898909</v>
      </c>
      <c r="MD221" s="230">
        <f t="shared" si="972"/>
        <v>295.06559535158209</v>
      </c>
      <c r="ME221" s="230">
        <f t="shared" si="972"/>
        <v>295.06559535158209</v>
      </c>
      <c r="MF221" s="230">
        <f t="shared" si="972"/>
        <v>295.06559535158209</v>
      </c>
      <c r="MG221" s="230">
        <f t="shared" si="972"/>
        <v>295.06559535158209</v>
      </c>
      <c r="MH221" s="230">
        <f t="shared" si="972"/>
        <v>295.06559535158209</v>
      </c>
      <c r="MI221" s="230">
        <f t="shared" si="972"/>
        <v>295.06559535158209</v>
      </c>
      <c r="MJ221" s="230">
        <f t="shared" si="972"/>
        <v>11927.459258250481</v>
      </c>
      <c r="MK221" s="230">
        <f t="shared" si="972"/>
        <v>295.06559535158209</v>
      </c>
      <c r="ML221" s="230">
        <f t="shared" si="972"/>
        <v>295.06559535158209</v>
      </c>
      <c r="MM221" s="230">
        <f t="shared" si="972"/>
        <v>295.06559535158209</v>
      </c>
      <c r="MN221" s="230">
        <f t="shared" si="948"/>
        <v>14815.697489672697</v>
      </c>
    </row>
    <row r="222" spans="1:352" x14ac:dyDescent="0.25">
      <c r="A222" s="262"/>
      <c r="B222" s="64" t="s">
        <v>95</v>
      </c>
      <c r="C222" s="98"/>
      <c r="D222" s="263">
        <f t="shared" si="949"/>
        <v>1124.0792705348742</v>
      </c>
      <c r="E222" s="263">
        <f t="shared" si="949"/>
        <v>1124.0792705348742</v>
      </c>
      <c r="F222" s="263">
        <f t="shared" si="949"/>
        <v>1124.0792705348742</v>
      </c>
      <c r="G222" s="263">
        <f t="shared" si="949"/>
        <v>1124.0792705348742</v>
      </c>
      <c r="H222" s="263">
        <f t="shared" si="949"/>
        <v>1124.4027750112025</v>
      </c>
      <c r="I222" s="263">
        <f t="shared" si="949"/>
        <v>1251.0981522479653</v>
      </c>
      <c r="J222" s="263">
        <f t="shared" si="949"/>
        <v>1251.0981522479653</v>
      </c>
      <c r="K222" s="263">
        <f t="shared" si="949"/>
        <v>1250.9153791387218</v>
      </c>
      <c r="L222" s="263">
        <f t="shared" si="949"/>
        <v>1250.9153791387218</v>
      </c>
      <c r="M222" s="263">
        <f t="shared" si="949"/>
        <v>1250.9153791387218</v>
      </c>
      <c r="N222" s="263">
        <f t="shared" si="949"/>
        <v>1250.9153791387218</v>
      </c>
      <c r="O222" s="263">
        <f t="shared" si="949"/>
        <v>1267.8114624246168</v>
      </c>
      <c r="P222" s="230">
        <f t="shared" si="900"/>
        <v>14394.389140626134</v>
      </c>
      <c r="Q222" s="266"/>
      <c r="R222" s="263">
        <f t="shared" si="950"/>
        <v>116.2840624691249</v>
      </c>
      <c r="S222" s="263">
        <f t="shared" si="950"/>
        <v>116.2840624691249</v>
      </c>
      <c r="T222" s="263">
        <f t="shared" si="950"/>
        <v>116.2840624691249</v>
      </c>
      <c r="U222" s="263">
        <f t="shared" si="950"/>
        <v>116.2840624691249</v>
      </c>
      <c r="V222" s="263">
        <f t="shared" si="950"/>
        <v>116.31752844943475</v>
      </c>
      <c r="W222" s="263">
        <f t="shared" si="950"/>
        <v>129.42394678427229</v>
      </c>
      <c r="X222" s="263">
        <f t="shared" si="950"/>
        <v>129.42394678427229</v>
      </c>
      <c r="Y222" s="263">
        <f t="shared" si="950"/>
        <v>129.40503922124708</v>
      </c>
      <c r="Z222" s="263">
        <f t="shared" si="950"/>
        <v>129.40503922124708</v>
      </c>
      <c r="AA222" s="263">
        <f t="shared" si="950"/>
        <v>129.40503922124708</v>
      </c>
      <c r="AB222" s="263">
        <f t="shared" si="950"/>
        <v>129.40503922124708</v>
      </c>
      <c r="AC222" s="263">
        <f t="shared" si="950"/>
        <v>131.15290990599485</v>
      </c>
      <c r="AD222" s="230">
        <f t="shared" si="902"/>
        <v>1489.0747386854621</v>
      </c>
      <c r="AE222" s="266"/>
      <c r="AF222" s="263">
        <f t="shared" si="951"/>
        <v>116.2840624691249</v>
      </c>
      <c r="AG222" s="263">
        <f t="shared" si="951"/>
        <v>116.2840624691249</v>
      </c>
      <c r="AH222" s="263">
        <f t="shared" si="951"/>
        <v>116.2840624691249</v>
      </c>
      <c r="AI222" s="263">
        <f t="shared" si="951"/>
        <v>116.2840624691249</v>
      </c>
      <c r="AJ222" s="263">
        <f t="shared" si="951"/>
        <v>116.31752844943475</v>
      </c>
      <c r="AK222" s="263">
        <f t="shared" si="951"/>
        <v>129.42394678427229</v>
      </c>
      <c r="AL222" s="263">
        <f t="shared" si="951"/>
        <v>129.42394678427229</v>
      </c>
      <c r="AM222" s="263">
        <f t="shared" si="951"/>
        <v>129.40503922124708</v>
      </c>
      <c r="AN222" s="263">
        <f t="shared" si="951"/>
        <v>129.40503922124708</v>
      </c>
      <c r="AO222" s="263">
        <f t="shared" si="951"/>
        <v>129.40503922124708</v>
      </c>
      <c r="AP222" s="263">
        <f t="shared" si="951"/>
        <v>129.40503922124708</v>
      </c>
      <c r="AQ222" s="263">
        <f t="shared" si="951"/>
        <v>131.15290990599485</v>
      </c>
      <c r="AR222" s="230">
        <f t="shared" si="904"/>
        <v>1489.0747386854621</v>
      </c>
      <c r="AS222" s="266"/>
      <c r="AT222" s="263">
        <f t="shared" si="952"/>
        <v>77.522708312749941</v>
      </c>
      <c r="AU222" s="263">
        <f t="shared" si="952"/>
        <v>77.522708312749941</v>
      </c>
      <c r="AV222" s="263">
        <f t="shared" si="952"/>
        <v>77.522708312749941</v>
      </c>
      <c r="AW222" s="263">
        <f t="shared" si="952"/>
        <v>77.522708312749941</v>
      </c>
      <c r="AX222" s="263">
        <f t="shared" si="952"/>
        <v>77.545018966289831</v>
      </c>
      <c r="AY222" s="263">
        <f t="shared" si="952"/>
        <v>86.282631189514859</v>
      </c>
      <c r="AZ222" s="263">
        <f t="shared" si="952"/>
        <v>86.282631189514859</v>
      </c>
      <c r="BA222" s="263">
        <f t="shared" si="952"/>
        <v>86.270026147498058</v>
      </c>
      <c r="BB222" s="263">
        <f t="shared" si="952"/>
        <v>86.270026147498058</v>
      </c>
      <c r="BC222" s="263">
        <f t="shared" si="952"/>
        <v>86.270026147498058</v>
      </c>
      <c r="BD222" s="263">
        <f t="shared" si="952"/>
        <v>86.270026147498058</v>
      </c>
      <c r="BE222" s="263">
        <f t="shared" si="952"/>
        <v>87.435273270663231</v>
      </c>
      <c r="BF222" s="230">
        <f t="shared" si="906"/>
        <v>992.71649245697449</v>
      </c>
      <c r="BG222" s="224"/>
      <c r="BH222" s="263">
        <f t="shared" si="953"/>
        <v>581.42031234562455</v>
      </c>
      <c r="BI222" s="263">
        <f t="shared" si="953"/>
        <v>581.42031234562455</v>
      </c>
      <c r="BJ222" s="263">
        <f t="shared" si="953"/>
        <v>581.42031234562455</v>
      </c>
      <c r="BK222" s="263">
        <f t="shared" si="953"/>
        <v>581.42031234562455</v>
      </c>
      <c r="BL222" s="263">
        <f t="shared" si="953"/>
        <v>581.58764224717379</v>
      </c>
      <c r="BM222" s="263">
        <f t="shared" si="953"/>
        <v>647.11973392136144</v>
      </c>
      <c r="BN222" s="263">
        <f t="shared" si="953"/>
        <v>647.11973392136144</v>
      </c>
      <c r="BO222" s="263">
        <f t="shared" si="953"/>
        <v>647.0251961062354</v>
      </c>
      <c r="BP222" s="263">
        <f t="shared" si="953"/>
        <v>647.0251961062354</v>
      </c>
      <c r="BQ222" s="263">
        <f t="shared" si="953"/>
        <v>647.0251961062354</v>
      </c>
      <c r="BR222" s="263">
        <f t="shared" si="953"/>
        <v>647.0251961062354</v>
      </c>
      <c r="BS222" s="263">
        <f t="shared" si="953"/>
        <v>655.76454952997426</v>
      </c>
      <c r="BT222" s="230">
        <f t="shared" si="908"/>
        <v>7445.3736934273084</v>
      </c>
      <c r="BU222" s="266"/>
      <c r="BV222" s="263">
        <f t="shared" si="954"/>
        <v>38.761354156374971</v>
      </c>
      <c r="BW222" s="263">
        <f t="shared" si="954"/>
        <v>38.761354156374971</v>
      </c>
      <c r="BX222" s="263">
        <f t="shared" si="954"/>
        <v>38.761354156374971</v>
      </c>
      <c r="BY222" s="263">
        <f t="shared" si="954"/>
        <v>38.761354156374971</v>
      </c>
      <c r="BZ222" s="263">
        <f t="shared" si="954"/>
        <v>38.772509483144916</v>
      </c>
      <c r="CA222" s="263">
        <f t="shared" si="954"/>
        <v>43.14131559475743</v>
      </c>
      <c r="CB222" s="263">
        <f t="shared" si="954"/>
        <v>43.14131559475743</v>
      </c>
      <c r="CC222" s="263">
        <f t="shared" si="954"/>
        <v>43.135013073749029</v>
      </c>
      <c r="CD222" s="263">
        <f t="shared" si="954"/>
        <v>43.135013073749029</v>
      </c>
      <c r="CE222" s="263">
        <f t="shared" si="954"/>
        <v>43.135013073749029</v>
      </c>
      <c r="CF222" s="263">
        <f t="shared" si="954"/>
        <v>43.135013073749029</v>
      </c>
      <c r="CG222" s="263">
        <f t="shared" si="954"/>
        <v>43.717636635331615</v>
      </c>
      <c r="CH222" s="230">
        <f t="shared" si="910"/>
        <v>496.35824622848725</v>
      </c>
      <c r="CI222" s="266"/>
      <c r="CJ222" s="263">
        <f t="shared" si="955"/>
        <v>426.37489572012475</v>
      </c>
      <c r="CK222" s="263">
        <f t="shared" si="955"/>
        <v>426.37489572012475</v>
      </c>
      <c r="CL222" s="263">
        <f t="shared" si="955"/>
        <v>426.37489572012475</v>
      </c>
      <c r="CM222" s="263">
        <f t="shared" si="955"/>
        <v>426.37489572012475</v>
      </c>
      <c r="CN222" s="263">
        <f t="shared" si="955"/>
        <v>426.49760431459407</v>
      </c>
      <c r="CO222" s="263">
        <f t="shared" si="955"/>
        <v>474.55447154233173</v>
      </c>
      <c r="CP222" s="263">
        <f t="shared" si="955"/>
        <v>474.55447154233173</v>
      </c>
      <c r="CQ222" s="263">
        <f t="shared" si="955"/>
        <v>474.48514381123925</v>
      </c>
      <c r="CR222" s="263">
        <f t="shared" si="955"/>
        <v>474.48514381123925</v>
      </c>
      <c r="CS222" s="263">
        <f t="shared" si="955"/>
        <v>474.48514381123925</v>
      </c>
      <c r="CT222" s="263">
        <f t="shared" si="955"/>
        <v>474.48514381123925</v>
      </c>
      <c r="CU222" s="263">
        <f t="shared" si="955"/>
        <v>480.89400298864774</v>
      </c>
      <c r="CV222" s="230">
        <f t="shared" si="912"/>
        <v>5459.9407085133607</v>
      </c>
      <c r="CW222" s="266"/>
      <c r="CX222" s="263">
        <f t="shared" si="956"/>
        <v>1085.3179163784991</v>
      </c>
      <c r="CY222" s="263">
        <f t="shared" si="956"/>
        <v>1085.3179163784991</v>
      </c>
      <c r="CZ222" s="263">
        <f t="shared" si="956"/>
        <v>1085.3179163784991</v>
      </c>
      <c r="DA222" s="263">
        <f t="shared" si="956"/>
        <v>1085.3179163784991</v>
      </c>
      <c r="DB222" s="263">
        <f t="shared" si="956"/>
        <v>1085.6302655280576</v>
      </c>
      <c r="DC222" s="263">
        <f t="shared" si="956"/>
        <v>1207.956836653208</v>
      </c>
      <c r="DD222" s="263">
        <f t="shared" si="956"/>
        <v>1207.956836653208</v>
      </c>
      <c r="DE222" s="263">
        <f t="shared" si="956"/>
        <v>1207.7803660649729</v>
      </c>
      <c r="DF222" s="263">
        <f t="shared" si="956"/>
        <v>1207.7803660649729</v>
      </c>
      <c r="DG222" s="263">
        <f t="shared" si="956"/>
        <v>1207.7803660649729</v>
      </c>
      <c r="DH222" s="263">
        <f t="shared" si="956"/>
        <v>1207.7803660649729</v>
      </c>
      <c r="DI222" s="263">
        <f t="shared" si="956"/>
        <v>1224.0938257892851</v>
      </c>
      <c r="DJ222" s="230">
        <f t="shared" si="914"/>
        <v>13898.030894397649</v>
      </c>
      <c r="DK222" s="266"/>
      <c r="DL222" s="263">
        <f t="shared" si="957"/>
        <v>1085.3179163784991</v>
      </c>
      <c r="DM222" s="263">
        <f t="shared" si="957"/>
        <v>1085.3179163784991</v>
      </c>
      <c r="DN222" s="263">
        <f t="shared" si="957"/>
        <v>1085.3179163784991</v>
      </c>
      <c r="DO222" s="263">
        <f t="shared" si="957"/>
        <v>1085.3179163784991</v>
      </c>
      <c r="DP222" s="263">
        <f t="shared" si="957"/>
        <v>1085.6302655280576</v>
      </c>
      <c r="DQ222" s="263">
        <f t="shared" si="957"/>
        <v>1207.956836653208</v>
      </c>
      <c r="DR222" s="263">
        <f t="shared" si="957"/>
        <v>1207.956836653208</v>
      </c>
      <c r="DS222" s="263">
        <f t="shared" si="957"/>
        <v>1207.7803660649729</v>
      </c>
      <c r="DT222" s="263">
        <f t="shared" si="957"/>
        <v>1207.7803660649729</v>
      </c>
      <c r="DU222" s="263">
        <f t="shared" si="957"/>
        <v>1207.7803660649729</v>
      </c>
      <c r="DV222" s="263">
        <f t="shared" si="957"/>
        <v>1207.7803660649729</v>
      </c>
      <c r="DW222" s="263">
        <f t="shared" si="957"/>
        <v>1224.0938257892851</v>
      </c>
      <c r="DX222" s="230">
        <f t="shared" si="916"/>
        <v>13898.030894397649</v>
      </c>
      <c r="DY222" s="266"/>
      <c r="DZ222" s="263">
        <f t="shared" si="958"/>
        <v>38.761354156374971</v>
      </c>
      <c r="EA222" s="263">
        <f t="shared" si="958"/>
        <v>38.761354156374971</v>
      </c>
      <c r="EB222" s="263">
        <f t="shared" si="958"/>
        <v>38.761354156374971</v>
      </c>
      <c r="EC222" s="263">
        <f t="shared" si="958"/>
        <v>38.761354156374971</v>
      </c>
      <c r="ED222" s="263">
        <f t="shared" si="958"/>
        <v>38.772509483144916</v>
      </c>
      <c r="EE222" s="263">
        <f t="shared" si="958"/>
        <v>43.14131559475743</v>
      </c>
      <c r="EF222" s="263">
        <f t="shared" si="958"/>
        <v>43.14131559475743</v>
      </c>
      <c r="EG222" s="263">
        <f t="shared" si="958"/>
        <v>43.135013073749029</v>
      </c>
      <c r="EH222" s="263">
        <f t="shared" si="958"/>
        <v>43.135013073749029</v>
      </c>
      <c r="EI222" s="263">
        <f t="shared" si="958"/>
        <v>43.135013073749029</v>
      </c>
      <c r="EJ222" s="263">
        <f t="shared" si="958"/>
        <v>43.135013073749029</v>
      </c>
      <c r="EK222" s="263">
        <f t="shared" si="958"/>
        <v>43.717636635331615</v>
      </c>
      <c r="EL222" s="230">
        <f t="shared" si="918"/>
        <v>496.35824622848725</v>
      </c>
      <c r="EM222" s="266"/>
      <c r="EN222" s="263">
        <f t="shared" si="959"/>
        <v>77.522708312749941</v>
      </c>
      <c r="EO222" s="263">
        <f t="shared" si="959"/>
        <v>77.522708312749941</v>
      </c>
      <c r="EP222" s="263">
        <f t="shared" si="959"/>
        <v>77.522708312749941</v>
      </c>
      <c r="EQ222" s="263">
        <f t="shared" si="959"/>
        <v>77.522708312749941</v>
      </c>
      <c r="ER222" s="263">
        <f t="shared" si="959"/>
        <v>77.545018966289831</v>
      </c>
      <c r="ES222" s="263">
        <f t="shared" si="959"/>
        <v>86.282631189514859</v>
      </c>
      <c r="ET222" s="263">
        <f t="shared" si="959"/>
        <v>86.282631189514859</v>
      </c>
      <c r="EU222" s="263">
        <f t="shared" si="959"/>
        <v>86.270026147498058</v>
      </c>
      <c r="EV222" s="263">
        <f t="shared" si="959"/>
        <v>86.270026147498058</v>
      </c>
      <c r="EW222" s="263">
        <f t="shared" si="959"/>
        <v>86.270026147498058</v>
      </c>
      <c r="EX222" s="263">
        <f t="shared" si="959"/>
        <v>86.270026147498058</v>
      </c>
      <c r="EY222" s="263">
        <f t="shared" si="959"/>
        <v>87.435273270663231</v>
      </c>
      <c r="EZ222" s="230">
        <f t="shared" si="920"/>
        <v>992.71649245697449</v>
      </c>
      <c r="FA222" s="266"/>
      <c r="FB222" s="263">
        <f t="shared" si="960"/>
        <v>38.761354156374971</v>
      </c>
      <c r="FC222" s="263">
        <f t="shared" si="960"/>
        <v>38.761354156374971</v>
      </c>
      <c r="FD222" s="263">
        <f t="shared" si="960"/>
        <v>38.761354156374971</v>
      </c>
      <c r="FE222" s="263">
        <f t="shared" si="960"/>
        <v>38.761354156374971</v>
      </c>
      <c r="FF222" s="263">
        <f t="shared" si="960"/>
        <v>38.772509483144916</v>
      </c>
      <c r="FG222" s="263">
        <f t="shared" si="960"/>
        <v>43.14131559475743</v>
      </c>
      <c r="FH222" s="263">
        <f t="shared" si="960"/>
        <v>43.14131559475743</v>
      </c>
      <c r="FI222" s="263">
        <f t="shared" si="960"/>
        <v>43.135013073749029</v>
      </c>
      <c r="FJ222" s="263">
        <f t="shared" si="960"/>
        <v>43.135013073749029</v>
      </c>
      <c r="FK222" s="263">
        <f t="shared" si="960"/>
        <v>43.135013073749029</v>
      </c>
      <c r="FL222" s="263">
        <f t="shared" si="960"/>
        <v>43.135013073749029</v>
      </c>
      <c r="FM222" s="263">
        <f t="shared" si="960"/>
        <v>43.717636635331615</v>
      </c>
      <c r="FN222" s="230">
        <f t="shared" si="922"/>
        <v>496.35824622848725</v>
      </c>
      <c r="FO222" s="266"/>
      <c r="FP222" s="263">
        <f t="shared" si="961"/>
        <v>271.32947909462479</v>
      </c>
      <c r="FQ222" s="263">
        <f t="shared" si="961"/>
        <v>271.32947909462479</v>
      </c>
      <c r="FR222" s="263">
        <f t="shared" si="961"/>
        <v>271.32947909462479</v>
      </c>
      <c r="FS222" s="263">
        <f t="shared" si="961"/>
        <v>271.32947909462479</v>
      </c>
      <c r="FT222" s="263">
        <f t="shared" si="961"/>
        <v>271.40756638201441</v>
      </c>
      <c r="FU222" s="263">
        <f t="shared" si="961"/>
        <v>301.98920916330201</v>
      </c>
      <c r="FV222" s="263">
        <f t="shared" si="961"/>
        <v>301.98920916330201</v>
      </c>
      <c r="FW222" s="263">
        <f t="shared" si="961"/>
        <v>301.94509151624322</v>
      </c>
      <c r="FX222" s="263">
        <f t="shared" si="961"/>
        <v>301.94509151624322</v>
      </c>
      <c r="FY222" s="263">
        <f t="shared" si="961"/>
        <v>301.94509151624322</v>
      </c>
      <c r="FZ222" s="263">
        <f t="shared" si="961"/>
        <v>301.94509151624322</v>
      </c>
      <c r="GA222" s="263">
        <f t="shared" si="961"/>
        <v>306.02345644732128</v>
      </c>
      <c r="GB222" s="230">
        <f t="shared" si="924"/>
        <v>3474.5077235994122</v>
      </c>
      <c r="GC222" s="266"/>
      <c r="GD222" s="263">
        <f t="shared" si="962"/>
        <v>38.761354156374971</v>
      </c>
      <c r="GE222" s="263">
        <f t="shared" si="962"/>
        <v>38.761354156374971</v>
      </c>
      <c r="GF222" s="263">
        <f t="shared" si="962"/>
        <v>38.761354156374971</v>
      </c>
      <c r="GG222" s="263">
        <f t="shared" si="962"/>
        <v>38.761354156374971</v>
      </c>
      <c r="GH222" s="263">
        <f t="shared" si="962"/>
        <v>38.772509483144916</v>
      </c>
      <c r="GI222" s="263">
        <f t="shared" si="962"/>
        <v>43.14131559475743</v>
      </c>
      <c r="GJ222" s="263">
        <f t="shared" si="962"/>
        <v>43.14131559475743</v>
      </c>
      <c r="GK222" s="263">
        <f t="shared" si="962"/>
        <v>43.135013073749029</v>
      </c>
      <c r="GL222" s="263">
        <f t="shared" si="962"/>
        <v>43.135013073749029</v>
      </c>
      <c r="GM222" s="263">
        <f t="shared" si="962"/>
        <v>43.135013073749029</v>
      </c>
      <c r="GN222" s="263">
        <f t="shared" si="962"/>
        <v>43.135013073749029</v>
      </c>
      <c r="GO222" s="263">
        <f t="shared" si="962"/>
        <v>43.717636635331615</v>
      </c>
      <c r="GP222" s="230">
        <f t="shared" si="926"/>
        <v>496.35824622848725</v>
      </c>
      <c r="GQ222" s="266"/>
      <c r="GR222" s="263">
        <f t="shared" si="963"/>
        <v>0</v>
      </c>
      <c r="GS222" s="263">
        <f t="shared" si="963"/>
        <v>0</v>
      </c>
      <c r="GT222" s="263">
        <f t="shared" si="963"/>
        <v>0</v>
      </c>
      <c r="GU222" s="263">
        <f t="shared" si="963"/>
        <v>0</v>
      </c>
      <c r="GV222" s="263">
        <f t="shared" si="963"/>
        <v>0</v>
      </c>
      <c r="GW222" s="263">
        <f t="shared" si="963"/>
        <v>0</v>
      </c>
      <c r="GX222" s="263">
        <f t="shared" si="963"/>
        <v>0</v>
      </c>
      <c r="GY222" s="263">
        <f t="shared" si="963"/>
        <v>0</v>
      </c>
      <c r="GZ222" s="263">
        <f t="shared" si="963"/>
        <v>0</v>
      </c>
      <c r="HA222" s="263">
        <f t="shared" si="963"/>
        <v>0</v>
      </c>
      <c r="HB222" s="263">
        <f t="shared" si="963"/>
        <v>0</v>
      </c>
      <c r="HC222" s="263">
        <f t="shared" si="963"/>
        <v>0</v>
      </c>
      <c r="HD222" s="230">
        <f t="shared" si="947"/>
        <v>0</v>
      </c>
      <c r="HE222" s="266"/>
      <c r="HF222" s="263">
        <f t="shared" si="964"/>
        <v>155.04541662549988</v>
      </c>
      <c r="HG222" s="263">
        <f t="shared" si="964"/>
        <v>155.04541662549988</v>
      </c>
      <c r="HH222" s="263">
        <f t="shared" si="964"/>
        <v>155.04541662549988</v>
      </c>
      <c r="HI222" s="263">
        <f t="shared" si="964"/>
        <v>155.04541662549988</v>
      </c>
      <c r="HJ222" s="263">
        <f t="shared" si="964"/>
        <v>155.09003793257966</v>
      </c>
      <c r="HK222" s="263">
        <f t="shared" si="964"/>
        <v>172.56526237902972</v>
      </c>
      <c r="HL222" s="263">
        <f t="shared" si="964"/>
        <v>172.56526237902972</v>
      </c>
      <c r="HM222" s="263">
        <f t="shared" si="964"/>
        <v>172.54005229499612</v>
      </c>
      <c r="HN222" s="263">
        <f t="shared" si="964"/>
        <v>172.54005229499612</v>
      </c>
      <c r="HO222" s="263">
        <f t="shared" si="964"/>
        <v>172.54005229499612</v>
      </c>
      <c r="HP222" s="263">
        <f t="shared" si="964"/>
        <v>172.54005229499612</v>
      </c>
      <c r="HQ222" s="263">
        <f t="shared" si="964"/>
        <v>174.87054654132646</v>
      </c>
      <c r="HR222" s="230">
        <f t="shared" si="929"/>
        <v>1985.432984913949</v>
      </c>
      <c r="HS222" s="266"/>
      <c r="HT222" s="263">
        <f t="shared" si="965"/>
        <v>38.761354156374971</v>
      </c>
      <c r="HU222" s="263">
        <f t="shared" si="965"/>
        <v>38.761354156374971</v>
      </c>
      <c r="HV222" s="263">
        <f t="shared" si="965"/>
        <v>38.761354156374971</v>
      </c>
      <c r="HW222" s="263">
        <f t="shared" si="965"/>
        <v>38.761354156374971</v>
      </c>
      <c r="HX222" s="263">
        <f t="shared" si="965"/>
        <v>38.772509483144916</v>
      </c>
      <c r="HY222" s="263">
        <f t="shared" si="965"/>
        <v>43.14131559475743</v>
      </c>
      <c r="HZ222" s="263">
        <f t="shared" si="965"/>
        <v>43.14131559475743</v>
      </c>
      <c r="IA222" s="263">
        <f t="shared" si="965"/>
        <v>43.135013073749029</v>
      </c>
      <c r="IB222" s="263">
        <f t="shared" si="965"/>
        <v>43.135013073749029</v>
      </c>
      <c r="IC222" s="263">
        <f t="shared" si="965"/>
        <v>43.135013073749029</v>
      </c>
      <c r="ID222" s="263">
        <f t="shared" si="965"/>
        <v>43.135013073749029</v>
      </c>
      <c r="IE222" s="263">
        <f t="shared" si="965"/>
        <v>43.717636635331615</v>
      </c>
      <c r="IF222" s="230">
        <f t="shared" si="931"/>
        <v>496.35824622848725</v>
      </c>
      <c r="IG222" s="266"/>
      <c r="IH222" s="263">
        <f t="shared" si="966"/>
        <v>38.761354156374971</v>
      </c>
      <c r="II222" s="263">
        <f t="shared" si="966"/>
        <v>38.761354156374971</v>
      </c>
      <c r="IJ222" s="263">
        <f t="shared" si="966"/>
        <v>38.761354156374971</v>
      </c>
      <c r="IK222" s="263">
        <f t="shared" si="966"/>
        <v>38.761354156374971</v>
      </c>
      <c r="IL222" s="263">
        <f t="shared" si="966"/>
        <v>38.772509483144916</v>
      </c>
      <c r="IM222" s="263">
        <f t="shared" si="966"/>
        <v>43.14131559475743</v>
      </c>
      <c r="IN222" s="263">
        <f t="shared" si="966"/>
        <v>43.14131559475743</v>
      </c>
      <c r="IO222" s="263">
        <f t="shared" si="966"/>
        <v>43.135013073749029</v>
      </c>
      <c r="IP222" s="263">
        <f t="shared" si="966"/>
        <v>43.135013073749029</v>
      </c>
      <c r="IQ222" s="263">
        <f t="shared" si="966"/>
        <v>43.135013073749029</v>
      </c>
      <c r="IR222" s="263">
        <f t="shared" si="966"/>
        <v>43.135013073749029</v>
      </c>
      <c r="IS222" s="263">
        <f t="shared" si="966"/>
        <v>43.717636635331615</v>
      </c>
      <c r="IT222" s="230">
        <f t="shared" si="933"/>
        <v>496.35824622848725</v>
      </c>
      <c r="IU222" s="266"/>
      <c r="IV222" s="263">
        <f t="shared" si="967"/>
        <v>271.32947909462479</v>
      </c>
      <c r="IW222" s="263">
        <f t="shared" si="967"/>
        <v>271.32947909462479</v>
      </c>
      <c r="IX222" s="263">
        <f t="shared" si="967"/>
        <v>271.32947909462479</v>
      </c>
      <c r="IY222" s="263">
        <f t="shared" si="967"/>
        <v>271.32947909462479</v>
      </c>
      <c r="IZ222" s="263">
        <f t="shared" si="967"/>
        <v>271.40756638201441</v>
      </c>
      <c r="JA222" s="263">
        <f t="shared" si="967"/>
        <v>301.98920916330201</v>
      </c>
      <c r="JB222" s="263">
        <f t="shared" si="967"/>
        <v>301.98920916330201</v>
      </c>
      <c r="JC222" s="263">
        <f t="shared" si="967"/>
        <v>301.94509151624322</v>
      </c>
      <c r="JD222" s="263">
        <f t="shared" si="967"/>
        <v>301.94509151624322</v>
      </c>
      <c r="JE222" s="263">
        <f t="shared" si="967"/>
        <v>301.94509151624322</v>
      </c>
      <c r="JF222" s="263">
        <f t="shared" si="967"/>
        <v>301.94509151624322</v>
      </c>
      <c r="JG222" s="263">
        <f t="shared" si="967"/>
        <v>306.02345644732128</v>
      </c>
      <c r="JH222" s="230">
        <f t="shared" si="935"/>
        <v>3474.5077235994122</v>
      </c>
      <c r="JI222" s="266"/>
      <c r="JJ222" s="263">
        <f t="shared" si="968"/>
        <v>426.37489572012475</v>
      </c>
      <c r="JK222" s="263">
        <f t="shared" si="968"/>
        <v>426.37489572012475</v>
      </c>
      <c r="JL222" s="263">
        <f t="shared" si="968"/>
        <v>426.37489572012475</v>
      </c>
      <c r="JM222" s="263">
        <f t="shared" si="968"/>
        <v>426.37489572012475</v>
      </c>
      <c r="JN222" s="263">
        <f t="shared" si="968"/>
        <v>426.49760431459407</v>
      </c>
      <c r="JO222" s="263">
        <f t="shared" si="968"/>
        <v>474.55447154233173</v>
      </c>
      <c r="JP222" s="263">
        <f t="shared" si="968"/>
        <v>474.55447154233173</v>
      </c>
      <c r="JQ222" s="263">
        <f t="shared" si="968"/>
        <v>474.48514381123925</v>
      </c>
      <c r="JR222" s="263">
        <f t="shared" si="968"/>
        <v>474.48514381123925</v>
      </c>
      <c r="JS222" s="263">
        <f t="shared" si="968"/>
        <v>474.48514381123925</v>
      </c>
      <c r="JT222" s="263">
        <f t="shared" si="968"/>
        <v>474.48514381123925</v>
      </c>
      <c r="JU222" s="263">
        <f t="shared" si="968"/>
        <v>480.89400298864774</v>
      </c>
      <c r="JV222" s="230">
        <f t="shared" si="937"/>
        <v>5459.9407085133607</v>
      </c>
      <c r="JW222" s="266"/>
      <c r="JX222" s="263">
        <f t="shared" si="969"/>
        <v>193.80677078187489</v>
      </c>
      <c r="JY222" s="263">
        <f t="shared" si="969"/>
        <v>193.80677078187489</v>
      </c>
      <c r="JZ222" s="263">
        <f t="shared" si="969"/>
        <v>193.80677078187489</v>
      </c>
      <c r="KA222" s="263">
        <f t="shared" si="969"/>
        <v>193.80677078187489</v>
      </c>
      <c r="KB222" s="263">
        <f t="shared" si="969"/>
        <v>193.86254741572458</v>
      </c>
      <c r="KC222" s="263">
        <f t="shared" si="969"/>
        <v>215.70657797378715</v>
      </c>
      <c r="KD222" s="263">
        <f t="shared" si="969"/>
        <v>215.70657797378715</v>
      </c>
      <c r="KE222" s="263">
        <f t="shared" si="969"/>
        <v>215.67506536874512</v>
      </c>
      <c r="KF222" s="263">
        <f t="shared" si="969"/>
        <v>215.67506536874512</v>
      </c>
      <c r="KG222" s="263">
        <f t="shared" si="969"/>
        <v>215.67506536874512</v>
      </c>
      <c r="KH222" s="263">
        <f t="shared" si="969"/>
        <v>215.67506536874512</v>
      </c>
      <c r="KI222" s="263">
        <f t="shared" si="969"/>
        <v>218.58818317665808</v>
      </c>
      <c r="KJ222" s="230">
        <f t="shared" si="939"/>
        <v>2481.7912311424375</v>
      </c>
      <c r="KK222" s="266"/>
      <c r="KL222" s="263">
        <f t="shared" si="970"/>
        <v>77.522708312749941</v>
      </c>
      <c r="KM222" s="263">
        <f t="shared" si="970"/>
        <v>77.522708312749941</v>
      </c>
      <c r="KN222" s="263">
        <f t="shared" si="970"/>
        <v>77.522708312749941</v>
      </c>
      <c r="KO222" s="263">
        <f t="shared" si="970"/>
        <v>77.522708312749941</v>
      </c>
      <c r="KP222" s="263">
        <f t="shared" si="970"/>
        <v>77.545018966289831</v>
      </c>
      <c r="KQ222" s="263">
        <f t="shared" si="970"/>
        <v>86.282631189514859</v>
      </c>
      <c r="KR222" s="263">
        <f t="shared" si="970"/>
        <v>86.282631189514859</v>
      </c>
      <c r="KS222" s="263">
        <f t="shared" si="970"/>
        <v>86.270026147498058</v>
      </c>
      <c r="KT222" s="263">
        <f t="shared" si="970"/>
        <v>86.270026147498058</v>
      </c>
      <c r="KU222" s="263">
        <f t="shared" si="970"/>
        <v>86.270026147498058</v>
      </c>
      <c r="KV222" s="263">
        <f t="shared" si="970"/>
        <v>86.270026147498058</v>
      </c>
      <c r="KW222" s="263">
        <f t="shared" si="970"/>
        <v>87.435273270663231</v>
      </c>
      <c r="KX222" s="230">
        <f t="shared" si="941"/>
        <v>992.71649245697449</v>
      </c>
      <c r="KY222" s="266"/>
      <c r="KZ222" s="263">
        <f t="shared" si="971"/>
        <v>38.761354156374971</v>
      </c>
      <c r="LA222" s="263">
        <f t="shared" si="971"/>
        <v>38.761354156374971</v>
      </c>
      <c r="LB222" s="263">
        <f t="shared" si="971"/>
        <v>38.761354156374971</v>
      </c>
      <c r="LC222" s="263">
        <f t="shared" si="971"/>
        <v>38.761354156374971</v>
      </c>
      <c r="LD222" s="263">
        <f t="shared" si="971"/>
        <v>38.772509483144916</v>
      </c>
      <c r="LE222" s="263">
        <f t="shared" si="971"/>
        <v>43.14131559475743</v>
      </c>
      <c r="LF222" s="263">
        <f t="shared" si="971"/>
        <v>43.14131559475743</v>
      </c>
      <c r="LG222" s="263">
        <f t="shared" si="971"/>
        <v>43.135013073749029</v>
      </c>
      <c r="LH222" s="263">
        <f t="shared" si="971"/>
        <v>43.135013073749029</v>
      </c>
      <c r="LI222" s="263">
        <f t="shared" si="971"/>
        <v>43.135013073749029</v>
      </c>
      <c r="LJ222" s="263">
        <f t="shared" si="971"/>
        <v>43.135013073749029</v>
      </c>
      <c r="LK222" s="263">
        <f t="shared" si="971"/>
        <v>43.717636635331615</v>
      </c>
      <c r="LL222" s="230">
        <f t="shared" si="943"/>
        <v>496.35824622848725</v>
      </c>
      <c r="LM222" s="266"/>
      <c r="LN222" s="263">
        <v>0</v>
      </c>
      <c r="LO222" s="264">
        <v>0</v>
      </c>
      <c r="LP222" s="265">
        <v>0</v>
      </c>
      <c r="LQ222" s="265">
        <v>0</v>
      </c>
      <c r="LR222" s="265">
        <v>0</v>
      </c>
      <c r="LS222" s="265">
        <v>0</v>
      </c>
      <c r="LT222" s="265">
        <v>0</v>
      </c>
      <c r="LU222" s="265">
        <v>0</v>
      </c>
      <c r="LV222" s="265">
        <v>0</v>
      </c>
      <c r="LW222" s="265">
        <v>0</v>
      </c>
      <c r="LX222" s="265">
        <v>0</v>
      </c>
      <c r="LY222" s="265">
        <v>0</v>
      </c>
      <c r="LZ222" s="230">
        <f t="shared" si="944"/>
        <v>0</v>
      </c>
      <c r="MA222" s="266"/>
      <c r="MB222" s="230">
        <f t="shared" si="972"/>
        <v>6356.8620816454959</v>
      </c>
      <c r="MC222" s="230">
        <f t="shared" si="972"/>
        <v>6356.8620816454959</v>
      </c>
      <c r="MD222" s="230">
        <f t="shared" si="972"/>
        <v>6356.8620816454959</v>
      </c>
      <c r="ME222" s="230">
        <f t="shared" si="972"/>
        <v>6356.8620816454959</v>
      </c>
      <c r="MF222" s="230">
        <f t="shared" si="972"/>
        <v>6358.691555235765</v>
      </c>
      <c r="MG222" s="230">
        <f t="shared" si="972"/>
        <v>7075.1757575402198</v>
      </c>
      <c r="MH222" s="230">
        <f t="shared" si="972"/>
        <v>7075.1757575402198</v>
      </c>
      <c r="MI222" s="230">
        <f t="shared" si="972"/>
        <v>7074.1421440948416</v>
      </c>
      <c r="MJ222" s="230">
        <f t="shared" si="972"/>
        <v>7074.1421440948416</v>
      </c>
      <c r="MK222" s="230">
        <f t="shared" si="972"/>
        <v>7074.1421440948416</v>
      </c>
      <c r="ML222" s="230">
        <f t="shared" si="972"/>
        <v>7074.1421440948416</v>
      </c>
      <c r="MM222" s="230">
        <f t="shared" si="972"/>
        <v>7169.6924081943835</v>
      </c>
      <c r="MN222" s="230">
        <f t="shared" si="948"/>
        <v>81402.752381471946</v>
      </c>
    </row>
    <row r="223" spans="1:352" x14ac:dyDescent="0.25">
      <c r="A223" s="262"/>
      <c r="B223" s="64" t="s">
        <v>96</v>
      </c>
      <c r="C223" s="98"/>
      <c r="D223" s="263">
        <f t="shared" si="949"/>
        <v>0</v>
      </c>
      <c r="E223" s="263">
        <f t="shared" si="949"/>
        <v>0</v>
      </c>
      <c r="F223" s="263">
        <f t="shared" si="949"/>
        <v>0</v>
      </c>
      <c r="G223" s="263">
        <f t="shared" si="949"/>
        <v>0</v>
      </c>
      <c r="H223" s="263">
        <f t="shared" si="949"/>
        <v>0</v>
      </c>
      <c r="I223" s="263">
        <f t="shared" si="949"/>
        <v>0</v>
      </c>
      <c r="J223" s="263">
        <f t="shared" si="949"/>
        <v>0</v>
      </c>
      <c r="K223" s="263">
        <f t="shared" si="949"/>
        <v>0</v>
      </c>
      <c r="L223" s="263">
        <f t="shared" si="949"/>
        <v>0</v>
      </c>
      <c r="M223" s="263">
        <f t="shared" si="949"/>
        <v>0</v>
      </c>
      <c r="N223" s="263">
        <f t="shared" si="949"/>
        <v>0</v>
      </c>
      <c r="O223" s="263">
        <f t="shared" si="949"/>
        <v>0</v>
      </c>
      <c r="P223" s="230">
        <f t="shared" si="900"/>
        <v>0</v>
      </c>
      <c r="Q223" s="266"/>
      <c r="R223" s="263">
        <f t="shared" si="950"/>
        <v>0</v>
      </c>
      <c r="S223" s="263">
        <f t="shared" si="950"/>
        <v>0</v>
      </c>
      <c r="T223" s="263">
        <f t="shared" si="950"/>
        <v>0</v>
      </c>
      <c r="U223" s="263">
        <f t="shared" si="950"/>
        <v>0</v>
      </c>
      <c r="V223" s="263">
        <f t="shared" si="950"/>
        <v>0</v>
      </c>
      <c r="W223" s="263">
        <f t="shared" si="950"/>
        <v>0</v>
      </c>
      <c r="X223" s="263">
        <f t="shared" si="950"/>
        <v>0</v>
      </c>
      <c r="Y223" s="263">
        <f t="shared" si="950"/>
        <v>0</v>
      </c>
      <c r="Z223" s="263">
        <f t="shared" si="950"/>
        <v>0</v>
      </c>
      <c r="AA223" s="263">
        <f t="shared" si="950"/>
        <v>0</v>
      </c>
      <c r="AB223" s="263">
        <f t="shared" si="950"/>
        <v>0</v>
      </c>
      <c r="AC223" s="263">
        <f t="shared" si="950"/>
        <v>0</v>
      </c>
      <c r="AD223" s="230">
        <f t="shared" si="902"/>
        <v>0</v>
      </c>
      <c r="AE223" s="266"/>
      <c r="AF223" s="263">
        <f t="shared" si="951"/>
        <v>0</v>
      </c>
      <c r="AG223" s="263">
        <f t="shared" si="951"/>
        <v>0</v>
      </c>
      <c r="AH223" s="263">
        <f t="shared" si="951"/>
        <v>0</v>
      </c>
      <c r="AI223" s="263">
        <f t="shared" si="951"/>
        <v>0</v>
      </c>
      <c r="AJ223" s="263">
        <f t="shared" si="951"/>
        <v>0</v>
      </c>
      <c r="AK223" s="263">
        <f t="shared" si="951"/>
        <v>0</v>
      </c>
      <c r="AL223" s="263">
        <f t="shared" si="951"/>
        <v>0</v>
      </c>
      <c r="AM223" s="263">
        <f t="shared" si="951"/>
        <v>0</v>
      </c>
      <c r="AN223" s="263">
        <f t="shared" si="951"/>
        <v>0</v>
      </c>
      <c r="AO223" s="263">
        <f t="shared" si="951"/>
        <v>0</v>
      </c>
      <c r="AP223" s="263">
        <f t="shared" si="951"/>
        <v>0</v>
      </c>
      <c r="AQ223" s="263">
        <f t="shared" si="951"/>
        <v>0</v>
      </c>
      <c r="AR223" s="230">
        <f t="shared" si="904"/>
        <v>0</v>
      </c>
      <c r="AS223" s="266"/>
      <c r="AT223" s="263">
        <f t="shared" si="952"/>
        <v>0</v>
      </c>
      <c r="AU223" s="263">
        <f t="shared" si="952"/>
        <v>0</v>
      </c>
      <c r="AV223" s="263">
        <f t="shared" si="952"/>
        <v>0</v>
      </c>
      <c r="AW223" s="263">
        <f t="shared" si="952"/>
        <v>0</v>
      </c>
      <c r="AX223" s="263">
        <f t="shared" si="952"/>
        <v>0</v>
      </c>
      <c r="AY223" s="263">
        <f t="shared" si="952"/>
        <v>0</v>
      </c>
      <c r="AZ223" s="263">
        <f t="shared" si="952"/>
        <v>0</v>
      </c>
      <c r="BA223" s="263">
        <f t="shared" si="952"/>
        <v>0</v>
      </c>
      <c r="BB223" s="263">
        <f t="shared" si="952"/>
        <v>0</v>
      </c>
      <c r="BC223" s="263">
        <f t="shared" si="952"/>
        <v>0</v>
      </c>
      <c r="BD223" s="263">
        <f t="shared" si="952"/>
        <v>0</v>
      </c>
      <c r="BE223" s="263">
        <f t="shared" si="952"/>
        <v>0</v>
      </c>
      <c r="BF223" s="230">
        <f t="shared" si="906"/>
        <v>0</v>
      </c>
      <c r="BG223" s="224"/>
      <c r="BH223" s="263">
        <f t="shared" si="953"/>
        <v>0</v>
      </c>
      <c r="BI223" s="263">
        <f t="shared" si="953"/>
        <v>0</v>
      </c>
      <c r="BJ223" s="263">
        <f t="shared" si="953"/>
        <v>0</v>
      </c>
      <c r="BK223" s="263">
        <f t="shared" si="953"/>
        <v>0</v>
      </c>
      <c r="BL223" s="263">
        <f t="shared" si="953"/>
        <v>0</v>
      </c>
      <c r="BM223" s="263">
        <f t="shared" si="953"/>
        <v>0</v>
      </c>
      <c r="BN223" s="263">
        <f t="shared" si="953"/>
        <v>0</v>
      </c>
      <c r="BO223" s="263">
        <f t="shared" si="953"/>
        <v>0</v>
      </c>
      <c r="BP223" s="263">
        <f t="shared" si="953"/>
        <v>0</v>
      </c>
      <c r="BQ223" s="263">
        <f t="shared" si="953"/>
        <v>0</v>
      </c>
      <c r="BR223" s="263">
        <f t="shared" si="953"/>
        <v>0</v>
      </c>
      <c r="BS223" s="263">
        <f t="shared" si="953"/>
        <v>0</v>
      </c>
      <c r="BT223" s="230">
        <f t="shared" si="908"/>
        <v>0</v>
      </c>
      <c r="BU223" s="266"/>
      <c r="BV223" s="263">
        <f t="shared" si="954"/>
        <v>0</v>
      </c>
      <c r="BW223" s="263">
        <f t="shared" si="954"/>
        <v>0</v>
      </c>
      <c r="BX223" s="263">
        <f t="shared" si="954"/>
        <v>0</v>
      </c>
      <c r="BY223" s="263">
        <f t="shared" si="954"/>
        <v>0</v>
      </c>
      <c r="BZ223" s="263">
        <f t="shared" si="954"/>
        <v>0</v>
      </c>
      <c r="CA223" s="263">
        <f t="shared" si="954"/>
        <v>0</v>
      </c>
      <c r="CB223" s="263">
        <f t="shared" si="954"/>
        <v>0</v>
      </c>
      <c r="CC223" s="263">
        <f t="shared" si="954"/>
        <v>0</v>
      </c>
      <c r="CD223" s="263">
        <f t="shared" si="954"/>
        <v>0</v>
      </c>
      <c r="CE223" s="263">
        <f t="shared" si="954"/>
        <v>0</v>
      </c>
      <c r="CF223" s="263">
        <f t="shared" si="954"/>
        <v>0</v>
      </c>
      <c r="CG223" s="263">
        <f t="shared" si="954"/>
        <v>0</v>
      </c>
      <c r="CH223" s="230">
        <f t="shared" si="910"/>
        <v>0</v>
      </c>
      <c r="CI223" s="266"/>
      <c r="CJ223" s="263">
        <f t="shared" si="955"/>
        <v>0</v>
      </c>
      <c r="CK223" s="263">
        <f t="shared" si="955"/>
        <v>0</v>
      </c>
      <c r="CL223" s="263">
        <f t="shared" si="955"/>
        <v>0</v>
      </c>
      <c r="CM223" s="263">
        <f t="shared" si="955"/>
        <v>0</v>
      </c>
      <c r="CN223" s="263">
        <f t="shared" si="955"/>
        <v>0</v>
      </c>
      <c r="CO223" s="263">
        <f t="shared" si="955"/>
        <v>0</v>
      </c>
      <c r="CP223" s="263">
        <f t="shared" si="955"/>
        <v>0</v>
      </c>
      <c r="CQ223" s="263">
        <f t="shared" si="955"/>
        <v>0</v>
      </c>
      <c r="CR223" s="263">
        <f t="shared" si="955"/>
        <v>0</v>
      </c>
      <c r="CS223" s="263">
        <f t="shared" si="955"/>
        <v>0</v>
      </c>
      <c r="CT223" s="263">
        <f t="shared" si="955"/>
        <v>0</v>
      </c>
      <c r="CU223" s="263">
        <f t="shared" si="955"/>
        <v>0</v>
      </c>
      <c r="CV223" s="230">
        <f t="shared" si="912"/>
        <v>0</v>
      </c>
      <c r="CW223" s="266"/>
      <c r="CX223" s="263">
        <f t="shared" si="956"/>
        <v>0</v>
      </c>
      <c r="CY223" s="263">
        <f t="shared" si="956"/>
        <v>0</v>
      </c>
      <c r="CZ223" s="263">
        <f t="shared" si="956"/>
        <v>0</v>
      </c>
      <c r="DA223" s="263">
        <f t="shared" si="956"/>
        <v>0</v>
      </c>
      <c r="DB223" s="263">
        <f t="shared" si="956"/>
        <v>0</v>
      </c>
      <c r="DC223" s="263">
        <f t="shared" si="956"/>
        <v>0</v>
      </c>
      <c r="DD223" s="263">
        <f t="shared" si="956"/>
        <v>0</v>
      </c>
      <c r="DE223" s="263">
        <f t="shared" si="956"/>
        <v>0</v>
      </c>
      <c r="DF223" s="263">
        <f t="shared" si="956"/>
        <v>0</v>
      </c>
      <c r="DG223" s="263">
        <f t="shared" si="956"/>
        <v>0</v>
      </c>
      <c r="DH223" s="263">
        <f t="shared" si="956"/>
        <v>0</v>
      </c>
      <c r="DI223" s="263">
        <f t="shared" si="956"/>
        <v>0</v>
      </c>
      <c r="DJ223" s="230">
        <f t="shared" si="914"/>
        <v>0</v>
      </c>
      <c r="DK223" s="266"/>
      <c r="DL223" s="263">
        <f t="shared" si="957"/>
        <v>0</v>
      </c>
      <c r="DM223" s="263">
        <f t="shared" si="957"/>
        <v>0</v>
      </c>
      <c r="DN223" s="263">
        <f t="shared" si="957"/>
        <v>0</v>
      </c>
      <c r="DO223" s="263">
        <f t="shared" si="957"/>
        <v>0</v>
      </c>
      <c r="DP223" s="263">
        <f t="shared" si="957"/>
        <v>0</v>
      </c>
      <c r="DQ223" s="263">
        <f t="shared" si="957"/>
        <v>0</v>
      </c>
      <c r="DR223" s="263">
        <f t="shared" si="957"/>
        <v>0</v>
      </c>
      <c r="DS223" s="263">
        <f t="shared" si="957"/>
        <v>0</v>
      </c>
      <c r="DT223" s="263">
        <f t="shared" si="957"/>
        <v>0</v>
      </c>
      <c r="DU223" s="263">
        <f t="shared" si="957"/>
        <v>0</v>
      </c>
      <c r="DV223" s="263">
        <f t="shared" si="957"/>
        <v>0</v>
      </c>
      <c r="DW223" s="263">
        <f t="shared" si="957"/>
        <v>0</v>
      </c>
      <c r="DX223" s="230">
        <f t="shared" si="916"/>
        <v>0</v>
      </c>
      <c r="DY223" s="266"/>
      <c r="DZ223" s="263">
        <f t="shared" si="958"/>
        <v>0</v>
      </c>
      <c r="EA223" s="263">
        <f t="shared" si="958"/>
        <v>0</v>
      </c>
      <c r="EB223" s="263">
        <f t="shared" si="958"/>
        <v>0</v>
      </c>
      <c r="EC223" s="263">
        <f t="shared" si="958"/>
        <v>0</v>
      </c>
      <c r="ED223" s="263">
        <f t="shared" si="958"/>
        <v>0</v>
      </c>
      <c r="EE223" s="263">
        <f t="shared" si="958"/>
        <v>0</v>
      </c>
      <c r="EF223" s="263">
        <f t="shared" si="958"/>
        <v>0</v>
      </c>
      <c r="EG223" s="263">
        <f t="shared" si="958"/>
        <v>0</v>
      </c>
      <c r="EH223" s="263">
        <f t="shared" si="958"/>
        <v>0</v>
      </c>
      <c r="EI223" s="263">
        <f t="shared" si="958"/>
        <v>0</v>
      </c>
      <c r="EJ223" s="263">
        <f t="shared" si="958"/>
        <v>0</v>
      </c>
      <c r="EK223" s="263">
        <f t="shared" si="958"/>
        <v>0</v>
      </c>
      <c r="EL223" s="230">
        <f t="shared" si="918"/>
        <v>0</v>
      </c>
      <c r="EM223" s="266"/>
      <c r="EN223" s="263">
        <f t="shared" si="959"/>
        <v>0</v>
      </c>
      <c r="EO223" s="263">
        <f t="shared" si="959"/>
        <v>0</v>
      </c>
      <c r="EP223" s="263">
        <f t="shared" si="959"/>
        <v>0</v>
      </c>
      <c r="EQ223" s="263">
        <f t="shared" si="959"/>
        <v>0</v>
      </c>
      <c r="ER223" s="263">
        <f t="shared" si="959"/>
        <v>0</v>
      </c>
      <c r="ES223" s="263">
        <f t="shared" si="959"/>
        <v>0</v>
      </c>
      <c r="ET223" s="263">
        <f t="shared" si="959"/>
        <v>0</v>
      </c>
      <c r="EU223" s="263">
        <f t="shared" si="959"/>
        <v>0</v>
      </c>
      <c r="EV223" s="263">
        <f t="shared" si="959"/>
        <v>0</v>
      </c>
      <c r="EW223" s="263">
        <f t="shared" si="959"/>
        <v>0</v>
      </c>
      <c r="EX223" s="263">
        <f t="shared" si="959"/>
        <v>0</v>
      </c>
      <c r="EY223" s="263">
        <f t="shared" si="959"/>
        <v>0</v>
      </c>
      <c r="EZ223" s="230">
        <f t="shared" si="920"/>
        <v>0</v>
      </c>
      <c r="FA223" s="266"/>
      <c r="FB223" s="263">
        <f t="shared" si="960"/>
        <v>0</v>
      </c>
      <c r="FC223" s="263">
        <f t="shared" si="960"/>
        <v>0</v>
      </c>
      <c r="FD223" s="263">
        <f t="shared" si="960"/>
        <v>0</v>
      </c>
      <c r="FE223" s="263">
        <f t="shared" si="960"/>
        <v>0</v>
      </c>
      <c r="FF223" s="263">
        <f t="shared" si="960"/>
        <v>0</v>
      </c>
      <c r="FG223" s="263">
        <f t="shared" si="960"/>
        <v>0</v>
      </c>
      <c r="FH223" s="263">
        <f t="shared" si="960"/>
        <v>0</v>
      </c>
      <c r="FI223" s="263">
        <f t="shared" si="960"/>
        <v>0</v>
      </c>
      <c r="FJ223" s="263">
        <f t="shared" si="960"/>
        <v>0</v>
      </c>
      <c r="FK223" s="263">
        <f t="shared" si="960"/>
        <v>0</v>
      </c>
      <c r="FL223" s="263">
        <f t="shared" si="960"/>
        <v>0</v>
      </c>
      <c r="FM223" s="263">
        <f t="shared" si="960"/>
        <v>0</v>
      </c>
      <c r="FN223" s="230">
        <f t="shared" si="922"/>
        <v>0</v>
      </c>
      <c r="FO223" s="266"/>
      <c r="FP223" s="263">
        <f t="shared" si="961"/>
        <v>0</v>
      </c>
      <c r="FQ223" s="263">
        <f t="shared" si="961"/>
        <v>0</v>
      </c>
      <c r="FR223" s="263">
        <f t="shared" si="961"/>
        <v>0</v>
      </c>
      <c r="FS223" s="263">
        <f t="shared" si="961"/>
        <v>0</v>
      </c>
      <c r="FT223" s="263">
        <f t="shared" si="961"/>
        <v>0</v>
      </c>
      <c r="FU223" s="263">
        <f t="shared" si="961"/>
        <v>0</v>
      </c>
      <c r="FV223" s="263">
        <f t="shared" si="961"/>
        <v>0</v>
      </c>
      <c r="FW223" s="263">
        <f t="shared" si="961"/>
        <v>0</v>
      </c>
      <c r="FX223" s="263">
        <f t="shared" si="961"/>
        <v>0</v>
      </c>
      <c r="FY223" s="263">
        <f t="shared" si="961"/>
        <v>0</v>
      </c>
      <c r="FZ223" s="263">
        <f t="shared" si="961"/>
        <v>0</v>
      </c>
      <c r="GA223" s="263">
        <f t="shared" si="961"/>
        <v>0</v>
      </c>
      <c r="GB223" s="230">
        <f t="shared" si="924"/>
        <v>0</v>
      </c>
      <c r="GC223" s="266"/>
      <c r="GD223" s="263">
        <f t="shared" si="962"/>
        <v>0</v>
      </c>
      <c r="GE223" s="263">
        <f t="shared" si="962"/>
        <v>0</v>
      </c>
      <c r="GF223" s="263">
        <f t="shared" si="962"/>
        <v>0</v>
      </c>
      <c r="GG223" s="263">
        <f t="shared" si="962"/>
        <v>0</v>
      </c>
      <c r="GH223" s="263">
        <f t="shared" si="962"/>
        <v>0</v>
      </c>
      <c r="GI223" s="263">
        <f t="shared" si="962"/>
        <v>0</v>
      </c>
      <c r="GJ223" s="263">
        <f t="shared" si="962"/>
        <v>0</v>
      </c>
      <c r="GK223" s="263">
        <f t="shared" si="962"/>
        <v>0</v>
      </c>
      <c r="GL223" s="263">
        <f t="shared" si="962"/>
        <v>0</v>
      </c>
      <c r="GM223" s="263">
        <f t="shared" si="962"/>
        <v>0</v>
      </c>
      <c r="GN223" s="263">
        <f t="shared" si="962"/>
        <v>0</v>
      </c>
      <c r="GO223" s="263">
        <f t="shared" si="962"/>
        <v>0</v>
      </c>
      <c r="GP223" s="230">
        <f t="shared" si="926"/>
        <v>0</v>
      </c>
      <c r="GQ223" s="266"/>
      <c r="GR223" s="263">
        <f t="shared" si="963"/>
        <v>0</v>
      </c>
      <c r="GS223" s="263">
        <f t="shared" si="963"/>
        <v>0</v>
      </c>
      <c r="GT223" s="263">
        <f t="shared" si="963"/>
        <v>0</v>
      </c>
      <c r="GU223" s="263">
        <f t="shared" si="963"/>
        <v>0</v>
      </c>
      <c r="GV223" s="263">
        <f t="shared" si="963"/>
        <v>0</v>
      </c>
      <c r="GW223" s="263">
        <f t="shared" si="963"/>
        <v>0</v>
      </c>
      <c r="GX223" s="263">
        <f t="shared" si="963"/>
        <v>0</v>
      </c>
      <c r="GY223" s="263">
        <f t="shared" si="963"/>
        <v>0</v>
      </c>
      <c r="GZ223" s="263">
        <f t="shared" si="963"/>
        <v>0</v>
      </c>
      <c r="HA223" s="263">
        <f t="shared" si="963"/>
        <v>0</v>
      </c>
      <c r="HB223" s="263">
        <f t="shared" si="963"/>
        <v>0</v>
      </c>
      <c r="HC223" s="263">
        <f t="shared" si="963"/>
        <v>0</v>
      </c>
      <c r="HD223" s="230">
        <f t="shared" si="947"/>
        <v>0</v>
      </c>
      <c r="HE223" s="266"/>
      <c r="HF223" s="263">
        <f t="shared" si="964"/>
        <v>0</v>
      </c>
      <c r="HG223" s="263">
        <f t="shared" si="964"/>
        <v>0</v>
      </c>
      <c r="HH223" s="263">
        <f t="shared" si="964"/>
        <v>0</v>
      </c>
      <c r="HI223" s="263">
        <f t="shared" si="964"/>
        <v>0</v>
      </c>
      <c r="HJ223" s="263">
        <f t="shared" si="964"/>
        <v>0</v>
      </c>
      <c r="HK223" s="263">
        <f t="shared" si="964"/>
        <v>0</v>
      </c>
      <c r="HL223" s="263">
        <f t="shared" si="964"/>
        <v>0</v>
      </c>
      <c r="HM223" s="263">
        <f t="shared" si="964"/>
        <v>0</v>
      </c>
      <c r="HN223" s="263">
        <f t="shared" si="964"/>
        <v>0</v>
      </c>
      <c r="HO223" s="263">
        <f t="shared" si="964"/>
        <v>0</v>
      </c>
      <c r="HP223" s="263">
        <f t="shared" si="964"/>
        <v>0</v>
      </c>
      <c r="HQ223" s="263">
        <f t="shared" si="964"/>
        <v>0</v>
      </c>
      <c r="HR223" s="230">
        <f t="shared" si="929"/>
        <v>0</v>
      </c>
      <c r="HS223" s="266"/>
      <c r="HT223" s="263">
        <f t="shared" si="965"/>
        <v>0</v>
      </c>
      <c r="HU223" s="263">
        <f t="shared" si="965"/>
        <v>0</v>
      </c>
      <c r="HV223" s="263">
        <f t="shared" si="965"/>
        <v>0</v>
      </c>
      <c r="HW223" s="263">
        <f t="shared" si="965"/>
        <v>0</v>
      </c>
      <c r="HX223" s="263">
        <f t="shared" si="965"/>
        <v>0</v>
      </c>
      <c r="HY223" s="263">
        <f t="shared" si="965"/>
        <v>0</v>
      </c>
      <c r="HZ223" s="263">
        <f t="shared" si="965"/>
        <v>0</v>
      </c>
      <c r="IA223" s="263">
        <f t="shared" si="965"/>
        <v>0</v>
      </c>
      <c r="IB223" s="263">
        <f t="shared" si="965"/>
        <v>0</v>
      </c>
      <c r="IC223" s="263">
        <f t="shared" si="965"/>
        <v>0</v>
      </c>
      <c r="ID223" s="263">
        <f t="shared" si="965"/>
        <v>0</v>
      </c>
      <c r="IE223" s="263">
        <f t="shared" si="965"/>
        <v>0</v>
      </c>
      <c r="IF223" s="230">
        <f t="shared" si="931"/>
        <v>0</v>
      </c>
      <c r="IG223" s="266"/>
      <c r="IH223" s="263">
        <f t="shared" si="966"/>
        <v>0</v>
      </c>
      <c r="II223" s="263">
        <f t="shared" si="966"/>
        <v>0</v>
      </c>
      <c r="IJ223" s="263">
        <f t="shared" si="966"/>
        <v>0</v>
      </c>
      <c r="IK223" s="263">
        <f t="shared" si="966"/>
        <v>0</v>
      </c>
      <c r="IL223" s="263">
        <f t="shared" si="966"/>
        <v>0</v>
      </c>
      <c r="IM223" s="263">
        <f t="shared" si="966"/>
        <v>0</v>
      </c>
      <c r="IN223" s="263">
        <f t="shared" si="966"/>
        <v>0</v>
      </c>
      <c r="IO223" s="263">
        <f t="shared" si="966"/>
        <v>0</v>
      </c>
      <c r="IP223" s="263">
        <f t="shared" si="966"/>
        <v>0</v>
      </c>
      <c r="IQ223" s="263">
        <f t="shared" si="966"/>
        <v>0</v>
      </c>
      <c r="IR223" s="263">
        <f t="shared" si="966"/>
        <v>0</v>
      </c>
      <c r="IS223" s="263">
        <f t="shared" si="966"/>
        <v>0</v>
      </c>
      <c r="IT223" s="230">
        <f t="shared" si="933"/>
        <v>0</v>
      </c>
      <c r="IU223" s="266"/>
      <c r="IV223" s="263">
        <f t="shared" si="967"/>
        <v>0</v>
      </c>
      <c r="IW223" s="263">
        <f t="shared" si="967"/>
        <v>0</v>
      </c>
      <c r="IX223" s="263">
        <f t="shared" si="967"/>
        <v>0</v>
      </c>
      <c r="IY223" s="263">
        <f t="shared" si="967"/>
        <v>0</v>
      </c>
      <c r="IZ223" s="263">
        <f t="shared" si="967"/>
        <v>0</v>
      </c>
      <c r="JA223" s="263">
        <f t="shared" si="967"/>
        <v>0</v>
      </c>
      <c r="JB223" s="263">
        <f t="shared" si="967"/>
        <v>0</v>
      </c>
      <c r="JC223" s="263">
        <f t="shared" si="967"/>
        <v>0</v>
      </c>
      <c r="JD223" s="263">
        <f t="shared" si="967"/>
        <v>0</v>
      </c>
      <c r="JE223" s="263">
        <f t="shared" si="967"/>
        <v>0</v>
      </c>
      <c r="JF223" s="263">
        <f t="shared" si="967"/>
        <v>0</v>
      </c>
      <c r="JG223" s="263">
        <f t="shared" si="967"/>
        <v>0</v>
      </c>
      <c r="JH223" s="230">
        <f t="shared" si="935"/>
        <v>0</v>
      </c>
      <c r="JI223" s="266"/>
      <c r="JJ223" s="263">
        <f t="shared" si="968"/>
        <v>0</v>
      </c>
      <c r="JK223" s="263">
        <f t="shared" si="968"/>
        <v>0</v>
      </c>
      <c r="JL223" s="263">
        <f t="shared" si="968"/>
        <v>0</v>
      </c>
      <c r="JM223" s="263">
        <f t="shared" si="968"/>
        <v>0</v>
      </c>
      <c r="JN223" s="263">
        <f t="shared" si="968"/>
        <v>0</v>
      </c>
      <c r="JO223" s="263">
        <f t="shared" si="968"/>
        <v>0</v>
      </c>
      <c r="JP223" s="263">
        <f t="shared" si="968"/>
        <v>0</v>
      </c>
      <c r="JQ223" s="263">
        <f t="shared" si="968"/>
        <v>0</v>
      </c>
      <c r="JR223" s="263">
        <f t="shared" si="968"/>
        <v>0</v>
      </c>
      <c r="JS223" s="263">
        <f t="shared" si="968"/>
        <v>0</v>
      </c>
      <c r="JT223" s="263">
        <f t="shared" si="968"/>
        <v>0</v>
      </c>
      <c r="JU223" s="263">
        <f t="shared" si="968"/>
        <v>0</v>
      </c>
      <c r="JV223" s="230">
        <f t="shared" si="937"/>
        <v>0</v>
      </c>
      <c r="JW223" s="266"/>
      <c r="JX223" s="263">
        <f t="shared" si="969"/>
        <v>0</v>
      </c>
      <c r="JY223" s="263">
        <f t="shared" si="969"/>
        <v>0</v>
      </c>
      <c r="JZ223" s="263">
        <f t="shared" si="969"/>
        <v>0</v>
      </c>
      <c r="KA223" s="263">
        <f t="shared" si="969"/>
        <v>0</v>
      </c>
      <c r="KB223" s="263">
        <f t="shared" si="969"/>
        <v>0</v>
      </c>
      <c r="KC223" s="263">
        <f t="shared" si="969"/>
        <v>0</v>
      </c>
      <c r="KD223" s="263">
        <f t="shared" si="969"/>
        <v>0</v>
      </c>
      <c r="KE223" s="263">
        <f t="shared" si="969"/>
        <v>0</v>
      </c>
      <c r="KF223" s="263">
        <f t="shared" si="969"/>
        <v>0</v>
      </c>
      <c r="KG223" s="263">
        <f t="shared" si="969"/>
        <v>0</v>
      </c>
      <c r="KH223" s="263">
        <f t="shared" si="969"/>
        <v>0</v>
      </c>
      <c r="KI223" s="263">
        <f t="shared" si="969"/>
        <v>0</v>
      </c>
      <c r="KJ223" s="230">
        <f t="shared" si="939"/>
        <v>0</v>
      </c>
      <c r="KK223" s="266"/>
      <c r="KL223" s="263">
        <f t="shared" si="970"/>
        <v>0</v>
      </c>
      <c r="KM223" s="263">
        <f t="shared" si="970"/>
        <v>0</v>
      </c>
      <c r="KN223" s="263">
        <f t="shared" si="970"/>
        <v>0</v>
      </c>
      <c r="KO223" s="263">
        <f t="shared" si="970"/>
        <v>0</v>
      </c>
      <c r="KP223" s="263">
        <f t="shared" si="970"/>
        <v>0</v>
      </c>
      <c r="KQ223" s="263">
        <f t="shared" si="970"/>
        <v>0</v>
      </c>
      <c r="KR223" s="263">
        <f t="shared" si="970"/>
        <v>0</v>
      </c>
      <c r="KS223" s="263">
        <f t="shared" si="970"/>
        <v>0</v>
      </c>
      <c r="KT223" s="263">
        <f t="shared" si="970"/>
        <v>0</v>
      </c>
      <c r="KU223" s="263">
        <f t="shared" si="970"/>
        <v>0</v>
      </c>
      <c r="KV223" s="263">
        <f t="shared" si="970"/>
        <v>0</v>
      </c>
      <c r="KW223" s="263">
        <f t="shared" si="970"/>
        <v>0</v>
      </c>
      <c r="KX223" s="230">
        <f t="shared" si="941"/>
        <v>0</v>
      </c>
      <c r="KY223" s="266"/>
      <c r="KZ223" s="263">
        <f t="shared" si="971"/>
        <v>0</v>
      </c>
      <c r="LA223" s="263">
        <f t="shared" si="971"/>
        <v>0</v>
      </c>
      <c r="LB223" s="263">
        <f t="shared" si="971"/>
        <v>0</v>
      </c>
      <c r="LC223" s="263">
        <f t="shared" si="971"/>
        <v>0</v>
      </c>
      <c r="LD223" s="263">
        <f t="shared" si="971"/>
        <v>0</v>
      </c>
      <c r="LE223" s="263">
        <f t="shared" si="971"/>
        <v>0</v>
      </c>
      <c r="LF223" s="263">
        <f t="shared" si="971"/>
        <v>0</v>
      </c>
      <c r="LG223" s="263">
        <f t="shared" si="971"/>
        <v>0</v>
      </c>
      <c r="LH223" s="263">
        <f t="shared" si="971"/>
        <v>0</v>
      </c>
      <c r="LI223" s="263">
        <f t="shared" si="971"/>
        <v>0</v>
      </c>
      <c r="LJ223" s="263">
        <f t="shared" si="971"/>
        <v>0</v>
      </c>
      <c r="LK223" s="263">
        <f t="shared" si="971"/>
        <v>0</v>
      </c>
      <c r="LL223" s="230">
        <f t="shared" si="943"/>
        <v>0</v>
      </c>
      <c r="LM223" s="266"/>
      <c r="LN223" s="263">
        <v>0</v>
      </c>
      <c r="LO223" s="264">
        <v>0</v>
      </c>
      <c r="LP223" s="265">
        <v>0</v>
      </c>
      <c r="LQ223" s="265">
        <v>0</v>
      </c>
      <c r="LR223" s="265">
        <v>0</v>
      </c>
      <c r="LS223" s="265">
        <v>0</v>
      </c>
      <c r="LT223" s="265">
        <v>0</v>
      </c>
      <c r="LU223" s="265">
        <v>0</v>
      </c>
      <c r="LV223" s="265">
        <v>0</v>
      </c>
      <c r="LW223" s="265">
        <v>0</v>
      </c>
      <c r="LX223" s="265">
        <v>0</v>
      </c>
      <c r="LY223" s="265">
        <v>0</v>
      </c>
      <c r="LZ223" s="230">
        <f t="shared" si="944"/>
        <v>0</v>
      </c>
      <c r="MA223" s="266"/>
      <c r="MB223" s="230">
        <f t="shared" si="972"/>
        <v>0</v>
      </c>
      <c r="MC223" s="230">
        <f t="shared" si="972"/>
        <v>0</v>
      </c>
      <c r="MD223" s="230">
        <f t="shared" si="972"/>
        <v>0</v>
      </c>
      <c r="ME223" s="230">
        <f t="shared" si="972"/>
        <v>0</v>
      </c>
      <c r="MF223" s="230">
        <f t="shared" si="972"/>
        <v>0</v>
      </c>
      <c r="MG223" s="230">
        <f t="shared" si="972"/>
        <v>0</v>
      </c>
      <c r="MH223" s="230">
        <f t="shared" si="972"/>
        <v>0</v>
      </c>
      <c r="MI223" s="230">
        <f t="shared" si="972"/>
        <v>0</v>
      </c>
      <c r="MJ223" s="230">
        <f t="shared" si="972"/>
        <v>0</v>
      </c>
      <c r="MK223" s="230">
        <f t="shared" si="972"/>
        <v>0</v>
      </c>
      <c r="ML223" s="230">
        <f t="shared" si="972"/>
        <v>0</v>
      </c>
      <c r="MM223" s="230">
        <f t="shared" si="972"/>
        <v>0</v>
      </c>
      <c r="MN223" s="230">
        <f t="shared" si="948"/>
        <v>0</v>
      </c>
    </row>
    <row r="224" spans="1:352" x14ac:dyDescent="0.25">
      <c r="A224" s="262"/>
      <c r="B224" s="183"/>
      <c r="C224" s="98"/>
      <c r="D224" s="28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30"/>
      <c r="Q224" s="266"/>
      <c r="R224" s="283"/>
      <c r="S224" s="273"/>
      <c r="T224" s="273"/>
      <c r="U224" s="273"/>
      <c r="V224" s="273"/>
      <c r="W224" s="273"/>
      <c r="X224" s="273"/>
      <c r="Y224" s="273"/>
      <c r="Z224" s="273"/>
      <c r="AA224" s="273"/>
      <c r="AB224" s="273"/>
      <c r="AC224" s="273"/>
      <c r="AD224" s="230"/>
      <c r="AE224" s="266"/>
      <c r="AF224" s="283"/>
      <c r="AG224" s="273"/>
      <c r="AH224" s="273"/>
      <c r="AI224" s="273"/>
      <c r="AJ224" s="273"/>
      <c r="AK224" s="273"/>
      <c r="AL224" s="273"/>
      <c r="AM224" s="273"/>
      <c r="AN224" s="273"/>
      <c r="AO224" s="273"/>
      <c r="AP224" s="273"/>
      <c r="AQ224" s="273"/>
      <c r="AR224" s="230"/>
      <c r="AS224" s="266"/>
      <c r="AT224" s="283"/>
      <c r="AU224" s="273"/>
      <c r="AV224" s="273"/>
      <c r="AW224" s="273"/>
      <c r="AX224" s="273"/>
      <c r="AY224" s="273"/>
      <c r="AZ224" s="273"/>
      <c r="BA224" s="273"/>
      <c r="BB224" s="273"/>
      <c r="BC224" s="273"/>
      <c r="BD224" s="273"/>
      <c r="BE224" s="273"/>
      <c r="BF224" s="230"/>
      <c r="BG224" s="224"/>
      <c r="BH224" s="283"/>
      <c r="BI224" s="273"/>
      <c r="BJ224" s="273"/>
      <c r="BK224" s="273"/>
      <c r="BL224" s="273"/>
      <c r="BM224" s="273"/>
      <c r="BN224" s="273"/>
      <c r="BO224" s="273"/>
      <c r="BP224" s="273"/>
      <c r="BQ224" s="273"/>
      <c r="BR224" s="273"/>
      <c r="BS224" s="273"/>
      <c r="BT224" s="230"/>
      <c r="BU224" s="266"/>
      <c r="BV224" s="283"/>
      <c r="BW224" s="273"/>
      <c r="BX224" s="273"/>
      <c r="BY224" s="273"/>
      <c r="BZ224" s="273"/>
      <c r="CA224" s="273"/>
      <c r="CB224" s="273"/>
      <c r="CC224" s="273"/>
      <c r="CD224" s="273"/>
      <c r="CE224" s="273"/>
      <c r="CF224" s="273"/>
      <c r="CG224" s="273"/>
      <c r="CH224" s="230"/>
      <c r="CI224" s="266"/>
      <c r="CJ224" s="283"/>
      <c r="CK224" s="273"/>
      <c r="CL224" s="273"/>
      <c r="CM224" s="273"/>
      <c r="CN224" s="273"/>
      <c r="CO224" s="273"/>
      <c r="CP224" s="273"/>
      <c r="CQ224" s="273"/>
      <c r="CR224" s="273"/>
      <c r="CS224" s="273"/>
      <c r="CT224" s="273"/>
      <c r="CU224" s="273"/>
      <c r="CV224" s="230"/>
      <c r="CW224" s="266"/>
      <c r="CX224" s="283"/>
      <c r="CY224" s="273"/>
      <c r="CZ224" s="273"/>
      <c r="DA224" s="273"/>
      <c r="DB224" s="273"/>
      <c r="DC224" s="273"/>
      <c r="DD224" s="273"/>
      <c r="DE224" s="273"/>
      <c r="DF224" s="273"/>
      <c r="DG224" s="273"/>
      <c r="DH224" s="273"/>
      <c r="DI224" s="273"/>
      <c r="DJ224" s="230"/>
      <c r="DK224" s="266"/>
      <c r="DL224" s="283"/>
      <c r="DM224" s="273"/>
      <c r="DN224" s="273"/>
      <c r="DO224" s="273"/>
      <c r="DP224" s="273"/>
      <c r="DQ224" s="273"/>
      <c r="DR224" s="273"/>
      <c r="DS224" s="273"/>
      <c r="DT224" s="273"/>
      <c r="DU224" s="273"/>
      <c r="DV224" s="273"/>
      <c r="DW224" s="273"/>
      <c r="DX224" s="230"/>
      <c r="DY224" s="266"/>
      <c r="DZ224" s="283"/>
      <c r="EA224" s="273"/>
      <c r="EB224" s="273"/>
      <c r="EC224" s="273"/>
      <c r="ED224" s="273"/>
      <c r="EE224" s="273"/>
      <c r="EF224" s="273"/>
      <c r="EG224" s="273"/>
      <c r="EH224" s="273"/>
      <c r="EI224" s="273"/>
      <c r="EJ224" s="273"/>
      <c r="EK224" s="273"/>
      <c r="EL224" s="230"/>
      <c r="EM224" s="266"/>
      <c r="EN224" s="283"/>
      <c r="EO224" s="273"/>
      <c r="EP224" s="273"/>
      <c r="EQ224" s="273"/>
      <c r="ER224" s="273"/>
      <c r="ES224" s="273"/>
      <c r="ET224" s="273"/>
      <c r="EU224" s="273"/>
      <c r="EV224" s="273"/>
      <c r="EW224" s="273"/>
      <c r="EX224" s="273"/>
      <c r="EY224" s="273"/>
      <c r="EZ224" s="230"/>
      <c r="FA224" s="266"/>
      <c r="FB224" s="283"/>
      <c r="FC224" s="273"/>
      <c r="FD224" s="273"/>
      <c r="FE224" s="273"/>
      <c r="FF224" s="273"/>
      <c r="FG224" s="273"/>
      <c r="FH224" s="273"/>
      <c r="FI224" s="273"/>
      <c r="FJ224" s="273"/>
      <c r="FK224" s="273"/>
      <c r="FL224" s="273"/>
      <c r="FM224" s="273"/>
      <c r="FN224" s="230"/>
      <c r="FO224" s="266"/>
      <c r="FP224" s="283"/>
      <c r="FQ224" s="273"/>
      <c r="FR224" s="273"/>
      <c r="FS224" s="273"/>
      <c r="FT224" s="273"/>
      <c r="FU224" s="273"/>
      <c r="FV224" s="273"/>
      <c r="FW224" s="273"/>
      <c r="FX224" s="273"/>
      <c r="FY224" s="273"/>
      <c r="FZ224" s="273"/>
      <c r="GA224" s="273"/>
      <c r="GB224" s="230"/>
      <c r="GC224" s="266"/>
      <c r="GD224" s="283"/>
      <c r="GE224" s="273"/>
      <c r="GF224" s="273"/>
      <c r="GG224" s="273"/>
      <c r="GH224" s="273"/>
      <c r="GI224" s="273"/>
      <c r="GJ224" s="273"/>
      <c r="GK224" s="273"/>
      <c r="GL224" s="273"/>
      <c r="GM224" s="273"/>
      <c r="GN224" s="273"/>
      <c r="GO224" s="273"/>
      <c r="GP224" s="230"/>
      <c r="GQ224" s="266"/>
      <c r="GR224" s="283"/>
      <c r="GS224" s="273"/>
      <c r="GT224" s="273"/>
      <c r="GU224" s="273"/>
      <c r="GV224" s="273"/>
      <c r="GW224" s="273"/>
      <c r="GX224" s="273"/>
      <c r="GY224" s="273"/>
      <c r="GZ224" s="273"/>
      <c r="HA224" s="273"/>
      <c r="HB224" s="273"/>
      <c r="HC224" s="273"/>
      <c r="HD224" s="230"/>
      <c r="HE224" s="266"/>
      <c r="HF224" s="283"/>
      <c r="HG224" s="273"/>
      <c r="HH224" s="273"/>
      <c r="HI224" s="273"/>
      <c r="HJ224" s="273"/>
      <c r="HK224" s="273"/>
      <c r="HL224" s="273"/>
      <c r="HM224" s="273"/>
      <c r="HN224" s="273"/>
      <c r="HO224" s="273"/>
      <c r="HP224" s="273"/>
      <c r="HQ224" s="273"/>
      <c r="HR224" s="230"/>
      <c r="HS224" s="266"/>
      <c r="HT224" s="283"/>
      <c r="HU224" s="273"/>
      <c r="HV224" s="273"/>
      <c r="HW224" s="273"/>
      <c r="HX224" s="273"/>
      <c r="HY224" s="273"/>
      <c r="HZ224" s="273"/>
      <c r="IA224" s="273"/>
      <c r="IB224" s="273"/>
      <c r="IC224" s="273"/>
      <c r="ID224" s="273"/>
      <c r="IE224" s="273"/>
      <c r="IF224" s="230"/>
      <c r="IG224" s="266"/>
      <c r="IH224" s="283"/>
      <c r="II224" s="273"/>
      <c r="IJ224" s="273"/>
      <c r="IK224" s="273"/>
      <c r="IL224" s="273"/>
      <c r="IM224" s="273"/>
      <c r="IN224" s="273"/>
      <c r="IO224" s="273"/>
      <c r="IP224" s="273"/>
      <c r="IQ224" s="273"/>
      <c r="IR224" s="273"/>
      <c r="IS224" s="273"/>
      <c r="IT224" s="230"/>
      <c r="IU224" s="266"/>
      <c r="IV224" s="283"/>
      <c r="IW224" s="273"/>
      <c r="IX224" s="273"/>
      <c r="IY224" s="273"/>
      <c r="IZ224" s="273"/>
      <c r="JA224" s="273"/>
      <c r="JB224" s="273"/>
      <c r="JC224" s="273"/>
      <c r="JD224" s="273"/>
      <c r="JE224" s="273"/>
      <c r="JF224" s="273"/>
      <c r="JG224" s="273"/>
      <c r="JH224" s="230"/>
      <c r="JI224" s="266"/>
      <c r="JJ224" s="283"/>
      <c r="JK224" s="273"/>
      <c r="JL224" s="273"/>
      <c r="JM224" s="273"/>
      <c r="JN224" s="273"/>
      <c r="JO224" s="273"/>
      <c r="JP224" s="273"/>
      <c r="JQ224" s="273"/>
      <c r="JR224" s="273"/>
      <c r="JS224" s="273"/>
      <c r="JT224" s="273"/>
      <c r="JU224" s="273"/>
      <c r="JV224" s="230"/>
      <c r="JW224" s="266"/>
      <c r="JX224" s="283"/>
      <c r="JY224" s="273"/>
      <c r="JZ224" s="273"/>
      <c r="KA224" s="273"/>
      <c r="KB224" s="273"/>
      <c r="KC224" s="273"/>
      <c r="KD224" s="273"/>
      <c r="KE224" s="273"/>
      <c r="KF224" s="273"/>
      <c r="KG224" s="273"/>
      <c r="KH224" s="273"/>
      <c r="KI224" s="273"/>
      <c r="KJ224" s="230"/>
      <c r="KK224" s="266"/>
      <c r="KL224" s="283"/>
      <c r="KM224" s="273"/>
      <c r="KN224" s="273"/>
      <c r="KO224" s="273"/>
      <c r="KP224" s="273"/>
      <c r="KQ224" s="273"/>
      <c r="KR224" s="273"/>
      <c r="KS224" s="273"/>
      <c r="KT224" s="273"/>
      <c r="KU224" s="273"/>
      <c r="KV224" s="273"/>
      <c r="KW224" s="273"/>
      <c r="KX224" s="230"/>
      <c r="KY224" s="266"/>
      <c r="KZ224" s="283"/>
      <c r="LA224" s="273"/>
      <c r="LB224" s="273"/>
      <c r="LC224" s="273"/>
      <c r="LD224" s="273"/>
      <c r="LE224" s="273"/>
      <c r="LF224" s="273"/>
      <c r="LG224" s="273"/>
      <c r="LH224" s="273"/>
      <c r="LI224" s="273"/>
      <c r="LJ224" s="273"/>
      <c r="LK224" s="273"/>
      <c r="LL224" s="230"/>
      <c r="LM224" s="266"/>
      <c r="LN224" s="283"/>
      <c r="LO224" s="273"/>
      <c r="LP224" s="273"/>
      <c r="LQ224" s="273"/>
      <c r="LR224" s="273"/>
      <c r="LS224" s="273"/>
      <c r="LT224" s="273"/>
      <c r="LU224" s="273"/>
      <c r="LV224" s="273"/>
      <c r="LW224" s="273"/>
      <c r="LX224" s="273"/>
      <c r="LY224" s="273"/>
      <c r="LZ224" s="230"/>
      <c r="MA224" s="266"/>
      <c r="MB224" s="230"/>
      <c r="MC224" s="230"/>
      <c r="MD224" s="230"/>
      <c r="ME224" s="230"/>
      <c r="MF224" s="230"/>
      <c r="MG224" s="230"/>
      <c r="MH224" s="230"/>
      <c r="MI224" s="230"/>
      <c r="MJ224" s="230"/>
      <c r="MK224" s="230"/>
      <c r="ML224" s="230"/>
      <c r="MM224" s="230"/>
      <c r="MN224" s="230"/>
    </row>
    <row r="225" spans="1:352" x14ac:dyDescent="0.3">
      <c r="A225" s="262"/>
      <c r="B225" s="187" t="s">
        <v>214</v>
      </c>
      <c r="C225" s="98"/>
      <c r="D225" s="269">
        <f>SUM(D203:D224)</f>
        <v>3681.5581557606629</v>
      </c>
      <c r="E225" s="270">
        <f t="shared" ref="E225:O225" si="973">SUM(E203:E224)</f>
        <v>3442.059511927534</v>
      </c>
      <c r="F225" s="270">
        <f t="shared" si="973"/>
        <v>3636.6787575179424</v>
      </c>
      <c r="G225" s="270">
        <f t="shared" si="973"/>
        <v>3499.7535314554543</v>
      </c>
      <c r="H225" s="270">
        <f t="shared" si="973"/>
        <v>3543.9585860097104</v>
      </c>
      <c r="I225" s="270">
        <f t="shared" si="973"/>
        <v>3630.2006592683829</v>
      </c>
      <c r="J225" s="270">
        <f t="shared" si="973"/>
        <v>4243.8567111394013</v>
      </c>
      <c r="K225" s="270">
        <f t="shared" si="973"/>
        <v>3651.2730119781354</v>
      </c>
      <c r="L225" s="270">
        <f t="shared" si="973"/>
        <v>5922.4984496587695</v>
      </c>
      <c r="M225" s="270">
        <f t="shared" si="973"/>
        <v>3636.8743783588161</v>
      </c>
      <c r="N225" s="270">
        <f t="shared" si="973"/>
        <v>3688.2980698563879</v>
      </c>
      <c r="O225" s="270">
        <f t="shared" si="973"/>
        <v>3543.0723950809383</v>
      </c>
      <c r="P225" s="271">
        <f>+SUBTOTAL(9,D225:O225)</f>
        <v>46120.082218012139</v>
      </c>
      <c r="Q225" s="266"/>
      <c r="R225" s="269">
        <f>SUM(R203:R224)</f>
        <v>368.52383275299314</v>
      </c>
      <c r="S225" s="270">
        <f t="shared" ref="S225:AC225" si="974">SUM(S203:S224)</f>
        <v>343.74811097715218</v>
      </c>
      <c r="T225" s="270">
        <f t="shared" si="974"/>
        <v>363.88113638305651</v>
      </c>
      <c r="U225" s="270">
        <f t="shared" si="974"/>
        <v>349.71645782486809</v>
      </c>
      <c r="V225" s="270">
        <f t="shared" si="974"/>
        <v>354.28939450289454</v>
      </c>
      <c r="W225" s="270">
        <f t="shared" si="974"/>
        <v>363.21098828827462</v>
      </c>
      <c r="X225" s="270">
        <f t="shared" si="974"/>
        <v>426.69264882665584</v>
      </c>
      <c r="Y225" s="270">
        <f t="shared" si="974"/>
        <v>365.39088684445585</v>
      </c>
      <c r="Z225" s="270">
        <f t="shared" si="974"/>
        <v>600.34524246659032</v>
      </c>
      <c r="AA225" s="270">
        <f t="shared" si="974"/>
        <v>363.9013730217676</v>
      </c>
      <c r="AB225" s="270">
        <f t="shared" si="974"/>
        <v>369.2210652456543</v>
      </c>
      <c r="AC225" s="270">
        <f t="shared" si="974"/>
        <v>354.19771957922865</v>
      </c>
      <c r="AD225" s="271">
        <f>+SUBTOTAL(9,R225:AC225)</f>
        <v>4623.1188567135914</v>
      </c>
      <c r="AE225" s="266"/>
      <c r="AF225" s="269">
        <f>SUM(AF203:AF224)</f>
        <v>368.52383275299314</v>
      </c>
      <c r="AG225" s="270">
        <f t="shared" ref="AG225:AQ225" si="975">SUM(AG203:AG224)</f>
        <v>343.74811097715218</v>
      </c>
      <c r="AH225" s="270">
        <f t="shared" si="975"/>
        <v>363.88113638305651</v>
      </c>
      <c r="AI225" s="270">
        <f t="shared" si="975"/>
        <v>349.71645782486809</v>
      </c>
      <c r="AJ225" s="270">
        <f t="shared" si="975"/>
        <v>354.28939450289454</v>
      </c>
      <c r="AK225" s="270">
        <f t="shared" si="975"/>
        <v>363.21098828827462</v>
      </c>
      <c r="AL225" s="270">
        <f t="shared" si="975"/>
        <v>426.69264882665584</v>
      </c>
      <c r="AM225" s="270">
        <f t="shared" si="975"/>
        <v>365.39088684445585</v>
      </c>
      <c r="AN225" s="270">
        <f t="shared" si="975"/>
        <v>600.34524246659032</v>
      </c>
      <c r="AO225" s="270">
        <f t="shared" si="975"/>
        <v>363.9013730217676</v>
      </c>
      <c r="AP225" s="270">
        <f t="shared" si="975"/>
        <v>369.2210652456543</v>
      </c>
      <c r="AQ225" s="270">
        <f t="shared" si="975"/>
        <v>354.19771957922865</v>
      </c>
      <c r="AR225" s="271">
        <f>+SUBTOTAL(9,AF225:AQ225)</f>
        <v>4623.1188567135914</v>
      </c>
      <c r="AS225" s="266"/>
      <c r="AT225" s="269">
        <f>SUM(AT203:AT224)</f>
        <v>895.68255516866225</v>
      </c>
      <c r="AU225" s="270">
        <f t="shared" ref="AU225:BE225" si="976">SUM(AU203:AU224)</f>
        <v>879.16540731810176</v>
      </c>
      <c r="AV225" s="270">
        <f t="shared" si="976"/>
        <v>892.58742425537139</v>
      </c>
      <c r="AW225" s="270">
        <f t="shared" si="976"/>
        <v>883.14430521657903</v>
      </c>
      <c r="AX225" s="270">
        <f t="shared" si="976"/>
        <v>886.19292966859666</v>
      </c>
      <c r="AY225" s="270">
        <f t="shared" si="976"/>
        <v>892.14065885884997</v>
      </c>
      <c r="AZ225" s="270">
        <f t="shared" si="976"/>
        <v>934.46176588443745</v>
      </c>
      <c r="BA225" s="270">
        <f t="shared" si="976"/>
        <v>893.59392456297087</v>
      </c>
      <c r="BB225" s="270">
        <f t="shared" si="976"/>
        <v>1050.2301616443938</v>
      </c>
      <c r="BC225" s="270">
        <f t="shared" si="976"/>
        <v>892.60091534784533</v>
      </c>
      <c r="BD225" s="270">
        <f t="shared" si="976"/>
        <v>896.14737683043643</v>
      </c>
      <c r="BE225" s="270">
        <f t="shared" si="976"/>
        <v>886.13181305281933</v>
      </c>
      <c r="BF225" s="271">
        <f>+SUBTOTAL(9,AT225:BE225)</f>
        <v>10882.079237809065</v>
      </c>
      <c r="BG225" s="224"/>
      <c r="BH225" s="269">
        <f>SUM(BH203:BH224)</f>
        <v>1842.6191637649661</v>
      </c>
      <c r="BI225" s="270">
        <f t="shared" ref="BI225:BS225" si="977">SUM(BI203:BI224)</f>
        <v>1718.7405548857612</v>
      </c>
      <c r="BJ225" s="270">
        <f t="shared" si="977"/>
        <v>1819.4056819152831</v>
      </c>
      <c r="BK225" s="270">
        <f t="shared" si="977"/>
        <v>1748.5822891243408</v>
      </c>
      <c r="BL225" s="270">
        <f t="shared" si="977"/>
        <v>1771.4469725144734</v>
      </c>
      <c r="BM225" s="270">
        <f t="shared" si="977"/>
        <v>1816.0549414413731</v>
      </c>
      <c r="BN225" s="270">
        <f t="shared" si="977"/>
        <v>2133.4632441332792</v>
      </c>
      <c r="BO225" s="270">
        <f t="shared" si="977"/>
        <v>1826.9544342222796</v>
      </c>
      <c r="BP225" s="270">
        <f t="shared" si="977"/>
        <v>3001.7262123329519</v>
      </c>
      <c r="BQ225" s="270">
        <f t="shared" si="977"/>
        <v>1819.5068651088384</v>
      </c>
      <c r="BR225" s="270">
        <f t="shared" si="977"/>
        <v>1846.1053262282717</v>
      </c>
      <c r="BS225" s="270">
        <f t="shared" si="977"/>
        <v>1770.9885978961433</v>
      </c>
      <c r="BT225" s="271">
        <f>+SUBTOTAL(9,BH225:BS225)</f>
        <v>23115.59428356796</v>
      </c>
      <c r="BU225" s="266"/>
      <c r="BV225" s="269">
        <f>SUM(BV203:BV224)</f>
        <v>2029.4189706253223</v>
      </c>
      <c r="BW225" s="270">
        <f t="shared" ref="BW225:CG225" si="978">SUM(BW203:BW224)</f>
        <v>2021.1603967000422</v>
      </c>
      <c r="BX225" s="270">
        <f t="shared" si="978"/>
        <v>2027.8714051686768</v>
      </c>
      <c r="BY225" s="270">
        <f t="shared" si="978"/>
        <v>2023.1498456492807</v>
      </c>
      <c r="BZ225" s="270">
        <f t="shared" si="978"/>
        <v>2024.6741578752897</v>
      </c>
      <c r="CA225" s="270">
        <f t="shared" si="978"/>
        <v>2027.6480224704164</v>
      </c>
      <c r="CB225" s="270">
        <f t="shared" si="978"/>
        <v>2048.8085759832102</v>
      </c>
      <c r="CC225" s="270">
        <f t="shared" si="978"/>
        <v>2028.3746553224767</v>
      </c>
      <c r="CD225" s="270">
        <f t="shared" si="978"/>
        <v>2106.6927738631884</v>
      </c>
      <c r="CE225" s="270">
        <f t="shared" si="978"/>
        <v>2027.878150714914</v>
      </c>
      <c r="CF225" s="270">
        <f t="shared" si="978"/>
        <v>2029.6513814562095</v>
      </c>
      <c r="CG225" s="270">
        <f t="shared" si="978"/>
        <v>2024.643599567401</v>
      </c>
      <c r="CH225" s="271">
        <f>+SUBTOTAL(9,BV225:CG225)</f>
        <v>24419.971935396428</v>
      </c>
      <c r="CI225" s="266"/>
      <c r="CJ225" s="269">
        <f>SUM(CJ203:CJ224)</f>
        <v>1887.4790295954203</v>
      </c>
      <c r="CK225" s="270">
        <f t="shared" ref="CK225:CU225" si="979">SUM(CK203:CK224)</f>
        <v>1796.6347164173371</v>
      </c>
      <c r="CL225" s="270">
        <f t="shared" si="979"/>
        <v>1870.4558095723196</v>
      </c>
      <c r="CM225" s="270">
        <f t="shared" si="979"/>
        <v>1818.5186548589618</v>
      </c>
      <c r="CN225" s="270">
        <f t="shared" si="979"/>
        <v>1835.2860893450588</v>
      </c>
      <c r="CO225" s="270">
        <f t="shared" si="979"/>
        <v>1867.9985998914522</v>
      </c>
      <c r="CP225" s="270">
        <f t="shared" si="979"/>
        <v>2100.7646885321833</v>
      </c>
      <c r="CQ225" s="270">
        <f t="shared" si="979"/>
        <v>1875.9915612641171</v>
      </c>
      <c r="CR225" s="270">
        <f t="shared" si="979"/>
        <v>2737.4908652119429</v>
      </c>
      <c r="CS225" s="270">
        <f t="shared" si="979"/>
        <v>1870.5300105809265</v>
      </c>
      <c r="CT225" s="270">
        <f t="shared" si="979"/>
        <v>1890.0355487351776</v>
      </c>
      <c r="CU225" s="270">
        <f t="shared" si="979"/>
        <v>1834.9499479582835</v>
      </c>
      <c r="CV225" s="271">
        <f>+SUBTOTAL(9,CJ225:CU225)</f>
        <v>23386.135521963181</v>
      </c>
      <c r="CW225" s="266"/>
      <c r="CX225" s="269">
        <f>SUM(CX203:CX224)</f>
        <v>3939.5557723612692</v>
      </c>
      <c r="CY225" s="270">
        <f t="shared" ref="CY225:DI225" si="980">SUM(CY203:CY224)</f>
        <v>3708.3157024534212</v>
      </c>
      <c r="CZ225" s="270">
        <f t="shared" si="980"/>
        <v>3896.2239395751949</v>
      </c>
      <c r="DA225" s="270">
        <f t="shared" si="980"/>
        <v>3764.0202730321025</v>
      </c>
      <c r="DB225" s="270">
        <f t="shared" si="980"/>
        <v>3806.7010153603496</v>
      </c>
      <c r="DC225" s="270">
        <f t="shared" si="980"/>
        <v>3889.969224023896</v>
      </c>
      <c r="DD225" s="270">
        <f t="shared" si="980"/>
        <v>4482.4647223821203</v>
      </c>
      <c r="DE225" s="270">
        <f t="shared" si="980"/>
        <v>3910.3149438815881</v>
      </c>
      <c r="DF225" s="270">
        <f t="shared" si="980"/>
        <v>6103.2222630215092</v>
      </c>
      <c r="DG225" s="270">
        <f t="shared" si="980"/>
        <v>3896.412814869831</v>
      </c>
      <c r="DH225" s="270">
        <f t="shared" si="980"/>
        <v>3946.063275626107</v>
      </c>
      <c r="DI225" s="270">
        <f t="shared" si="980"/>
        <v>3805.8453827394669</v>
      </c>
      <c r="DJ225" s="271">
        <f>+SUBTOTAL(9,CX225:DI225)</f>
        <v>49149.10932932685</v>
      </c>
      <c r="DK225" s="266"/>
      <c r="DL225" s="269">
        <f>SUM(DL203:DL224)</f>
        <v>7144.255772361269</v>
      </c>
      <c r="DM225" s="270">
        <f t="shared" ref="DM225:DW225" si="981">SUM(DM203:DM224)</f>
        <v>5113.3157024534203</v>
      </c>
      <c r="DN225" s="270">
        <f t="shared" si="981"/>
        <v>5049.223939575194</v>
      </c>
      <c r="DO225" s="270">
        <f t="shared" si="981"/>
        <v>3414.0202730321016</v>
      </c>
      <c r="DP225" s="270">
        <f t="shared" si="981"/>
        <v>3456.7010153603487</v>
      </c>
      <c r="DQ225" s="270">
        <f t="shared" si="981"/>
        <v>3539.9692240238955</v>
      </c>
      <c r="DR225" s="270">
        <f t="shared" si="981"/>
        <v>7687.1647223821219</v>
      </c>
      <c r="DS225" s="270">
        <f t="shared" si="981"/>
        <v>3560.3149438815876</v>
      </c>
      <c r="DT225" s="270">
        <f t="shared" si="981"/>
        <v>5753.2222630215092</v>
      </c>
      <c r="DU225" s="270">
        <f t="shared" si="981"/>
        <v>3546.4128148698305</v>
      </c>
      <c r="DV225" s="270">
        <f t="shared" si="981"/>
        <v>3596.0632756261066</v>
      </c>
      <c r="DW225" s="270">
        <f t="shared" si="981"/>
        <v>3455.8453827394669</v>
      </c>
      <c r="DX225" s="271">
        <f>+SUBTOTAL(9,DL225:DW225)</f>
        <v>55316.509329326851</v>
      </c>
      <c r="DY225" s="266"/>
      <c r="DZ225" s="269">
        <f>SUM(DZ203:DZ224)</f>
        <v>122.84127758433107</v>
      </c>
      <c r="EA225" s="270">
        <f t="shared" ref="EA225:EK225" si="982">SUM(EA203:EA224)</f>
        <v>114.58270365905074</v>
      </c>
      <c r="EB225" s="270">
        <f t="shared" si="982"/>
        <v>121.29371212768552</v>
      </c>
      <c r="EC225" s="270">
        <f t="shared" si="982"/>
        <v>3315.5721526082898</v>
      </c>
      <c r="ED225" s="270">
        <f t="shared" si="982"/>
        <v>118.0964648342982</v>
      </c>
      <c r="EE225" s="270">
        <f t="shared" si="982"/>
        <v>121.07032942942487</v>
      </c>
      <c r="EF225" s="270">
        <f t="shared" si="982"/>
        <v>142.23088294221861</v>
      </c>
      <c r="EG225" s="270">
        <f t="shared" si="982"/>
        <v>121.79696228148529</v>
      </c>
      <c r="EH225" s="270">
        <f t="shared" si="982"/>
        <v>200.1150808221968</v>
      </c>
      <c r="EI225" s="270">
        <f t="shared" si="982"/>
        <v>121.30045767392255</v>
      </c>
      <c r="EJ225" s="270">
        <f t="shared" si="982"/>
        <v>123.07368841521813</v>
      </c>
      <c r="EK225" s="270">
        <f t="shared" si="982"/>
        <v>118.06590652640955</v>
      </c>
      <c r="EL225" s="271">
        <f>+SUBTOTAL(9,DZ225:EK225)</f>
        <v>4740.0396189045305</v>
      </c>
      <c r="EM225" s="266"/>
      <c r="EN225" s="269">
        <f>SUM(EN203:EN224)</f>
        <v>245.68255516866213</v>
      </c>
      <c r="EO225" s="270">
        <f t="shared" ref="EO225:EY225" si="983">SUM(EO203:EO224)</f>
        <v>229.16540731810147</v>
      </c>
      <c r="EP225" s="270">
        <f t="shared" si="983"/>
        <v>242.58742425537105</v>
      </c>
      <c r="EQ225" s="270">
        <f t="shared" si="983"/>
        <v>233.14430521657874</v>
      </c>
      <c r="ER225" s="270">
        <f t="shared" si="983"/>
        <v>236.19292966859641</v>
      </c>
      <c r="ES225" s="270">
        <f t="shared" si="983"/>
        <v>242.14065885884975</v>
      </c>
      <c r="ET225" s="270">
        <f t="shared" si="983"/>
        <v>284.46176588443723</v>
      </c>
      <c r="EU225" s="270">
        <f t="shared" si="983"/>
        <v>243.59392456297059</v>
      </c>
      <c r="EV225" s="270">
        <f t="shared" si="983"/>
        <v>400.2301616443936</v>
      </c>
      <c r="EW225" s="270">
        <f t="shared" si="983"/>
        <v>242.6009153478451</v>
      </c>
      <c r="EX225" s="270">
        <f t="shared" si="983"/>
        <v>246.14737683043626</v>
      </c>
      <c r="EY225" s="270">
        <f t="shared" si="983"/>
        <v>236.1318130528191</v>
      </c>
      <c r="EZ225" s="271">
        <f>+SUBTOTAL(9,EN225:EY225)</f>
        <v>3082.0792378090619</v>
      </c>
      <c r="FA225" s="266"/>
      <c r="FB225" s="269">
        <f>SUM(FB203:FB224)</f>
        <v>122.84127758433107</v>
      </c>
      <c r="FC225" s="270">
        <f t="shared" ref="FC225:FM225" si="984">SUM(FC203:FC224)</f>
        <v>114.58270365905074</v>
      </c>
      <c r="FD225" s="270">
        <f t="shared" si="984"/>
        <v>121.29371212768552</v>
      </c>
      <c r="FE225" s="270">
        <f t="shared" si="984"/>
        <v>116.57215260828937</v>
      </c>
      <c r="FF225" s="270">
        <f t="shared" si="984"/>
        <v>118.0964648342982</v>
      </c>
      <c r="FG225" s="270">
        <f t="shared" si="984"/>
        <v>121.07032942942487</v>
      </c>
      <c r="FH225" s="270">
        <f t="shared" si="984"/>
        <v>142.23088294221861</v>
      </c>
      <c r="FI225" s="270">
        <f t="shared" si="984"/>
        <v>121.79696228148529</v>
      </c>
      <c r="FJ225" s="270">
        <f t="shared" si="984"/>
        <v>200.1150808221968</v>
      </c>
      <c r="FK225" s="270">
        <f t="shared" si="984"/>
        <v>121.30045767392255</v>
      </c>
      <c r="FL225" s="270">
        <f t="shared" si="984"/>
        <v>123.07368841521813</v>
      </c>
      <c r="FM225" s="270">
        <f t="shared" si="984"/>
        <v>118.06590652640955</v>
      </c>
      <c r="FN225" s="271">
        <f>+SUBTOTAL(9,FB225:FM225)</f>
        <v>1541.0396189045309</v>
      </c>
      <c r="FO225" s="266"/>
      <c r="FP225" s="269">
        <f>SUM(FP203:FP224)</f>
        <v>859.8889430903173</v>
      </c>
      <c r="FQ225" s="270">
        <f t="shared" ref="FQ225:GA225" si="985">SUM(FQ203:FQ224)</f>
        <v>802.0789256133553</v>
      </c>
      <c r="FR225" s="270">
        <f t="shared" si="985"/>
        <v>849.05598489379872</v>
      </c>
      <c r="FS225" s="270">
        <f t="shared" si="985"/>
        <v>816.00506825802563</v>
      </c>
      <c r="FT225" s="270">
        <f t="shared" si="985"/>
        <v>826.67525384008741</v>
      </c>
      <c r="FU225" s="270">
        <f t="shared" si="985"/>
        <v>847.492306005974</v>
      </c>
      <c r="FV225" s="270">
        <f t="shared" si="985"/>
        <v>995.61618059553007</v>
      </c>
      <c r="FW225" s="270">
        <f t="shared" si="985"/>
        <v>852.57873597039702</v>
      </c>
      <c r="FX225" s="270">
        <f t="shared" si="985"/>
        <v>1400.8055657553773</v>
      </c>
      <c r="FY225" s="270">
        <f t="shared" si="985"/>
        <v>849.10320371745775</v>
      </c>
      <c r="FZ225" s="270">
        <f t="shared" si="985"/>
        <v>861.51581890652676</v>
      </c>
      <c r="GA225" s="270">
        <f t="shared" si="985"/>
        <v>826.46134568486673</v>
      </c>
      <c r="GB225" s="271">
        <f>+SUBTOTAL(9,FP225:GA225)</f>
        <v>10787.277332331712</v>
      </c>
      <c r="GC225" s="266"/>
      <c r="GD225" s="269">
        <f>SUM(GD203:GD224)</f>
        <v>122.84127758433107</v>
      </c>
      <c r="GE225" s="270">
        <f t="shared" ref="GE225:GO225" si="986">SUM(GE203:GE224)</f>
        <v>114.58270365905074</v>
      </c>
      <c r="GF225" s="270">
        <f t="shared" si="986"/>
        <v>121.29371212768552</v>
      </c>
      <c r="GG225" s="270">
        <f t="shared" si="986"/>
        <v>116.57215260828937</v>
      </c>
      <c r="GH225" s="270">
        <f t="shared" si="986"/>
        <v>118.0964648342982</v>
      </c>
      <c r="GI225" s="270">
        <f t="shared" si="986"/>
        <v>121.07032942942487</v>
      </c>
      <c r="GJ225" s="270">
        <f t="shared" si="986"/>
        <v>142.23088294221861</v>
      </c>
      <c r="GK225" s="270">
        <f t="shared" si="986"/>
        <v>121.79696228148529</v>
      </c>
      <c r="GL225" s="270">
        <f t="shared" si="986"/>
        <v>200.1150808221968</v>
      </c>
      <c r="GM225" s="270">
        <f t="shared" si="986"/>
        <v>121.30045767392255</v>
      </c>
      <c r="GN225" s="270">
        <f t="shared" si="986"/>
        <v>123.07368841521813</v>
      </c>
      <c r="GO225" s="270">
        <f t="shared" si="986"/>
        <v>118.06590652640955</v>
      </c>
      <c r="GP225" s="271">
        <f>+SUBTOTAL(9,GD225:GO225)</f>
        <v>1541.0396189045309</v>
      </c>
      <c r="GQ225" s="266"/>
      <c r="GR225" s="269">
        <f>SUM(GR203:GR224)</f>
        <v>-875.7304509602842</v>
      </c>
      <c r="GS225" s="270">
        <f t="shared" ref="GS225:HC225" si="987">SUM(GS203:GS224)</f>
        <v>-1953.5426530575196</v>
      </c>
      <c r="GT225" s="270">
        <f t="shared" si="987"/>
        <v>3252.3081572380006</v>
      </c>
      <c r="GU225" s="270">
        <f t="shared" si="987"/>
        <v>3252.3081572380006</v>
      </c>
      <c r="GV225" s="270">
        <f t="shared" si="987"/>
        <v>3252.3081572380006</v>
      </c>
      <c r="GW225" s="270">
        <f t="shared" si="987"/>
        <v>3252.3081572380006</v>
      </c>
      <c r="GX225" s="270">
        <f t="shared" si="987"/>
        <v>3252.3081572380006</v>
      </c>
      <c r="GY225" s="270">
        <f t="shared" si="987"/>
        <v>3252.3081572380006</v>
      </c>
      <c r="GZ225" s="270">
        <f t="shared" si="987"/>
        <v>3252.3081572380006</v>
      </c>
      <c r="HA225" s="270">
        <f t="shared" si="987"/>
        <v>3252.3081572380006</v>
      </c>
      <c r="HB225" s="270">
        <f t="shared" si="987"/>
        <v>3252.3081572380006</v>
      </c>
      <c r="HC225" s="270">
        <f t="shared" si="987"/>
        <v>3252.3081572380006</v>
      </c>
      <c r="HD225" s="271">
        <f>+SUBTOTAL(9,GR225:HC225)*0</f>
        <v>0</v>
      </c>
      <c r="HE225" s="266"/>
      <c r="HF225" s="269">
        <f>SUM(HF203:HF224)</f>
        <v>491.36511033732427</v>
      </c>
      <c r="HG225" s="270">
        <f t="shared" ref="HG225:HQ225" si="988">SUM(HG203:HG224)</f>
        <v>458.33081463620294</v>
      </c>
      <c r="HH225" s="270">
        <f t="shared" si="988"/>
        <v>485.17484851074209</v>
      </c>
      <c r="HI225" s="270">
        <f t="shared" si="988"/>
        <v>466.28861043315749</v>
      </c>
      <c r="HJ225" s="270">
        <f t="shared" si="988"/>
        <v>472.38585933719281</v>
      </c>
      <c r="HK225" s="270">
        <f t="shared" si="988"/>
        <v>484.28131771769949</v>
      </c>
      <c r="HL225" s="270">
        <f t="shared" si="988"/>
        <v>568.92353176887445</v>
      </c>
      <c r="HM225" s="270">
        <f t="shared" si="988"/>
        <v>487.18784912594117</v>
      </c>
      <c r="HN225" s="270">
        <f t="shared" si="988"/>
        <v>800.46032328878721</v>
      </c>
      <c r="HO225" s="270">
        <f t="shared" si="988"/>
        <v>485.20183069569021</v>
      </c>
      <c r="HP225" s="270">
        <f t="shared" si="988"/>
        <v>492.29475366087252</v>
      </c>
      <c r="HQ225" s="270">
        <f t="shared" si="988"/>
        <v>472.2636261056382</v>
      </c>
      <c r="HR225" s="271">
        <f>+SUBTOTAL(9,HF225:HQ225)</f>
        <v>6164.1584756181237</v>
      </c>
      <c r="HS225" s="266"/>
      <c r="HT225" s="269">
        <f>SUM(HT203:HT224)</f>
        <v>122.84127758433107</v>
      </c>
      <c r="HU225" s="270">
        <f t="shared" ref="HU225:IE225" si="989">SUM(HU203:HU224)</f>
        <v>114.58270365905074</v>
      </c>
      <c r="HV225" s="270">
        <f t="shared" si="989"/>
        <v>121.29371212768552</v>
      </c>
      <c r="HW225" s="270">
        <f t="shared" si="989"/>
        <v>116.57215260828937</v>
      </c>
      <c r="HX225" s="270">
        <f t="shared" si="989"/>
        <v>118.0964648342982</v>
      </c>
      <c r="HY225" s="270">
        <f t="shared" si="989"/>
        <v>121.07032942942487</v>
      </c>
      <c r="HZ225" s="270">
        <f t="shared" si="989"/>
        <v>142.23088294221861</v>
      </c>
      <c r="IA225" s="270">
        <f t="shared" si="989"/>
        <v>121.79696228148529</v>
      </c>
      <c r="IB225" s="270">
        <f t="shared" si="989"/>
        <v>200.1150808221968</v>
      </c>
      <c r="IC225" s="270">
        <f t="shared" si="989"/>
        <v>121.30045767392255</v>
      </c>
      <c r="ID225" s="270">
        <f t="shared" si="989"/>
        <v>123.07368841521813</v>
      </c>
      <c r="IE225" s="270">
        <f t="shared" si="989"/>
        <v>118.06590652640955</v>
      </c>
      <c r="IF225" s="271">
        <f>+SUBTOTAL(9,HT225:IE225)</f>
        <v>1541.0396189045309</v>
      </c>
      <c r="IG225" s="266"/>
      <c r="IH225" s="269">
        <f>SUM(IH203:IH224)</f>
        <v>122.84127758433107</v>
      </c>
      <c r="II225" s="270">
        <f t="shared" ref="II225:IS225" si="990">SUM(II203:II224)</f>
        <v>114.58270365905074</v>
      </c>
      <c r="IJ225" s="270">
        <f t="shared" si="990"/>
        <v>121.29371212768552</v>
      </c>
      <c r="IK225" s="270">
        <f t="shared" si="990"/>
        <v>116.57215260828937</v>
      </c>
      <c r="IL225" s="270">
        <f t="shared" si="990"/>
        <v>118.0964648342982</v>
      </c>
      <c r="IM225" s="270">
        <f t="shared" si="990"/>
        <v>121.07032942942487</v>
      </c>
      <c r="IN225" s="270">
        <f t="shared" si="990"/>
        <v>142.23088294221861</v>
      </c>
      <c r="IO225" s="270">
        <f t="shared" si="990"/>
        <v>121.79696228148529</v>
      </c>
      <c r="IP225" s="270">
        <f t="shared" si="990"/>
        <v>200.1150808221968</v>
      </c>
      <c r="IQ225" s="270">
        <f t="shared" si="990"/>
        <v>121.30045767392255</v>
      </c>
      <c r="IR225" s="270">
        <f t="shared" si="990"/>
        <v>123.07368841521813</v>
      </c>
      <c r="IS225" s="270">
        <f t="shared" si="990"/>
        <v>118.06590652640955</v>
      </c>
      <c r="IT225" s="271">
        <f>+SUBTOTAL(9,IH225:IS225)</f>
        <v>1541.0396189045309</v>
      </c>
      <c r="IU225" s="266"/>
      <c r="IV225" s="269">
        <f>SUM(IV203:IV224)</f>
        <v>859.8889430903173</v>
      </c>
      <c r="IW225" s="270">
        <f t="shared" ref="IW225:JG225" si="991">SUM(IW203:IW224)</f>
        <v>802.0789256133553</v>
      </c>
      <c r="IX225" s="270">
        <f t="shared" si="991"/>
        <v>849.05598489379872</v>
      </c>
      <c r="IY225" s="270">
        <f t="shared" si="991"/>
        <v>816.00506825802563</v>
      </c>
      <c r="IZ225" s="270">
        <f t="shared" si="991"/>
        <v>826.67525384008741</v>
      </c>
      <c r="JA225" s="270">
        <f t="shared" si="991"/>
        <v>847.492306005974</v>
      </c>
      <c r="JB225" s="270">
        <f t="shared" si="991"/>
        <v>995.61618059553007</v>
      </c>
      <c r="JC225" s="270">
        <f t="shared" si="991"/>
        <v>852.57873597039702</v>
      </c>
      <c r="JD225" s="270">
        <f t="shared" si="991"/>
        <v>1400.8055657553773</v>
      </c>
      <c r="JE225" s="270">
        <f t="shared" si="991"/>
        <v>849.10320371745775</v>
      </c>
      <c r="JF225" s="270">
        <f t="shared" si="991"/>
        <v>861.51581890652676</v>
      </c>
      <c r="JG225" s="270">
        <f t="shared" si="991"/>
        <v>826.46134568486673</v>
      </c>
      <c r="JH225" s="271">
        <f>+SUBTOTAL(9,IV225:JG225)</f>
        <v>10787.277332331712</v>
      </c>
      <c r="JI225" s="266"/>
      <c r="JJ225" s="269">
        <f>SUM(JJ203:JJ224)</f>
        <v>1351.2540534276413</v>
      </c>
      <c r="JK225" s="270">
        <f t="shared" ref="JK225:JU225" si="992">SUM(JK203:JK224)</f>
        <v>1260.4097402495581</v>
      </c>
      <c r="JL225" s="270">
        <f t="shared" si="992"/>
        <v>1334.2308334045406</v>
      </c>
      <c r="JM225" s="270">
        <f t="shared" si="992"/>
        <v>1282.293678691183</v>
      </c>
      <c r="JN225" s="270">
        <f t="shared" si="992"/>
        <v>1299.06111317728</v>
      </c>
      <c r="JO225" s="270">
        <f t="shared" si="992"/>
        <v>1331.7736237236734</v>
      </c>
      <c r="JP225" s="270">
        <f t="shared" si="992"/>
        <v>1564.5397123644047</v>
      </c>
      <c r="JQ225" s="270">
        <f t="shared" si="992"/>
        <v>1339.7665850963381</v>
      </c>
      <c r="JR225" s="270">
        <f t="shared" si="992"/>
        <v>2201.2658890441644</v>
      </c>
      <c r="JS225" s="270">
        <f t="shared" si="992"/>
        <v>1334.3050344131477</v>
      </c>
      <c r="JT225" s="270">
        <f t="shared" si="992"/>
        <v>1353.810572567399</v>
      </c>
      <c r="JU225" s="270">
        <f t="shared" si="992"/>
        <v>1298.7249717905047</v>
      </c>
      <c r="JV225" s="271">
        <f>+SUBTOTAL(9,JJ225:JU225)</f>
        <v>16951.435807949834</v>
      </c>
      <c r="JW225" s="266"/>
      <c r="JX225" s="269">
        <f>SUM(JX203:JX224)</f>
        <v>614.20638792165528</v>
      </c>
      <c r="JY225" s="270">
        <f t="shared" ref="JY225:KI225" si="993">SUM(JY203:JY224)</f>
        <v>572.91351829525377</v>
      </c>
      <c r="JZ225" s="270">
        <f t="shared" si="993"/>
        <v>606.46856063842768</v>
      </c>
      <c r="KA225" s="270">
        <f t="shared" si="993"/>
        <v>582.86076304144694</v>
      </c>
      <c r="KB225" s="270">
        <f t="shared" si="993"/>
        <v>590.48232417149097</v>
      </c>
      <c r="KC225" s="270">
        <f t="shared" si="993"/>
        <v>605.35164714712437</v>
      </c>
      <c r="KD225" s="270">
        <f t="shared" si="993"/>
        <v>711.15441471109307</v>
      </c>
      <c r="KE225" s="270">
        <f t="shared" si="993"/>
        <v>608.98481140742661</v>
      </c>
      <c r="KF225" s="270">
        <f t="shared" si="993"/>
        <v>1000.5754041109839</v>
      </c>
      <c r="KG225" s="270">
        <f t="shared" si="993"/>
        <v>606.50228836961276</v>
      </c>
      <c r="KH225" s="270">
        <f t="shared" si="993"/>
        <v>615.36844207609056</v>
      </c>
      <c r="KI225" s="270">
        <f t="shared" si="993"/>
        <v>590.32953263204774</v>
      </c>
      <c r="KJ225" s="271">
        <f>+SUBTOTAL(9,JX225:KI225)</f>
        <v>7705.1980945226533</v>
      </c>
      <c r="KK225" s="266"/>
      <c r="KL225" s="269">
        <f>SUM(KL203:KL224)</f>
        <v>218.88322247085466</v>
      </c>
      <c r="KM225" s="270">
        <f t="shared" ref="KM225:KW225" si="994">SUM(KM203:KM224)</f>
        <v>200.39991637434551</v>
      </c>
      <c r="KN225" s="270">
        <f t="shared" si="994"/>
        <v>213.82193331161506</v>
      </c>
      <c r="KO225" s="270">
        <f t="shared" si="994"/>
        <v>204.37881427282278</v>
      </c>
      <c r="KP225" s="270">
        <f t="shared" si="994"/>
        <v>207.42743872484044</v>
      </c>
      <c r="KQ225" s="270">
        <f t="shared" si="994"/>
        <v>213.37516791509375</v>
      </c>
      <c r="KR225" s="270">
        <f t="shared" si="994"/>
        <v>252.32401564611501</v>
      </c>
      <c r="KS225" s="270">
        <f t="shared" si="994"/>
        <v>211.45617432464837</v>
      </c>
      <c r="KT225" s="270">
        <f t="shared" si="994"/>
        <v>368.09241140607134</v>
      </c>
      <c r="KU225" s="270">
        <f t="shared" si="994"/>
        <v>210.46316510952289</v>
      </c>
      <c r="KV225" s="270">
        <f t="shared" si="994"/>
        <v>214.00962659211399</v>
      </c>
      <c r="KW225" s="270">
        <f t="shared" si="994"/>
        <v>203.99406281449689</v>
      </c>
      <c r="KX225" s="271">
        <f>+SUBTOTAL(9,KL225:KW225)</f>
        <v>2718.6259489625404</v>
      </c>
      <c r="KY225" s="266"/>
      <c r="KZ225" s="269">
        <f>SUM(KZ203:KZ224)</f>
        <v>149.64061028213851</v>
      </c>
      <c r="LA225" s="270">
        <f t="shared" ref="LA225:LK225" si="995">SUM(LA203:LA224)</f>
        <v>143.34819460280673</v>
      </c>
      <c r="LB225" s="270">
        <f t="shared" si="995"/>
        <v>150.05920307144149</v>
      </c>
      <c r="LC225" s="270">
        <f t="shared" si="995"/>
        <v>145.33764355204534</v>
      </c>
      <c r="LD225" s="270">
        <f t="shared" si="995"/>
        <v>146.86195577805415</v>
      </c>
      <c r="LE225" s="270">
        <f t="shared" si="995"/>
        <v>149.83582037318084</v>
      </c>
      <c r="LF225" s="270">
        <f t="shared" si="995"/>
        <v>174.3686331805408</v>
      </c>
      <c r="LG225" s="270">
        <f t="shared" si="995"/>
        <v>153.9347125198075</v>
      </c>
      <c r="LH225" s="270">
        <f t="shared" si="995"/>
        <v>232.25283106051901</v>
      </c>
      <c r="LI225" s="270">
        <f t="shared" si="995"/>
        <v>153.43820791224476</v>
      </c>
      <c r="LJ225" s="270">
        <f t="shared" si="995"/>
        <v>155.21143865354034</v>
      </c>
      <c r="LK225" s="270">
        <f t="shared" si="995"/>
        <v>150.20365676473176</v>
      </c>
      <c r="LL225" s="271">
        <f>+SUBTOTAL(9,KZ225:LK225)</f>
        <v>1904.4929077510512</v>
      </c>
      <c r="LM225" s="266"/>
      <c r="LN225" s="269">
        <f>SUM(LN203:LN224)</f>
        <v>0</v>
      </c>
      <c r="LO225" s="270">
        <f t="shared" ref="LO225:LY225" si="996">SUM(LO203:LO224)</f>
        <v>0</v>
      </c>
      <c r="LP225" s="270">
        <f t="shared" si="996"/>
        <v>0</v>
      </c>
      <c r="LQ225" s="270">
        <f t="shared" si="996"/>
        <v>0</v>
      </c>
      <c r="LR225" s="270">
        <f t="shared" si="996"/>
        <v>0</v>
      </c>
      <c r="LS225" s="270">
        <f t="shared" si="996"/>
        <v>0</v>
      </c>
      <c r="LT225" s="270">
        <f t="shared" si="996"/>
        <v>0</v>
      </c>
      <c r="LU225" s="270">
        <f t="shared" si="996"/>
        <v>0</v>
      </c>
      <c r="LV225" s="270">
        <f t="shared" si="996"/>
        <v>0</v>
      </c>
      <c r="LW225" s="270">
        <f t="shared" si="996"/>
        <v>0</v>
      </c>
      <c r="LX225" s="270">
        <f t="shared" si="996"/>
        <v>0</v>
      </c>
      <c r="LY225" s="270">
        <f t="shared" si="996"/>
        <v>0</v>
      </c>
      <c r="LZ225" s="271">
        <f>+SUBTOTAL(9,LN225:LY225)</f>
        <v>0</v>
      </c>
      <c r="MA225" s="266"/>
      <c r="MB225" s="271">
        <f t="shared" ref="MB225:MC225" si="997">SUM(MB203:MB224)</f>
        <v>26686.902847893842</v>
      </c>
      <c r="MC225" s="271">
        <f t="shared" si="997"/>
        <v>22454.984522050632</v>
      </c>
      <c r="MD225" s="271">
        <f t="shared" ref="MD225:MN225" si="998">SUM(MD203:MD224)</f>
        <v>28509.44072120226</v>
      </c>
      <c r="ME225" s="271">
        <f t="shared" si="998"/>
        <v>29431.104960021294</v>
      </c>
      <c r="MF225" s="271">
        <f t="shared" si="998"/>
        <v>26482.092165086735</v>
      </c>
      <c r="MG225" s="271">
        <f t="shared" si="998"/>
        <v>26969.80595868751</v>
      </c>
      <c r="MH225" s="271">
        <f t="shared" si="998"/>
        <v>33994.836734785684</v>
      </c>
      <c r="MI225" s="271">
        <f t="shared" si="998"/>
        <v>27088.973746425421</v>
      </c>
      <c r="MJ225" s="271">
        <f t="shared" si="998"/>
        <v>39933.145187102091</v>
      </c>
      <c r="MK225" s="271">
        <f t="shared" si="998"/>
        <v>27007.546990785129</v>
      </c>
      <c r="ML225" s="271">
        <f t="shared" si="998"/>
        <v>27298.356832357604</v>
      </c>
      <c r="MM225" s="271">
        <f t="shared" si="998"/>
        <v>26477.080602592996</v>
      </c>
      <c r="MN225" s="271">
        <f t="shared" si="998"/>
        <v>342334.27126899123</v>
      </c>
    </row>
    <row r="226" spans="1:352" x14ac:dyDescent="0.25">
      <c r="A226" s="262"/>
      <c r="B226" s="183"/>
      <c r="C226" s="98"/>
      <c r="D226" s="28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23"/>
      <c r="Q226" s="284"/>
      <c r="R226" s="283"/>
      <c r="S226" s="273"/>
      <c r="T226" s="273"/>
      <c r="U226" s="273"/>
      <c r="V226" s="273"/>
      <c r="W226" s="273"/>
      <c r="X226" s="273"/>
      <c r="Y226" s="273"/>
      <c r="Z226" s="273"/>
      <c r="AA226" s="273"/>
      <c r="AB226" s="273"/>
      <c r="AC226" s="273"/>
      <c r="AD226" s="223"/>
      <c r="AE226" s="284"/>
      <c r="AF226" s="283"/>
      <c r="AG226" s="273"/>
      <c r="AH226" s="273"/>
      <c r="AI226" s="273"/>
      <c r="AJ226" s="273"/>
      <c r="AK226" s="273"/>
      <c r="AL226" s="273"/>
      <c r="AM226" s="273"/>
      <c r="AN226" s="273"/>
      <c r="AO226" s="273"/>
      <c r="AP226" s="273"/>
      <c r="AQ226" s="273"/>
      <c r="AR226" s="223"/>
      <c r="AS226" s="266"/>
      <c r="AT226" s="283"/>
      <c r="AU226" s="273"/>
      <c r="AV226" s="273"/>
      <c r="AW226" s="273"/>
      <c r="AX226" s="273"/>
      <c r="AY226" s="273"/>
      <c r="AZ226" s="273"/>
      <c r="BA226" s="273"/>
      <c r="BB226" s="273"/>
      <c r="BC226" s="273"/>
      <c r="BD226" s="273"/>
      <c r="BE226" s="273"/>
      <c r="BF226" s="223"/>
      <c r="BG226" s="224"/>
      <c r="BH226" s="283"/>
      <c r="BI226" s="273"/>
      <c r="BJ226" s="273"/>
      <c r="BK226" s="273"/>
      <c r="BL226" s="273"/>
      <c r="BM226" s="273"/>
      <c r="BN226" s="273"/>
      <c r="BO226" s="273"/>
      <c r="BP226" s="273"/>
      <c r="BQ226" s="273"/>
      <c r="BR226" s="273"/>
      <c r="BS226" s="273"/>
      <c r="BT226" s="223"/>
      <c r="BU226" s="266"/>
      <c r="BV226" s="283"/>
      <c r="BW226" s="273"/>
      <c r="BX226" s="273"/>
      <c r="BY226" s="273"/>
      <c r="BZ226" s="273"/>
      <c r="CA226" s="273"/>
      <c r="CB226" s="273"/>
      <c r="CC226" s="273"/>
      <c r="CD226" s="273"/>
      <c r="CE226" s="273"/>
      <c r="CF226" s="273"/>
      <c r="CG226" s="273"/>
      <c r="CH226" s="223"/>
      <c r="CI226" s="284"/>
      <c r="CJ226" s="283"/>
      <c r="CK226" s="273"/>
      <c r="CL226" s="273"/>
      <c r="CM226" s="273"/>
      <c r="CN226" s="273"/>
      <c r="CO226" s="273"/>
      <c r="CP226" s="273"/>
      <c r="CQ226" s="273"/>
      <c r="CR226" s="273"/>
      <c r="CS226" s="273"/>
      <c r="CT226" s="273"/>
      <c r="CU226" s="273"/>
      <c r="CV226" s="223"/>
      <c r="CW226" s="284"/>
      <c r="CX226" s="283"/>
      <c r="CY226" s="273"/>
      <c r="CZ226" s="273"/>
      <c r="DA226" s="273"/>
      <c r="DB226" s="273"/>
      <c r="DC226" s="273"/>
      <c r="DD226" s="273"/>
      <c r="DE226" s="273"/>
      <c r="DF226" s="273"/>
      <c r="DG226" s="273"/>
      <c r="DH226" s="273"/>
      <c r="DI226" s="273"/>
      <c r="DJ226" s="223"/>
      <c r="DK226" s="284"/>
      <c r="DL226" s="283"/>
      <c r="DM226" s="273"/>
      <c r="DN226" s="273"/>
      <c r="DO226" s="273"/>
      <c r="DP226" s="273"/>
      <c r="DQ226" s="273"/>
      <c r="DR226" s="273"/>
      <c r="DS226" s="273"/>
      <c r="DT226" s="273"/>
      <c r="DU226" s="273"/>
      <c r="DV226" s="273"/>
      <c r="DW226" s="273"/>
      <c r="DX226" s="223"/>
      <c r="DY226" s="284"/>
      <c r="DZ226" s="283"/>
      <c r="EA226" s="273"/>
      <c r="EB226" s="273"/>
      <c r="EC226" s="273"/>
      <c r="ED226" s="273"/>
      <c r="EE226" s="273"/>
      <c r="EF226" s="273"/>
      <c r="EG226" s="273"/>
      <c r="EH226" s="273"/>
      <c r="EI226" s="273"/>
      <c r="EJ226" s="273"/>
      <c r="EK226" s="273"/>
      <c r="EL226" s="223"/>
      <c r="EM226" s="284"/>
      <c r="EN226" s="283"/>
      <c r="EO226" s="273"/>
      <c r="EP226" s="273"/>
      <c r="EQ226" s="273"/>
      <c r="ER226" s="273"/>
      <c r="ES226" s="273"/>
      <c r="ET226" s="273"/>
      <c r="EU226" s="273"/>
      <c r="EV226" s="273"/>
      <c r="EW226" s="273"/>
      <c r="EX226" s="273"/>
      <c r="EY226" s="273"/>
      <c r="EZ226" s="223"/>
      <c r="FA226" s="284"/>
      <c r="FB226" s="283"/>
      <c r="FC226" s="273"/>
      <c r="FD226" s="273"/>
      <c r="FE226" s="273"/>
      <c r="FF226" s="273"/>
      <c r="FG226" s="273"/>
      <c r="FH226" s="273"/>
      <c r="FI226" s="273"/>
      <c r="FJ226" s="273"/>
      <c r="FK226" s="273"/>
      <c r="FL226" s="273"/>
      <c r="FM226" s="273"/>
      <c r="FN226" s="223"/>
      <c r="FO226" s="284"/>
      <c r="FP226" s="283"/>
      <c r="FQ226" s="273"/>
      <c r="FR226" s="273"/>
      <c r="FS226" s="273"/>
      <c r="FT226" s="273"/>
      <c r="FU226" s="273"/>
      <c r="FV226" s="273"/>
      <c r="FW226" s="273"/>
      <c r="FX226" s="273"/>
      <c r="FY226" s="273"/>
      <c r="FZ226" s="273"/>
      <c r="GA226" s="273"/>
      <c r="GB226" s="223"/>
      <c r="GC226" s="284"/>
      <c r="GD226" s="283">
        <f>+GD225+GR225</f>
        <v>-752.88917337595308</v>
      </c>
      <c r="GE226" s="273">
        <f>+GD226/83.92</f>
        <v>-8.9715106455666476</v>
      </c>
      <c r="GF226" s="273">
        <f>+GE226-'[1]Actual YTD feb'!KL242</f>
        <v>4912.4484893544295</v>
      </c>
      <c r="GG226" s="273"/>
      <c r="GH226" s="273"/>
      <c r="GI226" s="273"/>
      <c r="GJ226" s="273"/>
      <c r="GK226" s="273"/>
      <c r="GL226" s="273"/>
      <c r="GM226" s="273"/>
      <c r="GN226" s="273"/>
      <c r="GO226" s="273"/>
      <c r="GP226" s="223"/>
      <c r="GQ226" s="284"/>
      <c r="GR226" s="283"/>
      <c r="GS226" s="273"/>
      <c r="GT226" s="273"/>
      <c r="GU226" s="273"/>
      <c r="GV226" s="273"/>
      <c r="GW226" s="273"/>
      <c r="GX226" s="273"/>
      <c r="GY226" s="273"/>
      <c r="GZ226" s="273"/>
      <c r="HA226" s="273"/>
      <c r="HB226" s="273"/>
      <c r="HC226" s="273"/>
      <c r="HD226" s="223"/>
      <c r="HE226" s="284"/>
      <c r="HF226" s="283"/>
      <c r="HG226" s="273"/>
      <c r="HH226" s="273"/>
      <c r="HI226" s="273"/>
      <c r="HJ226" s="273"/>
      <c r="HK226" s="273"/>
      <c r="HL226" s="273"/>
      <c r="HM226" s="273"/>
      <c r="HN226" s="273"/>
      <c r="HO226" s="273"/>
      <c r="HP226" s="273"/>
      <c r="HQ226" s="273"/>
      <c r="HR226" s="223"/>
      <c r="HS226" s="284"/>
      <c r="HT226" s="283"/>
      <c r="HU226" s="273"/>
      <c r="HV226" s="273"/>
      <c r="HW226" s="273"/>
      <c r="HX226" s="273"/>
      <c r="HY226" s="273"/>
      <c r="HZ226" s="273"/>
      <c r="IA226" s="273"/>
      <c r="IB226" s="273"/>
      <c r="IC226" s="273"/>
      <c r="ID226" s="273"/>
      <c r="IE226" s="273"/>
      <c r="IF226" s="223"/>
      <c r="IG226" s="284"/>
      <c r="IH226" s="283"/>
      <c r="II226" s="273"/>
      <c r="IJ226" s="273"/>
      <c r="IK226" s="273"/>
      <c r="IL226" s="273"/>
      <c r="IM226" s="273"/>
      <c r="IN226" s="273"/>
      <c r="IO226" s="273"/>
      <c r="IP226" s="273"/>
      <c r="IQ226" s="273"/>
      <c r="IR226" s="273"/>
      <c r="IS226" s="273"/>
      <c r="IT226" s="223"/>
      <c r="IU226" s="284"/>
      <c r="IV226" s="283"/>
      <c r="IW226" s="273"/>
      <c r="IX226" s="273"/>
      <c r="IY226" s="273"/>
      <c r="IZ226" s="273"/>
      <c r="JA226" s="273"/>
      <c r="JB226" s="273"/>
      <c r="JC226" s="273"/>
      <c r="JD226" s="273"/>
      <c r="JE226" s="273"/>
      <c r="JF226" s="273"/>
      <c r="JG226" s="273"/>
      <c r="JH226" s="223"/>
      <c r="JI226" s="284"/>
      <c r="JJ226" s="283"/>
      <c r="JK226" s="273"/>
      <c r="JL226" s="273"/>
      <c r="JM226" s="273"/>
      <c r="JN226" s="273"/>
      <c r="JO226" s="273"/>
      <c r="JP226" s="273"/>
      <c r="JQ226" s="273"/>
      <c r="JR226" s="273"/>
      <c r="JS226" s="273"/>
      <c r="JT226" s="273"/>
      <c r="JU226" s="273"/>
      <c r="JV226" s="223"/>
      <c r="JW226" s="284"/>
      <c r="JX226" s="283"/>
      <c r="JY226" s="273"/>
      <c r="JZ226" s="273"/>
      <c r="KA226" s="273"/>
      <c r="KB226" s="273"/>
      <c r="KC226" s="273"/>
      <c r="KD226" s="273"/>
      <c r="KE226" s="273"/>
      <c r="KF226" s="273"/>
      <c r="KG226" s="273"/>
      <c r="KH226" s="273"/>
      <c r="KI226" s="273"/>
      <c r="KJ226" s="223"/>
      <c r="KK226" s="284"/>
      <c r="KL226" s="283"/>
      <c r="KM226" s="273"/>
      <c r="KN226" s="273"/>
      <c r="KO226" s="273"/>
      <c r="KP226" s="273"/>
      <c r="KQ226" s="273"/>
      <c r="KR226" s="273"/>
      <c r="KS226" s="273"/>
      <c r="KT226" s="273"/>
      <c r="KU226" s="273"/>
      <c r="KV226" s="273"/>
      <c r="KW226" s="273"/>
      <c r="KX226" s="223"/>
      <c r="KY226" s="284"/>
      <c r="KZ226" s="283"/>
      <c r="LA226" s="273"/>
      <c r="LB226" s="273"/>
      <c r="LC226" s="273"/>
      <c r="LD226" s="273"/>
      <c r="LE226" s="273"/>
      <c r="LF226" s="273"/>
      <c r="LG226" s="273"/>
      <c r="LH226" s="273"/>
      <c r="LI226" s="273"/>
      <c r="LJ226" s="273"/>
      <c r="LK226" s="273"/>
      <c r="LL226" s="223"/>
      <c r="LM226" s="284"/>
      <c r="LN226" s="283"/>
      <c r="LO226" s="273"/>
      <c r="LP226" s="273"/>
      <c r="LQ226" s="273"/>
      <c r="LR226" s="273"/>
      <c r="LS226" s="273"/>
      <c r="LT226" s="273"/>
      <c r="LU226" s="273"/>
      <c r="LV226" s="273"/>
      <c r="LW226" s="273"/>
      <c r="LX226" s="273"/>
      <c r="LY226" s="273"/>
      <c r="LZ226" s="223"/>
      <c r="MA226" s="284"/>
      <c r="MB226" s="223"/>
      <c r="MC226" s="223"/>
      <c r="MD226" s="223"/>
      <c r="ME226" s="223"/>
      <c r="MF226" s="223"/>
      <c r="MG226" s="223"/>
      <c r="MH226" s="223"/>
      <c r="MI226" s="223"/>
      <c r="MJ226" s="223"/>
      <c r="MK226" s="223"/>
      <c r="ML226" s="223"/>
      <c r="MM226" s="223"/>
      <c r="MN226" s="223"/>
    </row>
    <row r="227" spans="1:352" x14ac:dyDescent="0.3">
      <c r="A227" s="262"/>
      <c r="B227" s="206" t="s">
        <v>105</v>
      </c>
      <c r="C227" s="202"/>
      <c r="D227" s="28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23"/>
      <c r="Q227" s="284"/>
      <c r="R227" s="283"/>
      <c r="S227" s="273"/>
      <c r="T227" s="273"/>
      <c r="U227" s="273"/>
      <c r="V227" s="273"/>
      <c r="W227" s="273"/>
      <c r="X227" s="273"/>
      <c r="Y227" s="273"/>
      <c r="Z227" s="273"/>
      <c r="AA227" s="273"/>
      <c r="AB227" s="273"/>
      <c r="AC227" s="273"/>
      <c r="AD227" s="223"/>
      <c r="AE227" s="284"/>
      <c r="AF227" s="283"/>
      <c r="AG227" s="273"/>
      <c r="AH227" s="273"/>
      <c r="AI227" s="273"/>
      <c r="AJ227" s="273"/>
      <c r="AK227" s="273"/>
      <c r="AL227" s="273"/>
      <c r="AM227" s="273"/>
      <c r="AN227" s="273"/>
      <c r="AO227" s="273"/>
      <c r="AP227" s="273"/>
      <c r="AQ227" s="273"/>
      <c r="AR227" s="223"/>
      <c r="AS227" s="266"/>
      <c r="AT227" s="283"/>
      <c r="AU227" s="273"/>
      <c r="AV227" s="273"/>
      <c r="AW227" s="273"/>
      <c r="AX227" s="273"/>
      <c r="AY227" s="273"/>
      <c r="AZ227" s="273"/>
      <c r="BA227" s="273"/>
      <c r="BB227" s="273"/>
      <c r="BC227" s="273"/>
      <c r="BD227" s="273"/>
      <c r="BE227" s="273"/>
      <c r="BF227" s="223"/>
      <c r="BG227" s="224"/>
      <c r="BH227" s="283"/>
      <c r="BI227" s="273"/>
      <c r="BJ227" s="273"/>
      <c r="BK227" s="273"/>
      <c r="BL227" s="273"/>
      <c r="BM227" s="273"/>
      <c r="BN227" s="273"/>
      <c r="BO227" s="273"/>
      <c r="BP227" s="273"/>
      <c r="BQ227" s="273"/>
      <c r="BR227" s="273"/>
      <c r="BS227" s="273"/>
      <c r="BT227" s="223"/>
      <c r="BU227" s="266"/>
      <c r="BV227" s="283"/>
      <c r="BW227" s="273"/>
      <c r="BX227" s="273"/>
      <c r="BY227" s="273"/>
      <c r="BZ227" s="273"/>
      <c r="CA227" s="273"/>
      <c r="CB227" s="273"/>
      <c r="CC227" s="273"/>
      <c r="CD227" s="273"/>
      <c r="CE227" s="273"/>
      <c r="CF227" s="273"/>
      <c r="CG227" s="273"/>
      <c r="CH227" s="223"/>
      <c r="CI227" s="284"/>
      <c r="CJ227" s="283"/>
      <c r="CK227" s="273"/>
      <c r="CL227" s="273"/>
      <c r="CM227" s="273"/>
      <c r="CN227" s="273"/>
      <c r="CO227" s="273"/>
      <c r="CP227" s="273"/>
      <c r="CQ227" s="273"/>
      <c r="CR227" s="273"/>
      <c r="CS227" s="273"/>
      <c r="CT227" s="273"/>
      <c r="CU227" s="273"/>
      <c r="CV227" s="223"/>
      <c r="CW227" s="284"/>
      <c r="CX227" s="283"/>
      <c r="CY227" s="273"/>
      <c r="CZ227" s="273"/>
      <c r="DA227" s="273"/>
      <c r="DB227" s="273"/>
      <c r="DC227" s="273"/>
      <c r="DD227" s="273"/>
      <c r="DE227" s="273"/>
      <c r="DF227" s="273"/>
      <c r="DG227" s="273"/>
      <c r="DH227" s="273"/>
      <c r="DI227" s="273"/>
      <c r="DJ227" s="223"/>
      <c r="DK227" s="284"/>
      <c r="DL227" s="283"/>
      <c r="DM227" s="273"/>
      <c r="DN227" s="273"/>
      <c r="DO227" s="273"/>
      <c r="DP227" s="273"/>
      <c r="DQ227" s="273"/>
      <c r="DR227" s="273"/>
      <c r="DS227" s="273"/>
      <c r="DT227" s="273"/>
      <c r="DU227" s="273"/>
      <c r="DV227" s="273"/>
      <c r="DW227" s="273"/>
      <c r="DX227" s="223"/>
      <c r="DY227" s="284"/>
      <c r="DZ227" s="283"/>
      <c r="EA227" s="273"/>
      <c r="EB227" s="273"/>
      <c r="EC227" s="273"/>
      <c r="ED227" s="273"/>
      <c r="EE227" s="273"/>
      <c r="EF227" s="273"/>
      <c r="EG227" s="273"/>
      <c r="EH227" s="273"/>
      <c r="EI227" s="273"/>
      <c r="EJ227" s="273"/>
      <c r="EK227" s="273"/>
      <c r="EL227" s="223"/>
      <c r="EM227" s="284"/>
      <c r="EN227" s="283"/>
      <c r="EO227" s="273"/>
      <c r="EP227" s="273"/>
      <c r="EQ227" s="273"/>
      <c r="ER227" s="273"/>
      <c r="ES227" s="273"/>
      <c r="ET227" s="273"/>
      <c r="EU227" s="273"/>
      <c r="EV227" s="273"/>
      <c r="EW227" s="273"/>
      <c r="EX227" s="273"/>
      <c r="EY227" s="273"/>
      <c r="EZ227" s="223"/>
      <c r="FA227" s="284"/>
      <c r="FB227" s="283"/>
      <c r="FC227" s="273"/>
      <c r="FD227" s="273"/>
      <c r="FE227" s="273"/>
      <c r="FF227" s="273"/>
      <c r="FG227" s="273"/>
      <c r="FH227" s="273"/>
      <c r="FI227" s="273"/>
      <c r="FJ227" s="273"/>
      <c r="FK227" s="273"/>
      <c r="FL227" s="273"/>
      <c r="FM227" s="273"/>
      <c r="FN227" s="223"/>
      <c r="FO227" s="284"/>
      <c r="FP227" s="283"/>
      <c r="FQ227" s="273"/>
      <c r="FR227" s="273"/>
      <c r="FS227" s="273"/>
      <c r="FT227" s="273"/>
      <c r="FU227" s="273"/>
      <c r="FV227" s="273"/>
      <c r="FW227" s="273"/>
      <c r="FX227" s="273"/>
      <c r="FY227" s="273"/>
      <c r="FZ227" s="273"/>
      <c r="GA227" s="273"/>
      <c r="GB227" s="223"/>
      <c r="GC227" s="284"/>
      <c r="GD227" s="283"/>
      <c r="GE227" s="273"/>
      <c r="GF227" s="273"/>
      <c r="GG227" s="273"/>
      <c r="GH227" s="273"/>
      <c r="GI227" s="273"/>
      <c r="GJ227" s="273"/>
      <c r="GK227" s="273"/>
      <c r="GL227" s="273"/>
      <c r="GM227" s="273"/>
      <c r="GN227" s="273"/>
      <c r="GO227" s="273"/>
      <c r="GP227" s="223"/>
      <c r="GQ227" s="284"/>
      <c r="GR227" s="283"/>
      <c r="GS227" s="273"/>
      <c r="GT227" s="273"/>
      <c r="GU227" s="273"/>
      <c r="GV227" s="273"/>
      <c r="GW227" s="273"/>
      <c r="GX227" s="273"/>
      <c r="GY227" s="273"/>
      <c r="GZ227" s="273"/>
      <c r="HA227" s="273"/>
      <c r="HB227" s="273"/>
      <c r="HC227" s="273"/>
      <c r="HD227" s="223"/>
      <c r="HE227" s="284"/>
      <c r="HF227" s="283"/>
      <c r="HG227" s="273"/>
      <c r="HH227" s="273"/>
      <c r="HI227" s="273"/>
      <c r="HJ227" s="273"/>
      <c r="HK227" s="273"/>
      <c r="HL227" s="273"/>
      <c r="HM227" s="273"/>
      <c r="HN227" s="273"/>
      <c r="HO227" s="273"/>
      <c r="HP227" s="273"/>
      <c r="HQ227" s="273"/>
      <c r="HR227" s="223"/>
      <c r="HS227" s="284"/>
      <c r="HT227" s="283"/>
      <c r="HU227" s="273"/>
      <c r="HV227" s="273"/>
      <c r="HW227" s="273"/>
      <c r="HX227" s="273"/>
      <c r="HY227" s="273"/>
      <c r="HZ227" s="273"/>
      <c r="IA227" s="273"/>
      <c r="IB227" s="273"/>
      <c r="IC227" s="273"/>
      <c r="ID227" s="273"/>
      <c r="IE227" s="273"/>
      <c r="IF227" s="223"/>
      <c r="IG227" s="284"/>
      <c r="IH227" s="283"/>
      <c r="II227" s="273"/>
      <c r="IJ227" s="273"/>
      <c r="IK227" s="273"/>
      <c r="IL227" s="273"/>
      <c r="IM227" s="273"/>
      <c r="IN227" s="273"/>
      <c r="IO227" s="273"/>
      <c r="IP227" s="273"/>
      <c r="IQ227" s="273"/>
      <c r="IR227" s="273"/>
      <c r="IS227" s="273"/>
      <c r="IT227" s="223"/>
      <c r="IU227" s="284"/>
      <c r="IV227" s="283"/>
      <c r="IW227" s="273"/>
      <c r="IX227" s="273"/>
      <c r="IY227" s="273"/>
      <c r="IZ227" s="273"/>
      <c r="JA227" s="273"/>
      <c r="JB227" s="273"/>
      <c r="JC227" s="273"/>
      <c r="JD227" s="273"/>
      <c r="JE227" s="273"/>
      <c r="JF227" s="273"/>
      <c r="JG227" s="273"/>
      <c r="JH227" s="223"/>
      <c r="JI227" s="284"/>
      <c r="JJ227" s="283"/>
      <c r="JK227" s="273"/>
      <c r="JL227" s="273"/>
      <c r="JM227" s="273"/>
      <c r="JN227" s="273"/>
      <c r="JO227" s="273"/>
      <c r="JP227" s="273"/>
      <c r="JQ227" s="273"/>
      <c r="JR227" s="273"/>
      <c r="JS227" s="273"/>
      <c r="JT227" s="273"/>
      <c r="JU227" s="273"/>
      <c r="JV227" s="223"/>
      <c r="JW227" s="284"/>
      <c r="JX227" s="283"/>
      <c r="JY227" s="273"/>
      <c r="JZ227" s="273"/>
      <c r="KA227" s="273"/>
      <c r="KB227" s="273"/>
      <c r="KC227" s="273"/>
      <c r="KD227" s="273"/>
      <c r="KE227" s="273"/>
      <c r="KF227" s="273"/>
      <c r="KG227" s="273"/>
      <c r="KH227" s="273"/>
      <c r="KI227" s="273"/>
      <c r="KJ227" s="223"/>
      <c r="KK227" s="284"/>
      <c r="KL227" s="283"/>
      <c r="KM227" s="273"/>
      <c r="KN227" s="273"/>
      <c r="KO227" s="273"/>
      <c r="KP227" s="273"/>
      <c r="KQ227" s="273"/>
      <c r="KR227" s="273"/>
      <c r="KS227" s="273"/>
      <c r="KT227" s="273"/>
      <c r="KU227" s="273"/>
      <c r="KV227" s="273"/>
      <c r="KW227" s="273"/>
      <c r="KX227" s="223"/>
      <c r="KY227" s="284"/>
      <c r="KZ227" s="283"/>
      <c r="LA227" s="273"/>
      <c r="LB227" s="273"/>
      <c r="LC227" s="273"/>
      <c r="LD227" s="273"/>
      <c r="LE227" s="273"/>
      <c r="LF227" s="273"/>
      <c r="LG227" s="273"/>
      <c r="LH227" s="273"/>
      <c r="LI227" s="273"/>
      <c r="LJ227" s="273"/>
      <c r="LK227" s="273"/>
      <c r="LL227" s="223"/>
      <c r="LM227" s="284"/>
      <c r="LN227" s="283"/>
      <c r="LO227" s="273"/>
      <c r="LP227" s="273"/>
      <c r="LQ227" s="273"/>
      <c r="LR227" s="273"/>
      <c r="LS227" s="273"/>
      <c r="LT227" s="273"/>
      <c r="LU227" s="273"/>
      <c r="LV227" s="273"/>
      <c r="LW227" s="273"/>
      <c r="LX227" s="273"/>
      <c r="LY227" s="273"/>
      <c r="LZ227" s="223"/>
      <c r="MA227" s="284"/>
      <c r="MB227" s="223"/>
      <c r="MC227" s="223"/>
      <c r="MD227" s="223"/>
      <c r="ME227" s="223"/>
      <c r="MF227" s="223"/>
      <c r="MG227" s="223"/>
      <c r="MH227" s="223"/>
      <c r="MI227" s="223"/>
      <c r="MJ227" s="223"/>
      <c r="MK227" s="223"/>
      <c r="ML227" s="223"/>
      <c r="MM227" s="223"/>
      <c r="MN227" s="223"/>
    </row>
    <row r="228" spans="1:352" x14ac:dyDescent="0.25">
      <c r="A228" s="262"/>
      <c r="B228" s="70" t="s">
        <v>106</v>
      </c>
      <c r="C228" s="202"/>
      <c r="D228" s="263">
        <f t="shared" ref="D228:O235" si="999">+D85/$D$144</f>
        <v>0</v>
      </c>
      <c r="E228" s="263">
        <f t="shared" si="999"/>
        <v>0</v>
      </c>
      <c r="F228" s="263">
        <f t="shared" si="999"/>
        <v>0</v>
      </c>
      <c r="G228" s="263">
        <f t="shared" si="999"/>
        <v>0</v>
      </c>
      <c r="H228" s="263">
        <f t="shared" si="999"/>
        <v>0</v>
      </c>
      <c r="I228" s="263">
        <f t="shared" si="999"/>
        <v>0</v>
      </c>
      <c r="J228" s="263">
        <f t="shared" si="999"/>
        <v>0</v>
      </c>
      <c r="K228" s="263">
        <f t="shared" si="999"/>
        <v>0</v>
      </c>
      <c r="L228" s="263">
        <f t="shared" si="999"/>
        <v>0</v>
      </c>
      <c r="M228" s="263">
        <f t="shared" si="999"/>
        <v>0</v>
      </c>
      <c r="N228" s="263">
        <f t="shared" si="999"/>
        <v>0</v>
      </c>
      <c r="O228" s="263">
        <f t="shared" si="999"/>
        <v>0</v>
      </c>
      <c r="P228" s="223">
        <f t="shared" ref="P228:P235" si="1000">+SUBTOTAL(9,D228:O228)</f>
        <v>0</v>
      </c>
      <c r="Q228" s="284"/>
      <c r="R228" s="263">
        <f t="shared" ref="R228:AC235" si="1001">+R85/$D$144</f>
        <v>0</v>
      </c>
      <c r="S228" s="263">
        <f t="shared" si="1001"/>
        <v>0</v>
      </c>
      <c r="T228" s="263">
        <f t="shared" si="1001"/>
        <v>0</v>
      </c>
      <c r="U228" s="263">
        <f t="shared" si="1001"/>
        <v>0</v>
      </c>
      <c r="V228" s="263">
        <f t="shared" si="1001"/>
        <v>0</v>
      </c>
      <c r="W228" s="263">
        <f t="shared" si="1001"/>
        <v>0</v>
      </c>
      <c r="X228" s="263">
        <f t="shared" si="1001"/>
        <v>0</v>
      </c>
      <c r="Y228" s="263">
        <f t="shared" si="1001"/>
        <v>0</v>
      </c>
      <c r="Z228" s="263">
        <f t="shared" si="1001"/>
        <v>0</v>
      </c>
      <c r="AA228" s="263">
        <f t="shared" si="1001"/>
        <v>0</v>
      </c>
      <c r="AB228" s="263">
        <f t="shared" si="1001"/>
        <v>0</v>
      </c>
      <c r="AC228" s="263">
        <f t="shared" si="1001"/>
        <v>0</v>
      </c>
      <c r="AD228" s="223">
        <f t="shared" ref="AD228:AD235" si="1002">+SUBTOTAL(9,R228:AC228)</f>
        <v>0</v>
      </c>
      <c r="AE228" s="284"/>
      <c r="AF228" s="263">
        <f t="shared" ref="AF228:AQ235" si="1003">+AF85/$D$144</f>
        <v>0</v>
      </c>
      <c r="AG228" s="263">
        <f t="shared" si="1003"/>
        <v>0</v>
      </c>
      <c r="AH228" s="263">
        <f t="shared" si="1003"/>
        <v>0</v>
      </c>
      <c r="AI228" s="263">
        <f t="shared" si="1003"/>
        <v>0</v>
      </c>
      <c r="AJ228" s="263">
        <f t="shared" si="1003"/>
        <v>0</v>
      </c>
      <c r="AK228" s="263">
        <f t="shared" si="1003"/>
        <v>0</v>
      </c>
      <c r="AL228" s="263">
        <f t="shared" si="1003"/>
        <v>0</v>
      </c>
      <c r="AM228" s="263">
        <f t="shared" si="1003"/>
        <v>0</v>
      </c>
      <c r="AN228" s="263">
        <f t="shared" si="1003"/>
        <v>0</v>
      </c>
      <c r="AO228" s="263">
        <f t="shared" si="1003"/>
        <v>0</v>
      </c>
      <c r="AP228" s="263">
        <f t="shared" si="1003"/>
        <v>0</v>
      </c>
      <c r="AQ228" s="263">
        <f t="shared" si="1003"/>
        <v>0</v>
      </c>
      <c r="AR228" s="223">
        <f t="shared" ref="AR228:AR235" si="1004">+SUBTOTAL(9,AF228:AQ228)</f>
        <v>0</v>
      </c>
      <c r="AS228" s="266"/>
      <c r="AT228" s="263">
        <f t="shared" ref="AT228:BE235" si="1005">+AT85/$D$144</f>
        <v>0</v>
      </c>
      <c r="AU228" s="263">
        <f t="shared" si="1005"/>
        <v>0</v>
      </c>
      <c r="AV228" s="263">
        <f t="shared" si="1005"/>
        <v>0</v>
      </c>
      <c r="AW228" s="263">
        <f t="shared" si="1005"/>
        <v>0</v>
      </c>
      <c r="AX228" s="263">
        <f t="shared" si="1005"/>
        <v>0</v>
      </c>
      <c r="AY228" s="263">
        <f t="shared" si="1005"/>
        <v>0</v>
      </c>
      <c r="AZ228" s="263">
        <f t="shared" si="1005"/>
        <v>0</v>
      </c>
      <c r="BA228" s="263">
        <f t="shared" si="1005"/>
        <v>0</v>
      </c>
      <c r="BB228" s="263">
        <f t="shared" si="1005"/>
        <v>0</v>
      </c>
      <c r="BC228" s="263">
        <f t="shared" si="1005"/>
        <v>0</v>
      </c>
      <c r="BD228" s="263">
        <f t="shared" si="1005"/>
        <v>0</v>
      </c>
      <c r="BE228" s="263">
        <f t="shared" si="1005"/>
        <v>0</v>
      </c>
      <c r="BF228" s="223">
        <f t="shared" ref="BF228:BF235" si="1006">+SUBTOTAL(9,AT228:BE228)</f>
        <v>0</v>
      </c>
      <c r="BG228" s="224"/>
      <c r="BH228" s="263">
        <f t="shared" ref="BH228:BS235" si="1007">+BH85/$D$144</f>
        <v>0</v>
      </c>
      <c r="BI228" s="263">
        <f t="shared" si="1007"/>
        <v>0</v>
      </c>
      <c r="BJ228" s="263">
        <f t="shared" si="1007"/>
        <v>0</v>
      </c>
      <c r="BK228" s="263">
        <f t="shared" si="1007"/>
        <v>0</v>
      </c>
      <c r="BL228" s="263">
        <f t="shared" si="1007"/>
        <v>0</v>
      </c>
      <c r="BM228" s="263">
        <f t="shared" si="1007"/>
        <v>0</v>
      </c>
      <c r="BN228" s="263">
        <f t="shared" si="1007"/>
        <v>0</v>
      </c>
      <c r="BO228" s="263">
        <f t="shared" si="1007"/>
        <v>0</v>
      </c>
      <c r="BP228" s="263">
        <f t="shared" si="1007"/>
        <v>0</v>
      </c>
      <c r="BQ228" s="263">
        <f t="shared" si="1007"/>
        <v>0</v>
      </c>
      <c r="BR228" s="263">
        <f t="shared" si="1007"/>
        <v>0</v>
      </c>
      <c r="BS228" s="263">
        <f t="shared" si="1007"/>
        <v>0</v>
      </c>
      <c r="BT228" s="223">
        <f t="shared" ref="BT228:BT235" si="1008">+SUBTOTAL(9,BH228:BS228)</f>
        <v>0</v>
      </c>
      <c r="BU228" s="266"/>
      <c r="BV228" s="263">
        <f t="shared" ref="BV228:CG235" si="1009">+BV85/$D$144</f>
        <v>0</v>
      </c>
      <c r="BW228" s="263">
        <f t="shared" si="1009"/>
        <v>0</v>
      </c>
      <c r="BX228" s="263">
        <f t="shared" si="1009"/>
        <v>0</v>
      </c>
      <c r="BY228" s="263">
        <f t="shared" si="1009"/>
        <v>0</v>
      </c>
      <c r="BZ228" s="263">
        <f t="shared" si="1009"/>
        <v>0</v>
      </c>
      <c r="CA228" s="263">
        <f t="shared" si="1009"/>
        <v>0</v>
      </c>
      <c r="CB228" s="263">
        <f t="shared" si="1009"/>
        <v>0</v>
      </c>
      <c r="CC228" s="263">
        <f t="shared" si="1009"/>
        <v>0</v>
      </c>
      <c r="CD228" s="263">
        <f t="shared" si="1009"/>
        <v>0</v>
      </c>
      <c r="CE228" s="263">
        <f t="shared" si="1009"/>
        <v>0</v>
      </c>
      <c r="CF228" s="263">
        <f t="shared" si="1009"/>
        <v>0</v>
      </c>
      <c r="CG228" s="263">
        <f t="shared" si="1009"/>
        <v>0</v>
      </c>
      <c r="CH228" s="223">
        <f t="shared" ref="CH228:CH235" si="1010">+SUBTOTAL(9,BV228:CG228)</f>
        <v>0</v>
      </c>
      <c r="CI228" s="284"/>
      <c r="CJ228" s="263">
        <f t="shared" ref="CJ228:CU235" si="1011">+CJ85/$D$144</f>
        <v>0</v>
      </c>
      <c r="CK228" s="263">
        <f t="shared" si="1011"/>
        <v>0</v>
      </c>
      <c r="CL228" s="263">
        <f t="shared" si="1011"/>
        <v>0</v>
      </c>
      <c r="CM228" s="263">
        <f t="shared" si="1011"/>
        <v>0</v>
      </c>
      <c r="CN228" s="263">
        <f t="shared" si="1011"/>
        <v>0</v>
      </c>
      <c r="CO228" s="263">
        <f t="shared" si="1011"/>
        <v>0</v>
      </c>
      <c r="CP228" s="263">
        <f t="shared" si="1011"/>
        <v>0</v>
      </c>
      <c r="CQ228" s="263">
        <f t="shared" si="1011"/>
        <v>0</v>
      </c>
      <c r="CR228" s="263">
        <f t="shared" si="1011"/>
        <v>0</v>
      </c>
      <c r="CS228" s="263">
        <f t="shared" si="1011"/>
        <v>0</v>
      </c>
      <c r="CT228" s="263">
        <f t="shared" si="1011"/>
        <v>0</v>
      </c>
      <c r="CU228" s="263">
        <f t="shared" si="1011"/>
        <v>0</v>
      </c>
      <c r="CV228" s="223">
        <f t="shared" ref="CV228:CV235" si="1012">+SUBTOTAL(9,CJ228:CU228)</f>
        <v>0</v>
      </c>
      <c r="CW228" s="284"/>
      <c r="CX228" s="263">
        <f t="shared" ref="CX228:DI235" si="1013">+CX85/$D$144</f>
        <v>0</v>
      </c>
      <c r="CY228" s="263">
        <f t="shared" si="1013"/>
        <v>0</v>
      </c>
      <c r="CZ228" s="263">
        <f t="shared" si="1013"/>
        <v>0</v>
      </c>
      <c r="DA228" s="263">
        <f t="shared" si="1013"/>
        <v>0</v>
      </c>
      <c r="DB228" s="263">
        <f t="shared" si="1013"/>
        <v>0</v>
      </c>
      <c r="DC228" s="263">
        <f t="shared" si="1013"/>
        <v>0</v>
      </c>
      <c r="DD228" s="263">
        <f t="shared" si="1013"/>
        <v>0</v>
      </c>
      <c r="DE228" s="263">
        <f t="shared" si="1013"/>
        <v>0</v>
      </c>
      <c r="DF228" s="263">
        <f t="shared" si="1013"/>
        <v>0</v>
      </c>
      <c r="DG228" s="263">
        <f t="shared" si="1013"/>
        <v>0</v>
      </c>
      <c r="DH228" s="263">
        <f t="shared" si="1013"/>
        <v>0</v>
      </c>
      <c r="DI228" s="263">
        <f t="shared" si="1013"/>
        <v>0</v>
      </c>
      <c r="DJ228" s="223">
        <f t="shared" ref="DJ228:DJ235" si="1014">+SUBTOTAL(9,CX228:DI228)</f>
        <v>0</v>
      </c>
      <c r="DK228" s="284"/>
      <c r="DL228" s="263">
        <f t="shared" ref="DL228:DW235" si="1015">+DL85/$D$144</f>
        <v>0</v>
      </c>
      <c r="DM228" s="263">
        <f t="shared" si="1015"/>
        <v>0</v>
      </c>
      <c r="DN228" s="263">
        <f t="shared" si="1015"/>
        <v>0</v>
      </c>
      <c r="DO228" s="263">
        <f t="shared" si="1015"/>
        <v>0</v>
      </c>
      <c r="DP228" s="263">
        <f t="shared" si="1015"/>
        <v>0</v>
      </c>
      <c r="DQ228" s="263">
        <f t="shared" si="1015"/>
        <v>0</v>
      </c>
      <c r="DR228" s="263">
        <f t="shared" si="1015"/>
        <v>0</v>
      </c>
      <c r="DS228" s="263">
        <f t="shared" si="1015"/>
        <v>0</v>
      </c>
      <c r="DT228" s="263">
        <f t="shared" si="1015"/>
        <v>0</v>
      </c>
      <c r="DU228" s="263">
        <f t="shared" si="1015"/>
        <v>0</v>
      </c>
      <c r="DV228" s="263">
        <f t="shared" si="1015"/>
        <v>0</v>
      </c>
      <c r="DW228" s="263">
        <f t="shared" si="1015"/>
        <v>0</v>
      </c>
      <c r="DX228" s="223">
        <f t="shared" ref="DX228:DX235" si="1016">+SUBTOTAL(9,DL228:DW228)</f>
        <v>0</v>
      </c>
      <c r="DY228" s="284"/>
      <c r="DZ228" s="263">
        <f t="shared" ref="DZ228:EK235" si="1017">+DZ85/$D$144</f>
        <v>0</v>
      </c>
      <c r="EA228" s="263">
        <f t="shared" si="1017"/>
        <v>0</v>
      </c>
      <c r="EB228" s="263">
        <f t="shared" si="1017"/>
        <v>0</v>
      </c>
      <c r="EC228" s="263">
        <f t="shared" si="1017"/>
        <v>0</v>
      </c>
      <c r="ED228" s="263">
        <f t="shared" si="1017"/>
        <v>0</v>
      </c>
      <c r="EE228" s="263">
        <f t="shared" si="1017"/>
        <v>0</v>
      </c>
      <c r="EF228" s="263">
        <f t="shared" si="1017"/>
        <v>0</v>
      </c>
      <c r="EG228" s="263">
        <f t="shared" si="1017"/>
        <v>0</v>
      </c>
      <c r="EH228" s="263">
        <f t="shared" si="1017"/>
        <v>0</v>
      </c>
      <c r="EI228" s="263">
        <f t="shared" si="1017"/>
        <v>0</v>
      </c>
      <c r="EJ228" s="263">
        <f t="shared" si="1017"/>
        <v>0</v>
      </c>
      <c r="EK228" s="263">
        <f t="shared" si="1017"/>
        <v>0</v>
      </c>
      <c r="EL228" s="223">
        <f t="shared" ref="EL228:EL235" si="1018">+SUBTOTAL(9,DZ228:EK228)</f>
        <v>0</v>
      </c>
      <c r="EM228" s="284"/>
      <c r="EN228" s="263">
        <f t="shared" ref="EN228:EY235" si="1019">+EN85/$D$144</f>
        <v>0</v>
      </c>
      <c r="EO228" s="263">
        <f t="shared" si="1019"/>
        <v>0</v>
      </c>
      <c r="EP228" s="263">
        <f t="shared" si="1019"/>
        <v>0</v>
      </c>
      <c r="EQ228" s="263">
        <f t="shared" si="1019"/>
        <v>0</v>
      </c>
      <c r="ER228" s="263">
        <f t="shared" si="1019"/>
        <v>0</v>
      </c>
      <c r="ES228" s="263">
        <f t="shared" si="1019"/>
        <v>0</v>
      </c>
      <c r="ET228" s="263">
        <f t="shared" si="1019"/>
        <v>0</v>
      </c>
      <c r="EU228" s="263">
        <f t="shared" si="1019"/>
        <v>0</v>
      </c>
      <c r="EV228" s="263">
        <f t="shared" si="1019"/>
        <v>0</v>
      </c>
      <c r="EW228" s="263">
        <f t="shared" si="1019"/>
        <v>0</v>
      </c>
      <c r="EX228" s="263">
        <f t="shared" si="1019"/>
        <v>0</v>
      </c>
      <c r="EY228" s="263">
        <f t="shared" si="1019"/>
        <v>0</v>
      </c>
      <c r="EZ228" s="223">
        <f t="shared" ref="EZ228:EZ235" si="1020">+SUBTOTAL(9,EN228:EY228)</f>
        <v>0</v>
      </c>
      <c r="FA228" s="284"/>
      <c r="FB228" s="263">
        <f t="shared" ref="FB228:FM235" si="1021">+FB85/$D$144</f>
        <v>0</v>
      </c>
      <c r="FC228" s="263">
        <f t="shared" si="1021"/>
        <v>0</v>
      </c>
      <c r="FD228" s="263">
        <f t="shared" si="1021"/>
        <v>0</v>
      </c>
      <c r="FE228" s="263">
        <f t="shared" si="1021"/>
        <v>0</v>
      </c>
      <c r="FF228" s="263">
        <f t="shared" si="1021"/>
        <v>0</v>
      </c>
      <c r="FG228" s="263">
        <f t="shared" si="1021"/>
        <v>0</v>
      </c>
      <c r="FH228" s="263">
        <f t="shared" si="1021"/>
        <v>0</v>
      </c>
      <c r="FI228" s="263">
        <f t="shared" si="1021"/>
        <v>0</v>
      </c>
      <c r="FJ228" s="263">
        <f t="shared" si="1021"/>
        <v>0</v>
      </c>
      <c r="FK228" s="263">
        <f t="shared" si="1021"/>
        <v>0</v>
      </c>
      <c r="FL228" s="263">
        <f t="shared" si="1021"/>
        <v>0</v>
      </c>
      <c r="FM228" s="263">
        <f t="shared" si="1021"/>
        <v>0</v>
      </c>
      <c r="FN228" s="223">
        <f t="shared" ref="FN228:FN235" si="1022">+SUBTOTAL(9,FB228:FM228)</f>
        <v>0</v>
      </c>
      <c r="FO228" s="284"/>
      <c r="FP228" s="263">
        <f t="shared" ref="FP228:GA235" si="1023">+FP85/$D$144</f>
        <v>0</v>
      </c>
      <c r="FQ228" s="263">
        <f t="shared" si="1023"/>
        <v>0</v>
      </c>
      <c r="FR228" s="263">
        <f t="shared" si="1023"/>
        <v>0</v>
      </c>
      <c r="FS228" s="263">
        <f t="shared" si="1023"/>
        <v>0</v>
      </c>
      <c r="FT228" s="263">
        <f t="shared" si="1023"/>
        <v>0</v>
      </c>
      <c r="FU228" s="263">
        <f t="shared" si="1023"/>
        <v>0</v>
      </c>
      <c r="FV228" s="263">
        <f t="shared" si="1023"/>
        <v>0</v>
      </c>
      <c r="FW228" s="263">
        <f t="shared" si="1023"/>
        <v>0</v>
      </c>
      <c r="FX228" s="263">
        <f t="shared" si="1023"/>
        <v>0</v>
      </c>
      <c r="FY228" s="263">
        <f t="shared" si="1023"/>
        <v>0</v>
      </c>
      <c r="FZ228" s="263">
        <f t="shared" si="1023"/>
        <v>0</v>
      </c>
      <c r="GA228" s="263">
        <f t="shared" si="1023"/>
        <v>0</v>
      </c>
      <c r="GB228" s="223">
        <f t="shared" ref="GB228:GB235" si="1024">+SUBTOTAL(9,FP228:GA228)</f>
        <v>0</v>
      </c>
      <c r="GC228" s="284"/>
      <c r="GD228" s="263">
        <f t="shared" ref="GD228:GO235" si="1025">+GD85/$D$144</f>
        <v>0</v>
      </c>
      <c r="GE228" s="263">
        <f t="shared" si="1025"/>
        <v>0</v>
      </c>
      <c r="GF228" s="263">
        <f t="shared" si="1025"/>
        <v>0</v>
      </c>
      <c r="GG228" s="263">
        <f t="shared" si="1025"/>
        <v>0</v>
      </c>
      <c r="GH228" s="263">
        <f t="shared" si="1025"/>
        <v>0</v>
      </c>
      <c r="GI228" s="263">
        <f t="shared" si="1025"/>
        <v>0</v>
      </c>
      <c r="GJ228" s="263">
        <f t="shared" si="1025"/>
        <v>0</v>
      </c>
      <c r="GK228" s="263">
        <f t="shared" si="1025"/>
        <v>0</v>
      </c>
      <c r="GL228" s="263">
        <f t="shared" si="1025"/>
        <v>0</v>
      </c>
      <c r="GM228" s="263">
        <f t="shared" si="1025"/>
        <v>0</v>
      </c>
      <c r="GN228" s="263">
        <f t="shared" si="1025"/>
        <v>0</v>
      </c>
      <c r="GO228" s="263">
        <f t="shared" si="1025"/>
        <v>0</v>
      </c>
      <c r="GP228" s="223">
        <f t="shared" ref="GP228:GP235" si="1026">+SUBTOTAL(9,GD228:GO228)</f>
        <v>0</v>
      </c>
      <c r="GQ228" s="284"/>
      <c r="GR228" s="263">
        <f t="shared" ref="GR228:HC235" si="1027">+GR85/$D$144</f>
        <v>0</v>
      </c>
      <c r="GS228" s="263">
        <f t="shared" si="1027"/>
        <v>0</v>
      </c>
      <c r="GT228" s="263">
        <f t="shared" si="1027"/>
        <v>0</v>
      </c>
      <c r="GU228" s="263">
        <f t="shared" si="1027"/>
        <v>0</v>
      </c>
      <c r="GV228" s="263">
        <f t="shared" si="1027"/>
        <v>0</v>
      </c>
      <c r="GW228" s="263">
        <f t="shared" si="1027"/>
        <v>0</v>
      </c>
      <c r="GX228" s="263">
        <f t="shared" si="1027"/>
        <v>0</v>
      </c>
      <c r="GY228" s="263">
        <f t="shared" si="1027"/>
        <v>0</v>
      </c>
      <c r="GZ228" s="263">
        <f t="shared" si="1027"/>
        <v>0</v>
      </c>
      <c r="HA228" s="263">
        <f t="shared" si="1027"/>
        <v>0</v>
      </c>
      <c r="HB228" s="263">
        <f t="shared" si="1027"/>
        <v>0</v>
      </c>
      <c r="HC228" s="263">
        <f t="shared" si="1027"/>
        <v>0</v>
      </c>
      <c r="HD228" s="223">
        <f t="shared" ref="HD228:HD229" si="1028">+SUBTOTAL(9,GR228:HC228)</f>
        <v>0</v>
      </c>
      <c r="HE228" s="284"/>
      <c r="HF228" s="263">
        <f t="shared" ref="HF228:HQ235" si="1029">+HF85/$D$144</f>
        <v>0</v>
      </c>
      <c r="HG228" s="263">
        <f t="shared" si="1029"/>
        <v>0</v>
      </c>
      <c r="HH228" s="263">
        <f t="shared" si="1029"/>
        <v>0</v>
      </c>
      <c r="HI228" s="263">
        <f t="shared" si="1029"/>
        <v>0</v>
      </c>
      <c r="HJ228" s="263">
        <f t="shared" si="1029"/>
        <v>0</v>
      </c>
      <c r="HK228" s="263">
        <f t="shared" si="1029"/>
        <v>0</v>
      </c>
      <c r="HL228" s="263">
        <f t="shared" si="1029"/>
        <v>0</v>
      </c>
      <c r="HM228" s="263">
        <f t="shared" si="1029"/>
        <v>0</v>
      </c>
      <c r="HN228" s="263">
        <f t="shared" si="1029"/>
        <v>0</v>
      </c>
      <c r="HO228" s="263">
        <f t="shared" si="1029"/>
        <v>0</v>
      </c>
      <c r="HP228" s="263">
        <f t="shared" si="1029"/>
        <v>0</v>
      </c>
      <c r="HQ228" s="263">
        <f t="shared" si="1029"/>
        <v>0</v>
      </c>
      <c r="HR228" s="223">
        <f t="shared" ref="HR228:HR235" si="1030">+SUBTOTAL(9,HF228:HQ228)</f>
        <v>0</v>
      </c>
      <c r="HS228" s="284"/>
      <c r="HT228" s="263">
        <f t="shared" ref="HT228:IE235" si="1031">+HT85/$D$144</f>
        <v>0</v>
      </c>
      <c r="HU228" s="263">
        <f t="shared" si="1031"/>
        <v>0</v>
      </c>
      <c r="HV228" s="263">
        <f t="shared" si="1031"/>
        <v>0</v>
      </c>
      <c r="HW228" s="263">
        <f t="shared" si="1031"/>
        <v>0</v>
      </c>
      <c r="HX228" s="263">
        <f t="shared" si="1031"/>
        <v>0</v>
      </c>
      <c r="HY228" s="263">
        <f t="shared" si="1031"/>
        <v>0</v>
      </c>
      <c r="HZ228" s="263">
        <f t="shared" si="1031"/>
        <v>0</v>
      </c>
      <c r="IA228" s="263">
        <f t="shared" si="1031"/>
        <v>0</v>
      </c>
      <c r="IB228" s="263">
        <f t="shared" si="1031"/>
        <v>0</v>
      </c>
      <c r="IC228" s="263">
        <f t="shared" si="1031"/>
        <v>0</v>
      </c>
      <c r="ID228" s="263">
        <f t="shared" si="1031"/>
        <v>0</v>
      </c>
      <c r="IE228" s="263">
        <f t="shared" si="1031"/>
        <v>0</v>
      </c>
      <c r="IF228" s="223">
        <f t="shared" ref="IF228:IF235" si="1032">+SUBTOTAL(9,HT228:IE228)</f>
        <v>0</v>
      </c>
      <c r="IG228" s="284"/>
      <c r="IH228" s="263">
        <f t="shared" ref="IH228:IS235" si="1033">+IH85/$D$144</f>
        <v>0</v>
      </c>
      <c r="II228" s="263">
        <f t="shared" si="1033"/>
        <v>0</v>
      </c>
      <c r="IJ228" s="263">
        <f t="shared" si="1033"/>
        <v>0</v>
      </c>
      <c r="IK228" s="263">
        <f t="shared" si="1033"/>
        <v>0</v>
      </c>
      <c r="IL228" s="263">
        <f t="shared" si="1033"/>
        <v>0</v>
      </c>
      <c r="IM228" s="263">
        <f t="shared" si="1033"/>
        <v>0</v>
      </c>
      <c r="IN228" s="263">
        <f t="shared" si="1033"/>
        <v>0</v>
      </c>
      <c r="IO228" s="263">
        <f t="shared" si="1033"/>
        <v>0</v>
      </c>
      <c r="IP228" s="263">
        <f t="shared" si="1033"/>
        <v>0</v>
      </c>
      <c r="IQ228" s="263">
        <f t="shared" si="1033"/>
        <v>0</v>
      </c>
      <c r="IR228" s="263">
        <f t="shared" si="1033"/>
        <v>0</v>
      </c>
      <c r="IS228" s="263">
        <f t="shared" si="1033"/>
        <v>0</v>
      </c>
      <c r="IT228" s="223">
        <f t="shared" ref="IT228:IT235" si="1034">+SUBTOTAL(9,IH228:IS228)</f>
        <v>0</v>
      </c>
      <c r="IU228" s="284"/>
      <c r="IV228" s="263">
        <f t="shared" ref="IV228:JG235" si="1035">+IV85/$D$144</f>
        <v>0</v>
      </c>
      <c r="IW228" s="263">
        <f t="shared" si="1035"/>
        <v>0</v>
      </c>
      <c r="IX228" s="263">
        <f t="shared" si="1035"/>
        <v>0</v>
      </c>
      <c r="IY228" s="263">
        <f t="shared" si="1035"/>
        <v>0</v>
      </c>
      <c r="IZ228" s="263">
        <f t="shared" si="1035"/>
        <v>0</v>
      </c>
      <c r="JA228" s="263">
        <f t="shared" si="1035"/>
        <v>0</v>
      </c>
      <c r="JB228" s="263">
        <f t="shared" si="1035"/>
        <v>0</v>
      </c>
      <c r="JC228" s="263">
        <f t="shared" si="1035"/>
        <v>0</v>
      </c>
      <c r="JD228" s="263">
        <f t="shared" si="1035"/>
        <v>0</v>
      </c>
      <c r="JE228" s="263">
        <f t="shared" si="1035"/>
        <v>0</v>
      </c>
      <c r="JF228" s="263">
        <f t="shared" si="1035"/>
        <v>0</v>
      </c>
      <c r="JG228" s="263">
        <f t="shared" si="1035"/>
        <v>0</v>
      </c>
      <c r="JH228" s="223">
        <f t="shared" ref="JH228:JH235" si="1036">+SUBTOTAL(9,IV228:JG228)</f>
        <v>0</v>
      </c>
      <c r="JI228" s="284"/>
      <c r="JJ228" s="263">
        <f t="shared" ref="JJ228:JU235" si="1037">+JJ85/$D$144</f>
        <v>0</v>
      </c>
      <c r="JK228" s="263">
        <f t="shared" si="1037"/>
        <v>0</v>
      </c>
      <c r="JL228" s="263">
        <f t="shared" si="1037"/>
        <v>0</v>
      </c>
      <c r="JM228" s="263">
        <f t="shared" si="1037"/>
        <v>0</v>
      </c>
      <c r="JN228" s="263">
        <f t="shared" si="1037"/>
        <v>0</v>
      </c>
      <c r="JO228" s="263">
        <f t="shared" si="1037"/>
        <v>0</v>
      </c>
      <c r="JP228" s="263">
        <f t="shared" si="1037"/>
        <v>0</v>
      </c>
      <c r="JQ228" s="263">
        <f t="shared" si="1037"/>
        <v>0</v>
      </c>
      <c r="JR228" s="263">
        <f t="shared" si="1037"/>
        <v>0</v>
      </c>
      <c r="JS228" s="263">
        <f t="shared" si="1037"/>
        <v>0</v>
      </c>
      <c r="JT228" s="263">
        <f t="shared" si="1037"/>
        <v>0</v>
      </c>
      <c r="JU228" s="263">
        <f t="shared" si="1037"/>
        <v>0</v>
      </c>
      <c r="JV228" s="223">
        <f t="shared" ref="JV228:JV235" si="1038">+SUBTOTAL(9,JJ228:JU228)</f>
        <v>0</v>
      </c>
      <c r="JW228" s="284"/>
      <c r="JX228" s="263">
        <f t="shared" ref="JX228:KI235" si="1039">+JX85/$D$144</f>
        <v>0</v>
      </c>
      <c r="JY228" s="263">
        <f t="shared" si="1039"/>
        <v>0</v>
      </c>
      <c r="JZ228" s="263">
        <f t="shared" si="1039"/>
        <v>0</v>
      </c>
      <c r="KA228" s="263">
        <f t="shared" si="1039"/>
        <v>0</v>
      </c>
      <c r="KB228" s="263">
        <f t="shared" si="1039"/>
        <v>0</v>
      </c>
      <c r="KC228" s="263">
        <f t="shared" si="1039"/>
        <v>0</v>
      </c>
      <c r="KD228" s="263">
        <f t="shared" si="1039"/>
        <v>0</v>
      </c>
      <c r="KE228" s="263">
        <f t="shared" si="1039"/>
        <v>0</v>
      </c>
      <c r="KF228" s="263">
        <f t="shared" si="1039"/>
        <v>0</v>
      </c>
      <c r="KG228" s="263">
        <f t="shared" si="1039"/>
        <v>0</v>
      </c>
      <c r="KH228" s="263">
        <f t="shared" si="1039"/>
        <v>0</v>
      </c>
      <c r="KI228" s="263">
        <f t="shared" si="1039"/>
        <v>0</v>
      </c>
      <c r="KJ228" s="223">
        <f t="shared" ref="KJ228:KJ235" si="1040">+SUBTOTAL(9,JX228:KI228)</f>
        <v>0</v>
      </c>
      <c r="KK228" s="284"/>
      <c r="KL228" s="263">
        <f t="shared" ref="KL228:KW235" si="1041">+KL85/$D$144</f>
        <v>0</v>
      </c>
      <c r="KM228" s="263">
        <f t="shared" si="1041"/>
        <v>0</v>
      </c>
      <c r="KN228" s="263">
        <f t="shared" si="1041"/>
        <v>0</v>
      </c>
      <c r="KO228" s="263">
        <f t="shared" si="1041"/>
        <v>0</v>
      </c>
      <c r="KP228" s="263">
        <f t="shared" si="1041"/>
        <v>0</v>
      </c>
      <c r="KQ228" s="263">
        <f t="shared" si="1041"/>
        <v>0</v>
      </c>
      <c r="KR228" s="263">
        <f t="shared" si="1041"/>
        <v>0</v>
      </c>
      <c r="KS228" s="263">
        <f t="shared" si="1041"/>
        <v>0</v>
      </c>
      <c r="KT228" s="263">
        <f t="shared" si="1041"/>
        <v>0</v>
      </c>
      <c r="KU228" s="263">
        <f t="shared" si="1041"/>
        <v>0</v>
      </c>
      <c r="KV228" s="263">
        <f t="shared" si="1041"/>
        <v>0</v>
      </c>
      <c r="KW228" s="263">
        <f t="shared" si="1041"/>
        <v>0</v>
      </c>
      <c r="KX228" s="223">
        <f t="shared" ref="KX228:KX235" si="1042">+SUBTOTAL(9,KL228:KW228)</f>
        <v>0</v>
      </c>
      <c r="KY228" s="284"/>
      <c r="KZ228" s="263">
        <f t="shared" ref="KZ228:LK235" si="1043">+KZ85/$D$144</f>
        <v>0</v>
      </c>
      <c r="LA228" s="263">
        <f t="shared" si="1043"/>
        <v>0</v>
      </c>
      <c r="LB228" s="263">
        <f t="shared" si="1043"/>
        <v>0</v>
      </c>
      <c r="LC228" s="263">
        <f t="shared" si="1043"/>
        <v>0</v>
      </c>
      <c r="LD228" s="263">
        <f t="shared" si="1043"/>
        <v>0</v>
      </c>
      <c r="LE228" s="263">
        <f t="shared" si="1043"/>
        <v>0</v>
      </c>
      <c r="LF228" s="263">
        <f t="shared" si="1043"/>
        <v>0</v>
      </c>
      <c r="LG228" s="263">
        <f t="shared" si="1043"/>
        <v>0</v>
      </c>
      <c r="LH228" s="263">
        <f t="shared" si="1043"/>
        <v>0</v>
      </c>
      <c r="LI228" s="263">
        <f t="shared" si="1043"/>
        <v>0</v>
      </c>
      <c r="LJ228" s="263">
        <f t="shared" si="1043"/>
        <v>0</v>
      </c>
      <c r="LK228" s="263">
        <f t="shared" si="1043"/>
        <v>0</v>
      </c>
      <c r="LL228" s="223">
        <f t="shared" ref="LL228:LL235" si="1044">+SUBTOTAL(9,KZ228:LK228)</f>
        <v>0</v>
      </c>
      <c r="LM228" s="284"/>
      <c r="LN228" s="263">
        <v>0</v>
      </c>
      <c r="LO228" s="264">
        <v>0</v>
      </c>
      <c r="LP228" s="265">
        <v>0</v>
      </c>
      <c r="LQ228" s="265">
        <v>0</v>
      </c>
      <c r="LR228" s="265">
        <v>0</v>
      </c>
      <c r="LS228" s="265">
        <v>0</v>
      </c>
      <c r="LT228" s="265">
        <v>0</v>
      </c>
      <c r="LU228" s="265">
        <v>0</v>
      </c>
      <c r="LV228" s="265">
        <v>0</v>
      </c>
      <c r="LW228" s="265">
        <v>0</v>
      </c>
      <c r="LX228" s="265">
        <v>0</v>
      </c>
      <c r="LY228" s="265">
        <v>0</v>
      </c>
      <c r="LZ228" s="223">
        <f t="shared" ref="LZ228:LZ235" si="1045">+SUBTOTAL(9,LN228:LY228)</f>
        <v>0</v>
      </c>
      <c r="MA228" s="284"/>
      <c r="MB228" s="230">
        <f t="shared" ref="MB228:MM235" si="1046">SUMIF($D$6:$LY$6,MB$3,$D228:$LY228)</f>
        <v>0</v>
      </c>
      <c r="MC228" s="230">
        <f t="shared" si="1046"/>
        <v>0</v>
      </c>
      <c r="MD228" s="230">
        <f t="shared" si="1046"/>
        <v>0</v>
      </c>
      <c r="ME228" s="230">
        <f t="shared" si="1046"/>
        <v>0</v>
      </c>
      <c r="MF228" s="230">
        <f t="shared" si="1046"/>
        <v>0</v>
      </c>
      <c r="MG228" s="230">
        <f t="shared" si="1046"/>
        <v>0</v>
      </c>
      <c r="MH228" s="230">
        <f t="shared" si="1046"/>
        <v>0</v>
      </c>
      <c r="MI228" s="230">
        <f t="shared" si="1046"/>
        <v>0</v>
      </c>
      <c r="MJ228" s="230">
        <f t="shared" si="1046"/>
        <v>0</v>
      </c>
      <c r="MK228" s="230">
        <f t="shared" si="1046"/>
        <v>0</v>
      </c>
      <c r="ML228" s="230">
        <f t="shared" si="1046"/>
        <v>0</v>
      </c>
      <c r="MM228" s="230">
        <f t="shared" si="1046"/>
        <v>0</v>
      </c>
      <c r="MN228" s="230">
        <f t="shared" ref="MN228:MN235" si="1047">SUM(MB228:MM228)</f>
        <v>0</v>
      </c>
    </row>
    <row r="229" spans="1:352" x14ac:dyDescent="0.25">
      <c r="A229" s="262"/>
      <c r="B229" s="64" t="s">
        <v>107</v>
      </c>
      <c r="C229" s="202"/>
      <c r="D229" s="263">
        <f t="shared" si="999"/>
        <v>0</v>
      </c>
      <c r="E229" s="263">
        <f t="shared" si="999"/>
        <v>0</v>
      </c>
      <c r="F229" s="263">
        <f t="shared" si="999"/>
        <v>0</v>
      </c>
      <c r="G229" s="263">
        <f t="shared" si="999"/>
        <v>0</v>
      </c>
      <c r="H229" s="263">
        <f t="shared" si="999"/>
        <v>0</v>
      </c>
      <c r="I229" s="263">
        <f t="shared" si="999"/>
        <v>0</v>
      </c>
      <c r="J229" s="263">
        <f t="shared" si="999"/>
        <v>0</v>
      </c>
      <c r="K229" s="263">
        <f t="shared" si="999"/>
        <v>0</v>
      </c>
      <c r="L229" s="263">
        <f t="shared" si="999"/>
        <v>0</v>
      </c>
      <c r="M229" s="263">
        <f t="shared" si="999"/>
        <v>0</v>
      </c>
      <c r="N229" s="263">
        <f t="shared" si="999"/>
        <v>0</v>
      </c>
      <c r="O229" s="263">
        <f t="shared" si="999"/>
        <v>0</v>
      </c>
      <c r="P229" s="223">
        <f t="shared" si="1000"/>
        <v>0</v>
      </c>
      <c r="Q229" s="284"/>
      <c r="R229" s="263">
        <f t="shared" si="1001"/>
        <v>0</v>
      </c>
      <c r="S229" s="263">
        <f t="shared" si="1001"/>
        <v>0</v>
      </c>
      <c r="T229" s="263">
        <f t="shared" si="1001"/>
        <v>0</v>
      </c>
      <c r="U229" s="263">
        <f t="shared" si="1001"/>
        <v>0</v>
      </c>
      <c r="V229" s="263">
        <f t="shared" si="1001"/>
        <v>0</v>
      </c>
      <c r="W229" s="263">
        <f t="shared" si="1001"/>
        <v>0</v>
      </c>
      <c r="X229" s="263">
        <f t="shared" si="1001"/>
        <v>0</v>
      </c>
      <c r="Y229" s="263">
        <f t="shared" si="1001"/>
        <v>0</v>
      </c>
      <c r="Z229" s="263">
        <f t="shared" si="1001"/>
        <v>0</v>
      </c>
      <c r="AA229" s="263">
        <f t="shared" si="1001"/>
        <v>0</v>
      </c>
      <c r="AB229" s="263">
        <f t="shared" si="1001"/>
        <v>0</v>
      </c>
      <c r="AC229" s="263">
        <f t="shared" si="1001"/>
        <v>0</v>
      </c>
      <c r="AD229" s="223">
        <f t="shared" si="1002"/>
        <v>0</v>
      </c>
      <c r="AE229" s="284"/>
      <c r="AF229" s="263">
        <f t="shared" si="1003"/>
        <v>0</v>
      </c>
      <c r="AG229" s="263">
        <f t="shared" si="1003"/>
        <v>0</v>
      </c>
      <c r="AH229" s="263">
        <f t="shared" si="1003"/>
        <v>0</v>
      </c>
      <c r="AI229" s="263">
        <f t="shared" si="1003"/>
        <v>0</v>
      </c>
      <c r="AJ229" s="263">
        <f t="shared" si="1003"/>
        <v>0</v>
      </c>
      <c r="AK229" s="263">
        <f t="shared" si="1003"/>
        <v>0</v>
      </c>
      <c r="AL229" s="263">
        <f t="shared" si="1003"/>
        <v>0</v>
      </c>
      <c r="AM229" s="263">
        <f t="shared" si="1003"/>
        <v>0</v>
      </c>
      <c r="AN229" s="263">
        <f t="shared" si="1003"/>
        <v>0</v>
      </c>
      <c r="AO229" s="263">
        <f t="shared" si="1003"/>
        <v>0</v>
      </c>
      <c r="AP229" s="263">
        <f t="shared" si="1003"/>
        <v>0</v>
      </c>
      <c r="AQ229" s="263">
        <f t="shared" si="1003"/>
        <v>0</v>
      </c>
      <c r="AR229" s="223">
        <f t="shared" si="1004"/>
        <v>0</v>
      </c>
      <c r="AS229" s="266"/>
      <c r="AT229" s="263">
        <f t="shared" si="1005"/>
        <v>0</v>
      </c>
      <c r="AU229" s="263">
        <f t="shared" si="1005"/>
        <v>0</v>
      </c>
      <c r="AV229" s="263">
        <f t="shared" si="1005"/>
        <v>0</v>
      </c>
      <c r="AW229" s="263">
        <f t="shared" si="1005"/>
        <v>0</v>
      </c>
      <c r="AX229" s="263">
        <f t="shared" si="1005"/>
        <v>0</v>
      </c>
      <c r="AY229" s="263">
        <f t="shared" si="1005"/>
        <v>0</v>
      </c>
      <c r="AZ229" s="263">
        <f t="shared" si="1005"/>
        <v>0</v>
      </c>
      <c r="BA229" s="263">
        <f t="shared" si="1005"/>
        <v>0</v>
      </c>
      <c r="BB229" s="263">
        <f t="shared" si="1005"/>
        <v>0</v>
      </c>
      <c r="BC229" s="263">
        <f t="shared" si="1005"/>
        <v>0</v>
      </c>
      <c r="BD229" s="263">
        <f t="shared" si="1005"/>
        <v>0</v>
      </c>
      <c r="BE229" s="263">
        <f t="shared" si="1005"/>
        <v>0</v>
      </c>
      <c r="BF229" s="223">
        <f t="shared" si="1006"/>
        <v>0</v>
      </c>
      <c r="BG229" s="224"/>
      <c r="BH229" s="263">
        <f t="shared" si="1007"/>
        <v>0</v>
      </c>
      <c r="BI229" s="263">
        <f t="shared" si="1007"/>
        <v>0</v>
      </c>
      <c r="BJ229" s="263">
        <f t="shared" si="1007"/>
        <v>0</v>
      </c>
      <c r="BK229" s="263">
        <f t="shared" si="1007"/>
        <v>0</v>
      </c>
      <c r="BL229" s="263">
        <f t="shared" si="1007"/>
        <v>0</v>
      </c>
      <c r="BM229" s="263">
        <f t="shared" si="1007"/>
        <v>0</v>
      </c>
      <c r="BN229" s="263">
        <f t="shared" si="1007"/>
        <v>0</v>
      </c>
      <c r="BO229" s="263">
        <f t="shared" si="1007"/>
        <v>0</v>
      </c>
      <c r="BP229" s="263">
        <f t="shared" si="1007"/>
        <v>0</v>
      </c>
      <c r="BQ229" s="263">
        <f t="shared" si="1007"/>
        <v>0</v>
      </c>
      <c r="BR229" s="263">
        <f t="shared" si="1007"/>
        <v>0</v>
      </c>
      <c r="BS229" s="263">
        <f t="shared" si="1007"/>
        <v>0</v>
      </c>
      <c r="BT229" s="223">
        <f t="shared" si="1008"/>
        <v>0</v>
      </c>
      <c r="BU229" s="266"/>
      <c r="BV229" s="263">
        <f t="shared" si="1009"/>
        <v>0</v>
      </c>
      <c r="BW229" s="263">
        <f t="shared" si="1009"/>
        <v>0</v>
      </c>
      <c r="BX229" s="263">
        <f t="shared" si="1009"/>
        <v>0</v>
      </c>
      <c r="BY229" s="263">
        <f t="shared" si="1009"/>
        <v>0</v>
      </c>
      <c r="BZ229" s="263">
        <f t="shared" si="1009"/>
        <v>0</v>
      </c>
      <c r="CA229" s="263">
        <f t="shared" si="1009"/>
        <v>0</v>
      </c>
      <c r="CB229" s="263">
        <f t="shared" si="1009"/>
        <v>0</v>
      </c>
      <c r="CC229" s="263">
        <f t="shared" si="1009"/>
        <v>0</v>
      </c>
      <c r="CD229" s="263">
        <f t="shared" si="1009"/>
        <v>0</v>
      </c>
      <c r="CE229" s="263">
        <f t="shared" si="1009"/>
        <v>0</v>
      </c>
      <c r="CF229" s="263">
        <f t="shared" si="1009"/>
        <v>0</v>
      </c>
      <c r="CG229" s="263">
        <f t="shared" si="1009"/>
        <v>0</v>
      </c>
      <c r="CH229" s="223">
        <f t="shared" si="1010"/>
        <v>0</v>
      </c>
      <c r="CI229" s="284"/>
      <c r="CJ229" s="263">
        <f t="shared" si="1011"/>
        <v>0</v>
      </c>
      <c r="CK229" s="263">
        <f t="shared" si="1011"/>
        <v>0</v>
      </c>
      <c r="CL229" s="263">
        <f t="shared" si="1011"/>
        <v>0</v>
      </c>
      <c r="CM229" s="263">
        <f t="shared" si="1011"/>
        <v>0</v>
      </c>
      <c r="CN229" s="263">
        <f t="shared" si="1011"/>
        <v>0</v>
      </c>
      <c r="CO229" s="263">
        <f t="shared" si="1011"/>
        <v>0</v>
      </c>
      <c r="CP229" s="263">
        <f t="shared" si="1011"/>
        <v>0</v>
      </c>
      <c r="CQ229" s="263">
        <f t="shared" si="1011"/>
        <v>0</v>
      </c>
      <c r="CR229" s="263">
        <f t="shared" si="1011"/>
        <v>0</v>
      </c>
      <c r="CS229" s="263">
        <f t="shared" si="1011"/>
        <v>0</v>
      </c>
      <c r="CT229" s="263">
        <f t="shared" si="1011"/>
        <v>0</v>
      </c>
      <c r="CU229" s="263">
        <f t="shared" si="1011"/>
        <v>0</v>
      </c>
      <c r="CV229" s="223">
        <f t="shared" si="1012"/>
        <v>0</v>
      </c>
      <c r="CW229" s="284"/>
      <c r="CX229" s="263">
        <f t="shared" si="1013"/>
        <v>0</v>
      </c>
      <c r="CY229" s="263">
        <f t="shared" si="1013"/>
        <v>0</v>
      </c>
      <c r="CZ229" s="263">
        <f t="shared" si="1013"/>
        <v>0</v>
      </c>
      <c r="DA229" s="263">
        <f t="shared" si="1013"/>
        <v>0</v>
      </c>
      <c r="DB229" s="263">
        <f t="shared" si="1013"/>
        <v>0</v>
      </c>
      <c r="DC229" s="263">
        <f t="shared" si="1013"/>
        <v>0</v>
      </c>
      <c r="DD229" s="263">
        <f t="shared" si="1013"/>
        <v>0</v>
      </c>
      <c r="DE229" s="263">
        <f t="shared" si="1013"/>
        <v>0</v>
      </c>
      <c r="DF229" s="263">
        <f t="shared" si="1013"/>
        <v>0</v>
      </c>
      <c r="DG229" s="263">
        <f t="shared" si="1013"/>
        <v>0</v>
      </c>
      <c r="DH229" s="263">
        <f t="shared" si="1013"/>
        <v>0</v>
      </c>
      <c r="DI229" s="263">
        <f t="shared" si="1013"/>
        <v>0</v>
      </c>
      <c r="DJ229" s="223">
        <f t="shared" si="1014"/>
        <v>0</v>
      </c>
      <c r="DK229" s="284"/>
      <c r="DL229" s="263">
        <f t="shared" si="1015"/>
        <v>0</v>
      </c>
      <c r="DM229" s="263">
        <f t="shared" si="1015"/>
        <v>0</v>
      </c>
      <c r="DN229" s="263">
        <f t="shared" si="1015"/>
        <v>0</v>
      </c>
      <c r="DO229" s="263">
        <f t="shared" si="1015"/>
        <v>0</v>
      </c>
      <c r="DP229" s="263">
        <f t="shared" si="1015"/>
        <v>0</v>
      </c>
      <c r="DQ229" s="263">
        <f t="shared" si="1015"/>
        <v>0</v>
      </c>
      <c r="DR229" s="263">
        <f t="shared" si="1015"/>
        <v>0</v>
      </c>
      <c r="DS229" s="263">
        <f t="shared" si="1015"/>
        <v>0</v>
      </c>
      <c r="DT229" s="263">
        <f t="shared" si="1015"/>
        <v>0</v>
      </c>
      <c r="DU229" s="263">
        <f t="shared" si="1015"/>
        <v>0</v>
      </c>
      <c r="DV229" s="263">
        <f t="shared" si="1015"/>
        <v>0</v>
      </c>
      <c r="DW229" s="263">
        <f t="shared" si="1015"/>
        <v>0</v>
      </c>
      <c r="DX229" s="223">
        <f t="shared" si="1016"/>
        <v>0</v>
      </c>
      <c r="DY229" s="284"/>
      <c r="DZ229" s="263">
        <f t="shared" si="1017"/>
        <v>0</v>
      </c>
      <c r="EA229" s="263">
        <f t="shared" si="1017"/>
        <v>0</v>
      </c>
      <c r="EB229" s="263">
        <f t="shared" si="1017"/>
        <v>0</v>
      </c>
      <c r="EC229" s="263">
        <f t="shared" si="1017"/>
        <v>0</v>
      </c>
      <c r="ED229" s="263">
        <f t="shared" si="1017"/>
        <v>0</v>
      </c>
      <c r="EE229" s="263">
        <f t="shared" si="1017"/>
        <v>0</v>
      </c>
      <c r="EF229" s="263">
        <f t="shared" si="1017"/>
        <v>0</v>
      </c>
      <c r="EG229" s="263">
        <f t="shared" si="1017"/>
        <v>0</v>
      </c>
      <c r="EH229" s="263">
        <f t="shared" si="1017"/>
        <v>0</v>
      </c>
      <c r="EI229" s="263">
        <f t="shared" si="1017"/>
        <v>0</v>
      </c>
      <c r="EJ229" s="263">
        <f t="shared" si="1017"/>
        <v>0</v>
      </c>
      <c r="EK229" s="263">
        <f t="shared" si="1017"/>
        <v>0</v>
      </c>
      <c r="EL229" s="223">
        <f t="shared" si="1018"/>
        <v>0</v>
      </c>
      <c r="EM229" s="284"/>
      <c r="EN229" s="263">
        <f t="shared" si="1019"/>
        <v>0</v>
      </c>
      <c r="EO229" s="263">
        <f t="shared" si="1019"/>
        <v>0</v>
      </c>
      <c r="EP229" s="263">
        <f t="shared" si="1019"/>
        <v>0</v>
      </c>
      <c r="EQ229" s="263">
        <f t="shared" si="1019"/>
        <v>0</v>
      </c>
      <c r="ER229" s="263">
        <f t="shared" si="1019"/>
        <v>0</v>
      </c>
      <c r="ES229" s="263">
        <f t="shared" si="1019"/>
        <v>0</v>
      </c>
      <c r="ET229" s="263">
        <f t="shared" si="1019"/>
        <v>0</v>
      </c>
      <c r="EU229" s="263">
        <f t="shared" si="1019"/>
        <v>0</v>
      </c>
      <c r="EV229" s="263">
        <f t="shared" si="1019"/>
        <v>0</v>
      </c>
      <c r="EW229" s="263">
        <f t="shared" si="1019"/>
        <v>0</v>
      </c>
      <c r="EX229" s="263">
        <f t="shared" si="1019"/>
        <v>0</v>
      </c>
      <c r="EY229" s="263">
        <f t="shared" si="1019"/>
        <v>0</v>
      </c>
      <c r="EZ229" s="223">
        <f t="shared" si="1020"/>
        <v>0</v>
      </c>
      <c r="FA229" s="284"/>
      <c r="FB229" s="263">
        <f t="shared" si="1021"/>
        <v>0</v>
      </c>
      <c r="FC229" s="263">
        <f t="shared" si="1021"/>
        <v>0</v>
      </c>
      <c r="FD229" s="263">
        <f t="shared" si="1021"/>
        <v>0</v>
      </c>
      <c r="FE229" s="263">
        <f t="shared" si="1021"/>
        <v>0</v>
      </c>
      <c r="FF229" s="263">
        <f t="shared" si="1021"/>
        <v>0</v>
      </c>
      <c r="FG229" s="263">
        <f t="shared" si="1021"/>
        <v>0</v>
      </c>
      <c r="FH229" s="263">
        <f t="shared" si="1021"/>
        <v>0</v>
      </c>
      <c r="FI229" s="263">
        <f t="shared" si="1021"/>
        <v>0</v>
      </c>
      <c r="FJ229" s="263">
        <f t="shared" si="1021"/>
        <v>0</v>
      </c>
      <c r="FK229" s="263">
        <f t="shared" si="1021"/>
        <v>0</v>
      </c>
      <c r="FL229" s="263">
        <f t="shared" si="1021"/>
        <v>0</v>
      </c>
      <c r="FM229" s="263">
        <f t="shared" si="1021"/>
        <v>0</v>
      </c>
      <c r="FN229" s="223">
        <f t="shared" si="1022"/>
        <v>0</v>
      </c>
      <c r="FO229" s="284"/>
      <c r="FP229" s="263">
        <f t="shared" si="1023"/>
        <v>0</v>
      </c>
      <c r="FQ229" s="263">
        <f t="shared" si="1023"/>
        <v>0</v>
      </c>
      <c r="FR229" s="263">
        <f t="shared" si="1023"/>
        <v>0</v>
      </c>
      <c r="FS229" s="263">
        <f t="shared" si="1023"/>
        <v>0</v>
      </c>
      <c r="FT229" s="263">
        <f t="shared" si="1023"/>
        <v>0</v>
      </c>
      <c r="FU229" s="263">
        <f t="shared" si="1023"/>
        <v>0</v>
      </c>
      <c r="FV229" s="263">
        <f t="shared" si="1023"/>
        <v>0</v>
      </c>
      <c r="FW229" s="263">
        <f t="shared" si="1023"/>
        <v>0</v>
      </c>
      <c r="FX229" s="263">
        <f t="shared" si="1023"/>
        <v>0</v>
      </c>
      <c r="FY229" s="263">
        <f t="shared" si="1023"/>
        <v>0</v>
      </c>
      <c r="FZ229" s="263">
        <f t="shared" si="1023"/>
        <v>0</v>
      </c>
      <c r="GA229" s="263">
        <f t="shared" si="1023"/>
        <v>0</v>
      </c>
      <c r="GB229" s="223">
        <f t="shared" si="1024"/>
        <v>0</v>
      </c>
      <c r="GC229" s="284"/>
      <c r="GD229" s="263">
        <f t="shared" si="1025"/>
        <v>0</v>
      </c>
      <c r="GE229" s="263">
        <f t="shared" si="1025"/>
        <v>0</v>
      </c>
      <c r="GF229" s="263">
        <f t="shared" si="1025"/>
        <v>0</v>
      </c>
      <c r="GG229" s="263">
        <f t="shared" si="1025"/>
        <v>0</v>
      </c>
      <c r="GH229" s="263">
        <f t="shared" si="1025"/>
        <v>0</v>
      </c>
      <c r="GI229" s="263">
        <f t="shared" si="1025"/>
        <v>0</v>
      </c>
      <c r="GJ229" s="263">
        <f t="shared" si="1025"/>
        <v>0</v>
      </c>
      <c r="GK229" s="263">
        <f t="shared" si="1025"/>
        <v>0</v>
      </c>
      <c r="GL229" s="263">
        <f t="shared" si="1025"/>
        <v>0</v>
      </c>
      <c r="GM229" s="263">
        <f t="shared" si="1025"/>
        <v>0</v>
      </c>
      <c r="GN229" s="263">
        <f t="shared" si="1025"/>
        <v>0</v>
      </c>
      <c r="GO229" s="263">
        <f t="shared" si="1025"/>
        <v>0</v>
      </c>
      <c r="GP229" s="223">
        <f t="shared" si="1026"/>
        <v>0</v>
      </c>
      <c r="GQ229" s="284"/>
      <c r="GR229" s="263">
        <f t="shared" si="1027"/>
        <v>0</v>
      </c>
      <c r="GS229" s="263">
        <f t="shared" si="1027"/>
        <v>0</v>
      </c>
      <c r="GT229" s="263">
        <f t="shared" si="1027"/>
        <v>0</v>
      </c>
      <c r="GU229" s="263">
        <f t="shared" si="1027"/>
        <v>0</v>
      </c>
      <c r="GV229" s="263">
        <f t="shared" si="1027"/>
        <v>0</v>
      </c>
      <c r="GW229" s="263">
        <f t="shared" si="1027"/>
        <v>0</v>
      </c>
      <c r="GX229" s="263">
        <f t="shared" si="1027"/>
        <v>0</v>
      </c>
      <c r="GY229" s="263">
        <f t="shared" si="1027"/>
        <v>0</v>
      </c>
      <c r="GZ229" s="263">
        <f t="shared" si="1027"/>
        <v>0</v>
      </c>
      <c r="HA229" s="263">
        <f t="shared" si="1027"/>
        <v>0</v>
      </c>
      <c r="HB229" s="263">
        <f t="shared" si="1027"/>
        <v>0</v>
      </c>
      <c r="HC229" s="263">
        <f t="shared" si="1027"/>
        <v>0</v>
      </c>
      <c r="HD229" s="223">
        <f t="shared" si="1028"/>
        <v>0</v>
      </c>
      <c r="HE229" s="284"/>
      <c r="HF229" s="263">
        <f t="shared" si="1029"/>
        <v>0</v>
      </c>
      <c r="HG229" s="263">
        <f t="shared" si="1029"/>
        <v>0</v>
      </c>
      <c r="HH229" s="263">
        <f t="shared" si="1029"/>
        <v>0</v>
      </c>
      <c r="HI229" s="263">
        <f t="shared" si="1029"/>
        <v>0</v>
      </c>
      <c r="HJ229" s="263">
        <f t="shared" si="1029"/>
        <v>0</v>
      </c>
      <c r="HK229" s="263">
        <f t="shared" si="1029"/>
        <v>0</v>
      </c>
      <c r="HL229" s="263">
        <f t="shared" si="1029"/>
        <v>0</v>
      </c>
      <c r="HM229" s="263">
        <f t="shared" si="1029"/>
        <v>0</v>
      </c>
      <c r="HN229" s="263">
        <f t="shared" si="1029"/>
        <v>0</v>
      </c>
      <c r="HO229" s="263">
        <f t="shared" si="1029"/>
        <v>0</v>
      </c>
      <c r="HP229" s="263">
        <f t="shared" si="1029"/>
        <v>0</v>
      </c>
      <c r="HQ229" s="263">
        <f t="shared" si="1029"/>
        <v>0</v>
      </c>
      <c r="HR229" s="223">
        <f t="shared" si="1030"/>
        <v>0</v>
      </c>
      <c r="HS229" s="284"/>
      <c r="HT229" s="263">
        <f t="shared" si="1031"/>
        <v>0</v>
      </c>
      <c r="HU229" s="263">
        <f t="shared" si="1031"/>
        <v>0</v>
      </c>
      <c r="HV229" s="263">
        <f t="shared" si="1031"/>
        <v>0</v>
      </c>
      <c r="HW229" s="263">
        <f t="shared" si="1031"/>
        <v>0</v>
      </c>
      <c r="HX229" s="263">
        <f t="shared" si="1031"/>
        <v>0</v>
      </c>
      <c r="HY229" s="263">
        <f t="shared" si="1031"/>
        <v>0</v>
      </c>
      <c r="HZ229" s="263">
        <f t="shared" si="1031"/>
        <v>0</v>
      </c>
      <c r="IA229" s="263">
        <f t="shared" si="1031"/>
        <v>0</v>
      </c>
      <c r="IB229" s="263">
        <f t="shared" si="1031"/>
        <v>0</v>
      </c>
      <c r="IC229" s="263">
        <f t="shared" si="1031"/>
        <v>0</v>
      </c>
      <c r="ID229" s="263">
        <f t="shared" si="1031"/>
        <v>0</v>
      </c>
      <c r="IE229" s="263">
        <f t="shared" si="1031"/>
        <v>0</v>
      </c>
      <c r="IF229" s="223">
        <f t="shared" si="1032"/>
        <v>0</v>
      </c>
      <c r="IG229" s="284"/>
      <c r="IH229" s="263">
        <f t="shared" si="1033"/>
        <v>0</v>
      </c>
      <c r="II229" s="263">
        <f t="shared" si="1033"/>
        <v>0</v>
      </c>
      <c r="IJ229" s="263">
        <f t="shared" si="1033"/>
        <v>0</v>
      </c>
      <c r="IK229" s="263">
        <f t="shared" si="1033"/>
        <v>0</v>
      </c>
      <c r="IL229" s="263">
        <f t="shared" si="1033"/>
        <v>0</v>
      </c>
      <c r="IM229" s="263">
        <f t="shared" si="1033"/>
        <v>0</v>
      </c>
      <c r="IN229" s="263">
        <f t="shared" si="1033"/>
        <v>0</v>
      </c>
      <c r="IO229" s="263">
        <f t="shared" si="1033"/>
        <v>0</v>
      </c>
      <c r="IP229" s="263">
        <f t="shared" si="1033"/>
        <v>0</v>
      </c>
      <c r="IQ229" s="263">
        <f t="shared" si="1033"/>
        <v>0</v>
      </c>
      <c r="IR229" s="263">
        <f t="shared" si="1033"/>
        <v>0</v>
      </c>
      <c r="IS229" s="263">
        <f t="shared" si="1033"/>
        <v>0</v>
      </c>
      <c r="IT229" s="223">
        <f t="shared" si="1034"/>
        <v>0</v>
      </c>
      <c r="IU229" s="284"/>
      <c r="IV229" s="263">
        <f t="shared" si="1035"/>
        <v>0</v>
      </c>
      <c r="IW229" s="263">
        <f t="shared" si="1035"/>
        <v>0</v>
      </c>
      <c r="IX229" s="263">
        <f t="shared" si="1035"/>
        <v>0</v>
      </c>
      <c r="IY229" s="263">
        <f t="shared" si="1035"/>
        <v>0</v>
      </c>
      <c r="IZ229" s="263">
        <f t="shared" si="1035"/>
        <v>0</v>
      </c>
      <c r="JA229" s="263">
        <f t="shared" si="1035"/>
        <v>0</v>
      </c>
      <c r="JB229" s="263">
        <f t="shared" si="1035"/>
        <v>0</v>
      </c>
      <c r="JC229" s="263">
        <f t="shared" si="1035"/>
        <v>0</v>
      </c>
      <c r="JD229" s="263">
        <f t="shared" si="1035"/>
        <v>0</v>
      </c>
      <c r="JE229" s="263">
        <f t="shared" si="1035"/>
        <v>0</v>
      </c>
      <c r="JF229" s="263">
        <f t="shared" si="1035"/>
        <v>0</v>
      </c>
      <c r="JG229" s="263">
        <f t="shared" si="1035"/>
        <v>0</v>
      </c>
      <c r="JH229" s="223">
        <f t="shared" si="1036"/>
        <v>0</v>
      </c>
      <c r="JI229" s="284"/>
      <c r="JJ229" s="263">
        <f t="shared" si="1037"/>
        <v>0</v>
      </c>
      <c r="JK229" s="263">
        <f t="shared" si="1037"/>
        <v>0</v>
      </c>
      <c r="JL229" s="263">
        <f t="shared" si="1037"/>
        <v>0</v>
      </c>
      <c r="JM229" s="263">
        <f t="shared" si="1037"/>
        <v>0</v>
      </c>
      <c r="JN229" s="263">
        <f t="shared" si="1037"/>
        <v>0</v>
      </c>
      <c r="JO229" s="263">
        <f t="shared" si="1037"/>
        <v>0</v>
      </c>
      <c r="JP229" s="263">
        <f t="shared" si="1037"/>
        <v>0</v>
      </c>
      <c r="JQ229" s="263">
        <f t="shared" si="1037"/>
        <v>0</v>
      </c>
      <c r="JR229" s="263">
        <f t="shared" si="1037"/>
        <v>0</v>
      </c>
      <c r="JS229" s="263">
        <f t="shared" si="1037"/>
        <v>0</v>
      </c>
      <c r="JT229" s="263">
        <f t="shared" si="1037"/>
        <v>0</v>
      </c>
      <c r="JU229" s="263">
        <f t="shared" si="1037"/>
        <v>0</v>
      </c>
      <c r="JV229" s="223">
        <f t="shared" si="1038"/>
        <v>0</v>
      </c>
      <c r="JW229" s="284"/>
      <c r="JX229" s="263">
        <f t="shared" si="1039"/>
        <v>0</v>
      </c>
      <c r="JY229" s="263">
        <f t="shared" si="1039"/>
        <v>0</v>
      </c>
      <c r="JZ229" s="263">
        <f t="shared" si="1039"/>
        <v>0</v>
      </c>
      <c r="KA229" s="263">
        <f t="shared" si="1039"/>
        <v>0</v>
      </c>
      <c r="KB229" s="263">
        <f t="shared" si="1039"/>
        <v>0</v>
      </c>
      <c r="KC229" s="263">
        <f t="shared" si="1039"/>
        <v>0</v>
      </c>
      <c r="KD229" s="263">
        <f t="shared" si="1039"/>
        <v>0</v>
      </c>
      <c r="KE229" s="263">
        <f t="shared" si="1039"/>
        <v>0</v>
      </c>
      <c r="KF229" s="263">
        <f t="shared" si="1039"/>
        <v>0</v>
      </c>
      <c r="KG229" s="263">
        <f t="shared" si="1039"/>
        <v>0</v>
      </c>
      <c r="KH229" s="263">
        <f t="shared" si="1039"/>
        <v>0</v>
      </c>
      <c r="KI229" s="263">
        <f t="shared" si="1039"/>
        <v>0</v>
      </c>
      <c r="KJ229" s="223">
        <f t="shared" si="1040"/>
        <v>0</v>
      </c>
      <c r="KK229" s="284"/>
      <c r="KL229" s="263">
        <f t="shared" si="1041"/>
        <v>0</v>
      </c>
      <c r="KM229" s="263">
        <f t="shared" si="1041"/>
        <v>0</v>
      </c>
      <c r="KN229" s="263">
        <f t="shared" si="1041"/>
        <v>0</v>
      </c>
      <c r="KO229" s="263">
        <f t="shared" si="1041"/>
        <v>0</v>
      </c>
      <c r="KP229" s="263">
        <f t="shared" si="1041"/>
        <v>0</v>
      </c>
      <c r="KQ229" s="263">
        <f t="shared" si="1041"/>
        <v>0</v>
      </c>
      <c r="KR229" s="263">
        <f t="shared" si="1041"/>
        <v>0</v>
      </c>
      <c r="KS229" s="263">
        <f t="shared" si="1041"/>
        <v>0</v>
      </c>
      <c r="KT229" s="263">
        <f t="shared" si="1041"/>
        <v>0</v>
      </c>
      <c r="KU229" s="263">
        <f t="shared" si="1041"/>
        <v>0</v>
      </c>
      <c r="KV229" s="263">
        <f t="shared" si="1041"/>
        <v>0</v>
      </c>
      <c r="KW229" s="263">
        <f t="shared" si="1041"/>
        <v>0</v>
      </c>
      <c r="KX229" s="223">
        <f t="shared" si="1042"/>
        <v>0</v>
      </c>
      <c r="KY229" s="284"/>
      <c r="KZ229" s="263">
        <f t="shared" si="1043"/>
        <v>0</v>
      </c>
      <c r="LA229" s="263">
        <f t="shared" si="1043"/>
        <v>0</v>
      </c>
      <c r="LB229" s="263">
        <f t="shared" si="1043"/>
        <v>0</v>
      </c>
      <c r="LC229" s="263">
        <f t="shared" si="1043"/>
        <v>0</v>
      </c>
      <c r="LD229" s="263">
        <f t="shared" si="1043"/>
        <v>0</v>
      </c>
      <c r="LE229" s="263">
        <f t="shared" si="1043"/>
        <v>0</v>
      </c>
      <c r="LF229" s="263">
        <f t="shared" si="1043"/>
        <v>0</v>
      </c>
      <c r="LG229" s="263">
        <f t="shared" si="1043"/>
        <v>0</v>
      </c>
      <c r="LH229" s="263">
        <f t="shared" si="1043"/>
        <v>0</v>
      </c>
      <c r="LI229" s="263">
        <f t="shared" si="1043"/>
        <v>0</v>
      </c>
      <c r="LJ229" s="263">
        <f t="shared" si="1043"/>
        <v>0</v>
      </c>
      <c r="LK229" s="263">
        <f t="shared" si="1043"/>
        <v>0</v>
      </c>
      <c r="LL229" s="223">
        <f t="shared" si="1044"/>
        <v>0</v>
      </c>
      <c r="LM229" s="284"/>
      <c r="LN229" s="263">
        <v>0</v>
      </c>
      <c r="LO229" s="264">
        <v>0</v>
      </c>
      <c r="LP229" s="265">
        <v>0</v>
      </c>
      <c r="LQ229" s="265">
        <v>0</v>
      </c>
      <c r="LR229" s="265">
        <v>0</v>
      </c>
      <c r="LS229" s="265">
        <v>0</v>
      </c>
      <c r="LT229" s="265">
        <v>0</v>
      </c>
      <c r="LU229" s="265">
        <v>0</v>
      </c>
      <c r="LV229" s="265">
        <v>0</v>
      </c>
      <c r="LW229" s="265">
        <v>0</v>
      </c>
      <c r="LX229" s="265">
        <v>0</v>
      </c>
      <c r="LY229" s="265">
        <v>0</v>
      </c>
      <c r="LZ229" s="223">
        <f t="shared" si="1045"/>
        <v>0</v>
      </c>
      <c r="MA229" s="284"/>
      <c r="MB229" s="230">
        <f t="shared" si="1046"/>
        <v>0</v>
      </c>
      <c r="MC229" s="230">
        <f t="shared" si="1046"/>
        <v>0</v>
      </c>
      <c r="MD229" s="230">
        <f t="shared" si="1046"/>
        <v>0</v>
      </c>
      <c r="ME229" s="230">
        <f t="shared" si="1046"/>
        <v>0</v>
      </c>
      <c r="MF229" s="230">
        <f t="shared" si="1046"/>
        <v>0</v>
      </c>
      <c r="MG229" s="230">
        <f t="shared" si="1046"/>
        <v>0</v>
      </c>
      <c r="MH229" s="230">
        <f t="shared" si="1046"/>
        <v>0</v>
      </c>
      <c r="MI229" s="230">
        <f t="shared" si="1046"/>
        <v>0</v>
      </c>
      <c r="MJ229" s="230">
        <f t="shared" si="1046"/>
        <v>0</v>
      </c>
      <c r="MK229" s="230">
        <f t="shared" si="1046"/>
        <v>0</v>
      </c>
      <c r="ML229" s="230">
        <f t="shared" si="1046"/>
        <v>0</v>
      </c>
      <c r="MM229" s="230">
        <f t="shared" si="1046"/>
        <v>0</v>
      </c>
      <c r="MN229" s="230">
        <f t="shared" si="1047"/>
        <v>0</v>
      </c>
    </row>
    <row r="230" spans="1:352" x14ac:dyDescent="0.25">
      <c r="A230" s="262"/>
      <c r="B230" s="64" t="s">
        <v>108</v>
      </c>
      <c r="C230" s="202"/>
      <c r="D230" s="263">
        <f t="shared" si="999"/>
        <v>4271.6967409133576</v>
      </c>
      <c r="E230" s="263">
        <f t="shared" si="999"/>
        <v>4306.1102188120203</v>
      </c>
      <c r="F230" s="263">
        <f t="shared" si="999"/>
        <v>4073.8531826324379</v>
      </c>
      <c r="G230" s="263">
        <f t="shared" si="999"/>
        <v>4047.9297866733236</v>
      </c>
      <c r="H230" s="263">
        <f t="shared" si="999"/>
        <v>4076.1390579012341</v>
      </c>
      <c r="I230" s="263">
        <f t="shared" si="999"/>
        <v>4015.1094756838534</v>
      </c>
      <c r="J230" s="263">
        <f t="shared" si="999"/>
        <v>3937.5769749651035</v>
      </c>
      <c r="K230" s="263">
        <f t="shared" si="999"/>
        <v>3967.5121624095163</v>
      </c>
      <c r="L230" s="263">
        <f t="shared" si="999"/>
        <v>3964.0488933475226</v>
      </c>
      <c r="M230" s="263">
        <f t="shared" si="999"/>
        <v>3730.3945863355516</v>
      </c>
      <c r="N230" s="263">
        <f t="shared" si="999"/>
        <v>3455.6155821876405</v>
      </c>
      <c r="O230" s="263">
        <f t="shared" si="999"/>
        <v>3444.6209912506938</v>
      </c>
      <c r="P230" s="223">
        <f t="shared" si="1000"/>
        <v>47290.60765311226</v>
      </c>
      <c r="Q230" s="284"/>
      <c r="R230" s="263">
        <f t="shared" si="1001"/>
        <v>441.89966285310601</v>
      </c>
      <c r="S230" s="263">
        <f t="shared" si="1001"/>
        <v>445.45967780814004</v>
      </c>
      <c r="T230" s="263">
        <f t="shared" si="1001"/>
        <v>421.43308785852804</v>
      </c>
      <c r="U230" s="263">
        <f t="shared" si="1001"/>
        <v>418.75135724206797</v>
      </c>
      <c r="V230" s="263">
        <f t="shared" si="1001"/>
        <v>421.66955771392071</v>
      </c>
      <c r="W230" s="263">
        <f t="shared" si="1001"/>
        <v>415.35615265695031</v>
      </c>
      <c r="X230" s="263">
        <f t="shared" si="1001"/>
        <v>407.33554913432101</v>
      </c>
      <c r="Y230" s="263">
        <f t="shared" si="1001"/>
        <v>410.43229266305337</v>
      </c>
      <c r="Z230" s="263">
        <f t="shared" si="1001"/>
        <v>410.07402344974372</v>
      </c>
      <c r="AA230" s="263">
        <f t="shared" si="1001"/>
        <v>385.90288824160876</v>
      </c>
      <c r="AB230" s="263">
        <f t="shared" si="1001"/>
        <v>357.47747401941109</v>
      </c>
      <c r="AC230" s="263">
        <f t="shared" si="1001"/>
        <v>356.34010254317519</v>
      </c>
      <c r="AD230" s="223">
        <f t="shared" si="1002"/>
        <v>4892.1318261840261</v>
      </c>
      <c r="AE230" s="284"/>
      <c r="AF230" s="263">
        <f t="shared" si="1003"/>
        <v>441.89966285310601</v>
      </c>
      <c r="AG230" s="263">
        <f t="shared" si="1003"/>
        <v>445.45967780814004</v>
      </c>
      <c r="AH230" s="263">
        <f t="shared" si="1003"/>
        <v>421.43308785852804</v>
      </c>
      <c r="AI230" s="263">
        <f t="shared" si="1003"/>
        <v>418.75135724206797</v>
      </c>
      <c r="AJ230" s="263">
        <f t="shared" si="1003"/>
        <v>421.66955771392071</v>
      </c>
      <c r="AK230" s="263">
        <f t="shared" si="1003"/>
        <v>415.35615265695031</v>
      </c>
      <c r="AL230" s="263">
        <f t="shared" si="1003"/>
        <v>407.33554913432101</v>
      </c>
      <c r="AM230" s="263">
        <f t="shared" si="1003"/>
        <v>410.43229266305337</v>
      </c>
      <c r="AN230" s="263">
        <f t="shared" si="1003"/>
        <v>410.07402344974372</v>
      </c>
      <c r="AO230" s="263">
        <f t="shared" si="1003"/>
        <v>385.90288824160876</v>
      </c>
      <c r="AP230" s="263">
        <f t="shared" si="1003"/>
        <v>357.47747401941109</v>
      </c>
      <c r="AQ230" s="263">
        <f t="shared" si="1003"/>
        <v>356.34010254317519</v>
      </c>
      <c r="AR230" s="223">
        <f t="shared" si="1004"/>
        <v>4892.1318261840261</v>
      </c>
      <c r="AS230" s="266"/>
      <c r="AT230" s="263">
        <f t="shared" si="1005"/>
        <v>294.59977523540397</v>
      </c>
      <c r="AU230" s="263">
        <f t="shared" si="1005"/>
        <v>296.97311853876005</v>
      </c>
      <c r="AV230" s="263">
        <f t="shared" si="1005"/>
        <v>280.95539190568536</v>
      </c>
      <c r="AW230" s="263">
        <f t="shared" si="1005"/>
        <v>279.16757149471198</v>
      </c>
      <c r="AX230" s="263">
        <f t="shared" si="1005"/>
        <v>281.11303847594718</v>
      </c>
      <c r="AY230" s="263">
        <f t="shared" si="1005"/>
        <v>276.90410177130025</v>
      </c>
      <c r="AZ230" s="263">
        <f t="shared" si="1005"/>
        <v>271.55703275621403</v>
      </c>
      <c r="BA230" s="263">
        <f t="shared" si="1005"/>
        <v>273.62152844203558</v>
      </c>
      <c r="BB230" s="263">
        <f t="shared" si="1005"/>
        <v>273.38268229982913</v>
      </c>
      <c r="BC230" s="263">
        <f t="shared" si="1005"/>
        <v>257.26859216107255</v>
      </c>
      <c r="BD230" s="263">
        <f t="shared" si="1005"/>
        <v>238.31831601294073</v>
      </c>
      <c r="BE230" s="263">
        <f t="shared" si="1005"/>
        <v>237.56006836211682</v>
      </c>
      <c r="BF230" s="223">
        <f t="shared" si="1006"/>
        <v>3261.4212174560175</v>
      </c>
      <c r="BG230" s="224"/>
      <c r="BH230" s="263">
        <f t="shared" si="1007"/>
        <v>2209.4983142655301</v>
      </c>
      <c r="BI230" s="263">
        <f t="shared" si="1007"/>
        <v>2227.2983890407004</v>
      </c>
      <c r="BJ230" s="263">
        <f t="shared" si="1007"/>
        <v>2107.1654392926407</v>
      </c>
      <c r="BK230" s="263">
        <f t="shared" si="1007"/>
        <v>2093.7567862103401</v>
      </c>
      <c r="BL230" s="263">
        <f t="shared" si="1007"/>
        <v>2108.3477885696038</v>
      </c>
      <c r="BM230" s="263">
        <f t="shared" si="1007"/>
        <v>2076.7807632847516</v>
      </c>
      <c r="BN230" s="263">
        <f t="shared" si="1007"/>
        <v>2036.6777456716052</v>
      </c>
      <c r="BO230" s="263">
        <f t="shared" si="1007"/>
        <v>2052.1614633152667</v>
      </c>
      <c r="BP230" s="263">
        <f t="shared" si="1007"/>
        <v>2050.3701172487181</v>
      </c>
      <c r="BQ230" s="263">
        <f t="shared" si="1007"/>
        <v>1929.5144412080438</v>
      </c>
      <c r="BR230" s="263">
        <f t="shared" si="1007"/>
        <v>1787.3873700970555</v>
      </c>
      <c r="BS230" s="263">
        <f t="shared" si="1007"/>
        <v>1781.7005127158761</v>
      </c>
      <c r="BT230" s="223">
        <f t="shared" si="1008"/>
        <v>24460.659130920132</v>
      </c>
      <c r="BU230" s="266"/>
      <c r="BV230" s="263">
        <f t="shared" si="1009"/>
        <v>147.29988761770198</v>
      </c>
      <c r="BW230" s="263">
        <f t="shared" si="1009"/>
        <v>148.48655926938002</v>
      </c>
      <c r="BX230" s="263">
        <f t="shared" si="1009"/>
        <v>140.47769595284268</v>
      </c>
      <c r="BY230" s="263">
        <f t="shared" si="1009"/>
        <v>139.58378574735599</v>
      </c>
      <c r="BZ230" s="263">
        <f t="shared" si="1009"/>
        <v>140.55651923797359</v>
      </c>
      <c r="CA230" s="263">
        <f t="shared" si="1009"/>
        <v>138.45205088565012</v>
      </c>
      <c r="CB230" s="263">
        <f t="shared" si="1009"/>
        <v>135.77851637810701</v>
      </c>
      <c r="CC230" s="263">
        <f t="shared" si="1009"/>
        <v>136.81076422101779</v>
      </c>
      <c r="CD230" s="263">
        <f t="shared" si="1009"/>
        <v>136.69134114991456</v>
      </c>
      <c r="CE230" s="263">
        <f t="shared" si="1009"/>
        <v>128.63429608053627</v>
      </c>
      <c r="CF230" s="263">
        <f t="shared" si="1009"/>
        <v>119.15915800647036</v>
      </c>
      <c r="CG230" s="263">
        <f t="shared" si="1009"/>
        <v>118.78003418105841</v>
      </c>
      <c r="CH230" s="223">
        <f t="shared" si="1010"/>
        <v>1630.7106087280088</v>
      </c>
      <c r="CI230" s="284"/>
      <c r="CJ230" s="263">
        <f t="shared" si="1011"/>
        <v>1620.2987637947219</v>
      </c>
      <c r="CK230" s="263">
        <f t="shared" si="1011"/>
        <v>1633.3521519631804</v>
      </c>
      <c r="CL230" s="263">
        <f t="shared" si="1011"/>
        <v>1545.2546554812695</v>
      </c>
      <c r="CM230" s="263">
        <f t="shared" si="1011"/>
        <v>1535.4216432209159</v>
      </c>
      <c r="CN230" s="263">
        <f t="shared" si="1011"/>
        <v>1546.1217116177095</v>
      </c>
      <c r="CO230" s="263">
        <f t="shared" si="1011"/>
        <v>1522.9725597421514</v>
      </c>
      <c r="CP230" s="263">
        <f t="shared" si="1011"/>
        <v>1493.563680159177</v>
      </c>
      <c r="CQ230" s="263">
        <f t="shared" si="1011"/>
        <v>1504.9184064311958</v>
      </c>
      <c r="CR230" s="263">
        <f t="shared" si="1011"/>
        <v>1503.6047526490602</v>
      </c>
      <c r="CS230" s="263">
        <f t="shared" si="1011"/>
        <v>1414.9772568858989</v>
      </c>
      <c r="CT230" s="263">
        <f t="shared" si="1011"/>
        <v>1310.7507380711741</v>
      </c>
      <c r="CU230" s="263">
        <f t="shared" si="1011"/>
        <v>1306.5803759916425</v>
      </c>
      <c r="CV230" s="223">
        <f t="shared" si="1012"/>
        <v>17937.816696008096</v>
      </c>
      <c r="CW230" s="284"/>
      <c r="CX230" s="263">
        <f t="shared" si="1013"/>
        <v>4124.396853295656</v>
      </c>
      <c r="CY230" s="263">
        <f t="shared" si="1013"/>
        <v>4157.6236595426408</v>
      </c>
      <c r="CZ230" s="263">
        <f t="shared" si="1013"/>
        <v>3933.3754866795953</v>
      </c>
      <c r="DA230" s="263">
        <f t="shared" si="1013"/>
        <v>3908.3460009259679</v>
      </c>
      <c r="DB230" s="263">
        <f t="shared" si="1013"/>
        <v>3935.5825386632605</v>
      </c>
      <c r="DC230" s="263">
        <f t="shared" si="1013"/>
        <v>3876.6574247982035</v>
      </c>
      <c r="DD230" s="263">
        <f t="shared" si="1013"/>
        <v>3801.7984585869963</v>
      </c>
      <c r="DE230" s="263">
        <f t="shared" si="1013"/>
        <v>3830.7013981884979</v>
      </c>
      <c r="DF230" s="263">
        <f t="shared" si="1013"/>
        <v>3827.3575521976077</v>
      </c>
      <c r="DG230" s="263">
        <f t="shared" si="1013"/>
        <v>3601.7602902550152</v>
      </c>
      <c r="DH230" s="263">
        <f t="shared" si="1013"/>
        <v>3336.4564241811709</v>
      </c>
      <c r="DI230" s="263">
        <f t="shared" si="1013"/>
        <v>3325.8409570696354</v>
      </c>
      <c r="DJ230" s="223">
        <f t="shared" si="1014"/>
        <v>45659.897044384248</v>
      </c>
      <c r="DK230" s="284"/>
      <c r="DL230" s="263">
        <f t="shared" si="1015"/>
        <v>4124.396853295656</v>
      </c>
      <c r="DM230" s="263">
        <f t="shared" si="1015"/>
        <v>4157.6236595426408</v>
      </c>
      <c r="DN230" s="263">
        <f t="shared" si="1015"/>
        <v>3933.3754866795953</v>
      </c>
      <c r="DO230" s="263">
        <f t="shared" si="1015"/>
        <v>3908.3460009259679</v>
      </c>
      <c r="DP230" s="263">
        <f t="shared" si="1015"/>
        <v>3935.5825386632605</v>
      </c>
      <c r="DQ230" s="263">
        <f t="shared" si="1015"/>
        <v>3876.6574247982035</v>
      </c>
      <c r="DR230" s="263">
        <f t="shared" si="1015"/>
        <v>3801.7984585869963</v>
      </c>
      <c r="DS230" s="263">
        <f t="shared" si="1015"/>
        <v>3830.7013981884979</v>
      </c>
      <c r="DT230" s="263">
        <f t="shared" si="1015"/>
        <v>3827.3575521976077</v>
      </c>
      <c r="DU230" s="263">
        <f t="shared" si="1015"/>
        <v>3601.7602902550152</v>
      </c>
      <c r="DV230" s="263">
        <f t="shared" si="1015"/>
        <v>3336.4564241811709</v>
      </c>
      <c r="DW230" s="263">
        <f t="shared" si="1015"/>
        <v>3325.8409570696354</v>
      </c>
      <c r="DX230" s="223">
        <f t="shared" si="1016"/>
        <v>45659.897044384248</v>
      </c>
      <c r="DY230" s="284"/>
      <c r="DZ230" s="263">
        <f t="shared" si="1017"/>
        <v>147.29988761770198</v>
      </c>
      <c r="EA230" s="263">
        <f t="shared" si="1017"/>
        <v>148.48655926938002</v>
      </c>
      <c r="EB230" s="263">
        <f t="shared" si="1017"/>
        <v>140.47769595284268</v>
      </c>
      <c r="EC230" s="263">
        <f t="shared" si="1017"/>
        <v>139.58378574735599</v>
      </c>
      <c r="ED230" s="263">
        <f t="shared" si="1017"/>
        <v>140.55651923797359</v>
      </c>
      <c r="EE230" s="263">
        <f t="shared" si="1017"/>
        <v>138.45205088565012</v>
      </c>
      <c r="EF230" s="263">
        <f t="shared" si="1017"/>
        <v>135.77851637810701</v>
      </c>
      <c r="EG230" s="263">
        <f t="shared" si="1017"/>
        <v>136.81076422101779</v>
      </c>
      <c r="EH230" s="263">
        <f t="shared" si="1017"/>
        <v>136.69134114991456</v>
      </c>
      <c r="EI230" s="263">
        <f t="shared" si="1017"/>
        <v>128.63429608053627</v>
      </c>
      <c r="EJ230" s="263">
        <f t="shared" si="1017"/>
        <v>119.15915800647036</v>
      </c>
      <c r="EK230" s="263">
        <f t="shared" si="1017"/>
        <v>118.78003418105841</v>
      </c>
      <c r="EL230" s="223">
        <f t="shared" si="1018"/>
        <v>1630.7106087280088</v>
      </c>
      <c r="EM230" s="284"/>
      <c r="EN230" s="263">
        <f t="shared" si="1019"/>
        <v>294.59977523540397</v>
      </c>
      <c r="EO230" s="263">
        <f t="shared" si="1019"/>
        <v>296.97311853876005</v>
      </c>
      <c r="EP230" s="263">
        <f t="shared" si="1019"/>
        <v>280.95539190568536</v>
      </c>
      <c r="EQ230" s="263">
        <f t="shared" si="1019"/>
        <v>279.16757149471198</v>
      </c>
      <c r="ER230" s="263">
        <f t="shared" si="1019"/>
        <v>281.11303847594718</v>
      </c>
      <c r="ES230" s="263">
        <f t="shared" si="1019"/>
        <v>276.90410177130025</v>
      </c>
      <c r="ET230" s="263">
        <f t="shared" si="1019"/>
        <v>271.55703275621403</v>
      </c>
      <c r="EU230" s="263">
        <f t="shared" si="1019"/>
        <v>273.62152844203558</v>
      </c>
      <c r="EV230" s="263">
        <f t="shared" si="1019"/>
        <v>273.38268229982913</v>
      </c>
      <c r="EW230" s="263">
        <f t="shared" si="1019"/>
        <v>257.26859216107255</v>
      </c>
      <c r="EX230" s="263">
        <f t="shared" si="1019"/>
        <v>238.31831601294073</v>
      </c>
      <c r="EY230" s="263">
        <f t="shared" si="1019"/>
        <v>237.56006836211682</v>
      </c>
      <c r="EZ230" s="223">
        <f t="shared" si="1020"/>
        <v>3261.4212174560175</v>
      </c>
      <c r="FA230" s="284"/>
      <c r="FB230" s="263">
        <f t="shared" si="1021"/>
        <v>147.29988761770198</v>
      </c>
      <c r="FC230" s="263">
        <f t="shared" si="1021"/>
        <v>148.48655926938002</v>
      </c>
      <c r="FD230" s="263">
        <f t="shared" si="1021"/>
        <v>140.47769595284268</v>
      </c>
      <c r="FE230" s="263">
        <f t="shared" si="1021"/>
        <v>139.58378574735599</v>
      </c>
      <c r="FF230" s="263">
        <f t="shared" si="1021"/>
        <v>140.55651923797359</v>
      </c>
      <c r="FG230" s="263">
        <f t="shared" si="1021"/>
        <v>138.45205088565012</v>
      </c>
      <c r="FH230" s="263">
        <f t="shared" si="1021"/>
        <v>135.77851637810701</v>
      </c>
      <c r="FI230" s="263">
        <f t="shared" si="1021"/>
        <v>136.81076422101779</v>
      </c>
      <c r="FJ230" s="263">
        <f t="shared" si="1021"/>
        <v>136.69134114991456</v>
      </c>
      <c r="FK230" s="263">
        <f t="shared" si="1021"/>
        <v>128.63429608053627</v>
      </c>
      <c r="FL230" s="263">
        <f t="shared" si="1021"/>
        <v>119.15915800647036</v>
      </c>
      <c r="FM230" s="263">
        <f t="shared" si="1021"/>
        <v>118.78003418105841</v>
      </c>
      <c r="FN230" s="223">
        <f t="shared" si="1022"/>
        <v>1630.7106087280088</v>
      </c>
      <c r="FO230" s="284"/>
      <c r="FP230" s="263">
        <f t="shared" si="1023"/>
        <v>1031.099213323914</v>
      </c>
      <c r="FQ230" s="263">
        <f t="shared" si="1023"/>
        <v>1039.4059148856602</v>
      </c>
      <c r="FR230" s="263">
        <f t="shared" si="1023"/>
        <v>983.34387166989882</v>
      </c>
      <c r="FS230" s="263">
        <f t="shared" si="1023"/>
        <v>977.08650023149198</v>
      </c>
      <c r="FT230" s="263">
        <f t="shared" si="1023"/>
        <v>983.89563466581512</v>
      </c>
      <c r="FU230" s="263">
        <f t="shared" si="1023"/>
        <v>969.16435619955087</v>
      </c>
      <c r="FV230" s="263">
        <f t="shared" si="1023"/>
        <v>950.44961464674907</v>
      </c>
      <c r="FW230" s="263">
        <f t="shared" si="1023"/>
        <v>957.67534954712448</v>
      </c>
      <c r="FX230" s="263">
        <f t="shared" si="1023"/>
        <v>956.83938804940192</v>
      </c>
      <c r="FY230" s="263">
        <f t="shared" si="1023"/>
        <v>900.4400725637538</v>
      </c>
      <c r="FZ230" s="263">
        <f t="shared" si="1023"/>
        <v>834.11410604529271</v>
      </c>
      <c r="GA230" s="263">
        <f t="shared" si="1023"/>
        <v>831.46023926740884</v>
      </c>
      <c r="GB230" s="223">
        <f t="shared" si="1024"/>
        <v>11414.974261096062</v>
      </c>
      <c r="GC230" s="284"/>
      <c r="GD230" s="263">
        <f t="shared" si="1025"/>
        <v>147.29988761770198</v>
      </c>
      <c r="GE230" s="263">
        <f t="shared" si="1025"/>
        <v>148.48655926938002</v>
      </c>
      <c r="GF230" s="263">
        <f t="shared" si="1025"/>
        <v>140.47769595284268</v>
      </c>
      <c r="GG230" s="263">
        <f t="shared" si="1025"/>
        <v>139.58378574735599</v>
      </c>
      <c r="GH230" s="263">
        <f t="shared" si="1025"/>
        <v>140.55651923797359</v>
      </c>
      <c r="GI230" s="263">
        <f t="shared" si="1025"/>
        <v>138.45205088565012</v>
      </c>
      <c r="GJ230" s="263">
        <f t="shared" si="1025"/>
        <v>135.77851637810701</v>
      </c>
      <c r="GK230" s="263">
        <f t="shared" si="1025"/>
        <v>136.81076422101779</v>
      </c>
      <c r="GL230" s="263">
        <f t="shared" si="1025"/>
        <v>136.69134114991456</v>
      </c>
      <c r="GM230" s="263">
        <f t="shared" si="1025"/>
        <v>128.63429608053627</v>
      </c>
      <c r="GN230" s="263">
        <f t="shared" si="1025"/>
        <v>119.15915800647036</v>
      </c>
      <c r="GO230" s="263">
        <f t="shared" si="1025"/>
        <v>118.78003418105841</v>
      </c>
      <c r="GP230" s="223">
        <f t="shared" si="1026"/>
        <v>1630.7106087280088</v>
      </c>
      <c r="GQ230" s="284"/>
      <c r="GR230" s="263">
        <f t="shared" si="1027"/>
        <v>0</v>
      </c>
      <c r="GS230" s="263">
        <f t="shared" si="1027"/>
        <v>0</v>
      </c>
      <c r="GT230" s="263">
        <f t="shared" si="1027"/>
        <v>15247.999992005964</v>
      </c>
      <c r="GU230" s="263">
        <f t="shared" si="1027"/>
        <v>15247.999992005964</v>
      </c>
      <c r="GV230" s="263">
        <f t="shared" si="1027"/>
        <v>15247.999992005964</v>
      </c>
      <c r="GW230" s="263">
        <f t="shared" si="1027"/>
        <v>15247.999992005964</v>
      </c>
      <c r="GX230" s="263">
        <f t="shared" si="1027"/>
        <v>15247.999992005964</v>
      </c>
      <c r="GY230" s="263">
        <f t="shared" si="1027"/>
        <v>15247.999992005964</v>
      </c>
      <c r="GZ230" s="263">
        <f t="shared" si="1027"/>
        <v>15247.999992005964</v>
      </c>
      <c r="HA230" s="263">
        <f t="shared" si="1027"/>
        <v>15247.999992005964</v>
      </c>
      <c r="HB230" s="263">
        <f t="shared" si="1027"/>
        <v>15247.999992005964</v>
      </c>
      <c r="HC230" s="263">
        <f t="shared" si="1027"/>
        <v>15247.999992005964</v>
      </c>
      <c r="HD230" s="223">
        <f>+SUBTOTAL(9,GR230:HC230)*0</f>
        <v>0</v>
      </c>
      <c r="HE230" s="284"/>
      <c r="HF230" s="263">
        <f t="shared" si="1029"/>
        <v>589.19955047080794</v>
      </c>
      <c r="HG230" s="263">
        <f t="shared" si="1029"/>
        <v>593.9462370775201</v>
      </c>
      <c r="HH230" s="263">
        <f t="shared" si="1029"/>
        <v>561.91078381137072</v>
      </c>
      <c r="HI230" s="263">
        <f t="shared" si="1029"/>
        <v>558.33514298942396</v>
      </c>
      <c r="HJ230" s="263">
        <f t="shared" si="1029"/>
        <v>562.22607695189436</v>
      </c>
      <c r="HK230" s="263">
        <f t="shared" si="1029"/>
        <v>553.80820354260049</v>
      </c>
      <c r="HL230" s="263">
        <f t="shared" si="1029"/>
        <v>543.11406551242806</v>
      </c>
      <c r="HM230" s="263">
        <f t="shared" si="1029"/>
        <v>547.24305688407117</v>
      </c>
      <c r="HN230" s="263">
        <f t="shared" si="1029"/>
        <v>546.76536459965826</v>
      </c>
      <c r="HO230" s="263">
        <f t="shared" si="1029"/>
        <v>514.53718432214509</v>
      </c>
      <c r="HP230" s="263">
        <f t="shared" si="1029"/>
        <v>476.63663202588145</v>
      </c>
      <c r="HQ230" s="263">
        <f t="shared" si="1029"/>
        <v>475.12013672423365</v>
      </c>
      <c r="HR230" s="223">
        <f t="shared" si="1030"/>
        <v>6522.8424349120351</v>
      </c>
      <c r="HS230" s="284"/>
      <c r="HT230" s="263">
        <f t="shared" si="1031"/>
        <v>147.29988761770198</v>
      </c>
      <c r="HU230" s="263">
        <f t="shared" si="1031"/>
        <v>148.48655926938002</v>
      </c>
      <c r="HV230" s="263">
        <f t="shared" si="1031"/>
        <v>140.47769595284268</v>
      </c>
      <c r="HW230" s="263">
        <f t="shared" si="1031"/>
        <v>139.58378574735599</v>
      </c>
      <c r="HX230" s="263">
        <f t="shared" si="1031"/>
        <v>140.55651923797359</v>
      </c>
      <c r="HY230" s="263">
        <f t="shared" si="1031"/>
        <v>138.45205088565012</v>
      </c>
      <c r="HZ230" s="263">
        <f t="shared" si="1031"/>
        <v>135.77851637810701</v>
      </c>
      <c r="IA230" s="263">
        <f t="shared" si="1031"/>
        <v>136.81076422101779</v>
      </c>
      <c r="IB230" s="263">
        <f t="shared" si="1031"/>
        <v>136.69134114991456</v>
      </c>
      <c r="IC230" s="263">
        <f t="shared" si="1031"/>
        <v>128.63429608053627</v>
      </c>
      <c r="ID230" s="263">
        <f t="shared" si="1031"/>
        <v>119.15915800647036</v>
      </c>
      <c r="IE230" s="263">
        <f t="shared" si="1031"/>
        <v>118.78003418105841</v>
      </c>
      <c r="IF230" s="223">
        <f t="shared" si="1032"/>
        <v>1630.7106087280088</v>
      </c>
      <c r="IG230" s="284"/>
      <c r="IH230" s="263">
        <f t="shared" si="1033"/>
        <v>147.29988761770198</v>
      </c>
      <c r="II230" s="263">
        <f t="shared" si="1033"/>
        <v>148.48655926938002</v>
      </c>
      <c r="IJ230" s="263">
        <f t="shared" si="1033"/>
        <v>140.47769595284268</v>
      </c>
      <c r="IK230" s="263">
        <f t="shared" si="1033"/>
        <v>139.58378574735599</v>
      </c>
      <c r="IL230" s="263">
        <f t="shared" si="1033"/>
        <v>140.55651923797359</v>
      </c>
      <c r="IM230" s="263">
        <f t="shared" si="1033"/>
        <v>138.45205088565012</v>
      </c>
      <c r="IN230" s="263">
        <f t="shared" si="1033"/>
        <v>135.77851637810701</v>
      </c>
      <c r="IO230" s="263">
        <f t="shared" si="1033"/>
        <v>136.81076422101779</v>
      </c>
      <c r="IP230" s="263">
        <f t="shared" si="1033"/>
        <v>136.69134114991456</v>
      </c>
      <c r="IQ230" s="263">
        <f t="shared" si="1033"/>
        <v>128.63429608053627</v>
      </c>
      <c r="IR230" s="263">
        <f t="shared" si="1033"/>
        <v>119.15915800647036</v>
      </c>
      <c r="IS230" s="263">
        <f t="shared" si="1033"/>
        <v>118.78003418105841</v>
      </c>
      <c r="IT230" s="223">
        <f t="shared" si="1034"/>
        <v>1630.7106087280088</v>
      </c>
      <c r="IU230" s="284"/>
      <c r="IV230" s="263">
        <f t="shared" si="1035"/>
        <v>1031.099213323914</v>
      </c>
      <c r="IW230" s="263">
        <f t="shared" si="1035"/>
        <v>1039.4059148856602</v>
      </c>
      <c r="IX230" s="263">
        <f t="shared" si="1035"/>
        <v>983.34387166989882</v>
      </c>
      <c r="IY230" s="263">
        <f t="shared" si="1035"/>
        <v>977.08650023149198</v>
      </c>
      <c r="IZ230" s="263">
        <f t="shared" si="1035"/>
        <v>983.89563466581512</v>
      </c>
      <c r="JA230" s="263">
        <f t="shared" si="1035"/>
        <v>969.16435619955087</v>
      </c>
      <c r="JB230" s="263">
        <f t="shared" si="1035"/>
        <v>950.44961464674907</v>
      </c>
      <c r="JC230" s="263">
        <f t="shared" si="1035"/>
        <v>957.67534954712448</v>
      </c>
      <c r="JD230" s="263">
        <f t="shared" si="1035"/>
        <v>956.83938804940192</v>
      </c>
      <c r="JE230" s="263">
        <f t="shared" si="1035"/>
        <v>900.4400725637538</v>
      </c>
      <c r="JF230" s="263">
        <f t="shared" si="1035"/>
        <v>834.11410604529271</v>
      </c>
      <c r="JG230" s="263">
        <f t="shared" si="1035"/>
        <v>831.46023926740884</v>
      </c>
      <c r="JH230" s="223">
        <f t="shared" si="1036"/>
        <v>11414.974261096062</v>
      </c>
      <c r="JI230" s="284"/>
      <c r="JJ230" s="263">
        <f t="shared" si="1037"/>
        <v>1620.2987637947219</v>
      </c>
      <c r="JK230" s="263">
        <f t="shared" si="1037"/>
        <v>1633.3521519631804</v>
      </c>
      <c r="JL230" s="263">
        <f t="shared" si="1037"/>
        <v>1545.2546554812695</v>
      </c>
      <c r="JM230" s="263">
        <f t="shared" si="1037"/>
        <v>1535.4216432209159</v>
      </c>
      <c r="JN230" s="263">
        <f t="shared" si="1037"/>
        <v>1546.1217116177095</v>
      </c>
      <c r="JO230" s="263">
        <f t="shared" si="1037"/>
        <v>1522.9725597421514</v>
      </c>
      <c r="JP230" s="263">
        <f t="shared" si="1037"/>
        <v>1493.563680159177</v>
      </c>
      <c r="JQ230" s="263">
        <f t="shared" si="1037"/>
        <v>1504.9184064311958</v>
      </c>
      <c r="JR230" s="263">
        <f t="shared" si="1037"/>
        <v>1503.6047526490602</v>
      </c>
      <c r="JS230" s="263">
        <f t="shared" si="1037"/>
        <v>1414.9772568858989</v>
      </c>
      <c r="JT230" s="263">
        <f t="shared" si="1037"/>
        <v>1310.7507380711741</v>
      </c>
      <c r="JU230" s="263">
        <f t="shared" si="1037"/>
        <v>1306.5803759916425</v>
      </c>
      <c r="JV230" s="223">
        <f t="shared" si="1038"/>
        <v>17937.816696008096</v>
      </c>
      <c r="JW230" s="284"/>
      <c r="JX230" s="263">
        <f t="shared" si="1039"/>
        <v>736.49943808851003</v>
      </c>
      <c r="JY230" s="263">
        <f t="shared" si="1039"/>
        <v>742.43279634690009</v>
      </c>
      <c r="JZ230" s="263">
        <f t="shared" si="1039"/>
        <v>702.38847976421346</v>
      </c>
      <c r="KA230" s="263">
        <f t="shared" si="1039"/>
        <v>697.91892873678</v>
      </c>
      <c r="KB230" s="263">
        <f t="shared" si="1039"/>
        <v>702.78259618986795</v>
      </c>
      <c r="KC230" s="263">
        <f t="shared" si="1039"/>
        <v>692.26025442825062</v>
      </c>
      <c r="KD230" s="263">
        <f t="shared" si="1039"/>
        <v>678.8925818905351</v>
      </c>
      <c r="KE230" s="263">
        <f t="shared" si="1039"/>
        <v>684.05382110508901</v>
      </c>
      <c r="KF230" s="263">
        <f t="shared" si="1039"/>
        <v>683.45670574957285</v>
      </c>
      <c r="KG230" s="263">
        <f t="shared" si="1039"/>
        <v>643.17148040268137</v>
      </c>
      <c r="KH230" s="263">
        <f t="shared" si="1039"/>
        <v>595.79579003235187</v>
      </c>
      <c r="KI230" s="263">
        <f t="shared" si="1039"/>
        <v>593.90017090529204</v>
      </c>
      <c r="KJ230" s="223">
        <f t="shared" si="1040"/>
        <v>8153.553043640045</v>
      </c>
      <c r="KK230" s="284"/>
      <c r="KL230" s="263">
        <f t="shared" si="1041"/>
        <v>294.59977523540397</v>
      </c>
      <c r="KM230" s="263">
        <f t="shared" si="1041"/>
        <v>296.97311853876005</v>
      </c>
      <c r="KN230" s="263">
        <f t="shared" si="1041"/>
        <v>280.95539190568536</v>
      </c>
      <c r="KO230" s="263">
        <f t="shared" si="1041"/>
        <v>279.16757149471198</v>
      </c>
      <c r="KP230" s="263">
        <f t="shared" si="1041"/>
        <v>281.11303847594718</v>
      </c>
      <c r="KQ230" s="263">
        <f t="shared" si="1041"/>
        <v>276.90410177130025</v>
      </c>
      <c r="KR230" s="263">
        <f t="shared" si="1041"/>
        <v>271.55703275621403</v>
      </c>
      <c r="KS230" s="263">
        <f t="shared" si="1041"/>
        <v>273.62152844203558</v>
      </c>
      <c r="KT230" s="263">
        <f t="shared" si="1041"/>
        <v>273.38268229982913</v>
      </c>
      <c r="KU230" s="263">
        <f t="shared" si="1041"/>
        <v>257.26859216107255</v>
      </c>
      <c r="KV230" s="263">
        <f t="shared" si="1041"/>
        <v>238.31831601294073</v>
      </c>
      <c r="KW230" s="263">
        <f t="shared" si="1041"/>
        <v>237.56006836211682</v>
      </c>
      <c r="KX230" s="223">
        <f t="shared" si="1042"/>
        <v>3261.4212174560175</v>
      </c>
      <c r="KY230" s="284"/>
      <c r="KZ230" s="263">
        <f t="shared" si="1043"/>
        <v>147.29988761770198</v>
      </c>
      <c r="LA230" s="263">
        <f t="shared" si="1043"/>
        <v>148.48655926938002</v>
      </c>
      <c r="LB230" s="263">
        <f t="shared" si="1043"/>
        <v>140.47769595284268</v>
      </c>
      <c r="LC230" s="263">
        <f t="shared" si="1043"/>
        <v>139.58378574735599</v>
      </c>
      <c r="LD230" s="263">
        <f t="shared" si="1043"/>
        <v>140.55651923797359</v>
      </c>
      <c r="LE230" s="263">
        <f t="shared" si="1043"/>
        <v>138.45205088565012</v>
      </c>
      <c r="LF230" s="263">
        <f t="shared" si="1043"/>
        <v>135.77851637810701</v>
      </c>
      <c r="LG230" s="263">
        <f t="shared" si="1043"/>
        <v>136.81076422101779</v>
      </c>
      <c r="LH230" s="263">
        <f t="shared" si="1043"/>
        <v>136.69134114991456</v>
      </c>
      <c r="LI230" s="263">
        <f t="shared" si="1043"/>
        <v>128.63429608053627</v>
      </c>
      <c r="LJ230" s="263">
        <f t="shared" si="1043"/>
        <v>119.15915800647036</v>
      </c>
      <c r="LK230" s="263">
        <f t="shared" si="1043"/>
        <v>118.78003418105841</v>
      </c>
      <c r="LL230" s="223">
        <f t="shared" si="1044"/>
        <v>1630.7106087280088</v>
      </c>
      <c r="LM230" s="284"/>
      <c r="LN230" s="263">
        <v>0</v>
      </c>
      <c r="LO230" s="264">
        <v>0</v>
      </c>
      <c r="LP230" s="265">
        <v>0</v>
      </c>
      <c r="LQ230" s="265">
        <v>0</v>
      </c>
      <c r="LR230" s="265">
        <v>0</v>
      </c>
      <c r="LS230" s="265">
        <v>0</v>
      </c>
      <c r="LT230" s="265">
        <v>0</v>
      </c>
      <c r="LU230" s="265">
        <v>0</v>
      </c>
      <c r="LV230" s="265">
        <v>0</v>
      </c>
      <c r="LW230" s="265">
        <v>0</v>
      </c>
      <c r="LX230" s="265">
        <v>0</v>
      </c>
      <c r="LY230" s="265">
        <v>0</v>
      </c>
      <c r="LZ230" s="223">
        <f t="shared" si="1045"/>
        <v>0</v>
      </c>
      <c r="MA230" s="284"/>
      <c r="MB230" s="230">
        <f t="shared" si="1046"/>
        <v>24157.18156930312</v>
      </c>
      <c r="MC230" s="230">
        <f t="shared" si="1046"/>
        <v>24351.795720178325</v>
      </c>
      <c r="MD230" s="230">
        <f t="shared" si="1046"/>
        <v>38286.342128272183</v>
      </c>
      <c r="ME230" s="230">
        <f t="shared" si="1046"/>
        <v>38139.740854572337</v>
      </c>
      <c r="MF230" s="230">
        <f t="shared" si="1046"/>
        <v>38299.269147033621</v>
      </c>
      <c r="MG230" s="230">
        <f t="shared" si="1046"/>
        <v>37954.136337252588</v>
      </c>
      <c r="MH230" s="230">
        <f t="shared" si="1046"/>
        <v>37515.676678015516</v>
      </c>
      <c r="MI230" s="230">
        <f t="shared" si="1046"/>
        <v>37684.965324252866</v>
      </c>
      <c r="MJ230" s="230">
        <f t="shared" si="1046"/>
        <v>37665.379940591949</v>
      </c>
      <c r="MK230" s="230">
        <f t="shared" si="1046"/>
        <v>36344.0245492139</v>
      </c>
      <c r="ML230" s="230">
        <f t="shared" si="1046"/>
        <v>34790.101905067109</v>
      </c>
      <c r="MM230" s="230">
        <f t="shared" si="1046"/>
        <v>34727.925597699534</v>
      </c>
      <c r="MN230" s="230">
        <f t="shared" si="1047"/>
        <v>419916.53975145298</v>
      </c>
    </row>
    <row r="231" spans="1:352" x14ac:dyDescent="0.25">
      <c r="A231" s="262"/>
      <c r="B231" s="64" t="s">
        <v>109</v>
      </c>
      <c r="C231" s="202"/>
      <c r="D231" s="263">
        <f t="shared" si="999"/>
        <v>0</v>
      </c>
      <c r="E231" s="263">
        <f t="shared" si="999"/>
        <v>0</v>
      </c>
      <c r="F231" s="263">
        <f t="shared" si="999"/>
        <v>0</v>
      </c>
      <c r="G231" s="263">
        <f t="shared" si="999"/>
        <v>0</v>
      </c>
      <c r="H231" s="263">
        <f t="shared" si="999"/>
        <v>0</v>
      </c>
      <c r="I231" s="263">
        <f t="shared" si="999"/>
        <v>0</v>
      </c>
      <c r="J231" s="263">
        <f t="shared" si="999"/>
        <v>0</v>
      </c>
      <c r="K231" s="263">
        <f t="shared" si="999"/>
        <v>0</v>
      </c>
      <c r="L231" s="263">
        <f t="shared" si="999"/>
        <v>0</v>
      </c>
      <c r="M231" s="263">
        <f t="shared" si="999"/>
        <v>0</v>
      </c>
      <c r="N231" s="263">
        <f t="shared" si="999"/>
        <v>0</v>
      </c>
      <c r="O231" s="263">
        <f t="shared" si="999"/>
        <v>0</v>
      </c>
      <c r="P231" s="223">
        <f t="shared" si="1000"/>
        <v>0</v>
      </c>
      <c r="Q231" s="284"/>
      <c r="R231" s="263">
        <f t="shared" si="1001"/>
        <v>0</v>
      </c>
      <c r="S231" s="263">
        <f t="shared" si="1001"/>
        <v>0</v>
      </c>
      <c r="T231" s="263">
        <f t="shared" si="1001"/>
        <v>0</v>
      </c>
      <c r="U231" s="263">
        <f t="shared" si="1001"/>
        <v>0</v>
      </c>
      <c r="V231" s="263">
        <f t="shared" si="1001"/>
        <v>0</v>
      </c>
      <c r="W231" s="263">
        <f t="shared" si="1001"/>
        <v>0</v>
      </c>
      <c r="X231" s="263">
        <f t="shared" si="1001"/>
        <v>0</v>
      </c>
      <c r="Y231" s="263">
        <f t="shared" si="1001"/>
        <v>0</v>
      </c>
      <c r="Z231" s="263">
        <f t="shared" si="1001"/>
        <v>0</v>
      </c>
      <c r="AA231" s="263">
        <f t="shared" si="1001"/>
        <v>0</v>
      </c>
      <c r="AB231" s="263">
        <f t="shared" si="1001"/>
        <v>0</v>
      </c>
      <c r="AC231" s="263">
        <f t="shared" si="1001"/>
        <v>0</v>
      </c>
      <c r="AD231" s="223">
        <f t="shared" si="1002"/>
        <v>0</v>
      </c>
      <c r="AE231" s="284"/>
      <c r="AF231" s="263">
        <f t="shared" si="1003"/>
        <v>0</v>
      </c>
      <c r="AG231" s="263">
        <f t="shared" si="1003"/>
        <v>0</v>
      </c>
      <c r="AH231" s="263">
        <f t="shared" si="1003"/>
        <v>0</v>
      </c>
      <c r="AI231" s="263">
        <f t="shared" si="1003"/>
        <v>0</v>
      </c>
      <c r="AJ231" s="263">
        <f t="shared" si="1003"/>
        <v>0</v>
      </c>
      <c r="AK231" s="263">
        <f t="shared" si="1003"/>
        <v>0</v>
      </c>
      <c r="AL231" s="263">
        <f t="shared" si="1003"/>
        <v>0</v>
      </c>
      <c r="AM231" s="263">
        <f t="shared" si="1003"/>
        <v>0</v>
      </c>
      <c r="AN231" s="263">
        <f t="shared" si="1003"/>
        <v>0</v>
      </c>
      <c r="AO231" s="263">
        <f t="shared" si="1003"/>
        <v>0</v>
      </c>
      <c r="AP231" s="263">
        <f t="shared" si="1003"/>
        <v>0</v>
      </c>
      <c r="AQ231" s="263">
        <f t="shared" si="1003"/>
        <v>0</v>
      </c>
      <c r="AR231" s="223">
        <f t="shared" si="1004"/>
        <v>0</v>
      </c>
      <c r="AS231" s="266"/>
      <c r="AT231" s="263">
        <f t="shared" si="1005"/>
        <v>0</v>
      </c>
      <c r="AU231" s="263">
        <f t="shared" si="1005"/>
        <v>0</v>
      </c>
      <c r="AV231" s="263">
        <f t="shared" si="1005"/>
        <v>0</v>
      </c>
      <c r="AW231" s="263">
        <f t="shared" si="1005"/>
        <v>0</v>
      </c>
      <c r="AX231" s="263">
        <f t="shared" si="1005"/>
        <v>0</v>
      </c>
      <c r="AY231" s="263">
        <f t="shared" si="1005"/>
        <v>0</v>
      </c>
      <c r="AZ231" s="263">
        <f t="shared" si="1005"/>
        <v>0</v>
      </c>
      <c r="BA231" s="263">
        <f t="shared" si="1005"/>
        <v>0</v>
      </c>
      <c r="BB231" s="263">
        <f t="shared" si="1005"/>
        <v>0</v>
      </c>
      <c r="BC231" s="263">
        <f t="shared" si="1005"/>
        <v>0</v>
      </c>
      <c r="BD231" s="263">
        <f t="shared" si="1005"/>
        <v>0</v>
      </c>
      <c r="BE231" s="263">
        <f t="shared" si="1005"/>
        <v>0</v>
      </c>
      <c r="BF231" s="223">
        <f t="shared" si="1006"/>
        <v>0</v>
      </c>
      <c r="BG231" s="224"/>
      <c r="BH231" s="263">
        <f t="shared" si="1007"/>
        <v>0</v>
      </c>
      <c r="BI231" s="263">
        <f t="shared" si="1007"/>
        <v>0</v>
      </c>
      <c r="BJ231" s="263">
        <f t="shared" si="1007"/>
        <v>0</v>
      </c>
      <c r="BK231" s="263">
        <f t="shared" si="1007"/>
        <v>0</v>
      </c>
      <c r="BL231" s="263">
        <f t="shared" si="1007"/>
        <v>0</v>
      </c>
      <c r="BM231" s="263">
        <f t="shared" si="1007"/>
        <v>0</v>
      </c>
      <c r="BN231" s="263">
        <f t="shared" si="1007"/>
        <v>0</v>
      </c>
      <c r="BO231" s="263">
        <f t="shared" si="1007"/>
        <v>0</v>
      </c>
      <c r="BP231" s="263">
        <f t="shared" si="1007"/>
        <v>0</v>
      </c>
      <c r="BQ231" s="263">
        <f t="shared" si="1007"/>
        <v>0</v>
      </c>
      <c r="BR231" s="263">
        <f t="shared" si="1007"/>
        <v>0</v>
      </c>
      <c r="BS231" s="263">
        <f t="shared" si="1007"/>
        <v>0</v>
      </c>
      <c r="BT231" s="223">
        <f t="shared" si="1008"/>
        <v>0</v>
      </c>
      <c r="BU231" s="266"/>
      <c r="BV231" s="263">
        <f t="shared" si="1009"/>
        <v>0</v>
      </c>
      <c r="BW231" s="263">
        <f t="shared" si="1009"/>
        <v>0</v>
      </c>
      <c r="BX231" s="263">
        <f t="shared" si="1009"/>
        <v>0</v>
      </c>
      <c r="BY231" s="263">
        <f t="shared" si="1009"/>
        <v>0</v>
      </c>
      <c r="BZ231" s="263">
        <f t="shared" si="1009"/>
        <v>0</v>
      </c>
      <c r="CA231" s="263">
        <f t="shared" si="1009"/>
        <v>0</v>
      </c>
      <c r="CB231" s="263">
        <f t="shared" si="1009"/>
        <v>0</v>
      </c>
      <c r="CC231" s="263">
        <f t="shared" si="1009"/>
        <v>0</v>
      </c>
      <c r="CD231" s="263">
        <f t="shared" si="1009"/>
        <v>0</v>
      </c>
      <c r="CE231" s="263">
        <f t="shared" si="1009"/>
        <v>0</v>
      </c>
      <c r="CF231" s="263">
        <f t="shared" si="1009"/>
        <v>0</v>
      </c>
      <c r="CG231" s="263">
        <f t="shared" si="1009"/>
        <v>0</v>
      </c>
      <c r="CH231" s="223">
        <f t="shared" si="1010"/>
        <v>0</v>
      </c>
      <c r="CI231" s="284"/>
      <c r="CJ231" s="263">
        <f t="shared" si="1011"/>
        <v>0</v>
      </c>
      <c r="CK231" s="263">
        <f t="shared" si="1011"/>
        <v>0</v>
      </c>
      <c r="CL231" s="263">
        <f t="shared" si="1011"/>
        <v>0</v>
      </c>
      <c r="CM231" s="263">
        <f t="shared" si="1011"/>
        <v>0</v>
      </c>
      <c r="CN231" s="263">
        <f t="shared" si="1011"/>
        <v>0</v>
      </c>
      <c r="CO231" s="263">
        <f t="shared" si="1011"/>
        <v>0</v>
      </c>
      <c r="CP231" s="263">
        <f t="shared" si="1011"/>
        <v>0</v>
      </c>
      <c r="CQ231" s="263">
        <f t="shared" si="1011"/>
        <v>0</v>
      </c>
      <c r="CR231" s="263">
        <f t="shared" si="1011"/>
        <v>0</v>
      </c>
      <c r="CS231" s="263">
        <f t="shared" si="1011"/>
        <v>0</v>
      </c>
      <c r="CT231" s="263">
        <f t="shared" si="1011"/>
        <v>0</v>
      </c>
      <c r="CU231" s="263">
        <f t="shared" si="1011"/>
        <v>0</v>
      </c>
      <c r="CV231" s="223">
        <f t="shared" si="1012"/>
        <v>0</v>
      </c>
      <c r="CW231" s="284"/>
      <c r="CX231" s="263">
        <f t="shared" si="1013"/>
        <v>0</v>
      </c>
      <c r="CY231" s="263">
        <f t="shared" si="1013"/>
        <v>0</v>
      </c>
      <c r="CZ231" s="263">
        <f t="shared" si="1013"/>
        <v>0</v>
      </c>
      <c r="DA231" s="263">
        <f t="shared" si="1013"/>
        <v>0</v>
      </c>
      <c r="DB231" s="263">
        <f t="shared" si="1013"/>
        <v>0</v>
      </c>
      <c r="DC231" s="263">
        <f t="shared" si="1013"/>
        <v>0</v>
      </c>
      <c r="DD231" s="263">
        <f t="shared" si="1013"/>
        <v>0</v>
      </c>
      <c r="DE231" s="263">
        <f t="shared" si="1013"/>
        <v>0</v>
      </c>
      <c r="DF231" s="263">
        <f t="shared" si="1013"/>
        <v>0</v>
      </c>
      <c r="DG231" s="263">
        <f t="shared" si="1013"/>
        <v>0</v>
      </c>
      <c r="DH231" s="263">
        <f t="shared" si="1013"/>
        <v>0</v>
      </c>
      <c r="DI231" s="263">
        <f t="shared" si="1013"/>
        <v>0</v>
      </c>
      <c r="DJ231" s="223">
        <f t="shared" si="1014"/>
        <v>0</v>
      </c>
      <c r="DK231" s="284"/>
      <c r="DL231" s="263">
        <f t="shared" si="1015"/>
        <v>0</v>
      </c>
      <c r="DM231" s="263">
        <f t="shared" si="1015"/>
        <v>0</v>
      </c>
      <c r="DN231" s="263">
        <f t="shared" si="1015"/>
        <v>0</v>
      </c>
      <c r="DO231" s="263">
        <f t="shared" si="1015"/>
        <v>0</v>
      </c>
      <c r="DP231" s="263">
        <f t="shared" si="1015"/>
        <v>0</v>
      </c>
      <c r="DQ231" s="263">
        <f t="shared" si="1015"/>
        <v>0</v>
      </c>
      <c r="DR231" s="263">
        <f t="shared" si="1015"/>
        <v>0</v>
      </c>
      <c r="DS231" s="263">
        <f t="shared" si="1015"/>
        <v>0</v>
      </c>
      <c r="DT231" s="263">
        <f t="shared" si="1015"/>
        <v>0</v>
      </c>
      <c r="DU231" s="263">
        <f t="shared" si="1015"/>
        <v>0</v>
      </c>
      <c r="DV231" s="263">
        <f t="shared" si="1015"/>
        <v>0</v>
      </c>
      <c r="DW231" s="263">
        <f t="shared" si="1015"/>
        <v>0</v>
      </c>
      <c r="DX231" s="223">
        <f t="shared" si="1016"/>
        <v>0</v>
      </c>
      <c r="DY231" s="284"/>
      <c r="DZ231" s="263">
        <f t="shared" si="1017"/>
        <v>0</v>
      </c>
      <c r="EA231" s="263">
        <f t="shared" si="1017"/>
        <v>0</v>
      </c>
      <c r="EB231" s="263">
        <f t="shared" si="1017"/>
        <v>0</v>
      </c>
      <c r="EC231" s="263">
        <f t="shared" si="1017"/>
        <v>0</v>
      </c>
      <c r="ED231" s="263">
        <f t="shared" si="1017"/>
        <v>0</v>
      </c>
      <c r="EE231" s="263">
        <f t="shared" si="1017"/>
        <v>0</v>
      </c>
      <c r="EF231" s="263">
        <f t="shared" si="1017"/>
        <v>0</v>
      </c>
      <c r="EG231" s="263">
        <f t="shared" si="1017"/>
        <v>0</v>
      </c>
      <c r="EH231" s="263">
        <f t="shared" si="1017"/>
        <v>0</v>
      </c>
      <c r="EI231" s="263">
        <f t="shared" si="1017"/>
        <v>0</v>
      </c>
      <c r="EJ231" s="263">
        <f t="shared" si="1017"/>
        <v>0</v>
      </c>
      <c r="EK231" s="263">
        <f t="shared" si="1017"/>
        <v>0</v>
      </c>
      <c r="EL231" s="223">
        <f t="shared" si="1018"/>
        <v>0</v>
      </c>
      <c r="EM231" s="284"/>
      <c r="EN231" s="263">
        <f t="shared" si="1019"/>
        <v>0</v>
      </c>
      <c r="EO231" s="263">
        <f t="shared" si="1019"/>
        <v>0</v>
      </c>
      <c r="EP231" s="263">
        <f t="shared" si="1019"/>
        <v>0</v>
      </c>
      <c r="EQ231" s="263">
        <f t="shared" si="1019"/>
        <v>0</v>
      </c>
      <c r="ER231" s="263">
        <f t="shared" si="1019"/>
        <v>0</v>
      </c>
      <c r="ES231" s="263">
        <f t="shared" si="1019"/>
        <v>0</v>
      </c>
      <c r="ET231" s="263">
        <f t="shared" si="1019"/>
        <v>0</v>
      </c>
      <c r="EU231" s="263">
        <f t="shared" si="1019"/>
        <v>0</v>
      </c>
      <c r="EV231" s="263">
        <f t="shared" si="1019"/>
        <v>0</v>
      </c>
      <c r="EW231" s="263">
        <f t="shared" si="1019"/>
        <v>0</v>
      </c>
      <c r="EX231" s="263">
        <f t="shared" si="1019"/>
        <v>0</v>
      </c>
      <c r="EY231" s="263">
        <f t="shared" si="1019"/>
        <v>0</v>
      </c>
      <c r="EZ231" s="223">
        <f t="shared" si="1020"/>
        <v>0</v>
      </c>
      <c r="FA231" s="284"/>
      <c r="FB231" s="263">
        <f t="shared" si="1021"/>
        <v>0</v>
      </c>
      <c r="FC231" s="263">
        <f t="shared" si="1021"/>
        <v>0</v>
      </c>
      <c r="FD231" s="263">
        <f t="shared" si="1021"/>
        <v>0</v>
      </c>
      <c r="FE231" s="263">
        <f t="shared" si="1021"/>
        <v>0</v>
      </c>
      <c r="FF231" s="263">
        <f t="shared" si="1021"/>
        <v>0</v>
      </c>
      <c r="FG231" s="263">
        <f t="shared" si="1021"/>
        <v>0</v>
      </c>
      <c r="FH231" s="263">
        <f t="shared" si="1021"/>
        <v>0</v>
      </c>
      <c r="FI231" s="263">
        <f t="shared" si="1021"/>
        <v>0</v>
      </c>
      <c r="FJ231" s="263">
        <f t="shared" si="1021"/>
        <v>0</v>
      </c>
      <c r="FK231" s="263">
        <f t="shared" si="1021"/>
        <v>0</v>
      </c>
      <c r="FL231" s="263">
        <f t="shared" si="1021"/>
        <v>0</v>
      </c>
      <c r="FM231" s="263">
        <f t="shared" si="1021"/>
        <v>0</v>
      </c>
      <c r="FN231" s="223">
        <f t="shared" si="1022"/>
        <v>0</v>
      </c>
      <c r="FO231" s="284"/>
      <c r="FP231" s="263">
        <f t="shared" si="1023"/>
        <v>0</v>
      </c>
      <c r="FQ231" s="263">
        <f t="shared" si="1023"/>
        <v>0</v>
      </c>
      <c r="FR231" s="263">
        <f t="shared" si="1023"/>
        <v>0</v>
      </c>
      <c r="FS231" s="263">
        <f t="shared" si="1023"/>
        <v>0</v>
      </c>
      <c r="FT231" s="263">
        <f t="shared" si="1023"/>
        <v>0</v>
      </c>
      <c r="FU231" s="263">
        <f t="shared" si="1023"/>
        <v>0</v>
      </c>
      <c r="FV231" s="263">
        <f t="shared" si="1023"/>
        <v>0</v>
      </c>
      <c r="FW231" s="263">
        <f t="shared" si="1023"/>
        <v>0</v>
      </c>
      <c r="FX231" s="263">
        <f t="shared" si="1023"/>
        <v>0</v>
      </c>
      <c r="FY231" s="263">
        <f t="shared" si="1023"/>
        <v>0</v>
      </c>
      <c r="FZ231" s="263">
        <f t="shared" si="1023"/>
        <v>0</v>
      </c>
      <c r="GA231" s="263">
        <f t="shared" si="1023"/>
        <v>0</v>
      </c>
      <c r="GB231" s="223">
        <f t="shared" si="1024"/>
        <v>0</v>
      </c>
      <c r="GC231" s="284"/>
      <c r="GD231" s="263">
        <f t="shared" si="1025"/>
        <v>0</v>
      </c>
      <c r="GE231" s="263">
        <f t="shared" si="1025"/>
        <v>0</v>
      </c>
      <c r="GF231" s="263">
        <f t="shared" si="1025"/>
        <v>0</v>
      </c>
      <c r="GG231" s="263">
        <f t="shared" si="1025"/>
        <v>0</v>
      </c>
      <c r="GH231" s="263">
        <f t="shared" si="1025"/>
        <v>0</v>
      </c>
      <c r="GI231" s="263">
        <f t="shared" si="1025"/>
        <v>0</v>
      </c>
      <c r="GJ231" s="263">
        <f t="shared" si="1025"/>
        <v>0</v>
      </c>
      <c r="GK231" s="263">
        <f t="shared" si="1025"/>
        <v>0</v>
      </c>
      <c r="GL231" s="263">
        <f t="shared" si="1025"/>
        <v>0</v>
      </c>
      <c r="GM231" s="263">
        <f t="shared" si="1025"/>
        <v>0</v>
      </c>
      <c r="GN231" s="263">
        <f t="shared" si="1025"/>
        <v>0</v>
      </c>
      <c r="GO231" s="263">
        <f t="shared" si="1025"/>
        <v>0</v>
      </c>
      <c r="GP231" s="223">
        <f t="shared" si="1026"/>
        <v>0</v>
      </c>
      <c r="GQ231" s="284"/>
      <c r="GR231" s="263">
        <f t="shared" si="1027"/>
        <v>0</v>
      </c>
      <c r="GS231" s="263">
        <f t="shared" si="1027"/>
        <v>0</v>
      </c>
      <c r="GT231" s="263">
        <f t="shared" si="1027"/>
        <v>0</v>
      </c>
      <c r="GU231" s="263">
        <f t="shared" si="1027"/>
        <v>0</v>
      </c>
      <c r="GV231" s="263">
        <f t="shared" si="1027"/>
        <v>0</v>
      </c>
      <c r="GW231" s="263">
        <f t="shared" si="1027"/>
        <v>0</v>
      </c>
      <c r="GX231" s="263">
        <f t="shared" si="1027"/>
        <v>0</v>
      </c>
      <c r="GY231" s="263">
        <f t="shared" si="1027"/>
        <v>0</v>
      </c>
      <c r="GZ231" s="263">
        <f t="shared" si="1027"/>
        <v>0</v>
      </c>
      <c r="HA231" s="263">
        <f t="shared" si="1027"/>
        <v>0</v>
      </c>
      <c r="HB231" s="263">
        <f t="shared" si="1027"/>
        <v>0</v>
      </c>
      <c r="HC231" s="263">
        <f t="shared" si="1027"/>
        <v>0</v>
      </c>
      <c r="HD231" s="223">
        <f t="shared" ref="HD231:HD255" si="1048">+SUBTOTAL(9,GR231:HC231)*0</f>
        <v>0</v>
      </c>
      <c r="HE231" s="284"/>
      <c r="HF231" s="263">
        <f t="shared" si="1029"/>
        <v>0</v>
      </c>
      <c r="HG231" s="263">
        <f t="shared" si="1029"/>
        <v>0</v>
      </c>
      <c r="HH231" s="263">
        <f t="shared" si="1029"/>
        <v>0</v>
      </c>
      <c r="HI231" s="263">
        <f t="shared" si="1029"/>
        <v>0</v>
      </c>
      <c r="HJ231" s="263">
        <f t="shared" si="1029"/>
        <v>0</v>
      </c>
      <c r="HK231" s="263">
        <f t="shared" si="1029"/>
        <v>0</v>
      </c>
      <c r="HL231" s="263">
        <f t="shared" si="1029"/>
        <v>0</v>
      </c>
      <c r="HM231" s="263">
        <f t="shared" si="1029"/>
        <v>0</v>
      </c>
      <c r="HN231" s="263">
        <f t="shared" si="1029"/>
        <v>0</v>
      </c>
      <c r="HO231" s="263">
        <f t="shared" si="1029"/>
        <v>0</v>
      </c>
      <c r="HP231" s="263">
        <f t="shared" si="1029"/>
        <v>0</v>
      </c>
      <c r="HQ231" s="263">
        <f t="shared" si="1029"/>
        <v>0</v>
      </c>
      <c r="HR231" s="223">
        <f t="shared" si="1030"/>
        <v>0</v>
      </c>
      <c r="HS231" s="284"/>
      <c r="HT231" s="263">
        <f t="shared" si="1031"/>
        <v>0</v>
      </c>
      <c r="HU231" s="263">
        <f t="shared" si="1031"/>
        <v>0</v>
      </c>
      <c r="HV231" s="263">
        <f t="shared" si="1031"/>
        <v>0</v>
      </c>
      <c r="HW231" s="263">
        <f t="shared" si="1031"/>
        <v>0</v>
      </c>
      <c r="HX231" s="263">
        <f t="shared" si="1031"/>
        <v>0</v>
      </c>
      <c r="HY231" s="263">
        <f t="shared" si="1031"/>
        <v>0</v>
      </c>
      <c r="HZ231" s="263">
        <f t="shared" si="1031"/>
        <v>0</v>
      </c>
      <c r="IA231" s="263">
        <f t="shared" si="1031"/>
        <v>0</v>
      </c>
      <c r="IB231" s="263">
        <f t="shared" si="1031"/>
        <v>0</v>
      </c>
      <c r="IC231" s="263">
        <f t="shared" si="1031"/>
        <v>0</v>
      </c>
      <c r="ID231" s="263">
        <f t="shared" si="1031"/>
        <v>0</v>
      </c>
      <c r="IE231" s="263">
        <f t="shared" si="1031"/>
        <v>0</v>
      </c>
      <c r="IF231" s="223">
        <f t="shared" si="1032"/>
        <v>0</v>
      </c>
      <c r="IG231" s="284"/>
      <c r="IH231" s="263">
        <f t="shared" si="1033"/>
        <v>0</v>
      </c>
      <c r="II231" s="263">
        <f t="shared" si="1033"/>
        <v>0</v>
      </c>
      <c r="IJ231" s="263">
        <f t="shared" si="1033"/>
        <v>0</v>
      </c>
      <c r="IK231" s="263">
        <f t="shared" si="1033"/>
        <v>0</v>
      </c>
      <c r="IL231" s="263">
        <f t="shared" si="1033"/>
        <v>0</v>
      </c>
      <c r="IM231" s="263">
        <f t="shared" si="1033"/>
        <v>0</v>
      </c>
      <c r="IN231" s="263">
        <f t="shared" si="1033"/>
        <v>0</v>
      </c>
      <c r="IO231" s="263">
        <f t="shared" si="1033"/>
        <v>0</v>
      </c>
      <c r="IP231" s="263">
        <f t="shared" si="1033"/>
        <v>0</v>
      </c>
      <c r="IQ231" s="263">
        <f t="shared" si="1033"/>
        <v>0</v>
      </c>
      <c r="IR231" s="263">
        <f t="shared" si="1033"/>
        <v>0</v>
      </c>
      <c r="IS231" s="263">
        <f t="shared" si="1033"/>
        <v>0</v>
      </c>
      <c r="IT231" s="223">
        <f t="shared" si="1034"/>
        <v>0</v>
      </c>
      <c r="IU231" s="284"/>
      <c r="IV231" s="263">
        <f t="shared" si="1035"/>
        <v>0</v>
      </c>
      <c r="IW231" s="263">
        <f t="shared" si="1035"/>
        <v>0</v>
      </c>
      <c r="IX231" s="263">
        <f t="shared" si="1035"/>
        <v>0</v>
      </c>
      <c r="IY231" s="263">
        <f t="shared" si="1035"/>
        <v>0</v>
      </c>
      <c r="IZ231" s="263">
        <f t="shared" si="1035"/>
        <v>0</v>
      </c>
      <c r="JA231" s="263">
        <f t="shared" si="1035"/>
        <v>0</v>
      </c>
      <c r="JB231" s="263">
        <f t="shared" si="1035"/>
        <v>0</v>
      </c>
      <c r="JC231" s="263">
        <f t="shared" si="1035"/>
        <v>0</v>
      </c>
      <c r="JD231" s="263">
        <f t="shared" si="1035"/>
        <v>0</v>
      </c>
      <c r="JE231" s="263">
        <f t="shared" si="1035"/>
        <v>0</v>
      </c>
      <c r="JF231" s="263">
        <f t="shared" si="1035"/>
        <v>0</v>
      </c>
      <c r="JG231" s="263">
        <f t="shared" si="1035"/>
        <v>0</v>
      </c>
      <c r="JH231" s="223">
        <f t="shared" si="1036"/>
        <v>0</v>
      </c>
      <c r="JI231" s="284"/>
      <c r="JJ231" s="263">
        <f t="shared" si="1037"/>
        <v>0</v>
      </c>
      <c r="JK231" s="263">
        <f t="shared" si="1037"/>
        <v>0</v>
      </c>
      <c r="JL231" s="263">
        <f t="shared" si="1037"/>
        <v>0</v>
      </c>
      <c r="JM231" s="263">
        <f t="shared" si="1037"/>
        <v>0</v>
      </c>
      <c r="JN231" s="263">
        <f t="shared" si="1037"/>
        <v>0</v>
      </c>
      <c r="JO231" s="263">
        <f t="shared" si="1037"/>
        <v>0</v>
      </c>
      <c r="JP231" s="263">
        <f t="shared" si="1037"/>
        <v>0</v>
      </c>
      <c r="JQ231" s="263">
        <f t="shared" si="1037"/>
        <v>0</v>
      </c>
      <c r="JR231" s="263">
        <f t="shared" si="1037"/>
        <v>0</v>
      </c>
      <c r="JS231" s="263">
        <f t="shared" si="1037"/>
        <v>0</v>
      </c>
      <c r="JT231" s="263">
        <f t="shared" si="1037"/>
        <v>0</v>
      </c>
      <c r="JU231" s="263">
        <f t="shared" si="1037"/>
        <v>0</v>
      </c>
      <c r="JV231" s="223">
        <f t="shared" si="1038"/>
        <v>0</v>
      </c>
      <c r="JW231" s="284"/>
      <c r="JX231" s="263">
        <f t="shared" si="1039"/>
        <v>0</v>
      </c>
      <c r="JY231" s="263">
        <f t="shared" si="1039"/>
        <v>0</v>
      </c>
      <c r="JZ231" s="263">
        <f t="shared" si="1039"/>
        <v>0</v>
      </c>
      <c r="KA231" s="263">
        <f t="shared" si="1039"/>
        <v>0</v>
      </c>
      <c r="KB231" s="263">
        <f t="shared" si="1039"/>
        <v>0</v>
      </c>
      <c r="KC231" s="263">
        <f t="shared" si="1039"/>
        <v>0</v>
      </c>
      <c r="KD231" s="263">
        <f t="shared" si="1039"/>
        <v>0</v>
      </c>
      <c r="KE231" s="263">
        <f t="shared" si="1039"/>
        <v>0</v>
      </c>
      <c r="KF231" s="263">
        <f t="shared" si="1039"/>
        <v>0</v>
      </c>
      <c r="KG231" s="263">
        <f t="shared" si="1039"/>
        <v>0</v>
      </c>
      <c r="KH231" s="263">
        <f t="shared" si="1039"/>
        <v>0</v>
      </c>
      <c r="KI231" s="263">
        <f t="shared" si="1039"/>
        <v>0</v>
      </c>
      <c r="KJ231" s="223">
        <f t="shared" si="1040"/>
        <v>0</v>
      </c>
      <c r="KK231" s="284"/>
      <c r="KL231" s="263">
        <f t="shared" si="1041"/>
        <v>0</v>
      </c>
      <c r="KM231" s="263">
        <f t="shared" si="1041"/>
        <v>0</v>
      </c>
      <c r="KN231" s="263">
        <f t="shared" si="1041"/>
        <v>0</v>
      </c>
      <c r="KO231" s="263">
        <f t="shared" si="1041"/>
        <v>0</v>
      </c>
      <c r="KP231" s="263">
        <f t="shared" si="1041"/>
        <v>0</v>
      </c>
      <c r="KQ231" s="263">
        <f t="shared" si="1041"/>
        <v>0</v>
      </c>
      <c r="KR231" s="263">
        <f t="shared" si="1041"/>
        <v>0</v>
      </c>
      <c r="KS231" s="263">
        <f t="shared" si="1041"/>
        <v>0</v>
      </c>
      <c r="KT231" s="263">
        <f t="shared" si="1041"/>
        <v>0</v>
      </c>
      <c r="KU231" s="263">
        <f t="shared" si="1041"/>
        <v>0</v>
      </c>
      <c r="KV231" s="263">
        <f t="shared" si="1041"/>
        <v>0</v>
      </c>
      <c r="KW231" s="263">
        <f t="shared" si="1041"/>
        <v>0</v>
      </c>
      <c r="KX231" s="223">
        <f t="shared" si="1042"/>
        <v>0</v>
      </c>
      <c r="KY231" s="284"/>
      <c r="KZ231" s="263">
        <f t="shared" si="1043"/>
        <v>0</v>
      </c>
      <c r="LA231" s="263">
        <f t="shared" si="1043"/>
        <v>0</v>
      </c>
      <c r="LB231" s="263">
        <f t="shared" si="1043"/>
        <v>0</v>
      </c>
      <c r="LC231" s="263">
        <f t="shared" si="1043"/>
        <v>0</v>
      </c>
      <c r="LD231" s="263">
        <f t="shared" si="1043"/>
        <v>0</v>
      </c>
      <c r="LE231" s="263">
        <f t="shared" si="1043"/>
        <v>0</v>
      </c>
      <c r="LF231" s="263">
        <f t="shared" si="1043"/>
        <v>0</v>
      </c>
      <c r="LG231" s="263">
        <f t="shared" si="1043"/>
        <v>0</v>
      </c>
      <c r="LH231" s="263">
        <f t="shared" si="1043"/>
        <v>0</v>
      </c>
      <c r="LI231" s="263">
        <f t="shared" si="1043"/>
        <v>0</v>
      </c>
      <c r="LJ231" s="263">
        <f t="shared" si="1043"/>
        <v>0</v>
      </c>
      <c r="LK231" s="263">
        <f t="shared" si="1043"/>
        <v>0</v>
      </c>
      <c r="LL231" s="223">
        <f t="shared" si="1044"/>
        <v>0</v>
      </c>
      <c r="LM231" s="284"/>
      <c r="LN231" s="263">
        <v>0</v>
      </c>
      <c r="LO231" s="264">
        <v>0</v>
      </c>
      <c r="LP231" s="265">
        <v>0</v>
      </c>
      <c r="LQ231" s="265">
        <v>0</v>
      </c>
      <c r="LR231" s="265">
        <v>0</v>
      </c>
      <c r="LS231" s="265">
        <v>0</v>
      </c>
      <c r="LT231" s="265">
        <v>0</v>
      </c>
      <c r="LU231" s="265">
        <v>0</v>
      </c>
      <c r="LV231" s="265">
        <v>0</v>
      </c>
      <c r="LW231" s="265">
        <v>0</v>
      </c>
      <c r="LX231" s="265">
        <v>0</v>
      </c>
      <c r="LY231" s="265">
        <v>0</v>
      </c>
      <c r="LZ231" s="223">
        <f t="shared" si="1045"/>
        <v>0</v>
      </c>
      <c r="MA231" s="284"/>
      <c r="MB231" s="230">
        <f t="shared" si="1046"/>
        <v>0</v>
      </c>
      <c r="MC231" s="230">
        <f t="shared" si="1046"/>
        <v>0</v>
      </c>
      <c r="MD231" s="230">
        <f t="shared" si="1046"/>
        <v>0</v>
      </c>
      <c r="ME231" s="230">
        <f t="shared" si="1046"/>
        <v>0</v>
      </c>
      <c r="MF231" s="230">
        <f t="shared" si="1046"/>
        <v>0</v>
      </c>
      <c r="MG231" s="230">
        <f t="shared" si="1046"/>
        <v>0</v>
      </c>
      <c r="MH231" s="230">
        <f t="shared" si="1046"/>
        <v>0</v>
      </c>
      <c r="MI231" s="230">
        <f t="shared" si="1046"/>
        <v>0</v>
      </c>
      <c r="MJ231" s="230">
        <f t="shared" si="1046"/>
        <v>0</v>
      </c>
      <c r="MK231" s="230">
        <f t="shared" si="1046"/>
        <v>0</v>
      </c>
      <c r="ML231" s="230">
        <f t="shared" si="1046"/>
        <v>0</v>
      </c>
      <c r="MM231" s="230">
        <f t="shared" si="1046"/>
        <v>0</v>
      </c>
      <c r="MN231" s="230">
        <f t="shared" si="1047"/>
        <v>0</v>
      </c>
    </row>
    <row r="232" spans="1:352" x14ac:dyDescent="0.25">
      <c r="A232" s="262"/>
      <c r="B232" s="64" t="s">
        <v>110</v>
      </c>
      <c r="C232" s="202"/>
      <c r="D232" s="263">
        <f t="shared" si="999"/>
        <v>0</v>
      </c>
      <c r="E232" s="263">
        <f t="shared" si="999"/>
        <v>0</v>
      </c>
      <c r="F232" s="263">
        <f t="shared" si="999"/>
        <v>0</v>
      </c>
      <c r="G232" s="263">
        <f t="shared" si="999"/>
        <v>0</v>
      </c>
      <c r="H232" s="263">
        <f t="shared" si="999"/>
        <v>0</v>
      </c>
      <c r="I232" s="263">
        <f t="shared" si="999"/>
        <v>0</v>
      </c>
      <c r="J232" s="263">
        <f t="shared" si="999"/>
        <v>0</v>
      </c>
      <c r="K232" s="263">
        <f t="shared" si="999"/>
        <v>0</v>
      </c>
      <c r="L232" s="263">
        <f t="shared" si="999"/>
        <v>0</v>
      </c>
      <c r="M232" s="263">
        <f t="shared" si="999"/>
        <v>0</v>
      </c>
      <c r="N232" s="263">
        <f t="shared" si="999"/>
        <v>0</v>
      </c>
      <c r="O232" s="263">
        <f t="shared" si="999"/>
        <v>0</v>
      </c>
      <c r="P232" s="223">
        <f t="shared" si="1000"/>
        <v>0</v>
      </c>
      <c r="Q232" s="284"/>
      <c r="R232" s="263">
        <f t="shared" si="1001"/>
        <v>0</v>
      </c>
      <c r="S232" s="263">
        <f t="shared" si="1001"/>
        <v>0</v>
      </c>
      <c r="T232" s="263">
        <f t="shared" si="1001"/>
        <v>0</v>
      </c>
      <c r="U232" s="263">
        <f t="shared" si="1001"/>
        <v>0</v>
      </c>
      <c r="V232" s="263">
        <f t="shared" si="1001"/>
        <v>0</v>
      </c>
      <c r="W232" s="263">
        <f t="shared" si="1001"/>
        <v>0</v>
      </c>
      <c r="X232" s="263">
        <f t="shared" si="1001"/>
        <v>0</v>
      </c>
      <c r="Y232" s="263">
        <f t="shared" si="1001"/>
        <v>0</v>
      </c>
      <c r="Z232" s="263">
        <f t="shared" si="1001"/>
        <v>0</v>
      </c>
      <c r="AA232" s="263">
        <f t="shared" si="1001"/>
        <v>0</v>
      </c>
      <c r="AB232" s="263">
        <f t="shared" si="1001"/>
        <v>0</v>
      </c>
      <c r="AC232" s="263">
        <f t="shared" si="1001"/>
        <v>0</v>
      </c>
      <c r="AD232" s="223">
        <f t="shared" si="1002"/>
        <v>0</v>
      </c>
      <c r="AE232" s="284"/>
      <c r="AF232" s="263">
        <f t="shared" si="1003"/>
        <v>0</v>
      </c>
      <c r="AG232" s="263">
        <f t="shared" si="1003"/>
        <v>0</v>
      </c>
      <c r="AH232" s="263">
        <f t="shared" si="1003"/>
        <v>0</v>
      </c>
      <c r="AI232" s="263">
        <f t="shared" si="1003"/>
        <v>0</v>
      </c>
      <c r="AJ232" s="263">
        <f t="shared" si="1003"/>
        <v>0</v>
      </c>
      <c r="AK232" s="263">
        <f t="shared" si="1003"/>
        <v>0</v>
      </c>
      <c r="AL232" s="263">
        <f t="shared" si="1003"/>
        <v>0</v>
      </c>
      <c r="AM232" s="263">
        <f t="shared" si="1003"/>
        <v>0</v>
      </c>
      <c r="AN232" s="263">
        <f t="shared" si="1003"/>
        <v>0</v>
      </c>
      <c r="AO232" s="263">
        <f t="shared" si="1003"/>
        <v>0</v>
      </c>
      <c r="AP232" s="263">
        <f t="shared" si="1003"/>
        <v>0</v>
      </c>
      <c r="AQ232" s="263">
        <f t="shared" si="1003"/>
        <v>0</v>
      </c>
      <c r="AR232" s="223">
        <f t="shared" si="1004"/>
        <v>0</v>
      </c>
      <c r="AS232" s="266"/>
      <c r="AT232" s="263">
        <f t="shared" si="1005"/>
        <v>0</v>
      </c>
      <c r="AU232" s="263">
        <f t="shared" si="1005"/>
        <v>0</v>
      </c>
      <c r="AV232" s="263">
        <f t="shared" si="1005"/>
        <v>0</v>
      </c>
      <c r="AW232" s="263">
        <f t="shared" si="1005"/>
        <v>0</v>
      </c>
      <c r="AX232" s="263">
        <f t="shared" si="1005"/>
        <v>0</v>
      </c>
      <c r="AY232" s="263">
        <f t="shared" si="1005"/>
        <v>0</v>
      </c>
      <c r="AZ232" s="263">
        <f t="shared" si="1005"/>
        <v>0</v>
      </c>
      <c r="BA232" s="263">
        <f t="shared" si="1005"/>
        <v>0</v>
      </c>
      <c r="BB232" s="263">
        <f t="shared" si="1005"/>
        <v>0</v>
      </c>
      <c r="BC232" s="263">
        <f t="shared" si="1005"/>
        <v>0</v>
      </c>
      <c r="BD232" s="263">
        <f t="shared" si="1005"/>
        <v>0</v>
      </c>
      <c r="BE232" s="263">
        <f t="shared" si="1005"/>
        <v>0</v>
      </c>
      <c r="BF232" s="223">
        <f t="shared" si="1006"/>
        <v>0</v>
      </c>
      <c r="BG232" s="224"/>
      <c r="BH232" s="263">
        <f t="shared" si="1007"/>
        <v>0</v>
      </c>
      <c r="BI232" s="263">
        <f t="shared" si="1007"/>
        <v>0</v>
      </c>
      <c r="BJ232" s="263">
        <f t="shared" si="1007"/>
        <v>0</v>
      </c>
      <c r="BK232" s="263">
        <f t="shared" si="1007"/>
        <v>0</v>
      </c>
      <c r="BL232" s="263">
        <f t="shared" si="1007"/>
        <v>0</v>
      </c>
      <c r="BM232" s="263">
        <f t="shared" si="1007"/>
        <v>0</v>
      </c>
      <c r="BN232" s="263">
        <f t="shared" si="1007"/>
        <v>0</v>
      </c>
      <c r="BO232" s="263">
        <f t="shared" si="1007"/>
        <v>0</v>
      </c>
      <c r="BP232" s="263">
        <f t="shared" si="1007"/>
        <v>0</v>
      </c>
      <c r="BQ232" s="263">
        <f t="shared" si="1007"/>
        <v>0</v>
      </c>
      <c r="BR232" s="263">
        <f t="shared" si="1007"/>
        <v>0</v>
      </c>
      <c r="BS232" s="263">
        <f t="shared" si="1007"/>
        <v>0</v>
      </c>
      <c r="BT232" s="223">
        <f t="shared" si="1008"/>
        <v>0</v>
      </c>
      <c r="BU232" s="266"/>
      <c r="BV232" s="263">
        <f t="shared" si="1009"/>
        <v>0</v>
      </c>
      <c r="BW232" s="263">
        <f t="shared" si="1009"/>
        <v>0</v>
      </c>
      <c r="BX232" s="263">
        <f t="shared" si="1009"/>
        <v>0</v>
      </c>
      <c r="BY232" s="263">
        <f t="shared" si="1009"/>
        <v>0</v>
      </c>
      <c r="BZ232" s="263">
        <f t="shared" si="1009"/>
        <v>0</v>
      </c>
      <c r="CA232" s="263">
        <f t="shared" si="1009"/>
        <v>0</v>
      </c>
      <c r="CB232" s="263">
        <f t="shared" si="1009"/>
        <v>0</v>
      </c>
      <c r="CC232" s="263">
        <f t="shared" si="1009"/>
        <v>0</v>
      </c>
      <c r="CD232" s="263">
        <f t="shared" si="1009"/>
        <v>0</v>
      </c>
      <c r="CE232" s="263">
        <f t="shared" si="1009"/>
        <v>0</v>
      </c>
      <c r="CF232" s="263">
        <f t="shared" si="1009"/>
        <v>0</v>
      </c>
      <c r="CG232" s="263">
        <f t="shared" si="1009"/>
        <v>0</v>
      </c>
      <c r="CH232" s="223">
        <f t="shared" si="1010"/>
        <v>0</v>
      </c>
      <c r="CI232" s="284"/>
      <c r="CJ232" s="263">
        <f t="shared" si="1011"/>
        <v>0</v>
      </c>
      <c r="CK232" s="263">
        <f t="shared" si="1011"/>
        <v>0</v>
      </c>
      <c r="CL232" s="263">
        <f t="shared" si="1011"/>
        <v>0</v>
      </c>
      <c r="CM232" s="263">
        <f t="shared" si="1011"/>
        <v>0</v>
      </c>
      <c r="CN232" s="263">
        <f t="shared" si="1011"/>
        <v>0</v>
      </c>
      <c r="CO232" s="263">
        <f t="shared" si="1011"/>
        <v>0</v>
      </c>
      <c r="CP232" s="263">
        <f t="shared" si="1011"/>
        <v>0</v>
      </c>
      <c r="CQ232" s="263">
        <f t="shared" si="1011"/>
        <v>0</v>
      </c>
      <c r="CR232" s="263">
        <f t="shared" si="1011"/>
        <v>0</v>
      </c>
      <c r="CS232" s="263">
        <f t="shared" si="1011"/>
        <v>0</v>
      </c>
      <c r="CT232" s="263">
        <f t="shared" si="1011"/>
        <v>0</v>
      </c>
      <c r="CU232" s="263">
        <f t="shared" si="1011"/>
        <v>0</v>
      </c>
      <c r="CV232" s="223">
        <f t="shared" si="1012"/>
        <v>0</v>
      </c>
      <c r="CW232" s="284"/>
      <c r="CX232" s="263">
        <f t="shared" si="1013"/>
        <v>0</v>
      </c>
      <c r="CY232" s="263">
        <f t="shared" si="1013"/>
        <v>0</v>
      </c>
      <c r="CZ232" s="263">
        <f t="shared" si="1013"/>
        <v>0</v>
      </c>
      <c r="DA232" s="263">
        <f t="shared" si="1013"/>
        <v>0</v>
      </c>
      <c r="DB232" s="263">
        <f t="shared" si="1013"/>
        <v>0</v>
      </c>
      <c r="DC232" s="263">
        <f t="shared" si="1013"/>
        <v>0</v>
      </c>
      <c r="DD232" s="263">
        <f t="shared" si="1013"/>
        <v>0</v>
      </c>
      <c r="DE232" s="263">
        <f t="shared" si="1013"/>
        <v>0</v>
      </c>
      <c r="DF232" s="263">
        <f t="shared" si="1013"/>
        <v>0</v>
      </c>
      <c r="DG232" s="263">
        <f t="shared" si="1013"/>
        <v>0</v>
      </c>
      <c r="DH232" s="263">
        <f t="shared" si="1013"/>
        <v>0</v>
      </c>
      <c r="DI232" s="263">
        <f t="shared" si="1013"/>
        <v>0</v>
      </c>
      <c r="DJ232" s="223">
        <f t="shared" si="1014"/>
        <v>0</v>
      </c>
      <c r="DK232" s="284"/>
      <c r="DL232" s="263">
        <f t="shared" si="1015"/>
        <v>0</v>
      </c>
      <c r="DM232" s="263">
        <f t="shared" si="1015"/>
        <v>0</v>
      </c>
      <c r="DN232" s="263">
        <f t="shared" si="1015"/>
        <v>0</v>
      </c>
      <c r="DO232" s="263">
        <f t="shared" si="1015"/>
        <v>0</v>
      </c>
      <c r="DP232" s="263">
        <f t="shared" si="1015"/>
        <v>0</v>
      </c>
      <c r="DQ232" s="263">
        <f t="shared" si="1015"/>
        <v>0</v>
      </c>
      <c r="DR232" s="263">
        <f t="shared" si="1015"/>
        <v>0</v>
      </c>
      <c r="DS232" s="263">
        <f t="shared" si="1015"/>
        <v>0</v>
      </c>
      <c r="DT232" s="263">
        <f t="shared" si="1015"/>
        <v>0</v>
      </c>
      <c r="DU232" s="263">
        <f t="shared" si="1015"/>
        <v>0</v>
      </c>
      <c r="DV232" s="263">
        <f t="shared" si="1015"/>
        <v>0</v>
      </c>
      <c r="DW232" s="263">
        <f t="shared" si="1015"/>
        <v>0</v>
      </c>
      <c r="DX232" s="223">
        <f t="shared" si="1016"/>
        <v>0</v>
      </c>
      <c r="DY232" s="284"/>
      <c r="DZ232" s="263">
        <f t="shared" si="1017"/>
        <v>0</v>
      </c>
      <c r="EA232" s="263">
        <f t="shared" si="1017"/>
        <v>0</v>
      </c>
      <c r="EB232" s="263">
        <f t="shared" si="1017"/>
        <v>0</v>
      </c>
      <c r="EC232" s="263">
        <f t="shared" si="1017"/>
        <v>0</v>
      </c>
      <c r="ED232" s="263">
        <f t="shared" si="1017"/>
        <v>0</v>
      </c>
      <c r="EE232" s="263">
        <f t="shared" si="1017"/>
        <v>0</v>
      </c>
      <c r="EF232" s="263">
        <f t="shared" si="1017"/>
        <v>0</v>
      </c>
      <c r="EG232" s="263">
        <f t="shared" si="1017"/>
        <v>0</v>
      </c>
      <c r="EH232" s="263">
        <f t="shared" si="1017"/>
        <v>0</v>
      </c>
      <c r="EI232" s="263">
        <f t="shared" si="1017"/>
        <v>0</v>
      </c>
      <c r="EJ232" s="263">
        <f t="shared" si="1017"/>
        <v>0</v>
      </c>
      <c r="EK232" s="263">
        <f t="shared" si="1017"/>
        <v>0</v>
      </c>
      <c r="EL232" s="223">
        <f t="shared" si="1018"/>
        <v>0</v>
      </c>
      <c r="EM232" s="284"/>
      <c r="EN232" s="263">
        <f t="shared" si="1019"/>
        <v>0</v>
      </c>
      <c r="EO232" s="263">
        <f t="shared" si="1019"/>
        <v>0</v>
      </c>
      <c r="EP232" s="263">
        <f t="shared" si="1019"/>
        <v>0</v>
      </c>
      <c r="EQ232" s="263">
        <f t="shared" si="1019"/>
        <v>0</v>
      </c>
      <c r="ER232" s="263">
        <f t="shared" si="1019"/>
        <v>0</v>
      </c>
      <c r="ES232" s="263">
        <f t="shared" si="1019"/>
        <v>0</v>
      </c>
      <c r="ET232" s="263">
        <f t="shared" si="1019"/>
        <v>0</v>
      </c>
      <c r="EU232" s="263">
        <f t="shared" si="1019"/>
        <v>0</v>
      </c>
      <c r="EV232" s="263">
        <f t="shared" si="1019"/>
        <v>0</v>
      </c>
      <c r="EW232" s="263">
        <f t="shared" si="1019"/>
        <v>0</v>
      </c>
      <c r="EX232" s="263">
        <f t="shared" si="1019"/>
        <v>0</v>
      </c>
      <c r="EY232" s="263">
        <f t="shared" si="1019"/>
        <v>0</v>
      </c>
      <c r="EZ232" s="223">
        <f t="shared" si="1020"/>
        <v>0</v>
      </c>
      <c r="FA232" s="284"/>
      <c r="FB232" s="263">
        <f t="shared" si="1021"/>
        <v>0</v>
      </c>
      <c r="FC232" s="263">
        <f t="shared" si="1021"/>
        <v>0</v>
      </c>
      <c r="FD232" s="263">
        <f t="shared" si="1021"/>
        <v>0</v>
      </c>
      <c r="FE232" s="263">
        <f t="shared" si="1021"/>
        <v>0</v>
      </c>
      <c r="FF232" s="263">
        <f t="shared" si="1021"/>
        <v>0</v>
      </c>
      <c r="FG232" s="263">
        <f t="shared" si="1021"/>
        <v>0</v>
      </c>
      <c r="FH232" s="263">
        <f t="shared" si="1021"/>
        <v>0</v>
      </c>
      <c r="FI232" s="263">
        <f t="shared" si="1021"/>
        <v>0</v>
      </c>
      <c r="FJ232" s="263">
        <f t="shared" si="1021"/>
        <v>0</v>
      </c>
      <c r="FK232" s="263">
        <f t="shared" si="1021"/>
        <v>0</v>
      </c>
      <c r="FL232" s="263">
        <f t="shared" si="1021"/>
        <v>0</v>
      </c>
      <c r="FM232" s="263">
        <f t="shared" si="1021"/>
        <v>0</v>
      </c>
      <c r="FN232" s="223">
        <f t="shared" si="1022"/>
        <v>0</v>
      </c>
      <c r="FO232" s="284"/>
      <c r="FP232" s="263">
        <f t="shared" si="1023"/>
        <v>0</v>
      </c>
      <c r="FQ232" s="263">
        <f t="shared" si="1023"/>
        <v>0</v>
      </c>
      <c r="FR232" s="263">
        <f t="shared" si="1023"/>
        <v>0</v>
      </c>
      <c r="FS232" s="263">
        <f t="shared" si="1023"/>
        <v>0</v>
      </c>
      <c r="FT232" s="263">
        <f t="shared" si="1023"/>
        <v>0</v>
      </c>
      <c r="FU232" s="263">
        <f t="shared" si="1023"/>
        <v>0</v>
      </c>
      <c r="FV232" s="263">
        <f t="shared" si="1023"/>
        <v>0</v>
      </c>
      <c r="FW232" s="263">
        <f t="shared" si="1023"/>
        <v>0</v>
      </c>
      <c r="FX232" s="263">
        <f t="shared" si="1023"/>
        <v>0</v>
      </c>
      <c r="FY232" s="263">
        <f t="shared" si="1023"/>
        <v>0</v>
      </c>
      <c r="FZ232" s="263">
        <f t="shared" si="1023"/>
        <v>0</v>
      </c>
      <c r="GA232" s="263">
        <f t="shared" si="1023"/>
        <v>0</v>
      </c>
      <c r="GB232" s="223">
        <f t="shared" si="1024"/>
        <v>0</v>
      </c>
      <c r="GC232" s="284"/>
      <c r="GD232" s="263">
        <f t="shared" si="1025"/>
        <v>0</v>
      </c>
      <c r="GE232" s="263">
        <f t="shared" si="1025"/>
        <v>0</v>
      </c>
      <c r="GF232" s="263">
        <f t="shared" si="1025"/>
        <v>0</v>
      </c>
      <c r="GG232" s="263">
        <f t="shared" si="1025"/>
        <v>0</v>
      </c>
      <c r="GH232" s="263">
        <f t="shared" si="1025"/>
        <v>0</v>
      </c>
      <c r="GI232" s="263">
        <f t="shared" si="1025"/>
        <v>0</v>
      </c>
      <c r="GJ232" s="263">
        <f t="shared" si="1025"/>
        <v>0</v>
      </c>
      <c r="GK232" s="263">
        <f t="shared" si="1025"/>
        <v>0</v>
      </c>
      <c r="GL232" s="263">
        <f t="shared" si="1025"/>
        <v>0</v>
      </c>
      <c r="GM232" s="263">
        <f t="shared" si="1025"/>
        <v>0</v>
      </c>
      <c r="GN232" s="263">
        <f t="shared" si="1025"/>
        <v>0</v>
      </c>
      <c r="GO232" s="263">
        <f t="shared" si="1025"/>
        <v>0</v>
      </c>
      <c r="GP232" s="223">
        <f t="shared" si="1026"/>
        <v>0</v>
      </c>
      <c r="GQ232" s="284"/>
      <c r="GR232" s="263">
        <f t="shared" si="1027"/>
        <v>0</v>
      </c>
      <c r="GS232" s="263">
        <f t="shared" si="1027"/>
        <v>0</v>
      </c>
      <c r="GT232" s="263">
        <f t="shared" si="1027"/>
        <v>0</v>
      </c>
      <c r="GU232" s="263">
        <f t="shared" si="1027"/>
        <v>0</v>
      </c>
      <c r="GV232" s="263">
        <f t="shared" si="1027"/>
        <v>0</v>
      </c>
      <c r="GW232" s="263">
        <f t="shared" si="1027"/>
        <v>0</v>
      </c>
      <c r="GX232" s="263">
        <f t="shared" si="1027"/>
        <v>0</v>
      </c>
      <c r="GY232" s="263">
        <f t="shared" si="1027"/>
        <v>0</v>
      </c>
      <c r="GZ232" s="263">
        <f t="shared" si="1027"/>
        <v>0</v>
      </c>
      <c r="HA232" s="263">
        <f t="shared" si="1027"/>
        <v>0</v>
      </c>
      <c r="HB232" s="263">
        <f t="shared" si="1027"/>
        <v>0</v>
      </c>
      <c r="HC232" s="263">
        <f t="shared" si="1027"/>
        <v>0</v>
      </c>
      <c r="HD232" s="223">
        <f t="shared" si="1048"/>
        <v>0</v>
      </c>
      <c r="HE232" s="284"/>
      <c r="HF232" s="263">
        <f t="shared" si="1029"/>
        <v>0</v>
      </c>
      <c r="HG232" s="263">
        <f t="shared" si="1029"/>
        <v>0</v>
      </c>
      <c r="HH232" s="263">
        <f t="shared" si="1029"/>
        <v>0</v>
      </c>
      <c r="HI232" s="263">
        <f t="shared" si="1029"/>
        <v>0</v>
      </c>
      <c r="HJ232" s="263">
        <f t="shared" si="1029"/>
        <v>0</v>
      </c>
      <c r="HK232" s="263">
        <f t="shared" si="1029"/>
        <v>0</v>
      </c>
      <c r="HL232" s="263">
        <f t="shared" si="1029"/>
        <v>0</v>
      </c>
      <c r="HM232" s="263">
        <f t="shared" si="1029"/>
        <v>0</v>
      </c>
      <c r="HN232" s="263">
        <f t="shared" si="1029"/>
        <v>0</v>
      </c>
      <c r="HO232" s="263">
        <f t="shared" si="1029"/>
        <v>0</v>
      </c>
      <c r="HP232" s="263">
        <f t="shared" si="1029"/>
        <v>0</v>
      </c>
      <c r="HQ232" s="263">
        <f t="shared" si="1029"/>
        <v>0</v>
      </c>
      <c r="HR232" s="223">
        <f t="shared" si="1030"/>
        <v>0</v>
      </c>
      <c r="HS232" s="284"/>
      <c r="HT232" s="263">
        <f t="shared" si="1031"/>
        <v>0</v>
      </c>
      <c r="HU232" s="263">
        <f t="shared" si="1031"/>
        <v>0</v>
      </c>
      <c r="HV232" s="263">
        <f t="shared" si="1031"/>
        <v>0</v>
      </c>
      <c r="HW232" s="263">
        <f t="shared" si="1031"/>
        <v>0</v>
      </c>
      <c r="HX232" s="263">
        <f t="shared" si="1031"/>
        <v>0</v>
      </c>
      <c r="HY232" s="263">
        <f t="shared" si="1031"/>
        <v>0</v>
      </c>
      <c r="HZ232" s="263">
        <f t="shared" si="1031"/>
        <v>0</v>
      </c>
      <c r="IA232" s="263">
        <f t="shared" si="1031"/>
        <v>0</v>
      </c>
      <c r="IB232" s="263">
        <f t="shared" si="1031"/>
        <v>0</v>
      </c>
      <c r="IC232" s="263">
        <f t="shared" si="1031"/>
        <v>0</v>
      </c>
      <c r="ID232" s="263">
        <f t="shared" si="1031"/>
        <v>0</v>
      </c>
      <c r="IE232" s="263">
        <f t="shared" si="1031"/>
        <v>0</v>
      </c>
      <c r="IF232" s="223">
        <f t="shared" si="1032"/>
        <v>0</v>
      </c>
      <c r="IG232" s="284"/>
      <c r="IH232" s="263">
        <f t="shared" si="1033"/>
        <v>0</v>
      </c>
      <c r="II232" s="263">
        <f t="shared" si="1033"/>
        <v>0</v>
      </c>
      <c r="IJ232" s="263">
        <f t="shared" si="1033"/>
        <v>0</v>
      </c>
      <c r="IK232" s="263">
        <f t="shared" si="1033"/>
        <v>0</v>
      </c>
      <c r="IL232" s="263">
        <f t="shared" si="1033"/>
        <v>0</v>
      </c>
      <c r="IM232" s="263">
        <f t="shared" si="1033"/>
        <v>0</v>
      </c>
      <c r="IN232" s="263">
        <f t="shared" si="1033"/>
        <v>0</v>
      </c>
      <c r="IO232" s="263">
        <f t="shared" si="1033"/>
        <v>0</v>
      </c>
      <c r="IP232" s="263">
        <f t="shared" si="1033"/>
        <v>0</v>
      </c>
      <c r="IQ232" s="263">
        <f t="shared" si="1033"/>
        <v>0</v>
      </c>
      <c r="IR232" s="263">
        <f t="shared" si="1033"/>
        <v>0</v>
      </c>
      <c r="IS232" s="263">
        <f t="shared" si="1033"/>
        <v>0</v>
      </c>
      <c r="IT232" s="223">
        <f t="shared" si="1034"/>
        <v>0</v>
      </c>
      <c r="IU232" s="284"/>
      <c r="IV232" s="263">
        <f t="shared" si="1035"/>
        <v>0</v>
      </c>
      <c r="IW232" s="263">
        <f t="shared" si="1035"/>
        <v>0</v>
      </c>
      <c r="IX232" s="263">
        <f t="shared" si="1035"/>
        <v>0</v>
      </c>
      <c r="IY232" s="263">
        <f t="shared" si="1035"/>
        <v>0</v>
      </c>
      <c r="IZ232" s="263">
        <f t="shared" si="1035"/>
        <v>0</v>
      </c>
      <c r="JA232" s="263">
        <f t="shared" si="1035"/>
        <v>0</v>
      </c>
      <c r="JB232" s="263">
        <f t="shared" si="1035"/>
        <v>0</v>
      </c>
      <c r="JC232" s="263">
        <f t="shared" si="1035"/>
        <v>0</v>
      </c>
      <c r="JD232" s="263">
        <f t="shared" si="1035"/>
        <v>0</v>
      </c>
      <c r="JE232" s="263">
        <f t="shared" si="1035"/>
        <v>0</v>
      </c>
      <c r="JF232" s="263">
        <f t="shared" si="1035"/>
        <v>0</v>
      </c>
      <c r="JG232" s="263">
        <f t="shared" si="1035"/>
        <v>0</v>
      </c>
      <c r="JH232" s="223">
        <f t="shared" si="1036"/>
        <v>0</v>
      </c>
      <c r="JI232" s="284"/>
      <c r="JJ232" s="263">
        <f t="shared" si="1037"/>
        <v>0</v>
      </c>
      <c r="JK232" s="263">
        <f t="shared" si="1037"/>
        <v>0</v>
      </c>
      <c r="JL232" s="263">
        <f t="shared" si="1037"/>
        <v>0</v>
      </c>
      <c r="JM232" s="263">
        <f t="shared" si="1037"/>
        <v>0</v>
      </c>
      <c r="JN232" s="263">
        <f t="shared" si="1037"/>
        <v>0</v>
      </c>
      <c r="JO232" s="263">
        <f t="shared" si="1037"/>
        <v>0</v>
      </c>
      <c r="JP232" s="263">
        <f t="shared" si="1037"/>
        <v>0</v>
      </c>
      <c r="JQ232" s="263">
        <f t="shared" si="1037"/>
        <v>0</v>
      </c>
      <c r="JR232" s="263">
        <f t="shared" si="1037"/>
        <v>0</v>
      </c>
      <c r="JS232" s="263">
        <f t="shared" si="1037"/>
        <v>0</v>
      </c>
      <c r="JT232" s="263">
        <f t="shared" si="1037"/>
        <v>0</v>
      </c>
      <c r="JU232" s="263">
        <f t="shared" si="1037"/>
        <v>0</v>
      </c>
      <c r="JV232" s="223">
        <f t="shared" si="1038"/>
        <v>0</v>
      </c>
      <c r="JW232" s="284"/>
      <c r="JX232" s="263">
        <f t="shared" si="1039"/>
        <v>0</v>
      </c>
      <c r="JY232" s="263">
        <f t="shared" si="1039"/>
        <v>0</v>
      </c>
      <c r="JZ232" s="263">
        <f t="shared" si="1039"/>
        <v>0</v>
      </c>
      <c r="KA232" s="263">
        <f t="shared" si="1039"/>
        <v>0</v>
      </c>
      <c r="KB232" s="263">
        <f t="shared" si="1039"/>
        <v>0</v>
      </c>
      <c r="KC232" s="263">
        <f t="shared" si="1039"/>
        <v>0</v>
      </c>
      <c r="KD232" s="263">
        <f t="shared" si="1039"/>
        <v>0</v>
      </c>
      <c r="KE232" s="263">
        <f t="shared" si="1039"/>
        <v>0</v>
      </c>
      <c r="KF232" s="263">
        <f t="shared" si="1039"/>
        <v>0</v>
      </c>
      <c r="KG232" s="263">
        <f t="shared" si="1039"/>
        <v>0</v>
      </c>
      <c r="KH232" s="263">
        <f t="shared" si="1039"/>
        <v>0</v>
      </c>
      <c r="KI232" s="263">
        <f t="shared" si="1039"/>
        <v>0</v>
      </c>
      <c r="KJ232" s="223">
        <f t="shared" si="1040"/>
        <v>0</v>
      </c>
      <c r="KK232" s="284"/>
      <c r="KL232" s="263">
        <f t="shared" si="1041"/>
        <v>0</v>
      </c>
      <c r="KM232" s="263">
        <f t="shared" si="1041"/>
        <v>0</v>
      </c>
      <c r="KN232" s="263">
        <f t="shared" si="1041"/>
        <v>0</v>
      </c>
      <c r="KO232" s="263">
        <f t="shared" si="1041"/>
        <v>0</v>
      </c>
      <c r="KP232" s="263">
        <f t="shared" si="1041"/>
        <v>0</v>
      </c>
      <c r="KQ232" s="263">
        <f t="shared" si="1041"/>
        <v>0</v>
      </c>
      <c r="KR232" s="263">
        <f t="shared" si="1041"/>
        <v>0</v>
      </c>
      <c r="KS232" s="263">
        <f t="shared" si="1041"/>
        <v>0</v>
      </c>
      <c r="KT232" s="263">
        <f t="shared" si="1041"/>
        <v>0</v>
      </c>
      <c r="KU232" s="263">
        <f t="shared" si="1041"/>
        <v>0</v>
      </c>
      <c r="KV232" s="263">
        <f t="shared" si="1041"/>
        <v>0</v>
      </c>
      <c r="KW232" s="263">
        <f t="shared" si="1041"/>
        <v>0</v>
      </c>
      <c r="KX232" s="223">
        <f t="shared" si="1042"/>
        <v>0</v>
      </c>
      <c r="KY232" s="284"/>
      <c r="KZ232" s="263">
        <f t="shared" si="1043"/>
        <v>0</v>
      </c>
      <c r="LA232" s="263">
        <f t="shared" si="1043"/>
        <v>0</v>
      </c>
      <c r="LB232" s="263">
        <f t="shared" si="1043"/>
        <v>0</v>
      </c>
      <c r="LC232" s="263">
        <f t="shared" si="1043"/>
        <v>0</v>
      </c>
      <c r="LD232" s="263">
        <f t="shared" si="1043"/>
        <v>0</v>
      </c>
      <c r="LE232" s="263">
        <f t="shared" si="1043"/>
        <v>0</v>
      </c>
      <c r="LF232" s="263">
        <f t="shared" si="1043"/>
        <v>0</v>
      </c>
      <c r="LG232" s="263">
        <f t="shared" si="1043"/>
        <v>0</v>
      </c>
      <c r="LH232" s="263">
        <f t="shared" si="1043"/>
        <v>0</v>
      </c>
      <c r="LI232" s="263">
        <f t="shared" si="1043"/>
        <v>0</v>
      </c>
      <c r="LJ232" s="263">
        <f t="shared" si="1043"/>
        <v>0</v>
      </c>
      <c r="LK232" s="263">
        <f t="shared" si="1043"/>
        <v>0</v>
      </c>
      <c r="LL232" s="223">
        <f t="shared" si="1044"/>
        <v>0</v>
      </c>
      <c r="LM232" s="284"/>
      <c r="LN232" s="263">
        <v>0</v>
      </c>
      <c r="LO232" s="264">
        <v>0</v>
      </c>
      <c r="LP232" s="265">
        <v>0</v>
      </c>
      <c r="LQ232" s="265">
        <v>0</v>
      </c>
      <c r="LR232" s="265">
        <v>0</v>
      </c>
      <c r="LS232" s="265">
        <v>0</v>
      </c>
      <c r="LT232" s="265">
        <v>0</v>
      </c>
      <c r="LU232" s="265">
        <v>0</v>
      </c>
      <c r="LV232" s="265">
        <v>0</v>
      </c>
      <c r="LW232" s="265">
        <v>0</v>
      </c>
      <c r="LX232" s="265">
        <v>0</v>
      </c>
      <c r="LY232" s="265">
        <v>0</v>
      </c>
      <c r="LZ232" s="223">
        <f t="shared" si="1045"/>
        <v>0</v>
      </c>
      <c r="MA232" s="284"/>
      <c r="MB232" s="230">
        <f t="shared" si="1046"/>
        <v>0</v>
      </c>
      <c r="MC232" s="230">
        <f t="shared" si="1046"/>
        <v>0</v>
      </c>
      <c r="MD232" s="230">
        <f t="shared" si="1046"/>
        <v>0</v>
      </c>
      <c r="ME232" s="230">
        <f t="shared" si="1046"/>
        <v>0</v>
      </c>
      <c r="MF232" s="230">
        <f t="shared" si="1046"/>
        <v>0</v>
      </c>
      <c r="MG232" s="230">
        <f t="shared" si="1046"/>
        <v>0</v>
      </c>
      <c r="MH232" s="230">
        <f t="shared" si="1046"/>
        <v>0</v>
      </c>
      <c r="MI232" s="230">
        <f t="shared" si="1046"/>
        <v>0</v>
      </c>
      <c r="MJ232" s="230">
        <f t="shared" si="1046"/>
        <v>0</v>
      </c>
      <c r="MK232" s="230">
        <f t="shared" si="1046"/>
        <v>0</v>
      </c>
      <c r="ML232" s="230">
        <f t="shared" si="1046"/>
        <v>0</v>
      </c>
      <c r="MM232" s="230">
        <f t="shared" si="1046"/>
        <v>0</v>
      </c>
      <c r="MN232" s="230">
        <f t="shared" si="1047"/>
        <v>0</v>
      </c>
    </row>
    <row r="233" spans="1:352" x14ac:dyDescent="0.25">
      <c r="A233" s="262"/>
      <c r="B233" s="182" t="s">
        <v>111</v>
      </c>
      <c r="C233" s="202"/>
      <c r="D233" s="263">
        <f t="shared" si="999"/>
        <v>0</v>
      </c>
      <c r="E233" s="263">
        <f t="shared" si="999"/>
        <v>0</v>
      </c>
      <c r="F233" s="263">
        <f t="shared" si="999"/>
        <v>0</v>
      </c>
      <c r="G233" s="263">
        <f t="shared" si="999"/>
        <v>0</v>
      </c>
      <c r="H233" s="263">
        <f t="shared" si="999"/>
        <v>0</v>
      </c>
      <c r="I233" s="263">
        <f t="shared" si="999"/>
        <v>0</v>
      </c>
      <c r="J233" s="263">
        <f t="shared" si="999"/>
        <v>0</v>
      </c>
      <c r="K233" s="263">
        <f t="shared" si="999"/>
        <v>0</v>
      </c>
      <c r="L233" s="263">
        <f t="shared" si="999"/>
        <v>0</v>
      </c>
      <c r="M233" s="263">
        <f t="shared" si="999"/>
        <v>0</v>
      </c>
      <c r="N233" s="263">
        <f t="shared" si="999"/>
        <v>0</v>
      </c>
      <c r="O233" s="263">
        <f t="shared" si="999"/>
        <v>0</v>
      </c>
      <c r="P233" s="223">
        <f t="shared" si="1000"/>
        <v>0</v>
      </c>
      <c r="Q233" s="284"/>
      <c r="R233" s="263">
        <f t="shared" si="1001"/>
        <v>0</v>
      </c>
      <c r="S233" s="263">
        <f t="shared" si="1001"/>
        <v>0</v>
      </c>
      <c r="T233" s="263">
        <f t="shared" si="1001"/>
        <v>0</v>
      </c>
      <c r="U233" s="263">
        <f t="shared" si="1001"/>
        <v>0</v>
      </c>
      <c r="V233" s="263">
        <f t="shared" si="1001"/>
        <v>0</v>
      </c>
      <c r="W233" s="263">
        <f t="shared" si="1001"/>
        <v>0</v>
      </c>
      <c r="X233" s="263">
        <f t="shared" si="1001"/>
        <v>0</v>
      </c>
      <c r="Y233" s="263">
        <f t="shared" si="1001"/>
        <v>0</v>
      </c>
      <c r="Z233" s="263">
        <f t="shared" si="1001"/>
        <v>0</v>
      </c>
      <c r="AA233" s="263">
        <f t="shared" si="1001"/>
        <v>0</v>
      </c>
      <c r="AB233" s="263">
        <f t="shared" si="1001"/>
        <v>0</v>
      </c>
      <c r="AC233" s="263">
        <f t="shared" si="1001"/>
        <v>0</v>
      </c>
      <c r="AD233" s="223">
        <f t="shared" si="1002"/>
        <v>0</v>
      </c>
      <c r="AE233" s="284"/>
      <c r="AF233" s="263">
        <f t="shared" si="1003"/>
        <v>0</v>
      </c>
      <c r="AG233" s="263">
        <f t="shared" si="1003"/>
        <v>0</v>
      </c>
      <c r="AH233" s="263">
        <f t="shared" si="1003"/>
        <v>0</v>
      </c>
      <c r="AI233" s="263">
        <f t="shared" si="1003"/>
        <v>0</v>
      </c>
      <c r="AJ233" s="263">
        <f t="shared" si="1003"/>
        <v>0</v>
      </c>
      <c r="AK233" s="263">
        <f t="shared" si="1003"/>
        <v>0</v>
      </c>
      <c r="AL233" s="263">
        <f t="shared" si="1003"/>
        <v>0</v>
      </c>
      <c r="AM233" s="263">
        <f t="shared" si="1003"/>
        <v>0</v>
      </c>
      <c r="AN233" s="263">
        <f t="shared" si="1003"/>
        <v>0</v>
      </c>
      <c r="AO233" s="263">
        <f t="shared" si="1003"/>
        <v>0</v>
      </c>
      <c r="AP233" s="263">
        <f t="shared" si="1003"/>
        <v>0</v>
      </c>
      <c r="AQ233" s="263">
        <f t="shared" si="1003"/>
        <v>0</v>
      </c>
      <c r="AR233" s="223">
        <f t="shared" si="1004"/>
        <v>0</v>
      </c>
      <c r="AS233" s="266"/>
      <c r="AT233" s="263">
        <f t="shared" si="1005"/>
        <v>0</v>
      </c>
      <c r="AU233" s="263">
        <f t="shared" si="1005"/>
        <v>0</v>
      </c>
      <c r="AV233" s="263">
        <f t="shared" si="1005"/>
        <v>0</v>
      </c>
      <c r="AW233" s="263">
        <f t="shared" si="1005"/>
        <v>0</v>
      </c>
      <c r="AX233" s="263">
        <f t="shared" si="1005"/>
        <v>0</v>
      </c>
      <c r="AY233" s="263">
        <f t="shared" si="1005"/>
        <v>0</v>
      </c>
      <c r="AZ233" s="263">
        <f t="shared" si="1005"/>
        <v>0</v>
      </c>
      <c r="BA233" s="263">
        <f t="shared" si="1005"/>
        <v>0</v>
      </c>
      <c r="BB233" s="263">
        <f t="shared" si="1005"/>
        <v>0</v>
      </c>
      <c r="BC233" s="263">
        <f t="shared" si="1005"/>
        <v>0</v>
      </c>
      <c r="BD233" s="263">
        <f t="shared" si="1005"/>
        <v>0</v>
      </c>
      <c r="BE233" s="263">
        <f t="shared" si="1005"/>
        <v>0</v>
      </c>
      <c r="BF233" s="223">
        <f t="shared" si="1006"/>
        <v>0</v>
      </c>
      <c r="BG233" s="224"/>
      <c r="BH233" s="263">
        <f t="shared" si="1007"/>
        <v>0</v>
      </c>
      <c r="BI233" s="263">
        <f t="shared" si="1007"/>
        <v>0</v>
      </c>
      <c r="BJ233" s="263">
        <f t="shared" si="1007"/>
        <v>0</v>
      </c>
      <c r="BK233" s="263">
        <f t="shared" si="1007"/>
        <v>0</v>
      </c>
      <c r="BL233" s="263">
        <f t="shared" si="1007"/>
        <v>0</v>
      </c>
      <c r="BM233" s="263">
        <f t="shared" si="1007"/>
        <v>0</v>
      </c>
      <c r="BN233" s="263">
        <f t="shared" si="1007"/>
        <v>0</v>
      </c>
      <c r="BO233" s="263">
        <f t="shared" si="1007"/>
        <v>0</v>
      </c>
      <c r="BP233" s="263">
        <f t="shared" si="1007"/>
        <v>0</v>
      </c>
      <c r="BQ233" s="263">
        <f t="shared" si="1007"/>
        <v>0</v>
      </c>
      <c r="BR233" s="263">
        <f t="shared" si="1007"/>
        <v>0</v>
      </c>
      <c r="BS233" s="263">
        <f t="shared" si="1007"/>
        <v>0</v>
      </c>
      <c r="BT233" s="223">
        <f t="shared" si="1008"/>
        <v>0</v>
      </c>
      <c r="BU233" s="266"/>
      <c r="BV233" s="263">
        <f t="shared" si="1009"/>
        <v>0</v>
      </c>
      <c r="BW233" s="263">
        <f t="shared" si="1009"/>
        <v>0</v>
      </c>
      <c r="BX233" s="263">
        <f t="shared" si="1009"/>
        <v>0</v>
      </c>
      <c r="BY233" s="263">
        <f t="shared" si="1009"/>
        <v>0</v>
      </c>
      <c r="BZ233" s="263">
        <f t="shared" si="1009"/>
        <v>0</v>
      </c>
      <c r="CA233" s="263">
        <f t="shared" si="1009"/>
        <v>0</v>
      </c>
      <c r="CB233" s="263">
        <f t="shared" si="1009"/>
        <v>0</v>
      </c>
      <c r="CC233" s="263">
        <f t="shared" si="1009"/>
        <v>0</v>
      </c>
      <c r="CD233" s="263">
        <f t="shared" si="1009"/>
        <v>0</v>
      </c>
      <c r="CE233" s="263">
        <f t="shared" si="1009"/>
        <v>0</v>
      </c>
      <c r="CF233" s="263">
        <f t="shared" si="1009"/>
        <v>0</v>
      </c>
      <c r="CG233" s="263">
        <f t="shared" si="1009"/>
        <v>0</v>
      </c>
      <c r="CH233" s="223">
        <f t="shared" si="1010"/>
        <v>0</v>
      </c>
      <c r="CI233" s="284"/>
      <c r="CJ233" s="263">
        <f t="shared" si="1011"/>
        <v>0</v>
      </c>
      <c r="CK233" s="263">
        <f t="shared" si="1011"/>
        <v>0</v>
      </c>
      <c r="CL233" s="263">
        <f t="shared" si="1011"/>
        <v>0</v>
      </c>
      <c r="CM233" s="263">
        <f t="shared" si="1011"/>
        <v>0</v>
      </c>
      <c r="CN233" s="263">
        <f t="shared" si="1011"/>
        <v>0</v>
      </c>
      <c r="CO233" s="263">
        <f t="shared" si="1011"/>
        <v>0</v>
      </c>
      <c r="CP233" s="263">
        <f t="shared" si="1011"/>
        <v>0</v>
      </c>
      <c r="CQ233" s="263">
        <f t="shared" si="1011"/>
        <v>0</v>
      </c>
      <c r="CR233" s="263">
        <f t="shared" si="1011"/>
        <v>0</v>
      </c>
      <c r="CS233" s="263">
        <f t="shared" si="1011"/>
        <v>0</v>
      </c>
      <c r="CT233" s="263">
        <f t="shared" si="1011"/>
        <v>0</v>
      </c>
      <c r="CU233" s="263">
        <f t="shared" si="1011"/>
        <v>0</v>
      </c>
      <c r="CV233" s="223">
        <f t="shared" si="1012"/>
        <v>0</v>
      </c>
      <c r="CW233" s="284"/>
      <c r="CX233" s="263">
        <f t="shared" si="1013"/>
        <v>0</v>
      </c>
      <c r="CY233" s="263">
        <f t="shared" si="1013"/>
        <v>0</v>
      </c>
      <c r="CZ233" s="263">
        <f t="shared" si="1013"/>
        <v>0</v>
      </c>
      <c r="DA233" s="263">
        <f t="shared" si="1013"/>
        <v>0</v>
      </c>
      <c r="DB233" s="263">
        <f t="shared" si="1013"/>
        <v>0</v>
      </c>
      <c r="DC233" s="263">
        <f t="shared" si="1013"/>
        <v>0</v>
      </c>
      <c r="DD233" s="263">
        <f t="shared" si="1013"/>
        <v>0</v>
      </c>
      <c r="DE233" s="263">
        <f t="shared" si="1013"/>
        <v>0</v>
      </c>
      <c r="DF233" s="263">
        <f t="shared" si="1013"/>
        <v>0</v>
      </c>
      <c r="DG233" s="263">
        <f t="shared" si="1013"/>
        <v>0</v>
      </c>
      <c r="DH233" s="263">
        <f t="shared" si="1013"/>
        <v>0</v>
      </c>
      <c r="DI233" s="263">
        <f t="shared" si="1013"/>
        <v>0</v>
      </c>
      <c r="DJ233" s="223">
        <f t="shared" si="1014"/>
        <v>0</v>
      </c>
      <c r="DK233" s="284"/>
      <c r="DL233" s="263">
        <f t="shared" si="1015"/>
        <v>0</v>
      </c>
      <c r="DM233" s="263">
        <f t="shared" si="1015"/>
        <v>0</v>
      </c>
      <c r="DN233" s="263">
        <f t="shared" si="1015"/>
        <v>0</v>
      </c>
      <c r="DO233" s="263">
        <f t="shared" si="1015"/>
        <v>0</v>
      </c>
      <c r="DP233" s="263">
        <f t="shared" si="1015"/>
        <v>0</v>
      </c>
      <c r="DQ233" s="263">
        <f t="shared" si="1015"/>
        <v>0</v>
      </c>
      <c r="DR233" s="263">
        <f t="shared" si="1015"/>
        <v>0</v>
      </c>
      <c r="DS233" s="263">
        <f t="shared" si="1015"/>
        <v>0</v>
      </c>
      <c r="DT233" s="263">
        <f t="shared" si="1015"/>
        <v>0</v>
      </c>
      <c r="DU233" s="263">
        <f t="shared" si="1015"/>
        <v>0</v>
      </c>
      <c r="DV233" s="263">
        <f t="shared" si="1015"/>
        <v>0</v>
      </c>
      <c r="DW233" s="263">
        <f t="shared" si="1015"/>
        <v>0</v>
      </c>
      <c r="DX233" s="223">
        <f t="shared" si="1016"/>
        <v>0</v>
      </c>
      <c r="DY233" s="284"/>
      <c r="DZ233" s="263">
        <f t="shared" si="1017"/>
        <v>0</v>
      </c>
      <c r="EA233" s="263">
        <f t="shared" si="1017"/>
        <v>0</v>
      </c>
      <c r="EB233" s="263">
        <f t="shared" si="1017"/>
        <v>0</v>
      </c>
      <c r="EC233" s="263">
        <f t="shared" si="1017"/>
        <v>0</v>
      </c>
      <c r="ED233" s="263">
        <f t="shared" si="1017"/>
        <v>0</v>
      </c>
      <c r="EE233" s="263">
        <f t="shared" si="1017"/>
        <v>0</v>
      </c>
      <c r="EF233" s="263">
        <f t="shared" si="1017"/>
        <v>0</v>
      </c>
      <c r="EG233" s="263">
        <f t="shared" si="1017"/>
        <v>0</v>
      </c>
      <c r="EH233" s="263">
        <f t="shared" si="1017"/>
        <v>0</v>
      </c>
      <c r="EI233" s="263">
        <f t="shared" si="1017"/>
        <v>0</v>
      </c>
      <c r="EJ233" s="263">
        <f t="shared" si="1017"/>
        <v>0</v>
      </c>
      <c r="EK233" s="263">
        <f t="shared" si="1017"/>
        <v>0</v>
      </c>
      <c r="EL233" s="223">
        <f t="shared" si="1018"/>
        <v>0</v>
      </c>
      <c r="EM233" s="284"/>
      <c r="EN233" s="263">
        <f t="shared" si="1019"/>
        <v>0</v>
      </c>
      <c r="EO233" s="263">
        <f t="shared" si="1019"/>
        <v>0</v>
      </c>
      <c r="EP233" s="263">
        <f t="shared" si="1019"/>
        <v>0</v>
      </c>
      <c r="EQ233" s="263">
        <f t="shared" si="1019"/>
        <v>0</v>
      </c>
      <c r="ER233" s="263">
        <f t="shared" si="1019"/>
        <v>0</v>
      </c>
      <c r="ES233" s="263">
        <f t="shared" si="1019"/>
        <v>0</v>
      </c>
      <c r="ET233" s="263">
        <f t="shared" si="1019"/>
        <v>0</v>
      </c>
      <c r="EU233" s="263">
        <f t="shared" si="1019"/>
        <v>0</v>
      </c>
      <c r="EV233" s="263">
        <f t="shared" si="1019"/>
        <v>0</v>
      </c>
      <c r="EW233" s="263">
        <f t="shared" si="1019"/>
        <v>0</v>
      </c>
      <c r="EX233" s="263">
        <f t="shared" si="1019"/>
        <v>0</v>
      </c>
      <c r="EY233" s="263">
        <f t="shared" si="1019"/>
        <v>0</v>
      </c>
      <c r="EZ233" s="223">
        <f t="shared" si="1020"/>
        <v>0</v>
      </c>
      <c r="FA233" s="284"/>
      <c r="FB233" s="263">
        <f t="shared" si="1021"/>
        <v>0</v>
      </c>
      <c r="FC233" s="263">
        <f t="shared" si="1021"/>
        <v>0</v>
      </c>
      <c r="FD233" s="263">
        <f t="shared" si="1021"/>
        <v>0</v>
      </c>
      <c r="FE233" s="263">
        <f t="shared" si="1021"/>
        <v>0</v>
      </c>
      <c r="FF233" s="263">
        <f t="shared" si="1021"/>
        <v>0</v>
      </c>
      <c r="FG233" s="263">
        <f t="shared" si="1021"/>
        <v>0</v>
      </c>
      <c r="FH233" s="263">
        <f t="shared" si="1021"/>
        <v>0</v>
      </c>
      <c r="FI233" s="263">
        <f t="shared" si="1021"/>
        <v>0</v>
      </c>
      <c r="FJ233" s="263">
        <f t="shared" si="1021"/>
        <v>0</v>
      </c>
      <c r="FK233" s="263">
        <f t="shared" si="1021"/>
        <v>0</v>
      </c>
      <c r="FL233" s="263">
        <f t="shared" si="1021"/>
        <v>0</v>
      </c>
      <c r="FM233" s="263">
        <f t="shared" si="1021"/>
        <v>0</v>
      </c>
      <c r="FN233" s="223">
        <f t="shared" si="1022"/>
        <v>0</v>
      </c>
      <c r="FO233" s="284"/>
      <c r="FP233" s="263">
        <f t="shared" si="1023"/>
        <v>0</v>
      </c>
      <c r="FQ233" s="263">
        <f t="shared" si="1023"/>
        <v>0</v>
      </c>
      <c r="FR233" s="263">
        <f t="shared" si="1023"/>
        <v>0</v>
      </c>
      <c r="FS233" s="263">
        <f t="shared" si="1023"/>
        <v>0</v>
      </c>
      <c r="FT233" s="263">
        <f t="shared" si="1023"/>
        <v>0</v>
      </c>
      <c r="FU233" s="263">
        <f t="shared" si="1023"/>
        <v>0</v>
      </c>
      <c r="FV233" s="263">
        <f t="shared" si="1023"/>
        <v>0</v>
      </c>
      <c r="FW233" s="263">
        <f t="shared" si="1023"/>
        <v>0</v>
      </c>
      <c r="FX233" s="263">
        <f t="shared" si="1023"/>
        <v>0</v>
      </c>
      <c r="FY233" s="263">
        <f t="shared" si="1023"/>
        <v>0</v>
      </c>
      <c r="FZ233" s="263">
        <f t="shared" si="1023"/>
        <v>0</v>
      </c>
      <c r="GA233" s="263">
        <f t="shared" si="1023"/>
        <v>0</v>
      </c>
      <c r="GB233" s="223">
        <f t="shared" si="1024"/>
        <v>0</v>
      </c>
      <c r="GC233" s="284"/>
      <c r="GD233" s="263">
        <f t="shared" si="1025"/>
        <v>0</v>
      </c>
      <c r="GE233" s="263">
        <f t="shared" si="1025"/>
        <v>0</v>
      </c>
      <c r="GF233" s="263">
        <f t="shared" si="1025"/>
        <v>0</v>
      </c>
      <c r="GG233" s="263">
        <f t="shared" si="1025"/>
        <v>0</v>
      </c>
      <c r="GH233" s="263">
        <f t="shared" si="1025"/>
        <v>0</v>
      </c>
      <c r="GI233" s="263">
        <f t="shared" si="1025"/>
        <v>0</v>
      </c>
      <c r="GJ233" s="263">
        <f t="shared" si="1025"/>
        <v>0</v>
      </c>
      <c r="GK233" s="263">
        <f t="shared" si="1025"/>
        <v>0</v>
      </c>
      <c r="GL233" s="263">
        <f t="shared" si="1025"/>
        <v>0</v>
      </c>
      <c r="GM233" s="263">
        <f t="shared" si="1025"/>
        <v>0</v>
      </c>
      <c r="GN233" s="263">
        <f t="shared" si="1025"/>
        <v>0</v>
      </c>
      <c r="GO233" s="263">
        <f t="shared" si="1025"/>
        <v>0</v>
      </c>
      <c r="GP233" s="223">
        <f t="shared" si="1026"/>
        <v>0</v>
      </c>
      <c r="GQ233" s="284"/>
      <c r="GR233" s="263">
        <f t="shared" si="1027"/>
        <v>0</v>
      </c>
      <c r="GS233" s="263">
        <f t="shared" si="1027"/>
        <v>0</v>
      </c>
      <c r="GT233" s="263">
        <f t="shared" si="1027"/>
        <v>0</v>
      </c>
      <c r="GU233" s="263">
        <f t="shared" si="1027"/>
        <v>0</v>
      </c>
      <c r="GV233" s="263">
        <f t="shared" si="1027"/>
        <v>0</v>
      </c>
      <c r="GW233" s="263">
        <f t="shared" si="1027"/>
        <v>0</v>
      </c>
      <c r="GX233" s="263">
        <f t="shared" si="1027"/>
        <v>0</v>
      </c>
      <c r="GY233" s="263">
        <f t="shared" si="1027"/>
        <v>0</v>
      </c>
      <c r="GZ233" s="263">
        <f t="shared" si="1027"/>
        <v>0</v>
      </c>
      <c r="HA233" s="263">
        <f t="shared" si="1027"/>
        <v>0</v>
      </c>
      <c r="HB233" s="263">
        <f t="shared" si="1027"/>
        <v>0</v>
      </c>
      <c r="HC233" s="263">
        <f t="shared" si="1027"/>
        <v>0</v>
      </c>
      <c r="HD233" s="223">
        <f t="shared" si="1048"/>
        <v>0</v>
      </c>
      <c r="HE233" s="284"/>
      <c r="HF233" s="263">
        <f t="shared" si="1029"/>
        <v>0</v>
      </c>
      <c r="HG233" s="263">
        <f t="shared" si="1029"/>
        <v>0</v>
      </c>
      <c r="HH233" s="263">
        <f t="shared" si="1029"/>
        <v>0</v>
      </c>
      <c r="HI233" s="263">
        <f t="shared" si="1029"/>
        <v>0</v>
      </c>
      <c r="HJ233" s="263">
        <f t="shared" si="1029"/>
        <v>0</v>
      </c>
      <c r="HK233" s="263">
        <f t="shared" si="1029"/>
        <v>0</v>
      </c>
      <c r="HL233" s="263">
        <f t="shared" si="1029"/>
        <v>0</v>
      </c>
      <c r="HM233" s="263">
        <f t="shared" si="1029"/>
        <v>0</v>
      </c>
      <c r="HN233" s="263">
        <f t="shared" si="1029"/>
        <v>0</v>
      </c>
      <c r="HO233" s="263">
        <f t="shared" si="1029"/>
        <v>0</v>
      </c>
      <c r="HP233" s="263">
        <f t="shared" si="1029"/>
        <v>0</v>
      </c>
      <c r="HQ233" s="263">
        <f t="shared" si="1029"/>
        <v>0</v>
      </c>
      <c r="HR233" s="223">
        <f t="shared" si="1030"/>
        <v>0</v>
      </c>
      <c r="HS233" s="284"/>
      <c r="HT233" s="263">
        <f t="shared" si="1031"/>
        <v>0</v>
      </c>
      <c r="HU233" s="263">
        <f t="shared" si="1031"/>
        <v>0</v>
      </c>
      <c r="HV233" s="263">
        <f t="shared" si="1031"/>
        <v>0</v>
      </c>
      <c r="HW233" s="263">
        <f t="shared" si="1031"/>
        <v>0</v>
      </c>
      <c r="HX233" s="263">
        <f t="shared" si="1031"/>
        <v>0</v>
      </c>
      <c r="HY233" s="263">
        <f t="shared" si="1031"/>
        <v>0</v>
      </c>
      <c r="HZ233" s="263">
        <f t="shared" si="1031"/>
        <v>0</v>
      </c>
      <c r="IA233" s="263">
        <f t="shared" si="1031"/>
        <v>0</v>
      </c>
      <c r="IB233" s="263">
        <f t="shared" si="1031"/>
        <v>0</v>
      </c>
      <c r="IC233" s="263">
        <f t="shared" si="1031"/>
        <v>0</v>
      </c>
      <c r="ID233" s="263">
        <f t="shared" si="1031"/>
        <v>0</v>
      </c>
      <c r="IE233" s="263">
        <f t="shared" si="1031"/>
        <v>0</v>
      </c>
      <c r="IF233" s="223">
        <f t="shared" si="1032"/>
        <v>0</v>
      </c>
      <c r="IG233" s="284"/>
      <c r="IH233" s="263">
        <f t="shared" si="1033"/>
        <v>0</v>
      </c>
      <c r="II233" s="263">
        <f t="shared" si="1033"/>
        <v>0</v>
      </c>
      <c r="IJ233" s="263">
        <f t="shared" si="1033"/>
        <v>0</v>
      </c>
      <c r="IK233" s="263">
        <f t="shared" si="1033"/>
        <v>0</v>
      </c>
      <c r="IL233" s="263">
        <f t="shared" si="1033"/>
        <v>0</v>
      </c>
      <c r="IM233" s="263">
        <f t="shared" si="1033"/>
        <v>0</v>
      </c>
      <c r="IN233" s="263">
        <f t="shared" si="1033"/>
        <v>0</v>
      </c>
      <c r="IO233" s="263">
        <f t="shared" si="1033"/>
        <v>0</v>
      </c>
      <c r="IP233" s="263">
        <f t="shared" si="1033"/>
        <v>0</v>
      </c>
      <c r="IQ233" s="263">
        <f t="shared" si="1033"/>
        <v>0</v>
      </c>
      <c r="IR233" s="263">
        <f t="shared" si="1033"/>
        <v>0</v>
      </c>
      <c r="IS233" s="263">
        <f t="shared" si="1033"/>
        <v>0</v>
      </c>
      <c r="IT233" s="223">
        <f t="shared" si="1034"/>
        <v>0</v>
      </c>
      <c r="IU233" s="284"/>
      <c r="IV233" s="263">
        <f t="shared" si="1035"/>
        <v>0</v>
      </c>
      <c r="IW233" s="263">
        <f t="shared" si="1035"/>
        <v>0</v>
      </c>
      <c r="IX233" s="263">
        <f t="shared" si="1035"/>
        <v>0</v>
      </c>
      <c r="IY233" s="263">
        <f t="shared" si="1035"/>
        <v>0</v>
      </c>
      <c r="IZ233" s="263">
        <f t="shared" si="1035"/>
        <v>0</v>
      </c>
      <c r="JA233" s="263">
        <f t="shared" si="1035"/>
        <v>0</v>
      </c>
      <c r="JB233" s="263">
        <f t="shared" si="1035"/>
        <v>0</v>
      </c>
      <c r="JC233" s="263">
        <f t="shared" si="1035"/>
        <v>0</v>
      </c>
      <c r="JD233" s="263">
        <f t="shared" si="1035"/>
        <v>0</v>
      </c>
      <c r="JE233" s="263">
        <f t="shared" si="1035"/>
        <v>0</v>
      </c>
      <c r="JF233" s="263">
        <f t="shared" si="1035"/>
        <v>0</v>
      </c>
      <c r="JG233" s="263">
        <f t="shared" si="1035"/>
        <v>0</v>
      </c>
      <c r="JH233" s="223">
        <f t="shared" si="1036"/>
        <v>0</v>
      </c>
      <c r="JI233" s="284"/>
      <c r="JJ233" s="263">
        <f t="shared" si="1037"/>
        <v>0</v>
      </c>
      <c r="JK233" s="263">
        <f t="shared" si="1037"/>
        <v>0</v>
      </c>
      <c r="JL233" s="263">
        <f t="shared" si="1037"/>
        <v>0</v>
      </c>
      <c r="JM233" s="263">
        <f t="shared" si="1037"/>
        <v>0</v>
      </c>
      <c r="JN233" s="263">
        <f t="shared" si="1037"/>
        <v>0</v>
      </c>
      <c r="JO233" s="263">
        <f t="shared" si="1037"/>
        <v>0</v>
      </c>
      <c r="JP233" s="263">
        <f t="shared" si="1037"/>
        <v>0</v>
      </c>
      <c r="JQ233" s="263">
        <f t="shared" si="1037"/>
        <v>0</v>
      </c>
      <c r="JR233" s="263">
        <f t="shared" si="1037"/>
        <v>0</v>
      </c>
      <c r="JS233" s="263">
        <f t="shared" si="1037"/>
        <v>0</v>
      </c>
      <c r="JT233" s="263">
        <f t="shared" si="1037"/>
        <v>0</v>
      </c>
      <c r="JU233" s="263">
        <f t="shared" si="1037"/>
        <v>0</v>
      </c>
      <c r="JV233" s="223">
        <f t="shared" si="1038"/>
        <v>0</v>
      </c>
      <c r="JW233" s="284"/>
      <c r="JX233" s="263">
        <f t="shared" si="1039"/>
        <v>0</v>
      </c>
      <c r="JY233" s="263">
        <f t="shared" si="1039"/>
        <v>0</v>
      </c>
      <c r="JZ233" s="263">
        <f t="shared" si="1039"/>
        <v>0</v>
      </c>
      <c r="KA233" s="263">
        <f t="shared" si="1039"/>
        <v>0</v>
      </c>
      <c r="KB233" s="263">
        <f t="shared" si="1039"/>
        <v>0</v>
      </c>
      <c r="KC233" s="263">
        <f t="shared" si="1039"/>
        <v>0</v>
      </c>
      <c r="KD233" s="263">
        <f t="shared" si="1039"/>
        <v>0</v>
      </c>
      <c r="KE233" s="263">
        <f t="shared" si="1039"/>
        <v>0</v>
      </c>
      <c r="KF233" s="263">
        <f t="shared" si="1039"/>
        <v>0</v>
      </c>
      <c r="KG233" s="263">
        <f t="shared" si="1039"/>
        <v>0</v>
      </c>
      <c r="KH233" s="263">
        <f t="shared" si="1039"/>
        <v>0</v>
      </c>
      <c r="KI233" s="263">
        <f t="shared" si="1039"/>
        <v>0</v>
      </c>
      <c r="KJ233" s="223">
        <f t="shared" si="1040"/>
        <v>0</v>
      </c>
      <c r="KK233" s="284"/>
      <c r="KL233" s="263">
        <f t="shared" si="1041"/>
        <v>0</v>
      </c>
      <c r="KM233" s="263">
        <f t="shared" si="1041"/>
        <v>0</v>
      </c>
      <c r="KN233" s="263">
        <f t="shared" si="1041"/>
        <v>0</v>
      </c>
      <c r="KO233" s="263">
        <f t="shared" si="1041"/>
        <v>0</v>
      </c>
      <c r="KP233" s="263">
        <f t="shared" si="1041"/>
        <v>0</v>
      </c>
      <c r="KQ233" s="263">
        <f t="shared" si="1041"/>
        <v>0</v>
      </c>
      <c r="KR233" s="263">
        <f t="shared" si="1041"/>
        <v>0</v>
      </c>
      <c r="KS233" s="263">
        <f t="shared" si="1041"/>
        <v>0</v>
      </c>
      <c r="KT233" s="263">
        <f t="shared" si="1041"/>
        <v>0</v>
      </c>
      <c r="KU233" s="263">
        <f t="shared" si="1041"/>
        <v>0</v>
      </c>
      <c r="KV233" s="263">
        <f t="shared" si="1041"/>
        <v>0</v>
      </c>
      <c r="KW233" s="263">
        <f t="shared" si="1041"/>
        <v>0</v>
      </c>
      <c r="KX233" s="223">
        <f t="shared" si="1042"/>
        <v>0</v>
      </c>
      <c r="KY233" s="284"/>
      <c r="KZ233" s="263">
        <f t="shared" si="1043"/>
        <v>0</v>
      </c>
      <c r="LA233" s="263">
        <f t="shared" si="1043"/>
        <v>0</v>
      </c>
      <c r="LB233" s="263">
        <f t="shared" si="1043"/>
        <v>0</v>
      </c>
      <c r="LC233" s="263">
        <f t="shared" si="1043"/>
        <v>0</v>
      </c>
      <c r="LD233" s="263">
        <f t="shared" si="1043"/>
        <v>0</v>
      </c>
      <c r="LE233" s="263">
        <f t="shared" si="1043"/>
        <v>0</v>
      </c>
      <c r="LF233" s="263">
        <f t="shared" si="1043"/>
        <v>0</v>
      </c>
      <c r="LG233" s="263">
        <f t="shared" si="1043"/>
        <v>0</v>
      </c>
      <c r="LH233" s="263">
        <f t="shared" si="1043"/>
        <v>0</v>
      </c>
      <c r="LI233" s="263">
        <f t="shared" si="1043"/>
        <v>0</v>
      </c>
      <c r="LJ233" s="263">
        <f t="shared" si="1043"/>
        <v>0</v>
      </c>
      <c r="LK233" s="263">
        <f t="shared" si="1043"/>
        <v>0</v>
      </c>
      <c r="LL233" s="223">
        <f t="shared" si="1044"/>
        <v>0</v>
      </c>
      <c r="LM233" s="284"/>
      <c r="LN233" s="263">
        <v>0</v>
      </c>
      <c r="LO233" s="264">
        <v>0</v>
      </c>
      <c r="LP233" s="265">
        <v>0</v>
      </c>
      <c r="LQ233" s="265">
        <v>0</v>
      </c>
      <c r="LR233" s="265">
        <v>0</v>
      </c>
      <c r="LS233" s="265">
        <v>0</v>
      </c>
      <c r="LT233" s="265">
        <v>0</v>
      </c>
      <c r="LU233" s="265">
        <v>0</v>
      </c>
      <c r="LV233" s="265">
        <v>0</v>
      </c>
      <c r="LW233" s="265">
        <v>0</v>
      </c>
      <c r="LX233" s="265">
        <v>0</v>
      </c>
      <c r="LY233" s="265">
        <v>0</v>
      </c>
      <c r="LZ233" s="223">
        <f t="shared" si="1045"/>
        <v>0</v>
      </c>
      <c r="MA233" s="284"/>
      <c r="MB233" s="230">
        <f t="shared" si="1046"/>
        <v>0</v>
      </c>
      <c r="MC233" s="230">
        <f t="shared" si="1046"/>
        <v>0</v>
      </c>
      <c r="MD233" s="230">
        <f t="shared" si="1046"/>
        <v>0</v>
      </c>
      <c r="ME233" s="230">
        <f t="shared" si="1046"/>
        <v>0</v>
      </c>
      <c r="MF233" s="230">
        <f t="shared" si="1046"/>
        <v>0</v>
      </c>
      <c r="MG233" s="230">
        <f t="shared" si="1046"/>
        <v>0</v>
      </c>
      <c r="MH233" s="230">
        <f t="shared" si="1046"/>
        <v>0</v>
      </c>
      <c r="MI233" s="230">
        <f t="shared" si="1046"/>
        <v>0</v>
      </c>
      <c r="MJ233" s="230">
        <f t="shared" si="1046"/>
        <v>0</v>
      </c>
      <c r="MK233" s="230">
        <f t="shared" si="1046"/>
        <v>0</v>
      </c>
      <c r="ML233" s="230">
        <f t="shared" si="1046"/>
        <v>0</v>
      </c>
      <c r="MM233" s="230">
        <f t="shared" si="1046"/>
        <v>0</v>
      </c>
      <c r="MN233" s="230">
        <f t="shared" si="1047"/>
        <v>0</v>
      </c>
    </row>
    <row r="234" spans="1:352" x14ac:dyDescent="0.25">
      <c r="A234" s="262"/>
      <c r="B234" s="178" t="s">
        <v>112</v>
      </c>
      <c r="C234" s="202"/>
      <c r="D234" s="263">
        <f t="shared" si="999"/>
        <v>0</v>
      </c>
      <c r="E234" s="263">
        <f t="shared" si="999"/>
        <v>0</v>
      </c>
      <c r="F234" s="263">
        <f t="shared" si="999"/>
        <v>0</v>
      </c>
      <c r="G234" s="263">
        <f t="shared" si="999"/>
        <v>0</v>
      </c>
      <c r="H234" s="263">
        <f t="shared" si="999"/>
        <v>0</v>
      </c>
      <c r="I234" s="263">
        <f t="shared" si="999"/>
        <v>0</v>
      </c>
      <c r="J234" s="263">
        <f t="shared" si="999"/>
        <v>0</v>
      </c>
      <c r="K234" s="263">
        <f t="shared" si="999"/>
        <v>0</v>
      </c>
      <c r="L234" s="263">
        <f t="shared" si="999"/>
        <v>0</v>
      </c>
      <c r="M234" s="263">
        <f t="shared" si="999"/>
        <v>0</v>
      </c>
      <c r="N234" s="263">
        <f t="shared" si="999"/>
        <v>0</v>
      </c>
      <c r="O234" s="263">
        <f t="shared" si="999"/>
        <v>0</v>
      </c>
      <c r="P234" s="223">
        <f t="shared" si="1000"/>
        <v>0</v>
      </c>
      <c r="Q234" s="284"/>
      <c r="R234" s="263">
        <f t="shared" si="1001"/>
        <v>0</v>
      </c>
      <c r="S234" s="263">
        <f t="shared" si="1001"/>
        <v>0</v>
      </c>
      <c r="T234" s="263">
        <f t="shared" si="1001"/>
        <v>0</v>
      </c>
      <c r="U234" s="263">
        <f t="shared" si="1001"/>
        <v>0</v>
      </c>
      <c r="V234" s="263">
        <f t="shared" si="1001"/>
        <v>0</v>
      </c>
      <c r="W234" s="263">
        <f t="shared" si="1001"/>
        <v>0</v>
      </c>
      <c r="X234" s="263">
        <f t="shared" si="1001"/>
        <v>0</v>
      </c>
      <c r="Y234" s="263">
        <f t="shared" si="1001"/>
        <v>0</v>
      </c>
      <c r="Z234" s="263">
        <f t="shared" si="1001"/>
        <v>0</v>
      </c>
      <c r="AA234" s="263">
        <f t="shared" si="1001"/>
        <v>0</v>
      </c>
      <c r="AB234" s="263">
        <f t="shared" si="1001"/>
        <v>0</v>
      </c>
      <c r="AC234" s="263">
        <f t="shared" si="1001"/>
        <v>0</v>
      </c>
      <c r="AD234" s="223">
        <f t="shared" si="1002"/>
        <v>0</v>
      </c>
      <c r="AE234" s="284"/>
      <c r="AF234" s="263">
        <f t="shared" si="1003"/>
        <v>0</v>
      </c>
      <c r="AG234" s="263">
        <f t="shared" si="1003"/>
        <v>0</v>
      </c>
      <c r="AH234" s="263">
        <f t="shared" si="1003"/>
        <v>0</v>
      </c>
      <c r="AI234" s="263">
        <f t="shared" si="1003"/>
        <v>0</v>
      </c>
      <c r="AJ234" s="263">
        <f t="shared" si="1003"/>
        <v>0</v>
      </c>
      <c r="AK234" s="263">
        <f t="shared" si="1003"/>
        <v>0</v>
      </c>
      <c r="AL234" s="263">
        <f t="shared" si="1003"/>
        <v>0</v>
      </c>
      <c r="AM234" s="263">
        <f t="shared" si="1003"/>
        <v>0</v>
      </c>
      <c r="AN234" s="263">
        <f t="shared" si="1003"/>
        <v>0</v>
      </c>
      <c r="AO234" s="263">
        <f t="shared" si="1003"/>
        <v>0</v>
      </c>
      <c r="AP234" s="263">
        <f t="shared" si="1003"/>
        <v>0</v>
      </c>
      <c r="AQ234" s="263">
        <f t="shared" si="1003"/>
        <v>0</v>
      </c>
      <c r="AR234" s="223">
        <f t="shared" si="1004"/>
        <v>0</v>
      </c>
      <c r="AS234" s="266"/>
      <c r="AT234" s="263">
        <f t="shared" si="1005"/>
        <v>0</v>
      </c>
      <c r="AU234" s="263">
        <f t="shared" si="1005"/>
        <v>0</v>
      </c>
      <c r="AV234" s="263">
        <f t="shared" si="1005"/>
        <v>0</v>
      </c>
      <c r="AW234" s="263">
        <f t="shared" si="1005"/>
        <v>0</v>
      </c>
      <c r="AX234" s="263">
        <f t="shared" si="1005"/>
        <v>0</v>
      </c>
      <c r="AY234" s="263">
        <f t="shared" si="1005"/>
        <v>0</v>
      </c>
      <c r="AZ234" s="263">
        <f t="shared" si="1005"/>
        <v>0</v>
      </c>
      <c r="BA234" s="263">
        <f t="shared" si="1005"/>
        <v>0</v>
      </c>
      <c r="BB234" s="263">
        <f t="shared" si="1005"/>
        <v>0</v>
      </c>
      <c r="BC234" s="263">
        <f t="shared" si="1005"/>
        <v>0</v>
      </c>
      <c r="BD234" s="263">
        <f t="shared" si="1005"/>
        <v>0</v>
      </c>
      <c r="BE234" s="263">
        <f t="shared" si="1005"/>
        <v>0</v>
      </c>
      <c r="BF234" s="223">
        <f t="shared" si="1006"/>
        <v>0</v>
      </c>
      <c r="BG234" s="224"/>
      <c r="BH234" s="263">
        <f t="shared" si="1007"/>
        <v>0</v>
      </c>
      <c r="BI234" s="263">
        <f t="shared" si="1007"/>
        <v>0</v>
      </c>
      <c r="BJ234" s="263">
        <f t="shared" si="1007"/>
        <v>0</v>
      </c>
      <c r="BK234" s="263">
        <f t="shared" si="1007"/>
        <v>0</v>
      </c>
      <c r="BL234" s="263">
        <f t="shared" si="1007"/>
        <v>0</v>
      </c>
      <c r="BM234" s="263">
        <f t="shared" si="1007"/>
        <v>0</v>
      </c>
      <c r="BN234" s="263">
        <f t="shared" si="1007"/>
        <v>0</v>
      </c>
      <c r="BO234" s="263">
        <f t="shared" si="1007"/>
        <v>0</v>
      </c>
      <c r="BP234" s="263">
        <f t="shared" si="1007"/>
        <v>0</v>
      </c>
      <c r="BQ234" s="263">
        <f t="shared" si="1007"/>
        <v>0</v>
      </c>
      <c r="BR234" s="263">
        <f t="shared" si="1007"/>
        <v>0</v>
      </c>
      <c r="BS234" s="263">
        <f t="shared" si="1007"/>
        <v>0</v>
      </c>
      <c r="BT234" s="223">
        <f t="shared" si="1008"/>
        <v>0</v>
      </c>
      <c r="BU234" s="266"/>
      <c r="BV234" s="263">
        <f t="shared" si="1009"/>
        <v>0</v>
      </c>
      <c r="BW234" s="263">
        <f t="shared" si="1009"/>
        <v>0</v>
      </c>
      <c r="BX234" s="263">
        <f t="shared" si="1009"/>
        <v>0</v>
      </c>
      <c r="BY234" s="263">
        <f t="shared" si="1009"/>
        <v>0</v>
      </c>
      <c r="BZ234" s="263">
        <f t="shared" si="1009"/>
        <v>0</v>
      </c>
      <c r="CA234" s="263">
        <f t="shared" si="1009"/>
        <v>0</v>
      </c>
      <c r="CB234" s="263">
        <f t="shared" si="1009"/>
        <v>0</v>
      </c>
      <c r="CC234" s="263">
        <f t="shared" si="1009"/>
        <v>0</v>
      </c>
      <c r="CD234" s="263">
        <f t="shared" si="1009"/>
        <v>0</v>
      </c>
      <c r="CE234" s="263">
        <f t="shared" si="1009"/>
        <v>0</v>
      </c>
      <c r="CF234" s="263">
        <f t="shared" si="1009"/>
        <v>0</v>
      </c>
      <c r="CG234" s="263">
        <f t="shared" si="1009"/>
        <v>0</v>
      </c>
      <c r="CH234" s="223">
        <f t="shared" si="1010"/>
        <v>0</v>
      </c>
      <c r="CI234" s="284"/>
      <c r="CJ234" s="263">
        <f t="shared" si="1011"/>
        <v>0</v>
      </c>
      <c r="CK234" s="263">
        <f t="shared" si="1011"/>
        <v>0</v>
      </c>
      <c r="CL234" s="263">
        <f t="shared" si="1011"/>
        <v>0</v>
      </c>
      <c r="CM234" s="263">
        <f t="shared" si="1011"/>
        <v>0</v>
      </c>
      <c r="CN234" s="263">
        <f t="shared" si="1011"/>
        <v>0</v>
      </c>
      <c r="CO234" s="263">
        <f t="shared" si="1011"/>
        <v>0</v>
      </c>
      <c r="CP234" s="263">
        <f t="shared" si="1011"/>
        <v>0</v>
      </c>
      <c r="CQ234" s="263">
        <f t="shared" si="1011"/>
        <v>0</v>
      </c>
      <c r="CR234" s="263">
        <f t="shared" si="1011"/>
        <v>0</v>
      </c>
      <c r="CS234" s="263">
        <f t="shared" si="1011"/>
        <v>0</v>
      </c>
      <c r="CT234" s="263">
        <f t="shared" si="1011"/>
        <v>0</v>
      </c>
      <c r="CU234" s="263">
        <f t="shared" si="1011"/>
        <v>0</v>
      </c>
      <c r="CV234" s="223">
        <f t="shared" si="1012"/>
        <v>0</v>
      </c>
      <c r="CW234" s="284"/>
      <c r="CX234" s="263">
        <f t="shared" si="1013"/>
        <v>0</v>
      </c>
      <c r="CY234" s="263">
        <f t="shared" si="1013"/>
        <v>0</v>
      </c>
      <c r="CZ234" s="263">
        <f t="shared" si="1013"/>
        <v>0</v>
      </c>
      <c r="DA234" s="263">
        <f t="shared" si="1013"/>
        <v>0</v>
      </c>
      <c r="DB234" s="263">
        <f t="shared" si="1013"/>
        <v>0</v>
      </c>
      <c r="DC234" s="263">
        <f t="shared" si="1013"/>
        <v>0</v>
      </c>
      <c r="DD234" s="263">
        <f t="shared" si="1013"/>
        <v>0</v>
      </c>
      <c r="DE234" s="263">
        <f t="shared" si="1013"/>
        <v>0</v>
      </c>
      <c r="DF234" s="263">
        <f t="shared" si="1013"/>
        <v>0</v>
      </c>
      <c r="DG234" s="263">
        <f t="shared" si="1013"/>
        <v>0</v>
      </c>
      <c r="DH234" s="263">
        <f t="shared" si="1013"/>
        <v>0</v>
      </c>
      <c r="DI234" s="263">
        <f t="shared" si="1013"/>
        <v>0</v>
      </c>
      <c r="DJ234" s="223">
        <f t="shared" si="1014"/>
        <v>0</v>
      </c>
      <c r="DK234" s="284"/>
      <c r="DL234" s="263">
        <f t="shared" si="1015"/>
        <v>0</v>
      </c>
      <c r="DM234" s="263">
        <f t="shared" si="1015"/>
        <v>0</v>
      </c>
      <c r="DN234" s="263">
        <f t="shared" si="1015"/>
        <v>0</v>
      </c>
      <c r="DO234" s="263">
        <f t="shared" si="1015"/>
        <v>0</v>
      </c>
      <c r="DP234" s="263">
        <f t="shared" si="1015"/>
        <v>0</v>
      </c>
      <c r="DQ234" s="263">
        <f t="shared" si="1015"/>
        <v>0</v>
      </c>
      <c r="DR234" s="263">
        <f t="shared" si="1015"/>
        <v>0</v>
      </c>
      <c r="DS234" s="263">
        <f t="shared" si="1015"/>
        <v>0</v>
      </c>
      <c r="DT234" s="263">
        <f t="shared" si="1015"/>
        <v>0</v>
      </c>
      <c r="DU234" s="263">
        <f t="shared" si="1015"/>
        <v>0</v>
      </c>
      <c r="DV234" s="263">
        <f t="shared" si="1015"/>
        <v>0</v>
      </c>
      <c r="DW234" s="263">
        <f t="shared" si="1015"/>
        <v>0</v>
      </c>
      <c r="DX234" s="223">
        <f t="shared" si="1016"/>
        <v>0</v>
      </c>
      <c r="DY234" s="284"/>
      <c r="DZ234" s="263">
        <f t="shared" si="1017"/>
        <v>0</v>
      </c>
      <c r="EA234" s="263">
        <f t="shared" si="1017"/>
        <v>0</v>
      </c>
      <c r="EB234" s="263">
        <f t="shared" si="1017"/>
        <v>0</v>
      </c>
      <c r="EC234" s="263">
        <f t="shared" si="1017"/>
        <v>0</v>
      </c>
      <c r="ED234" s="263">
        <f t="shared" si="1017"/>
        <v>0</v>
      </c>
      <c r="EE234" s="263">
        <f t="shared" si="1017"/>
        <v>0</v>
      </c>
      <c r="EF234" s="263">
        <f t="shared" si="1017"/>
        <v>0</v>
      </c>
      <c r="EG234" s="263">
        <f t="shared" si="1017"/>
        <v>0</v>
      </c>
      <c r="EH234" s="263">
        <f t="shared" si="1017"/>
        <v>0</v>
      </c>
      <c r="EI234" s="263">
        <f t="shared" si="1017"/>
        <v>0</v>
      </c>
      <c r="EJ234" s="263">
        <f t="shared" si="1017"/>
        <v>0</v>
      </c>
      <c r="EK234" s="263">
        <f t="shared" si="1017"/>
        <v>0</v>
      </c>
      <c r="EL234" s="223">
        <f t="shared" si="1018"/>
        <v>0</v>
      </c>
      <c r="EM234" s="284"/>
      <c r="EN234" s="263">
        <f t="shared" si="1019"/>
        <v>0</v>
      </c>
      <c r="EO234" s="263">
        <f t="shared" si="1019"/>
        <v>0</v>
      </c>
      <c r="EP234" s="263">
        <f t="shared" si="1019"/>
        <v>0</v>
      </c>
      <c r="EQ234" s="263">
        <f t="shared" si="1019"/>
        <v>0</v>
      </c>
      <c r="ER234" s="263">
        <f t="shared" si="1019"/>
        <v>0</v>
      </c>
      <c r="ES234" s="263">
        <f t="shared" si="1019"/>
        <v>0</v>
      </c>
      <c r="ET234" s="263">
        <f t="shared" si="1019"/>
        <v>0</v>
      </c>
      <c r="EU234" s="263">
        <f t="shared" si="1019"/>
        <v>0</v>
      </c>
      <c r="EV234" s="263">
        <f t="shared" si="1019"/>
        <v>0</v>
      </c>
      <c r="EW234" s="263">
        <f t="shared" si="1019"/>
        <v>0</v>
      </c>
      <c r="EX234" s="263">
        <f t="shared" si="1019"/>
        <v>0</v>
      </c>
      <c r="EY234" s="263">
        <f t="shared" si="1019"/>
        <v>0</v>
      </c>
      <c r="EZ234" s="223">
        <f t="shared" si="1020"/>
        <v>0</v>
      </c>
      <c r="FA234" s="284"/>
      <c r="FB234" s="263">
        <f t="shared" si="1021"/>
        <v>0</v>
      </c>
      <c r="FC234" s="263">
        <f t="shared" si="1021"/>
        <v>0</v>
      </c>
      <c r="FD234" s="263">
        <f t="shared" si="1021"/>
        <v>0</v>
      </c>
      <c r="FE234" s="263">
        <f t="shared" si="1021"/>
        <v>0</v>
      </c>
      <c r="FF234" s="263">
        <f t="shared" si="1021"/>
        <v>0</v>
      </c>
      <c r="FG234" s="263">
        <f t="shared" si="1021"/>
        <v>0</v>
      </c>
      <c r="FH234" s="263">
        <f t="shared" si="1021"/>
        <v>0</v>
      </c>
      <c r="FI234" s="263">
        <f t="shared" si="1021"/>
        <v>0</v>
      </c>
      <c r="FJ234" s="263">
        <f t="shared" si="1021"/>
        <v>0</v>
      </c>
      <c r="FK234" s="263">
        <f t="shared" si="1021"/>
        <v>0</v>
      </c>
      <c r="FL234" s="263">
        <f t="shared" si="1021"/>
        <v>0</v>
      </c>
      <c r="FM234" s="263">
        <f t="shared" si="1021"/>
        <v>0</v>
      </c>
      <c r="FN234" s="223">
        <f t="shared" si="1022"/>
        <v>0</v>
      </c>
      <c r="FO234" s="284"/>
      <c r="FP234" s="263">
        <f t="shared" si="1023"/>
        <v>0</v>
      </c>
      <c r="FQ234" s="263">
        <f t="shared" si="1023"/>
        <v>0</v>
      </c>
      <c r="FR234" s="263">
        <f t="shared" si="1023"/>
        <v>0</v>
      </c>
      <c r="FS234" s="263">
        <f t="shared" si="1023"/>
        <v>0</v>
      </c>
      <c r="FT234" s="263">
        <f t="shared" si="1023"/>
        <v>0</v>
      </c>
      <c r="FU234" s="263">
        <f t="shared" si="1023"/>
        <v>0</v>
      </c>
      <c r="FV234" s="263">
        <f t="shared" si="1023"/>
        <v>0</v>
      </c>
      <c r="FW234" s="263">
        <f t="shared" si="1023"/>
        <v>0</v>
      </c>
      <c r="FX234" s="263">
        <f t="shared" si="1023"/>
        <v>0</v>
      </c>
      <c r="FY234" s="263">
        <f t="shared" si="1023"/>
        <v>0</v>
      </c>
      <c r="FZ234" s="263">
        <f t="shared" si="1023"/>
        <v>0</v>
      </c>
      <c r="GA234" s="263">
        <f t="shared" si="1023"/>
        <v>0</v>
      </c>
      <c r="GB234" s="223">
        <f t="shared" si="1024"/>
        <v>0</v>
      </c>
      <c r="GC234" s="284"/>
      <c r="GD234" s="263">
        <f t="shared" si="1025"/>
        <v>0</v>
      </c>
      <c r="GE234" s="263">
        <f t="shared" si="1025"/>
        <v>0</v>
      </c>
      <c r="GF234" s="263">
        <f t="shared" si="1025"/>
        <v>0</v>
      </c>
      <c r="GG234" s="263">
        <f t="shared" si="1025"/>
        <v>0</v>
      </c>
      <c r="GH234" s="263">
        <f t="shared" si="1025"/>
        <v>0</v>
      </c>
      <c r="GI234" s="263">
        <f t="shared" si="1025"/>
        <v>0</v>
      </c>
      <c r="GJ234" s="263">
        <f t="shared" si="1025"/>
        <v>0</v>
      </c>
      <c r="GK234" s="263">
        <f t="shared" si="1025"/>
        <v>0</v>
      </c>
      <c r="GL234" s="263">
        <f t="shared" si="1025"/>
        <v>0</v>
      </c>
      <c r="GM234" s="263">
        <f t="shared" si="1025"/>
        <v>0</v>
      </c>
      <c r="GN234" s="263">
        <f t="shared" si="1025"/>
        <v>0</v>
      </c>
      <c r="GO234" s="263">
        <f t="shared" si="1025"/>
        <v>0</v>
      </c>
      <c r="GP234" s="223">
        <f t="shared" si="1026"/>
        <v>0</v>
      </c>
      <c r="GQ234" s="284"/>
      <c r="GR234" s="263">
        <f t="shared" si="1027"/>
        <v>0</v>
      </c>
      <c r="GS234" s="263">
        <f t="shared" si="1027"/>
        <v>0</v>
      </c>
      <c r="GT234" s="263">
        <f t="shared" si="1027"/>
        <v>0</v>
      </c>
      <c r="GU234" s="263">
        <f t="shared" si="1027"/>
        <v>0</v>
      </c>
      <c r="GV234" s="263">
        <f t="shared" si="1027"/>
        <v>0</v>
      </c>
      <c r="GW234" s="263">
        <f t="shared" si="1027"/>
        <v>0</v>
      </c>
      <c r="GX234" s="263">
        <f t="shared" si="1027"/>
        <v>0</v>
      </c>
      <c r="GY234" s="263">
        <f t="shared" si="1027"/>
        <v>0</v>
      </c>
      <c r="GZ234" s="263">
        <f t="shared" si="1027"/>
        <v>0</v>
      </c>
      <c r="HA234" s="263">
        <f t="shared" si="1027"/>
        <v>0</v>
      </c>
      <c r="HB234" s="263">
        <f t="shared" si="1027"/>
        <v>0</v>
      </c>
      <c r="HC234" s="263">
        <f t="shared" si="1027"/>
        <v>0</v>
      </c>
      <c r="HD234" s="223">
        <f t="shared" si="1048"/>
        <v>0</v>
      </c>
      <c r="HE234" s="284"/>
      <c r="HF234" s="263">
        <f t="shared" si="1029"/>
        <v>0</v>
      </c>
      <c r="HG234" s="263">
        <f t="shared" si="1029"/>
        <v>0</v>
      </c>
      <c r="HH234" s="263">
        <f t="shared" si="1029"/>
        <v>0</v>
      </c>
      <c r="HI234" s="263">
        <f t="shared" si="1029"/>
        <v>0</v>
      </c>
      <c r="HJ234" s="263">
        <f t="shared" si="1029"/>
        <v>0</v>
      </c>
      <c r="HK234" s="263">
        <f t="shared" si="1029"/>
        <v>0</v>
      </c>
      <c r="HL234" s="263">
        <f t="shared" si="1029"/>
        <v>0</v>
      </c>
      <c r="HM234" s="263">
        <f t="shared" si="1029"/>
        <v>0</v>
      </c>
      <c r="HN234" s="263">
        <f t="shared" si="1029"/>
        <v>0</v>
      </c>
      <c r="HO234" s="263">
        <f t="shared" si="1029"/>
        <v>0</v>
      </c>
      <c r="HP234" s="263">
        <f t="shared" si="1029"/>
        <v>0</v>
      </c>
      <c r="HQ234" s="263">
        <f t="shared" si="1029"/>
        <v>0</v>
      </c>
      <c r="HR234" s="223">
        <f t="shared" si="1030"/>
        <v>0</v>
      </c>
      <c r="HS234" s="284"/>
      <c r="HT234" s="263">
        <f t="shared" si="1031"/>
        <v>0</v>
      </c>
      <c r="HU234" s="263">
        <f t="shared" si="1031"/>
        <v>0</v>
      </c>
      <c r="HV234" s="263">
        <f t="shared" si="1031"/>
        <v>0</v>
      </c>
      <c r="HW234" s="263">
        <f t="shared" si="1031"/>
        <v>0</v>
      </c>
      <c r="HX234" s="263">
        <f t="shared" si="1031"/>
        <v>0</v>
      </c>
      <c r="HY234" s="263">
        <f t="shared" si="1031"/>
        <v>0</v>
      </c>
      <c r="HZ234" s="263">
        <f t="shared" si="1031"/>
        <v>0</v>
      </c>
      <c r="IA234" s="263">
        <f t="shared" si="1031"/>
        <v>0</v>
      </c>
      <c r="IB234" s="263">
        <f t="shared" si="1031"/>
        <v>0</v>
      </c>
      <c r="IC234" s="263">
        <f t="shared" si="1031"/>
        <v>0</v>
      </c>
      <c r="ID234" s="263">
        <f t="shared" si="1031"/>
        <v>0</v>
      </c>
      <c r="IE234" s="263">
        <f t="shared" si="1031"/>
        <v>0</v>
      </c>
      <c r="IF234" s="223">
        <f t="shared" si="1032"/>
        <v>0</v>
      </c>
      <c r="IG234" s="284"/>
      <c r="IH234" s="263">
        <f t="shared" si="1033"/>
        <v>0</v>
      </c>
      <c r="II234" s="263">
        <f t="shared" si="1033"/>
        <v>0</v>
      </c>
      <c r="IJ234" s="263">
        <f t="shared" si="1033"/>
        <v>0</v>
      </c>
      <c r="IK234" s="263">
        <f t="shared" si="1033"/>
        <v>0</v>
      </c>
      <c r="IL234" s="263">
        <f t="shared" si="1033"/>
        <v>0</v>
      </c>
      <c r="IM234" s="263">
        <f t="shared" si="1033"/>
        <v>0</v>
      </c>
      <c r="IN234" s="263">
        <f t="shared" si="1033"/>
        <v>0</v>
      </c>
      <c r="IO234" s="263">
        <f t="shared" si="1033"/>
        <v>0</v>
      </c>
      <c r="IP234" s="263">
        <f t="shared" si="1033"/>
        <v>0</v>
      </c>
      <c r="IQ234" s="263">
        <f t="shared" si="1033"/>
        <v>0</v>
      </c>
      <c r="IR234" s="263">
        <f t="shared" si="1033"/>
        <v>0</v>
      </c>
      <c r="IS234" s="263">
        <f t="shared" si="1033"/>
        <v>0</v>
      </c>
      <c r="IT234" s="223">
        <f t="shared" si="1034"/>
        <v>0</v>
      </c>
      <c r="IU234" s="284"/>
      <c r="IV234" s="263">
        <f t="shared" si="1035"/>
        <v>0</v>
      </c>
      <c r="IW234" s="263">
        <f t="shared" si="1035"/>
        <v>0</v>
      </c>
      <c r="IX234" s="263">
        <f t="shared" si="1035"/>
        <v>0</v>
      </c>
      <c r="IY234" s="263">
        <f t="shared" si="1035"/>
        <v>0</v>
      </c>
      <c r="IZ234" s="263">
        <f t="shared" si="1035"/>
        <v>0</v>
      </c>
      <c r="JA234" s="263">
        <f t="shared" si="1035"/>
        <v>0</v>
      </c>
      <c r="JB234" s="263">
        <f t="shared" si="1035"/>
        <v>0</v>
      </c>
      <c r="JC234" s="263">
        <f t="shared" si="1035"/>
        <v>0</v>
      </c>
      <c r="JD234" s="263">
        <f t="shared" si="1035"/>
        <v>0</v>
      </c>
      <c r="JE234" s="263">
        <f t="shared" si="1035"/>
        <v>0</v>
      </c>
      <c r="JF234" s="263">
        <f t="shared" si="1035"/>
        <v>0</v>
      </c>
      <c r="JG234" s="263">
        <f t="shared" si="1035"/>
        <v>0</v>
      </c>
      <c r="JH234" s="223">
        <f t="shared" si="1036"/>
        <v>0</v>
      </c>
      <c r="JI234" s="284"/>
      <c r="JJ234" s="263">
        <f t="shared" si="1037"/>
        <v>0</v>
      </c>
      <c r="JK234" s="263">
        <f t="shared" si="1037"/>
        <v>0</v>
      </c>
      <c r="JL234" s="263">
        <f t="shared" si="1037"/>
        <v>0</v>
      </c>
      <c r="JM234" s="263">
        <f t="shared" si="1037"/>
        <v>0</v>
      </c>
      <c r="JN234" s="263">
        <f t="shared" si="1037"/>
        <v>0</v>
      </c>
      <c r="JO234" s="263">
        <f t="shared" si="1037"/>
        <v>0</v>
      </c>
      <c r="JP234" s="263">
        <f t="shared" si="1037"/>
        <v>0</v>
      </c>
      <c r="JQ234" s="263">
        <f t="shared" si="1037"/>
        <v>0</v>
      </c>
      <c r="JR234" s="263">
        <f t="shared" si="1037"/>
        <v>0</v>
      </c>
      <c r="JS234" s="263">
        <f t="shared" si="1037"/>
        <v>0</v>
      </c>
      <c r="JT234" s="263">
        <f t="shared" si="1037"/>
        <v>0</v>
      </c>
      <c r="JU234" s="263">
        <f t="shared" si="1037"/>
        <v>0</v>
      </c>
      <c r="JV234" s="223">
        <f t="shared" si="1038"/>
        <v>0</v>
      </c>
      <c r="JW234" s="284"/>
      <c r="JX234" s="263">
        <f t="shared" si="1039"/>
        <v>0</v>
      </c>
      <c r="JY234" s="263">
        <f t="shared" si="1039"/>
        <v>0</v>
      </c>
      <c r="JZ234" s="263">
        <f t="shared" si="1039"/>
        <v>0</v>
      </c>
      <c r="KA234" s="263">
        <f t="shared" si="1039"/>
        <v>0</v>
      </c>
      <c r="KB234" s="263">
        <f t="shared" si="1039"/>
        <v>0</v>
      </c>
      <c r="KC234" s="263">
        <f t="shared" si="1039"/>
        <v>0</v>
      </c>
      <c r="KD234" s="263">
        <f t="shared" si="1039"/>
        <v>0</v>
      </c>
      <c r="KE234" s="263">
        <f t="shared" si="1039"/>
        <v>0</v>
      </c>
      <c r="KF234" s="263">
        <f t="shared" si="1039"/>
        <v>0</v>
      </c>
      <c r="KG234" s="263">
        <f t="shared" si="1039"/>
        <v>0</v>
      </c>
      <c r="KH234" s="263">
        <f t="shared" si="1039"/>
        <v>0</v>
      </c>
      <c r="KI234" s="263">
        <f t="shared" si="1039"/>
        <v>0</v>
      </c>
      <c r="KJ234" s="223">
        <f t="shared" si="1040"/>
        <v>0</v>
      </c>
      <c r="KK234" s="284"/>
      <c r="KL234" s="263">
        <f t="shared" si="1041"/>
        <v>0</v>
      </c>
      <c r="KM234" s="263">
        <f t="shared" si="1041"/>
        <v>0</v>
      </c>
      <c r="KN234" s="263">
        <f t="shared" si="1041"/>
        <v>0</v>
      </c>
      <c r="KO234" s="263">
        <f t="shared" si="1041"/>
        <v>0</v>
      </c>
      <c r="KP234" s="263">
        <f t="shared" si="1041"/>
        <v>0</v>
      </c>
      <c r="KQ234" s="263">
        <f t="shared" si="1041"/>
        <v>0</v>
      </c>
      <c r="KR234" s="263">
        <f t="shared" si="1041"/>
        <v>0</v>
      </c>
      <c r="KS234" s="263">
        <f t="shared" si="1041"/>
        <v>0</v>
      </c>
      <c r="KT234" s="263">
        <f t="shared" si="1041"/>
        <v>0</v>
      </c>
      <c r="KU234" s="263">
        <f t="shared" si="1041"/>
        <v>0</v>
      </c>
      <c r="KV234" s="263">
        <f t="shared" si="1041"/>
        <v>0</v>
      </c>
      <c r="KW234" s="263">
        <f t="shared" si="1041"/>
        <v>0</v>
      </c>
      <c r="KX234" s="223">
        <f t="shared" si="1042"/>
        <v>0</v>
      </c>
      <c r="KY234" s="284"/>
      <c r="KZ234" s="263">
        <f t="shared" si="1043"/>
        <v>0</v>
      </c>
      <c r="LA234" s="263">
        <f t="shared" si="1043"/>
        <v>0</v>
      </c>
      <c r="LB234" s="263">
        <f t="shared" si="1043"/>
        <v>0</v>
      </c>
      <c r="LC234" s="263">
        <f t="shared" si="1043"/>
        <v>0</v>
      </c>
      <c r="LD234" s="263">
        <f t="shared" si="1043"/>
        <v>0</v>
      </c>
      <c r="LE234" s="263">
        <f t="shared" si="1043"/>
        <v>0</v>
      </c>
      <c r="LF234" s="263">
        <f t="shared" si="1043"/>
        <v>0</v>
      </c>
      <c r="LG234" s="263">
        <f t="shared" si="1043"/>
        <v>0</v>
      </c>
      <c r="LH234" s="263">
        <f t="shared" si="1043"/>
        <v>0</v>
      </c>
      <c r="LI234" s="263">
        <f t="shared" si="1043"/>
        <v>0</v>
      </c>
      <c r="LJ234" s="263">
        <f t="shared" si="1043"/>
        <v>0</v>
      </c>
      <c r="LK234" s="263">
        <f t="shared" si="1043"/>
        <v>0</v>
      </c>
      <c r="LL234" s="223">
        <f t="shared" si="1044"/>
        <v>0</v>
      </c>
      <c r="LM234" s="284"/>
      <c r="LN234" s="263">
        <v>0</v>
      </c>
      <c r="LO234" s="264">
        <v>0</v>
      </c>
      <c r="LP234" s="265">
        <v>0</v>
      </c>
      <c r="LQ234" s="265">
        <v>0</v>
      </c>
      <c r="LR234" s="265">
        <v>0</v>
      </c>
      <c r="LS234" s="265">
        <v>0</v>
      </c>
      <c r="LT234" s="265">
        <v>0</v>
      </c>
      <c r="LU234" s="265">
        <v>0</v>
      </c>
      <c r="LV234" s="265">
        <v>0</v>
      </c>
      <c r="LW234" s="265">
        <v>0</v>
      </c>
      <c r="LX234" s="265">
        <v>0</v>
      </c>
      <c r="LY234" s="265">
        <v>0</v>
      </c>
      <c r="LZ234" s="223">
        <f t="shared" si="1045"/>
        <v>0</v>
      </c>
      <c r="MA234" s="284"/>
      <c r="MB234" s="230">
        <f t="shared" si="1046"/>
        <v>0</v>
      </c>
      <c r="MC234" s="230">
        <f t="shared" si="1046"/>
        <v>0</v>
      </c>
      <c r="MD234" s="230">
        <f t="shared" si="1046"/>
        <v>0</v>
      </c>
      <c r="ME234" s="230">
        <f t="shared" si="1046"/>
        <v>0</v>
      </c>
      <c r="MF234" s="230">
        <f t="shared" si="1046"/>
        <v>0</v>
      </c>
      <c r="MG234" s="230">
        <f t="shared" si="1046"/>
        <v>0</v>
      </c>
      <c r="MH234" s="230">
        <f t="shared" si="1046"/>
        <v>0</v>
      </c>
      <c r="MI234" s="230">
        <f t="shared" si="1046"/>
        <v>0</v>
      </c>
      <c r="MJ234" s="230">
        <f t="shared" si="1046"/>
        <v>0</v>
      </c>
      <c r="MK234" s="230">
        <f t="shared" si="1046"/>
        <v>0</v>
      </c>
      <c r="ML234" s="230">
        <f t="shared" si="1046"/>
        <v>0</v>
      </c>
      <c r="MM234" s="230">
        <f t="shared" si="1046"/>
        <v>0</v>
      </c>
      <c r="MN234" s="230">
        <f t="shared" si="1047"/>
        <v>0</v>
      </c>
    </row>
    <row r="235" spans="1:352" x14ac:dyDescent="0.25">
      <c r="A235" s="262"/>
      <c r="B235" s="178" t="s">
        <v>113</v>
      </c>
      <c r="C235" s="202"/>
      <c r="D235" s="263">
        <f t="shared" si="999"/>
        <v>0</v>
      </c>
      <c r="E235" s="263">
        <f t="shared" si="999"/>
        <v>0</v>
      </c>
      <c r="F235" s="263">
        <f t="shared" si="999"/>
        <v>0</v>
      </c>
      <c r="G235" s="263">
        <f t="shared" si="999"/>
        <v>0</v>
      </c>
      <c r="H235" s="263">
        <f t="shared" si="999"/>
        <v>0</v>
      </c>
      <c r="I235" s="263">
        <f t="shared" si="999"/>
        <v>0</v>
      </c>
      <c r="J235" s="263">
        <f t="shared" si="999"/>
        <v>0</v>
      </c>
      <c r="K235" s="263">
        <f t="shared" si="999"/>
        <v>0</v>
      </c>
      <c r="L235" s="263">
        <f t="shared" si="999"/>
        <v>0</v>
      </c>
      <c r="M235" s="263">
        <f t="shared" si="999"/>
        <v>0</v>
      </c>
      <c r="N235" s="263">
        <f t="shared" si="999"/>
        <v>0</v>
      </c>
      <c r="O235" s="263">
        <f t="shared" si="999"/>
        <v>0</v>
      </c>
      <c r="P235" s="223">
        <f t="shared" si="1000"/>
        <v>0</v>
      </c>
      <c r="Q235" s="284"/>
      <c r="R235" s="263">
        <f t="shared" si="1001"/>
        <v>0</v>
      </c>
      <c r="S235" s="263">
        <f t="shared" si="1001"/>
        <v>0</v>
      </c>
      <c r="T235" s="263">
        <f t="shared" si="1001"/>
        <v>0</v>
      </c>
      <c r="U235" s="263">
        <f t="shared" si="1001"/>
        <v>0</v>
      </c>
      <c r="V235" s="263">
        <f t="shared" si="1001"/>
        <v>0</v>
      </c>
      <c r="W235" s="263">
        <f t="shared" si="1001"/>
        <v>0</v>
      </c>
      <c r="X235" s="263">
        <f t="shared" si="1001"/>
        <v>0</v>
      </c>
      <c r="Y235" s="263">
        <f t="shared" si="1001"/>
        <v>0</v>
      </c>
      <c r="Z235" s="263">
        <f t="shared" si="1001"/>
        <v>0</v>
      </c>
      <c r="AA235" s="263">
        <f t="shared" si="1001"/>
        <v>0</v>
      </c>
      <c r="AB235" s="263">
        <f t="shared" si="1001"/>
        <v>0</v>
      </c>
      <c r="AC235" s="263">
        <f t="shared" si="1001"/>
        <v>0</v>
      </c>
      <c r="AD235" s="223">
        <f t="shared" si="1002"/>
        <v>0</v>
      </c>
      <c r="AE235" s="284"/>
      <c r="AF235" s="263">
        <f t="shared" si="1003"/>
        <v>0</v>
      </c>
      <c r="AG235" s="263">
        <f t="shared" si="1003"/>
        <v>0</v>
      </c>
      <c r="AH235" s="263">
        <f t="shared" si="1003"/>
        <v>0</v>
      </c>
      <c r="AI235" s="263">
        <f t="shared" si="1003"/>
        <v>0</v>
      </c>
      <c r="AJ235" s="263">
        <f t="shared" si="1003"/>
        <v>0</v>
      </c>
      <c r="AK235" s="263">
        <f t="shared" si="1003"/>
        <v>0</v>
      </c>
      <c r="AL235" s="263">
        <f t="shared" si="1003"/>
        <v>0</v>
      </c>
      <c r="AM235" s="263">
        <f t="shared" si="1003"/>
        <v>0</v>
      </c>
      <c r="AN235" s="263">
        <f t="shared" si="1003"/>
        <v>0</v>
      </c>
      <c r="AO235" s="263">
        <f t="shared" si="1003"/>
        <v>0</v>
      </c>
      <c r="AP235" s="263">
        <f t="shared" si="1003"/>
        <v>0</v>
      </c>
      <c r="AQ235" s="263">
        <f t="shared" si="1003"/>
        <v>0</v>
      </c>
      <c r="AR235" s="223">
        <f t="shared" si="1004"/>
        <v>0</v>
      </c>
      <c r="AS235" s="266"/>
      <c r="AT235" s="263">
        <f t="shared" si="1005"/>
        <v>0</v>
      </c>
      <c r="AU235" s="263">
        <f t="shared" si="1005"/>
        <v>0</v>
      </c>
      <c r="AV235" s="263">
        <f t="shared" si="1005"/>
        <v>0</v>
      </c>
      <c r="AW235" s="263">
        <f t="shared" si="1005"/>
        <v>0</v>
      </c>
      <c r="AX235" s="263">
        <f t="shared" si="1005"/>
        <v>0</v>
      </c>
      <c r="AY235" s="263">
        <f t="shared" si="1005"/>
        <v>0</v>
      </c>
      <c r="AZ235" s="263">
        <f t="shared" si="1005"/>
        <v>0</v>
      </c>
      <c r="BA235" s="263">
        <f t="shared" si="1005"/>
        <v>0</v>
      </c>
      <c r="BB235" s="263">
        <f t="shared" si="1005"/>
        <v>0</v>
      </c>
      <c r="BC235" s="263">
        <f t="shared" si="1005"/>
        <v>0</v>
      </c>
      <c r="BD235" s="263">
        <f t="shared" si="1005"/>
        <v>0</v>
      </c>
      <c r="BE235" s="263">
        <f t="shared" si="1005"/>
        <v>0</v>
      </c>
      <c r="BF235" s="223">
        <f t="shared" si="1006"/>
        <v>0</v>
      </c>
      <c r="BG235" s="224"/>
      <c r="BH235" s="263">
        <f t="shared" si="1007"/>
        <v>0</v>
      </c>
      <c r="BI235" s="263">
        <f t="shared" si="1007"/>
        <v>0</v>
      </c>
      <c r="BJ235" s="263">
        <f t="shared" si="1007"/>
        <v>0</v>
      </c>
      <c r="BK235" s="263">
        <f t="shared" si="1007"/>
        <v>0</v>
      </c>
      <c r="BL235" s="263">
        <f t="shared" si="1007"/>
        <v>0</v>
      </c>
      <c r="BM235" s="263">
        <f t="shared" si="1007"/>
        <v>0</v>
      </c>
      <c r="BN235" s="263">
        <f t="shared" si="1007"/>
        <v>0</v>
      </c>
      <c r="BO235" s="263">
        <f t="shared" si="1007"/>
        <v>0</v>
      </c>
      <c r="BP235" s="263">
        <f t="shared" si="1007"/>
        <v>0</v>
      </c>
      <c r="BQ235" s="263">
        <f t="shared" si="1007"/>
        <v>0</v>
      </c>
      <c r="BR235" s="263">
        <f t="shared" si="1007"/>
        <v>0</v>
      </c>
      <c r="BS235" s="263">
        <f t="shared" si="1007"/>
        <v>0</v>
      </c>
      <c r="BT235" s="223">
        <f t="shared" si="1008"/>
        <v>0</v>
      </c>
      <c r="BU235" s="266"/>
      <c r="BV235" s="263">
        <f t="shared" si="1009"/>
        <v>0</v>
      </c>
      <c r="BW235" s="263">
        <f t="shared" si="1009"/>
        <v>0</v>
      </c>
      <c r="BX235" s="263">
        <f t="shared" si="1009"/>
        <v>0</v>
      </c>
      <c r="BY235" s="263">
        <f t="shared" si="1009"/>
        <v>0</v>
      </c>
      <c r="BZ235" s="263">
        <f t="shared" si="1009"/>
        <v>0</v>
      </c>
      <c r="CA235" s="263">
        <f t="shared" si="1009"/>
        <v>0</v>
      </c>
      <c r="CB235" s="263">
        <f t="shared" si="1009"/>
        <v>0</v>
      </c>
      <c r="CC235" s="263">
        <f t="shared" si="1009"/>
        <v>0</v>
      </c>
      <c r="CD235" s="263">
        <f t="shared" si="1009"/>
        <v>0</v>
      </c>
      <c r="CE235" s="263">
        <f t="shared" si="1009"/>
        <v>0</v>
      </c>
      <c r="CF235" s="263">
        <f t="shared" si="1009"/>
        <v>0</v>
      </c>
      <c r="CG235" s="263">
        <f t="shared" si="1009"/>
        <v>0</v>
      </c>
      <c r="CH235" s="223">
        <f t="shared" si="1010"/>
        <v>0</v>
      </c>
      <c r="CI235" s="284"/>
      <c r="CJ235" s="263">
        <f t="shared" si="1011"/>
        <v>0</v>
      </c>
      <c r="CK235" s="263">
        <f t="shared" si="1011"/>
        <v>0</v>
      </c>
      <c r="CL235" s="263">
        <f t="shared" si="1011"/>
        <v>0</v>
      </c>
      <c r="CM235" s="263">
        <f t="shared" si="1011"/>
        <v>0</v>
      </c>
      <c r="CN235" s="263">
        <f t="shared" si="1011"/>
        <v>0</v>
      </c>
      <c r="CO235" s="263">
        <f t="shared" si="1011"/>
        <v>0</v>
      </c>
      <c r="CP235" s="263">
        <f t="shared" si="1011"/>
        <v>0</v>
      </c>
      <c r="CQ235" s="263">
        <f t="shared" si="1011"/>
        <v>0</v>
      </c>
      <c r="CR235" s="263">
        <f t="shared" si="1011"/>
        <v>0</v>
      </c>
      <c r="CS235" s="263">
        <f t="shared" si="1011"/>
        <v>0</v>
      </c>
      <c r="CT235" s="263">
        <f t="shared" si="1011"/>
        <v>0</v>
      </c>
      <c r="CU235" s="263">
        <f t="shared" si="1011"/>
        <v>0</v>
      </c>
      <c r="CV235" s="223">
        <f t="shared" si="1012"/>
        <v>0</v>
      </c>
      <c r="CW235" s="284"/>
      <c r="CX235" s="263">
        <f t="shared" si="1013"/>
        <v>0</v>
      </c>
      <c r="CY235" s="263">
        <f t="shared" si="1013"/>
        <v>0</v>
      </c>
      <c r="CZ235" s="263">
        <f t="shared" si="1013"/>
        <v>0</v>
      </c>
      <c r="DA235" s="263">
        <f t="shared" si="1013"/>
        <v>0</v>
      </c>
      <c r="DB235" s="263">
        <f t="shared" si="1013"/>
        <v>0</v>
      </c>
      <c r="DC235" s="263">
        <f t="shared" si="1013"/>
        <v>0</v>
      </c>
      <c r="DD235" s="263">
        <f t="shared" si="1013"/>
        <v>0</v>
      </c>
      <c r="DE235" s="263">
        <f t="shared" si="1013"/>
        <v>0</v>
      </c>
      <c r="DF235" s="263">
        <f t="shared" si="1013"/>
        <v>0</v>
      </c>
      <c r="DG235" s="263">
        <f t="shared" si="1013"/>
        <v>0</v>
      </c>
      <c r="DH235" s="263">
        <f t="shared" si="1013"/>
        <v>0</v>
      </c>
      <c r="DI235" s="263">
        <f t="shared" si="1013"/>
        <v>0</v>
      </c>
      <c r="DJ235" s="223">
        <f t="shared" si="1014"/>
        <v>0</v>
      </c>
      <c r="DK235" s="284"/>
      <c r="DL235" s="263">
        <f t="shared" si="1015"/>
        <v>0</v>
      </c>
      <c r="DM235" s="263">
        <f t="shared" si="1015"/>
        <v>0</v>
      </c>
      <c r="DN235" s="263">
        <f t="shared" si="1015"/>
        <v>0</v>
      </c>
      <c r="DO235" s="263">
        <f t="shared" si="1015"/>
        <v>0</v>
      </c>
      <c r="DP235" s="263">
        <f t="shared" si="1015"/>
        <v>0</v>
      </c>
      <c r="DQ235" s="263">
        <f t="shared" si="1015"/>
        <v>0</v>
      </c>
      <c r="DR235" s="263">
        <f t="shared" si="1015"/>
        <v>0</v>
      </c>
      <c r="DS235" s="263">
        <f t="shared" si="1015"/>
        <v>0</v>
      </c>
      <c r="DT235" s="263">
        <f t="shared" si="1015"/>
        <v>0</v>
      </c>
      <c r="DU235" s="263">
        <f t="shared" si="1015"/>
        <v>0</v>
      </c>
      <c r="DV235" s="263">
        <f t="shared" si="1015"/>
        <v>0</v>
      </c>
      <c r="DW235" s="263">
        <f t="shared" si="1015"/>
        <v>0</v>
      </c>
      <c r="DX235" s="223">
        <f t="shared" si="1016"/>
        <v>0</v>
      </c>
      <c r="DY235" s="284"/>
      <c r="DZ235" s="263">
        <f t="shared" si="1017"/>
        <v>0</v>
      </c>
      <c r="EA235" s="263">
        <f t="shared" si="1017"/>
        <v>0</v>
      </c>
      <c r="EB235" s="263">
        <f t="shared" si="1017"/>
        <v>0</v>
      </c>
      <c r="EC235" s="263">
        <f t="shared" si="1017"/>
        <v>0</v>
      </c>
      <c r="ED235" s="263">
        <f t="shared" si="1017"/>
        <v>0</v>
      </c>
      <c r="EE235" s="263">
        <f t="shared" si="1017"/>
        <v>0</v>
      </c>
      <c r="EF235" s="263">
        <f t="shared" si="1017"/>
        <v>0</v>
      </c>
      <c r="EG235" s="263">
        <f t="shared" si="1017"/>
        <v>0</v>
      </c>
      <c r="EH235" s="263">
        <f t="shared" si="1017"/>
        <v>0</v>
      </c>
      <c r="EI235" s="263">
        <f t="shared" si="1017"/>
        <v>0</v>
      </c>
      <c r="EJ235" s="263">
        <f t="shared" si="1017"/>
        <v>0</v>
      </c>
      <c r="EK235" s="263">
        <f t="shared" si="1017"/>
        <v>0</v>
      </c>
      <c r="EL235" s="223">
        <f t="shared" si="1018"/>
        <v>0</v>
      </c>
      <c r="EM235" s="284"/>
      <c r="EN235" s="263">
        <f t="shared" si="1019"/>
        <v>0</v>
      </c>
      <c r="EO235" s="263">
        <f t="shared" si="1019"/>
        <v>0</v>
      </c>
      <c r="EP235" s="263">
        <f t="shared" si="1019"/>
        <v>0</v>
      </c>
      <c r="EQ235" s="263">
        <f t="shared" si="1019"/>
        <v>0</v>
      </c>
      <c r="ER235" s="263">
        <f t="shared" si="1019"/>
        <v>0</v>
      </c>
      <c r="ES235" s="263">
        <f t="shared" si="1019"/>
        <v>0</v>
      </c>
      <c r="ET235" s="263">
        <f t="shared" si="1019"/>
        <v>0</v>
      </c>
      <c r="EU235" s="263">
        <f t="shared" si="1019"/>
        <v>0</v>
      </c>
      <c r="EV235" s="263">
        <f t="shared" si="1019"/>
        <v>0</v>
      </c>
      <c r="EW235" s="263">
        <f t="shared" si="1019"/>
        <v>0</v>
      </c>
      <c r="EX235" s="263">
        <f t="shared" si="1019"/>
        <v>0</v>
      </c>
      <c r="EY235" s="263">
        <f t="shared" si="1019"/>
        <v>0</v>
      </c>
      <c r="EZ235" s="223">
        <f t="shared" si="1020"/>
        <v>0</v>
      </c>
      <c r="FA235" s="284"/>
      <c r="FB235" s="263">
        <f t="shared" si="1021"/>
        <v>0</v>
      </c>
      <c r="FC235" s="263">
        <f t="shared" si="1021"/>
        <v>0</v>
      </c>
      <c r="FD235" s="263">
        <f t="shared" si="1021"/>
        <v>0</v>
      </c>
      <c r="FE235" s="263">
        <f t="shared" si="1021"/>
        <v>0</v>
      </c>
      <c r="FF235" s="263">
        <f t="shared" si="1021"/>
        <v>0</v>
      </c>
      <c r="FG235" s="263">
        <f t="shared" si="1021"/>
        <v>0</v>
      </c>
      <c r="FH235" s="263">
        <f t="shared" si="1021"/>
        <v>0</v>
      </c>
      <c r="FI235" s="263">
        <f t="shared" si="1021"/>
        <v>0</v>
      </c>
      <c r="FJ235" s="263">
        <f t="shared" si="1021"/>
        <v>0</v>
      </c>
      <c r="FK235" s="263">
        <f t="shared" si="1021"/>
        <v>0</v>
      </c>
      <c r="FL235" s="263">
        <f t="shared" si="1021"/>
        <v>0</v>
      </c>
      <c r="FM235" s="263">
        <f t="shared" si="1021"/>
        <v>0</v>
      </c>
      <c r="FN235" s="223">
        <f t="shared" si="1022"/>
        <v>0</v>
      </c>
      <c r="FO235" s="284"/>
      <c r="FP235" s="263">
        <f t="shared" si="1023"/>
        <v>0</v>
      </c>
      <c r="FQ235" s="263">
        <f t="shared" si="1023"/>
        <v>0</v>
      </c>
      <c r="FR235" s="263">
        <f t="shared" si="1023"/>
        <v>0</v>
      </c>
      <c r="FS235" s="263">
        <f t="shared" si="1023"/>
        <v>0</v>
      </c>
      <c r="FT235" s="263">
        <f t="shared" si="1023"/>
        <v>0</v>
      </c>
      <c r="FU235" s="263">
        <f t="shared" si="1023"/>
        <v>0</v>
      </c>
      <c r="FV235" s="263">
        <f t="shared" si="1023"/>
        <v>0</v>
      </c>
      <c r="FW235" s="263">
        <f t="shared" si="1023"/>
        <v>0</v>
      </c>
      <c r="FX235" s="263">
        <f t="shared" si="1023"/>
        <v>0</v>
      </c>
      <c r="FY235" s="263">
        <f t="shared" si="1023"/>
        <v>0</v>
      </c>
      <c r="FZ235" s="263">
        <f t="shared" si="1023"/>
        <v>0</v>
      </c>
      <c r="GA235" s="263">
        <f t="shared" si="1023"/>
        <v>0</v>
      </c>
      <c r="GB235" s="223">
        <f t="shared" si="1024"/>
        <v>0</v>
      </c>
      <c r="GC235" s="284"/>
      <c r="GD235" s="263">
        <f t="shared" si="1025"/>
        <v>0</v>
      </c>
      <c r="GE235" s="263">
        <f t="shared" si="1025"/>
        <v>0</v>
      </c>
      <c r="GF235" s="263">
        <f t="shared" si="1025"/>
        <v>0</v>
      </c>
      <c r="GG235" s="263">
        <f t="shared" si="1025"/>
        <v>0</v>
      </c>
      <c r="GH235" s="263">
        <f t="shared" si="1025"/>
        <v>0</v>
      </c>
      <c r="GI235" s="263">
        <f t="shared" si="1025"/>
        <v>0</v>
      </c>
      <c r="GJ235" s="263">
        <f t="shared" si="1025"/>
        <v>0</v>
      </c>
      <c r="GK235" s="263">
        <f t="shared" si="1025"/>
        <v>0</v>
      </c>
      <c r="GL235" s="263">
        <f t="shared" si="1025"/>
        <v>0</v>
      </c>
      <c r="GM235" s="263">
        <f t="shared" si="1025"/>
        <v>0</v>
      </c>
      <c r="GN235" s="263">
        <f t="shared" si="1025"/>
        <v>0</v>
      </c>
      <c r="GO235" s="263">
        <f t="shared" si="1025"/>
        <v>0</v>
      </c>
      <c r="GP235" s="223">
        <f t="shared" si="1026"/>
        <v>0</v>
      </c>
      <c r="GQ235" s="284"/>
      <c r="GR235" s="263">
        <f t="shared" si="1027"/>
        <v>0</v>
      </c>
      <c r="GS235" s="263">
        <f t="shared" si="1027"/>
        <v>0</v>
      </c>
      <c r="GT235" s="263">
        <f t="shared" si="1027"/>
        <v>0</v>
      </c>
      <c r="GU235" s="263">
        <f t="shared" si="1027"/>
        <v>0</v>
      </c>
      <c r="GV235" s="263">
        <f t="shared" si="1027"/>
        <v>0</v>
      </c>
      <c r="GW235" s="263">
        <f t="shared" si="1027"/>
        <v>0</v>
      </c>
      <c r="GX235" s="263">
        <f t="shared" si="1027"/>
        <v>0</v>
      </c>
      <c r="GY235" s="263">
        <f t="shared" si="1027"/>
        <v>0</v>
      </c>
      <c r="GZ235" s="263">
        <f t="shared" si="1027"/>
        <v>0</v>
      </c>
      <c r="HA235" s="263">
        <f t="shared" si="1027"/>
        <v>0</v>
      </c>
      <c r="HB235" s="263">
        <f t="shared" si="1027"/>
        <v>0</v>
      </c>
      <c r="HC235" s="263">
        <f t="shared" si="1027"/>
        <v>0</v>
      </c>
      <c r="HD235" s="223">
        <f t="shared" si="1048"/>
        <v>0</v>
      </c>
      <c r="HE235" s="284"/>
      <c r="HF235" s="263">
        <f t="shared" si="1029"/>
        <v>0</v>
      </c>
      <c r="HG235" s="263">
        <f t="shared" si="1029"/>
        <v>0</v>
      </c>
      <c r="HH235" s="263">
        <f t="shared" si="1029"/>
        <v>0</v>
      </c>
      <c r="HI235" s="263">
        <f t="shared" si="1029"/>
        <v>0</v>
      </c>
      <c r="HJ235" s="263">
        <f t="shared" si="1029"/>
        <v>0</v>
      </c>
      <c r="HK235" s="263">
        <f t="shared" si="1029"/>
        <v>0</v>
      </c>
      <c r="HL235" s="263">
        <f t="shared" si="1029"/>
        <v>0</v>
      </c>
      <c r="HM235" s="263">
        <f t="shared" si="1029"/>
        <v>0</v>
      </c>
      <c r="HN235" s="263">
        <f t="shared" si="1029"/>
        <v>0</v>
      </c>
      <c r="HO235" s="263">
        <f t="shared" si="1029"/>
        <v>0</v>
      </c>
      <c r="HP235" s="263">
        <f t="shared" si="1029"/>
        <v>0</v>
      </c>
      <c r="HQ235" s="263">
        <f t="shared" si="1029"/>
        <v>0</v>
      </c>
      <c r="HR235" s="223">
        <f t="shared" si="1030"/>
        <v>0</v>
      </c>
      <c r="HS235" s="284"/>
      <c r="HT235" s="263">
        <f t="shared" si="1031"/>
        <v>0</v>
      </c>
      <c r="HU235" s="263">
        <f t="shared" si="1031"/>
        <v>0</v>
      </c>
      <c r="HV235" s="263">
        <f t="shared" si="1031"/>
        <v>0</v>
      </c>
      <c r="HW235" s="263">
        <f t="shared" si="1031"/>
        <v>0</v>
      </c>
      <c r="HX235" s="263">
        <f t="shared" si="1031"/>
        <v>0</v>
      </c>
      <c r="HY235" s="263">
        <f t="shared" si="1031"/>
        <v>0</v>
      </c>
      <c r="HZ235" s="263">
        <f t="shared" si="1031"/>
        <v>0</v>
      </c>
      <c r="IA235" s="263">
        <f t="shared" si="1031"/>
        <v>0</v>
      </c>
      <c r="IB235" s="263">
        <f t="shared" si="1031"/>
        <v>0</v>
      </c>
      <c r="IC235" s="263">
        <f t="shared" si="1031"/>
        <v>0</v>
      </c>
      <c r="ID235" s="263">
        <f t="shared" si="1031"/>
        <v>0</v>
      </c>
      <c r="IE235" s="263">
        <f t="shared" si="1031"/>
        <v>0</v>
      </c>
      <c r="IF235" s="223">
        <f t="shared" si="1032"/>
        <v>0</v>
      </c>
      <c r="IG235" s="284"/>
      <c r="IH235" s="263">
        <f t="shared" si="1033"/>
        <v>0</v>
      </c>
      <c r="II235" s="263">
        <f t="shared" si="1033"/>
        <v>0</v>
      </c>
      <c r="IJ235" s="263">
        <f t="shared" si="1033"/>
        <v>0</v>
      </c>
      <c r="IK235" s="263">
        <f t="shared" si="1033"/>
        <v>0</v>
      </c>
      <c r="IL235" s="263">
        <f t="shared" si="1033"/>
        <v>0</v>
      </c>
      <c r="IM235" s="263">
        <f t="shared" si="1033"/>
        <v>0</v>
      </c>
      <c r="IN235" s="263">
        <f t="shared" si="1033"/>
        <v>0</v>
      </c>
      <c r="IO235" s="263">
        <f t="shared" si="1033"/>
        <v>0</v>
      </c>
      <c r="IP235" s="263">
        <f t="shared" si="1033"/>
        <v>0</v>
      </c>
      <c r="IQ235" s="263">
        <f t="shared" si="1033"/>
        <v>0</v>
      </c>
      <c r="IR235" s="263">
        <f t="shared" si="1033"/>
        <v>0</v>
      </c>
      <c r="IS235" s="263">
        <f t="shared" si="1033"/>
        <v>0</v>
      </c>
      <c r="IT235" s="223">
        <f t="shared" si="1034"/>
        <v>0</v>
      </c>
      <c r="IU235" s="284"/>
      <c r="IV235" s="263">
        <f t="shared" si="1035"/>
        <v>0</v>
      </c>
      <c r="IW235" s="263">
        <f t="shared" si="1035"/>
        <v>0</v>
      </c>
      <c r="IX235" s="263">
        <f t="shared" si="1035"/>
        <v>0</v>
      </c>
      <c r="IY235" s="263">
        <f t="shared" si="1035"/>
        <v>0</v>
      </c>
      <c r="IZ235" s="263">
        <f t="shared" si="1035"/>
        <v>0</v>
      </c>
      <c r="JA235" s="263">
        <f t="shared" si="1035"/>
        <v>0</v>
      </c>
      <c r="JB235" s="263">
        <f t="shared" si="1035"/>
        <v>0</v>
      </c>
      <c r="JC235" s="263">
        <f t="shared" si="1035"/>
        <v>0</v>
      </c>
      <c r="JD235" s="263">
        <f t="shared" si="1035"/>
        <v>0</v>
      </c>
      <c r="JE235" s="263">
        <f t="shared" si="1035"/>
        <v>0</v>
      </c>
      <c r="JF235" s="263">
        <f t="shared" si="1035"/>
        <v>0</v>
      </c>
      <c r="JG235" s="263">
        <f t="shared" si="1035"/>
        <v>0</v>
      </c>
      <c r="JH235" s="223">
        <f t="shared" si="1036"/>
        <v>0</v>
      </c>
      <c r="JI235" s="284"/>
      <c r="JJ235" s="263">
        <f t="shared" si="1037"/>
        <v>0</v>
      </c>
      <c r="JK235" s="263">
        <f t="shared" si="1037"/>
        <v>0</v>
      </c>
      <c r="JL235" s="263">
        <f t="shared" si="1037"/>
        <v>0</v>
      </c>
      <c r="JM235" s="263">
        <f t="shared" si="1037"/>
        <v>0</v>
      </c>
      <c r="JN235" s="263">
        <f t="shared" si="1037"/>
        <v>0</v>
      </c>
      <c r="JO235" s="263">
        <f t="shared" si="1037"/>
        <v>0</v>
      </c>
      <c r="JP235" s="263">
        <f t="shared" si="1037"/>
        <v>0</v>
      </c>
      <c r="JQ235" s="263">
        <f t="shared" si="1037"/>
        <v>0</v>
      </c>
      <c r="JR235" s="263">
        <f t="shared" si="1037"/>
        <v>0</v>
      </c>
      <c r="JS235" s="263">
        <f t="shared" si="1037"/>
        <v>0</v>
      </c>
      <c r="JT235" s="263">
        <f t="shared" si="1037"/>
        <v>0</v>
      </c>
      <c r="JU235" s="263">
        <f t="shared" si="1037"/>
        <v>0</v>
      </c>
      <c r="JV235" s="223">
        <f t="shared" si="1038"/>
        <v>0</v>
      </c>
      <c r="JW235" s="284"/>
      <c r="JX235" s="263">
        <f t="shared" si="1039"/>
        <v>0</v>
      </c>
      <c r="JY235" s="263">
        <f t="shared" si="1039"/>
        <v>0</v>
      </c>
      <c r="JZ235" s="263">
        <f t="shared" si="1039"/>
        <v>0</v>
      </c>
      <c r="KA235" s="263">
        <f t="shared" si="1039"/>
        <v>0</v>
      </c>
      <c r="KB235" s="263">
        <f t="shared" si="1039"/>
        <v>0</v>
      </c>
      <c r="KC235" s="263">
        <f t="shared" si="1039"/>
        <v>0</v>
      </c>
      <c r="KD235" s="263">
        <f t="shared" si="1039"/>
        <v>0</v>
      </c>
      <c r="KE235" s="263">
        <f t="shared" si="1039"/>
        <v>0</v>
      </c>
      <c r="KF235" s="263">
        <f t="shared" si="1039"/>
        <v>0</v>
      </c>
      <c r="KG235" s="263">
        <f t="shared" si="1039"/>
        <v>0</v>
      </c>
      <c r="KH235" s="263">
        <f t="shared" si="1039"/>
        <v>0</v>
      </c>
      <c r="KI235" s="263">
        <f t="shared" si="1039"/>
        <v>0</v>
      </c>
      <c r="KJ235" s="223">
        <f t="shared" si="1040"/>
        <v>0</v>
      </c>
      <c r="KK235" s="284"/>
      <c r="KL235" s="263">
        <f t="shared" si="1041"/>
        <v>0</v>
      </c>
      <c r="KM235" s="263">
        <f t="shared" si="1041"/>
        <v>0</v>
      </c>
      <c r="KN235" s="263">
        <f t="shared" si="1041"/>
        <v>0</v>
      </c>
      <c r="KO235" s="263">
        <f t="shared" si="1041"/>
        <v>0</v>
      </c>
      <c r="KP235" s="263">
        <f t="shared" si="1041"/>
        <v>0</v>
      </c>
      <c r="KQ235" s="263">
        <f t="shared" si="1041"/>
        <v>0</v>
      </c>
      <c r="KR235" s="263">
        <f t="shared" si="1041"/>
        <v>0</v>
      </c>
      <c r="KS235" s="263">
        <f t="shared" si="1041"/>
        <v>0</v>
      </c>
      <c r="KT235" s="263">
        <f t="shared" si="1041"/>
        <v>0</v>
      </c>
      <c r="KU235" s="263">
        <f t="shared" si="1041"/>
        <v>0</v>
      </c>
      <c r="KV235" s="263">
        <f t="shared" si="1041"/>
        <v>0</v>
      </c>
      <c r="KW235" s="263">
        <f t="shared" si="1041"/>
        <v>0</v>
      </c>
      <c r="KX235" s="223">
        <f t="shared" si="1042"/>
        <v>0</v>
      </c>
      <c r="KY235" s="284"/>
      <c r="KZ235" s="263">
        <f t="shared" si="1043"/>
        <v>0</v>
      </c>
      <c r="LA235" s="263">
        <f t="shared" si="1043"/>
        <v>0</v>
      </c>
      <c r="LB235" s="263">
        <f t="shared" si="1043"/>
        <v>0</v>
      </c>
      <c r="LC235" s="263">
        <f t="shared" si="1043"/>
        <v>0</v>
      </c>
      <c r="LD235" s="263">
        <f t="shared" si="1043"/>
        <v>0</v>
      </c>
      <c r="LE235" s="263">
        <f t="shared" si="1043"/>
        <v>0</v>
      </c>
      <c r="LF235" s="263">
        <f t="shared" si="1043"/>
        <v>0</v>
      </c>
      <c r="LG235" s="263">
        <f t="shared" si="1043"/>
        <v>0</v>
      </c>
      <c r="LH235" s="263">
        <f t="shared" si="1043"/>
        <v>0</v>
      </c>
      <c r="LI235" s="263">
        <f t="shared" si="1043"/>
        <v>0</v>
      </c>
      <c r="LJ235" s="263">
        <f t="shared" si="1043"/>
        <v>0</v>
      </c>
      <c r="LK235" s="263">
        <f t="shared" si="1043"/>
        <v>0</v>
      </c>
      <c r="LL235" s="223">
        <f t="shared" si="1044"/>
        <v>0</v>
      </c>
      <c r="LM235" s="284"/>
      <c r="LN235" s="263">
        <v>0</v>
      </c>
      <c r="LO235" s="264">
        <v>0</v>
      </c>
      <c r="LP235" s="265">
        <v>0</v>
      </c>
      <c r="LQ235" s="265">
        <v>0</v>
      </c>
      <c r="LR235" s="265">
        <v>0</v>
      </c>
      <c r="LS235" s="265">
        <v>0</v>
      </c>
      <c r="LT235" s="265">
        <v>0</v>
      </c>
      <c r="LU235" s="265">
        <v>0</v>
      </c>
      <c r="LV235" s="265">
        <v>0</v>
      </c>
      <c r="LW235" s="265">
        <v>0</v>
      </c>
      <c r="LX235" s="265">
        <v>0</v>
      </c>
      <c r="LY235" s="265">
        <v>0</v>
      </c>
      <c r="LZ235" s="223">
        <f t="shared" si="1045"/>
        <v>0</v>
      </c>
      <c r="MA235" s="284"/>
      <c r="MB235" s="230">
        <f t="shared" si="1046"/>
        <v>0</v>
      </c>
      <c r="MC235" s="230">
        <f t="shared" si="1046"/>
        <v>0</v>
      </c>
      <c r="MD235" s="230">
        <f t="shared" si="1046"/>
        <v>0</v>
      </c>
      <c r="ME235" s="230">
        <f t="shared" si="1046"/>
        <v>0</v>
      </c>
      <c r="MF235" s="230">
        <f t="shared" si="1046"/>
        <v>0</v>
      </c>
      <c r="MG235" s="230">
        <f t="shared" si="1046"/>
        <v>0</v>
      </c>
      <c r="MH235" s="230">
        <f t="shared" si="1046"/>
        <v>0</v>
      </c>
      <c r="MI235" s="230">
        <f t="shared" si="1046"/>
        <v>0</v>
      </c>
      <c r="MJ235" s="230">
        <f t="shared" si="1046"/>
        <v>0</v>
      </c>
      <c r="MK235" s="230">
        <f t="shared" si="1046"/>
        <v>0</v>
      </c>
      <c r="ML235" s="230">
        <f t="shared" si="1046"/>
        <v>0</v>
      </c>
      <c r="MM235" s="230">
        <f t="shared" si="1046"/>
        <v>0</v>
      </c>
      <c r="MN235" s="230">
        <f t="shared" si="1047"/>
        <v>0</v>
      </c>
    </row>
    <row r="236" spans="1:352" x14ac:dyDescent="0.25">
      <c r="A236" s="262"/>
      <c r="B236" s="183"/>
      <c r="C236" s="98"/>
      <c r="D236" s="268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30"/>
      <c r="Q236" s="266"/>
      <c r="R236" s="268"/>
      <c r="S236" s="265"/>
      <c r="T236" s="265"/>
      <c r="U236" s="265"/>
      <c r="V236" s="265"/>
      <c r="W236" s="265"/>
      <c r="X236" s="265"/>
      <c r="Y236" s="265"/>
      <c r="Z236" s="265"/>
      <c r="AA236" s="265"/>
      <c r="AB236" s="265"/>
      <c r="AC236" s="265"/>
      <c r="AD236" s="230"/>
      <c r="AE236" s="266"/>
      <c r="AF236" s="268"/>
      <c r="AG236" s="265"/>
      <c r="AH236" s="265"/>
      <c r="AI236" s="265"/>
      <c r="AJ236" s="265"/>
      <c r="AK236" s="265"/>
      <c r="AL236" s="265"/>
      <c r="AM236" s="265"/>
      <c r="AN236" s="265"/>
      <c r="AO236" s="265"/>
      <c r="AP236" s="265"/>
      <c r="AQ236" s="265"/>
      <c r="AR236" s="230"/>
      <c r="AS236" s="266"/>
      <c r="AT236" s="268"/>
      <c r="AU236" s="265"/>
      <c r="AV236" s="265"/>
      <c r="AW236" s="265"/>
      <c r="AX236" s="265"/>
      <c r="AY236" s="265"/>
      <c r="AZ236" s="265"/>
      <c r="BA236" s="265"/>
      <c r="BB236" s="265"/>
      <c r="BC236" s="265"/>
      <c r="BD236" s="265"/>
      <c r="BE236" s="265"/>
      <c r="BF236" s="230"/>
      <c r="BG236" s="224"/>
      <c r="BH236" s="268"/>
      <c r="BI236" s="265"/>
      <c r="BJ236" s="265"/>
      <c r="BK236" s="265"/>
      <c r="BL236" s="265"/>
      <c r="BM236" s="265"/>
      <c r="BN236" s="265"/>
      <c r="BO236" s="265"/>
      <c r="BP236" s="265"/>
      <c r="BQ236" s="265"/>
      <c r="BR236" s="265"/>
      <c r="BS236" s="265"/>
      <c r="BT236" s="230"/>
      <c r="BU236" s="266"/>
      <c r="BV236" s="268"/>
      <c r="BW236" s="265"/>
      <c r="BX236" s="265"/>
      <c r="BY236" s="265"/>
      <c r="BZ236" s="265"/>
      <c r="CA236" s="265"/>
      <c r="CB236" s="265"/>
      <c r="CC236" s="265"/>
      <c r="CD236" s="265"/>
      <c r="CE236" s="265"/>
      <c r="CF236" s="265"/>
      <c r="CG236" s="265"/>
      <c r="CH236" s="230"/>
      <c r="CI236" s="266"/>
      <c r="CJ236" s="268"/>
      <c r="CK236" s="265"/>
      <c r="CL236" s="265"/>
      <c r="CM236" s="265"/>
      <c r="CN236" s="265"/>
      <c r="CO236" s="265"/>
      <c r="CP236" s="265"/>
      <c r="CQ236" s="265"/>
      <c r="CR236" s="265"/>
      <c r="CS236" s="265"/>
      <c r="CT236" s="265"/>
      <c r="CU236" s="265"/>
      <c r="CV236" s="230"/>
      <c r="CW236" s="266"/>
      <c r="CX236" s="268"/>
      <c r="CY236" s="265"/>
      <c r="CZ236" s="265"/>
      <c r="DA236" s="265"/>
      <c r="DB236" s="265"/>
      <c r="DC236" s="265"/>
      <c r="DD236" s="265"/>
      <c r="DE236" s="265"/>
      <c r="DF236" s="265"/>
      <c r="DG236" s="265"/>
      <c r="DH236" s="265"/>
      <c r="DI236" s="265"/>
      <c r="DJ236" s="230"/>
      <c r="DK236" s="266"/>
      <c r="DL236" s="268"/>
      <c r="DM236" s="265"/>
      <c r="DN236" s="265"/>
      <c r="DO236" s="265"/>
      <c r="DP236" s="265"/>
      <c r="DQ236" s="265"/>
      <c r="DR236" s="265"/>
      <c r="DS236" s="265"/>
      <c r="DT236" s="265"/>
      <c r="DU236" s="265"/>
      <c r="DV236" s="265"/>
      <c r="DW236" s="265"/>
      <c r="DX236" s="230"/>
      <c r="DY236" s="266"/>
      <c r="DZ236" s="268"/>
      <c r="EA236" s="265"/>
      <c r="EB236" s="265"/>
      <c r="EC236" s="265"/>
      <c r="ED236" s="265"/>
      <c r="EE236" s="265"/>
      <c r="EF236" s="265"/>
      <c r="EG236" s="265"/>
      <c r="EH236" s="265"/>
      <c r="EI236" s="265"/>
      <c r="EJ236" s="265"/>
      <c r="EK236" s="265"/>
      <c r="EL236" s="230"/>
      <c r="EM236" s="266"/>
      <c r="EN236" s="268"/>
      <c r="EO236" s="265"/>
      <c r="EP236" s="265"/>
      <c r="EQ236" s="265"/>
      <c r="ER236" s="265"/>
      <c r="ES236" s="265"/>
      <c r="ET236" s="265"/>
      <c r="EU236" s="265"/>
      <c r="EV236" s="265"/>
      <c r="EW236" s="265"/>
      <c r="EX236" s="265"/>
      <c r="EY236" s="265"/>
      <c r="EZ236" s="230"/>
      <c r="FA236" s="266"/>
      <c r="FB236" s="268"/>
      <c r="FC236" s="265"/>
      <c r="FD236" s="265"/>
      <c r="FE236" s="265"/>
      <c r="FF236" s="265"/>
      <c r="FG236" s="265"/>
      <c r="FH236" s="265"/>
      <c r="FI236" s="265"/>
      <c r="FJ236" s="265"/>
      <c r="FK236" s="265"/>
      <c r="FL236" s="265"/>
      <c r="FM236" s="265"/>
      <c r="FN236" s="230"/>
      <c r="FO236" s="266"/>
      <c r="FP236" s="268"/>
      <c r="FQ236" s="265"/>
      <c r="FR236" s="265"/>
      <c r="FS236" s="265"/>
      <c r="FT236" s="265"/>
      <c r="FU236" s="265"/>
      <c r="FV236" s="265"/>
      <c r="FW236" s="265"/>
      <c r="FX236" s="265"/>
      <c r="FY236" s="265"/>
      <c r="FZ236" s="265"/>
      <c r="GA236" s="265"/>
      <c r="GB236" s="230"/>
      <c r="GC236" s="266"/>
      <c r="GD236" s="268"/>
      <c r="GE236" s="265"/>
      <c r="GF236" s="265"/>
      <c r="GG236" s="265"/>
      <c r="GH236" s="265"/>
      <c r="GI236" s="265"/>
      <c r="GJ236" s="265"/>
      <c r="GK236" s="265"/>
      <c r="GL236" s="265"/>
      <c r="GM236" s="265"/>
      <c r="GN236" s="265"/>
      <c r="GO236" s="265"/>
      <c r="GP236" s="230"/>
      <c r="GQ236" s="266"/>
      <c r="GR236" s="268"/>
      <c r="GS236" s="265"/>
      <c r="GT236" s="265"/>
      <c r="GU236" s="265"/>
      <c r="GV236" s="265"/>
      <c r="GW236" s="265"/>
      <c r="GX236" s="265"/>
      <c r="GY236" s="265"/>
      <c r="GZ236" s="265"/>
      <c r="HA236" s="265"/>
      <c r="HB236" s="265"/>
      <c r="HC236" s="265"/>
      <c r="HD236" s="230">
        <f t="shared" si="1048"/>
        <v>0</v>
      </c>
      <c r="HE236" s="266"/>
      <c r="HF236" s="268"/>
      <c r="HG236" s="265"/>
      <c r="HH236" s="265"/>
      <c r="HI236" s="265"/>
      <c r="HJ236" s="265"/>
      <c r="HK236" s="265"/>
      <c r="HL236" s="265"/>
      <c r="HM236" s="265"/>
      <c r="HN236" s="265"/>
      <c r="HO236" s="265"/>
      <c r="HP236" s="265"/>
      <c r="HQ236" s="265"/>
      <c r="HR236" s="230"/>
      <c r="HS236" s="266"/>
      <c r="HT236" s="268"/>
      <c r="HU236" s="265"/>
      <c r="HV236" s="265"/>
      <c r="HW236" s="265"/>
      <c r="HX236" s="265"/>
      <c r="HY236" s="265"/>
      <c r="HZ236" s="265"/>
      <c r="IA236" s="265"/>
      <c r="IB236" s="265"/>
      <c r="IC236" s="265"/>
      <c r="ID236" s="265"/>
      <c r="IE236" s="265"/>
      <c r="IF236" s="230"/>
      <c r="IG236" s="266"/>
      <c r="IH236" s="268"/>
      <c r="II236" s="265"/>
      <c r="IJ236" s="265"/>
      <c r="IK236" s="265"/>
      <c r="IL236" s="265"/>
      <c r="IM236" s="265"/>
      <c r="IN236" s="265"/>
      <c r="IO236" s="265"/>
      <c r="IP236" s="265"/>
      <c r="IQ236" s="265"/>
      <c r="IR236" s="265"/>
      <c r="IS236" s="265"/>
      <c r="IT236" s="230"/>
      <c r="IU236" s="266"/>
      <c r="IV236" s="268"/>
      <c r="IW236" s="265"/>
      <c r="IX236" s="265"/>
      <c r="IY236" s="265"/>
      <c r="IZ236" s="265"/>
      <c r="JA236" s="265"/>
      <c r="JB236" s="265"/>
      <c r="JC236" s="265"/>
      <c r="JD236" s="265"/>
      <c r="JE236" s="265"/>
      <c r="JF236" s="265"/>
      <c r="JG236" s="265"/>
      <c r="JH236" s="230"/>
      <c r="JI236" s="266"/>
      <c r="JJ236" s="268"/>
      <c r="JK236" s="265"/>
      <c r="JL236" s="265"/>
      <c r="JM236" s="265"/>
      <c r="JN236" s="265"/>
      <c r="JO236" s="265"/>
      <c r="JP236" s="265"/>
      <c r="JQ236" s="265"/>
      <c r="JR236" s="265"/>
      <c r="JS236" s="265"/>
      <c r="JT236" s="265"/>
      <c r="JU236" s="265"/>
      <c r="JV236" s="230"/>
      <c r="JW236" s="266"/>
      <c r="JX236" s="268"/>
      <c r="JY236" s="265"/>
      <c r="JZ236" s="265"/>
      <c r="KA236" s="265"/>
      <c r="KB236" s="265"/>
      <c r="KC236" s="265"/>
      <c r="KD236" s="265"/>
      <c r="KE236" s="265"/>
      <c r="KF236" s="265"/>
      <c r="KG236" s="265"/>
      <c r="KH236" s="265"/>
      <c r="KI236" s="265"/>
      <c r="KJ236" s="230"/>
      <c r="KK236" s="266"/>
      <c r="KL236" s="268"/>
      <c r="KM236" s="265"/>
      <c r="KN236" s="265"/>
      <c r="KO236" s="265"/>
      <c r="KP236" s="265"/>
      <c r="KQ236" s="265"/>
      <c r="KR236" s="265"/>
      <c r="KS236" s="265"/>
      <c r="KT236" s="265"/>
      <c r="KU236" s="265"/>
      <c r="KV236" s="265"/>
      <c r="KW236" s="265"/>
      <c r="KX236" s="230"/>
      <c r="KY236" s="266"/>
      <c r="KZ236" s="268"/>
      <c r="LA236" s="265"/>
      <c r="LB236" s="265"/>
      <c r="LC236" s="265"/>
      <c r="LD236" s="265"/>
      <c r="LE236" s="265"/>
      <c r="LF236" s="265"/>
      <c r="LG236" s="265"/>
      <c r="LH236" s="265"/>
      <c r="LI236" s="265"/>
      <c r="LJ236" s="265"/>
      <c r="LK236" s="265"/>
      <c r="LL236" s="230"/>
      <c r="LM236" s="266"/>
      <c r="LN236" s="268"/>
      <c r="LO236" s="265"/>
      <c r="LP236" s="265"/>
      <c r="LQ236" s="265"/>
      <c r="LR236" s="265"/>
      <c r="LS236" s="265"/>
      <c r="LT236" s="265"/>
      <c r="LU236" s="265"/>
      <c r="LV236" s="265"/>
      <c r="LW236" s="265"/>
      <c r="LX236" s="265"/>
      <c r="LY236" s="265"/>
      <c r="LZ236" s="230"/>
      <c r="MA236" s="266"/>
      <c r="MB236" s="230"/>
      <c r="MC236" s="230"/>
      <c r="MD236" s="230"/>
      <c r="ME236" s="230"/>
      <c r="MF236" s="230"/>
      <c r="MG236" s="230"/>
      <c r="MH236" s="230"/>
      <c r="MI236" s="230"/>
      <c r="MJ236" s="230"/>
      <c r="MK236" s="230"/>
      <c r="ML236" s="230"/>
      <c r="MM236" s="230"/>
      <c r="MN236" s="230"/>
    </row>
    <row r="237" spans="1:352" x14ac:dyDescent="0.3">
      <c r="A237" s="262"/>
      <c r="B237" s="187" t="s">
        <v>215</v>
      </c>
      <c r="C237" s="98"/>
      <c r="D237" s="269">
        <f>SUM(D228:D236)</f>
        <v>4271.6967409133576</v>
      </c>
      <c r="E237" s="270">
        <f t="shared" ref="E237:O237" si="1049">SUM(E228:E236)</f>
        <v>4306.1102188120203</v>
      </c>
      <c r="F237" s="270">
        <f t="shared" si="1049"/>
        <v>4073.8531826324379</v>
      </c>
      <c r="G237" s="270">
        <f t="shared" si="1049"/>
        <v>4047.9297866733236</v>
      </c>
      <c r="H237" s="270">
        <f t="shared" si="1049"/>
        <v>4076.1390579012341</v>
      </c>
      <c r="I237" s="270">
        <f t="shared" si="1049"/>
        <v>4015.1094756838534</v>
      </c>
      <c r="J237" s="270">
        <f t="shared" si="1049"/>
        <v>3937.5769749651035</v>
      </c>
      <c r="K237" s="270">
        <f t="shared" si="1049"/>
        <v>3967.5121624095163</v>
      </c>
      <c r="L237" s="270">
        <f t="shared" si="1049"/>
        <v>3964.0488933475226</v>
      </c>
      <c r="M237" s="270">
        <f t="shared" si="1049"/>
        <v>3730.3945863355516</v>
      </c>
      <c r="N237" s="270">
        <f t="shared" si="1049"/>
        <v>3455.6155821876405</v>
      </c>
      <c r="O237" s="270">
        <f t="shared" si="1049"/>
        <v>3444.6209912506938</v>
      </c>
      <c r="P237" s="286"/>
      <c r="Q237" s="225"/>
      <c r="R237" s="269">
        <f>SUM(R228:R236)</f>
        <v>441.89966285310601</v>
      </c>
      <c r="S237" s="270">
        <f t="shared" ref="S237:AC237" si="1050">SUM(S228:S236)</f>
        <v>445.45967780814004</v>
      </c>
      <c r="T237" s="270">
        <f t="shared" si="1050"/>
        <v>421.43308785852804</v>
      </c>
      <c r="U237" s="270">
        <f t="shared" si="1050"/>
        <v>418.75135724206797</v>
      </c>
      <c r="V237" s="270">
        <f t="shared" si="1050"/>
        <v>421.66955771392071</v>
      </c>
      <c r="W237" s="270">
        <f t="shared" si="1050"/>
        <v>415.35615265695031</v>
      </c>
      <c r="X237" s="270">
        <f t="shared" si="1050"/>
        <v>407.33554913432101</v>
      </c>
      <c r="Y237" s="270">
        <f t="shared" si="1050"/>
        <v>410.43229266305337</v>
      </c>
      <c r="Z237" s="270">
        <f t="shared" si="1050"/>
        <v>410.07402344974372</v>
      </c>
      <c r="AA237" s="270">
        <f t="shared" si="1050"/>
        <v>385.90288824160876</v>
      </c>
      <c r="AB237" s="270">
        <f t="shared" si="1050"/>
        <v>357.47747401941109</v>
      </c>
      <c r="AC237" s="270">
        <f t="shared" si="1050"/>
        <v>356.34010254317519</v>
      </c>
      <c r="AD237" s="286">
        <f>+SUBTOTAL(9,R237:AC237)</f>
        <v>4892.1318261840261</v>
      </c>
      <c r="AE237" s="225"/>
      <c r="AF237" s="269">
        <f>SUM(AF228:AF236)</f>
        <v>441.89966285310601</v>
      </c>
      <c r="AG237" s="270">
        <f t="shared" ref="AG237:AQ237" si="1051">SUM(AG228:AG236)</f>
        <v>445.45967780814004</v>
      </c>
      <c r="AH237" s="270">
        <f t="shared" si="1051"/>
        <v>421.43308785852804</v>
      </c>
      <c r="AI237" s="270">
        <f t="shared" si="1051"/>
        <v>418.75135724206797</v>
      </c>
      <c r="AJ237" s="270">
        <f t="shared" si="1051"/>
        <v>421.66955771392071</v>
      </c>
      <c r="AK237" s="270">
        <f t="shared" si="1051"/>
        <v>415.35615265695031</v>
      </c>
      <c r="AL237" s="270">
        <f t="shared" si="1051"/>
        <v>407.33554913432101</v>
      </c>
      <c r="AM237" s="270">
        <f t="shared" si="1051"/>
        <v>410.43229266305337</v>
      </c>
      <c r="AN237" s="270">
        <f t="shared" si="1051"/>
        <v>410.07402344974372</v>
      </c>
      <c r="AO237" s="270">
        <f t="shared" si="1051"/>
        <v>385.90288824160876</v>
      </c>
      <c r="AP237" s="270">
        <f t="shared" si="1051"/>
        <v>357.47747401941109</v>
      </c>
      <c r="AQ237" s="270">
        <f t="shared" si="1051"/>
        <v>356.34010254317519</v>
      </c>
      <c r="AR237" s="286">
        <f>+SUBTOTAL(9,AF237:AQ237)</f>
        <v>4892.1318261840261</v>
      </c>
      <c r="AS237" s="266"/>
      <c r="AT237" s="269">
        <f>SUM(AT228:AT236)</f>
        <v>294.59977523540397</v>
      </c>
      <c r="AU237" s="270">
        <f t="shared" ref="AU237:BE237" si="1052">SUM(AU228:AU236)</f>
        <v>296.97311853876005</v>
      </c>
      <c r="AV237" s="270">
        <f t="shared" si="1052"/>
        <v>280.95539190568536</v>
      </c>
      <c r="AW237" s="270">
        <f t="shared" si="1052"/>
        <v>279.16757149471198</v>
      </c>
      <c r="AX237" s="270">
        <f t="shared" si="1052"/>
        <v>281.11303847594718</v>
      </c>
      <c r="AY237" s="270">
        <f t="shared" si="1052"/>
        <v>276.90410177130025</v>
      </c>
      <c r="AZ237" s="270">
        <f t="shared" si="1052"/>
        <v>271.55703275621403</v>
      </c>
      <c r="BA237" s="270">
        <f t="shared" si="1052"/>
        <v>273.62152844203558</v>
      </c>
      <c r="BB237" s="270">
        <f t="shared" si="1052"/>
        <v>273.38268229982913</v>
      </c>
      <c r="BC237" s="270">
        <f t="shared" si="1052"/>
        <v>257.26859216107255</v>
      </c>
      <c r="BD237" s="270">
        <f t="shared" si="1052"/>
        <v>238.31831601294073</v>
      </c>
      <c r="BE237" s="270">
        <f t="shared" si="1052"/>
        <v>237.56006836211682</v>
      </c>
      <c r="BF237" s="286">
        <f>+SUBTOTAL(9,AT237:BE237)</f>
        <v>3261.4212174560175</v>
      </c>
      <c r="BG237" s="224"/>
      <c r="BH237" s="269">
        <f>SUM(BH228:BH236)</f>
        <v>2209.4983142655301</v>
      </c>
      <c r="BI237" s="270">
        <f t="shared" ref="BI237:BS237" si="1053">SUM(BI228:BI236)</f>
        <v>2227.2983890407004</v>
      </c>
      <c r="BJ237" s="270">
        <f t="shared" si="1053"/>
        <v>2107.1654392926407</v>
      </c>
      <c r="BK237" s="270">
        <f t="shared" si="1053"/>
        <v>2093.7567862103401</v>
      </c>
      <c r="BL237" s="270">
        <f t="shared" si="1053"/>
        <v>2108.3477885696038</v>
      </c>
      <c r="BM237" s="270">
        <f t="shared" si="1053"/>
        <v>2076.7807632847516</v>
      </c>
      <c r="BN237" s="270">
        <f t="shared" si="1053"/>
        <v>2036.6777456716052</v>
      </c>
      <c r="BO237" s="270">
        <f t="shared" si="1053"/>
        <v>2052.1614633152667</v>
      </c>
      <c r="BP237" s="270">
        <f t="shared" si="1053"/>
        <v>2050.3701172487181</v>
      </c>
      <c r="BQ237" s="270">
        <f t="shared" si="1053"/>
        <v>1929.5144412080438</v>
      </c>
      <c r="BR237" s="270">
        <f t="shared" si="1053"/>
        <v>1787.3873700970555</v>
      </c>
      <c r="BS237" s="270">
        <f t="shared" si="1053"/>
        <v>1781.7005127158761</v>
      </c>
      <c r="BT237" s="286">
        <f>+SUBTOTAL(9,BH237:BS237)</f>
        <v>24460.659130920132</v>
      </c>
      <c r="BU237" s="266"/>
      <c r="BV237" s="269">
        <f>SUM(BV228:BV236)</f>
        <v>147.29988761770198</v>
      </c>
      <c r="BW237" s="270">
        <f t="shared" ref="BW237:CG237" si="1054">SUM(BW228:BW236)</f>
        <v>148.48655926938002</v>
      </c>
      <c r="BX237" s="270">
        <f t="shared" si="1054"/>
        <v>140.47769595284268</v>
      </c>
      <c r="BY237" s="270">
        <f t="shared" si="1054"/>
        <v>139.58378574735599</v>
      </c>
      <c r="BZ237" s="270">
        <f t="shared" si="1054"/>
        <v>140.55651923797359</v>
      </c>
      <c r="CA237" s="270">
        <f t="shared" si="1054"/>
        <v>138.45205088565012</v>
      </c>
      <c r="CB237" s="270">
        <f t="shared" si="1054"/>
        <v>135.77851637810701</v>
      </c>
      <c r="CC237" s="270">
        <f t="shared" si="1054"/>
        <v>136.81076422101779</v>
      </c>
      <c r="CD237" s="270">
        <f t="shared" si="1054"/>
        <v>136.69134114991456</v>
      </c>
      <c r="CE237" s="270">
        <f t="shared" si="1054"/>
        <v>128.63429608053627</v>
      </c>
      <c r="CF237" s="270">
        <f t="shared" si="1054"/>
        <v>119.15915800647036</v>
      </c>
      <c r="CG237" s="270">
        <f t="shared" si="1054"/>
        <v>118.78003418105841</v>
      </c>
      <c r="CH237" s="286">
        <f>+SUBTOTAL(9,BV237:CG237)</f>
        <v>1630.7106087280088</v>
      </c>
      <c r="CI237" s="225"/>
      <c r="CJ237" s="269">
        <f>SUM(CJ228:CJ236)</f>
        <v>1620.2987637947219</v>
      </c>
      <c r="CK237" s="270">
        <f t="shared" ref="CK237:CU237" si="1055">SUM(CK228:CK236)</f>
        <v>1633.3521519631804</v>
      </c>
      <c r="CL237" s="270">
        <f t="shared" si="1055"/>
        <v>1545.2546554812695</v>
      </c>
      <c r="CM237" s="270">
        <f t="shared" si="1055"/>
        <v>1535.4216432209159</v>
      </c>
      <c r="CN237" s="270">
        <f t="shared" si="1055"/>
        <v>1546.1217116177095</v>
      </c>
      <c r="CO237" s="270">
        <f t="shared" si="1055"/>
        <v>1522.9725597421514</v>
      </c>
      <c r="CP237" s="270">
        <f t="shared" si="1055"/>
        <v>1493.563680159177</v>
      </c>
      <c r="CQ237" s="270">
        <f t="shared" si="1055"/>
        <v>1504.9184064311958</v>
      </c>
      <c r="CR237" s="270">
        <f t="shared" si="1055"/>
        <v>1503.6047526490602</v>
      </c>
      <c r="CS237" s="270">
        <f t="shared" si="1055"/>
        <v>1414.9772568858989</v>
      </c>
      <c r="CT237" s="270">
        <f t="shared" si="1055"/>
        <v>1310.7507380711741</v>
      </c>
      <c r="CU237" s="270">
        <f t="shared" si="1055"/>
        <v>1306.5803759916425</v>
      </c>
      <c r="CV237" s="286">
        <f>+SUBTOTAL(9,CJ237:CU237)</f>
        <v>17937.816696008096</v>
      </c>
      <c r="CW237" s="225"/>
      <c r="CX237" s="269">
        <f>SUM(CX228:CX236)</f>
        <v>4124.396853295656</v>
      </c>
      <c r="CY237" s="270">
        <f t="shared" ref="CY237:DI237" si="1056">SUM(CY228:CY236)</f>
        <v>4157.6236595426408</v>
      </c>
      <c r="CZ237" s="270">
        <f t="shared" si="1056"/>
        <v>3933.3754866795953</v>
      </c>
      <c r="DA237" s="270">
        <f t="shared" si="1056"/>
        <v>3908.3460009259679</v>
      </c>
      <c r="DB237" s="270">
        <f t="shared" si="1056"/>
        <v>3935.5825386632605</v>
      </c>
      <c r="DC237" s="270">
        <f t="shared" si="1056"/>
        <v>3876.6574247982035</v>
      </c>
      <c r="DD237" s="270">
        <f t="shared" si="1056"/>
        <v>3801.7984585869963</v>
      </c>
      <c r="DE237" s="270">
        <f t="shared" si="1056"/>
        <v>3830.7013981884979</v>
      </c>
      <c r="DF237" s="270">
        <f t="shared" si="1056"/>
        <v>3827.3575521976077</v>
      </c>
      <c r="DG237" s="270">
        <f t="shared" si="1056"/>
        <v>3601.7602902550152</v>
      </c>
      <c r="DH237" s="270">
        <f t="shared" si="1056"/>
        <v>3336.4564241811709</v>
      </c>
      <c r="DI237" s="270">
        <f t="shared" si="1056"/>
        <v>3325.8409570696354</v>
      </c>
      <c r="DJ237" s="286">
        <f>+SUBTOTAL(9,CX237:DI237)</f>
        <v>45659.897044384248</v>
      </c>
      <c r="DK237" s="225"/>
      <c r="DL237" s="269">
        <f>SUM(DL228:DL236)</f>
        <v>4124.396853295656</v>
      </c>
      <c r="DM237" s="270">
        <f t="shared" ref="DM237:DW237" si="1057">SUM(DM228:DM236)</f>
        <v>4157.6236595426408</v>
      </c>
      <c r="DN237" s="270">
        <f t="shared" si="1057"/>
        <v>3933.3754866795953</v>
      </c>
      <c r="DO237" s="270">
        <f t="shared" si="1057"/>
        <v>3908.3460009259679</v>
      </c>
      <c r="DP237" s="270">
        <f t="shared" si="1057"/>
        <v>3935.5825386632605</v>
      </c>
      <c r="DQ237" s="270">
        <f t="shared" si="1057"/>
        <v>3876.6574247982035</v>
      </c>
      <c r="DR237" s="270">
        <f t="shared" si="1057"/>
        <v>3801.7984585869963</v>
      </c>
      <c r="DS237" s="270">
        <f t="shared" si="1057"/>
        <v>3830.7013981884979</v>
      </c>
      <c r="DT237" s="270">
        <f t="shared" si="1057"/>
        <v>3827.3575521976077</v>
      </c>
      <c r="DU237" s="270">
        <f t="shared" si="1057"/>
        <v>3601.7602902550152</v>
      </c>
      <c r="DV237" s="270">
        <f t="shared" si="1057"/>
        <v>3336.4564241811709</v>
      </c>
      <c r="DW237" s="270">
        <f t="shared" si="1057"/>
        <v>3325.8409570696354</v>
      </c>
      <c r="DX237" s="286">
        <f>+SUBTOTAL(9,DL237:DW237)</f>
        <v>45659.897044384248</v>
      </c>
      <c r="DY237" s="225"/>
      <c r="DZ237" s="269">
        <f>SUM(DZ228:DZ236)</f>
        <v>147.29988761770198</v>
      </c>
      <c r="EA237" s="270">
        <f t="shared" ref="EA237:EK237" si="1058">SUM(EA228:EA236)</f>
        <v>148.48655926938002</v>
      </c>
      <c r="EB237" s="270">
        <f t="shared" si="1058"/>
        <v>140.47769595284268</v>
      </c>
      <c r="EC237" s="270">
        <f t="shared" si="1058"/>
        <v>139.58378574735599</v>
      </c>
      <c r="ED237" s="270">
        <f t="shared" si="1058"/>
        <v>140.55651923797359</v>
      </c>
      <c r="EE237" s="270">
        <f t="shared" si="1058"/>
        <v>138.45205088565012</v>
      </c>
      <c r="EF237" s="270">
        <f t="shared" si="1058"/>
        <v>135.77851637810701</v>
      </c>
      <c r="EG237" s="270">
        <f t="shared" si="1058"/>
        <v>136.81076422101779</v>
      </c>
      <c r="EH237" s="270">
        <f t="shared" si="1058"/>
        <v>136.69134114991456</v>
      </c>
      <c r="EI237" s="270">
        <f t="shared" si="1058"/>
        <v>128.63429608053627</v>
      </c>
      <c r="EJ237" s="270">
        <f t="shared" si="1058"/>
        <v>119.15915800647036</v>
      </c>
      <c r="EK237" s="270">
        <f t="shared" si="1058"/>
        <v>118.78003418105841</v>
      </c>
      <c r="EL237" s="286">
        <f>+SUBTOTAL(9,DZ237:EK237)</f>
        <v>1630.7106087280088</v>
      </c>
      <c r="EM237" s="225"/>
      <c r="EN237" s="269">
        <f>SUM(EN228:EN236)</f>
        <v>294.59977523540397</v>
      </c>
      <c r="EO237" s="270">
        <f t="shared" ref="EO237:EY237" si="1059">SUM(EO228:EO236)</f>
        <v>296.97311853876005</v>
      </c>
      <c r="EP237" s="270">
        <f t="shared" si="1059"/>
        <v>280.95539190568536</v>
      </c>
      <c r="EQ237" s="270">
        <f t="shared" si="1059"/>
        <v>279.16757149471198</v>
      </c>
      <c r="ER237" s="270">
        <f t="shared" si="1059"/>
        <v>281.11303847594718</v>
      </c>
      <c r="ES237" s="270">
        <f t="shared" si="1059"/>
        <v>276.90410177130025</v>
      </c>
      <c r="ET237" s="270">
        <f t="shared" si="1059"/>
        <v>271.55703275621403</v>
      </c>
      <c r="EU237" s="270">
        <f t="shared" si="1059"/>
        <v>273.62152844203558</v>
      </c>
      <c r="EV237" s="270">
        <f t="shared" si="1059"/>
        <v>273.38268229982913</v>
      </c>
      <c r="EW237" s="270">
        <f t="shared" si="1059"/>
        <v>257.26859216107255</v>
      </c>
      <c r="EX237" s="270">
        <f t="shared" si="1059"/>
        <v>238.31831601294073</v>
      </c>
      <c r="EY237" s="270">
        <f t="shared" si="1059"/>
        <v>237.56006836211682</v>
      </c>
      <c r="EZ237" s="286">
        <f>+SUBTOTAL(9,EN237:EY237)</f>
        <v>3261.4212174560175</v>
      </c>
      <c r="FA237" s="225"/>
      <c r="FB237" s="269">
        <f>SUM(FB228:FB236)</f>
        <v>147.29988761770198</v>
      </c>
      <c r="FC237" s="270">
        <f t="shared" ref="FC237:FM237" si="1060">SUM(FC228:FC236)</f>
        <v>148.48655926938002</v>
      </c>
      <c r="FD237" s="270">
        <f t="shared" si="1060"/>
        <v>140.47769595284268</v>
      </c>
      <c r="FE237" s="270">
        <f t="shared" si="1060"/>
        <v>139.58378574735599</v>
      </c>
      <c r="FF237" s="270">
        <f t="shared" si="1060"/>
        <v>140.55651923797359</v>
      </c>
      <c r="FG237" s="270">
        <f t="shared" si="1060"/>
        <v>138.45205088565012</v>
      </c>
      <c r="FH237" s="270">
        <f t="shared" si="1060"/>
        <v>135.77851637810701</v>
      </c>
      <c r="FI237" s="270">
        <f t="shared" si="1060"/>
        <v>136.81076422101779</v>
      </c>
      <c r="FJ237" s="270">
        <f t="shared" si="1060"/>
        <v>136.69134114991456</v>
      </c>
      <c r="FK237" s="270">
        <f t="shared" si="1060"/>
        <v>128.63429608053627</v>
      </c>
      <c r="FL237" s="270">
        <f t="shared" si="1060"/>
        <v>119.15915800647036</v>
      </c>
      <c r="FM237" s="270">
        <f t="shared" si="1060"/>
        <v>118.78003418105841</v>
      </c>
      <c r="FN237" s="286">
        <f>+SUBTOTAL(9,FB237:FM237)</f>
        <v>1630.7106087280088</v>
      </c>
      <c r="FO237" s="225"/>
      <c r="FP237" s="269">
        <f>SUM(FP228:FP236)</f>
        <v>1031.099213323914</v>
      </c>
      <c r="FQ237" s="270">
        <f t="shared" ref="FQ237:GA237" si="1061">SUM(FQ228:FQ236)</f>
        <v>1039.4059148856602</v>
      </c>
      <c r="FR237" s="270">
        <f t="shared" si="1061"/>
        <v>983.34387166989882</v>
      </c>
      <c r="FS237" s="270">
        <f t="shared" si="1061"/>
        <v>977.08650023149198</v>
      </c>
      <c r="FT237" s="270">
        <f t="shared" si="1061"/>
        <v>983.89563466581512</v>
      </c>
      <c r="FU237" s="270">
        <f t="shared" si="1061"/>
        <v>969.16435619955087</v>
      </c>
      <c r="FV237" s="270">
        <f t="shared" si="1061"/>
        <v>950.44961464674907</v>
      </c>
      <c r="FW237" s="270">
        <f t="shared" si="1061"/>
        <v>957.67534954712448</v>
      </c>
      <c r="FX237" s="270">
        <f t="shared" si="1061"/>
        <v>956.83938804940192</v>
      </c>
      <c r="FY237" s="270">
        <f t="shared" si="1061"/>
        <v>900.4400725637538</v>
      </c>
      <c r="FZ237" s="270">
        <f t="shared" si="1061"/>
        <v>834.11410604529271</v>
      </c>
      <c r="GA237" s="270">
        <f t="shared" si="1061"/>
        <v>831.46023926740884</v>
      </c>
      <c r="GB237" s="286">
        <f>+SUBTOTAL(9,FP237:GA237)</f>
        <v>11414.974261096062</v>
      </c>
      <c r="GC237" s="225"/>
      <c r="GD237" s="269">
        <f>SUM(GD228:GD236)</f>
        <v>147.29988761770198</v>
      </c>
      <c r="GE237" s="270">
        <f t="shared" ref="GE237:GO237" si="1062">SUM(GE228:GE236)</f>
        <v>148.48655926938002</v>
      </c>
      <c r="GF237" s="270">
        <f t="shared" si="1062"/>
        <v>140.47769595284268</v>
      </c>
      <c r="GG237" s="270">
        <f t="shared" si="1062"/>
        <v>139.58378574735599</v>
      </c>
      <c r="GH237" s="270">
        <f t="shared" si="1062"/>
        <v>140.55651923797359</v>
      </c>
      <c r="GI237" s="270">
        <f t="shared" si="1062"/>
        <v>138.45205088565012</v>
      </c>
      <c r="GJ237" s="270">
        <f t="shared" si="1062"/>
        <v>135.77851637810701</v>
      </c>
      <c r="GK237" s="270">
        <f t="shared" si="1062"/>
        <v>136.81076422101779</v>
      </c>
      <c r="GL237" s="270">
        <f t="shared" si="1062"/>
        <v>136.69134114991456</v>
      </c>
      <c r="GM237" s="270">
        <f t="shared" si="1062"/>
        <v>128.63429608053627</v>
      </c>
      <c r="GN237" s="270">
        <f t="shared" si="1062"/>
        <v>119.15915800647036</v>
      </c>
      <c r="GO237" s="270">
        <f t="shared" si="1062"/>
        <v>118.78003418105841</v>
      </c>
      <c r="GP237" s="286">
        <f>+SUBTOTAL(9,GD237:GO237)</f>
        <v>1630.7106087280088</v>
      </c>
      <c r="GQ237" s="225"/>
      <c r="GR237" s="269">
        <f>SUM(GR228:GR236)</f>
        <v>0</v>
      </c>
      <c r="GS237" s="270">
        <f t="shared" ref="GS237:HC237" si="1063">SUM(GS228:GS236)</f>
        <v>0</v>
      </c>
      <c r="GT237" s="270">
        <f t="shared" si="1063"/>
        <v>15247.999992005964</v>
      </c>
      <c r="GU237" s="270">
        <f t="shared" si="1063"/>
        <v>15247.999992005964</v>
      </c>
      <c r="GV237" s="270">
        <f t="shared" si="1063"/>
        <v>15247.999992005964</v>
      </c>
      <c r="GW237" s="270">
        <f t="shared" si="1063"/>
        <v>15247.999992005964</v>
      </c>
      <c r="GX237" s="270">
        <f t="shared" si="1063"/>
        <v>15247.999992005964</v>
      </c>
      <c r="GY237" s="270">
        <f t="shared" si="1063"/>
        <v>15247.999992005964</v>
      </c>
      <c r="GZ237" s="270">
        <f t="shared" si="1063"/>
        <v>15247.999992005964</v>
      </c>
      <c r="HA237" s="270">
        <f t="shared" si="1063"/>
        <v>15247.999992005964</v>
      </c>
      <c r="HB237" s="270">
        <f t="shared" si="1063"/>
        <v>15247.999992005964</v>
      </c>
      <c r="HC237" s="270">
        <f t="shared" si="1063"/>
        <v>15247.999992005964</v>
      </c>
      <c r="HD237" s="286">
        <f t="shared" si="1048"/>
        <v>0</v>
      </c>
      <c r="HE237" s="225"/>
      <c r="HF237" s="269">
        <f>SUM(HF228:HF236)</f>
        <v>589.19955047080794</v>
      </c>
      <c r="HG237" s="270">
        <f t="shared" ref="HG237:HQ237" si="1064">SUM(HG228:HG236)</f>
        <v>593.9462370775201</v>
      </c>
      <c r="HH237" s="270">
        <f t="shared" si="1064"/>
        <v>561.91078381137072</v>
      </c>
      <c r="HI237" s="270">
        <f t="shared" si="1064"/>
        <v>558.33514298942396</v>
      </c>
      <c r="HJ237" s="270">
        <f t="shared" si="1064"/>
        <v>562.22607695189436</v>
      </c>
      <c r="HK237" s="270">
        <f t="shared" si="1064"/>
        <v>553.80820354260049</v>
      </c>
      <c r="HL237" s="270">
        <f t="shared" si="1064"/>
        <v>543.11406551242806</v>
      </c>
      <c r="HM237" s="270">
        <f t="shared" si="1064"/>
        <v>547.24305688407117</v>
      </c>
      <c r="HN237" s="270">
        <f t="shared" si="1064"/>
        <v>546.76536459965826</v>
      </c>
      <c r="HO237" s="270">
        <f t="shared" si="1064"/>
        <v>514.53718432214509</v>
      </c>
      <c r="HP237" s="270">
        <f t="shared" si="1064"/>
        <v>476.63663202588145</v>
      </c>
      <c r="HQ237" s="270">
        <f t="shared" si="1064"/>
        <v>475.12013672423365</v>
      </c>
      <c r="HR237" s="286">
        <f>+SUBTOTAL(9,HF237:HQ237)</f>
        <v>6522.8424349120351</v>
      </c>
      <c r="HS237" s="225"/>
      <c r="HT237" s="269">
        <f>SUM(HT228:HT236)</f>
        <v>147.29988761770198</v>
      </c>
      <c r="HU237" s="270">
        <f t="shared" ref="HU237:IE237" si="1065">SUM(HU228:HU236)</f>
        <v>148.48655926938002</v>
      </c>
      <c r="HV237" s="270">
        <f t="shared" si="1065"/>
        <v>140.47769595284268</v>
      </c>
      <c r="HW237" s="270">
        <f t="shared" si="1065"/>
        <v>139.58378574735599</v>
      </c>
      <c r="HX237" s="270">
        <f t="shared" si="1065"/>
        <v>140.55651923797359</v>
      </c>
      <c r="HY237" s="270">
        <f t="shared" si="1065"/>
        <v>138.45205088565012</v>
      </c>
      <c r="HZ237" s="270">
        <f t="shared" si="1065"/>
        <v>135.77851637810701</v>
      </c>
      <c r="IA237" s="270">
        <f t="shared" si="1065"/>
        <v>136.81076422101779</v>
      </c>
      <c r="IB237" s="270">
        <f t="shared" si="1065"/>
        <v>136.69134114991456</v>
      </c>
      <c r="IC237" s="270">
        <f t="shared" si="1065"/>
        <v>128.63429608053627</v>
      </c>
      <c r="ID237" s="270">
        <f t="shared" si="1065"/>
        <v>119.15915800647036</v>
      </c>
      <c r="IE237" s="270">
        <f t="shared" si="1065"/>
        <v>118.78003418105841</v>
      </c>
      <c r="IF237" s="286">
        <f>+SUBTOTAL(9,HT237:IE237)</f>
        <v>1630.7106087280088</v>
      </c>
      <c r="IG237" s="225"/>
      <c r="IH237" s="269">
        <f>SUM(IH228:IH236)</f>
        <v>147.29988761770198</v>
      </c>
      <c r="II237" s="270">
        <f t="shared" ref="II237:IS237" si="1066">SUM(II228:II236)</f>
        <v>148.48655926938002</v>
      </c>
      <c r="IJ237" s="270">
        <f t="shared" si="1066"/>
        <v>140.47769595284268</v>
      </c>
      <c r="IK237" s="270">
        <f t="shared" si="1066"/>
        <v>139.58378574735599</v>
      </c>
      <c r="IL237" s="270">
        <f t="shared" si="1066"/>
        <v>140.55651923797359</v>
      </c>
      <c r="IM237" s="270">
        <f t="shared" si="1066"/>
        <v>138.45205088565012</v>
      </c>
      <c r="IN237" s="270">
        <f t="shared" si="1066"/>
        <v>135.77851637810701</v>
      </c>
      <c r="IO237" s="270">
        <f t="shared" si="1066"/>
        <v>136.81076422101779</v>
      </c>
      <c r="IP237" s="270">
        <f t="shared" si="1066"/>
        <v>136.69134114991456</v>
      </c>
      <c r="IQ237" s="270">
        <f t="shared" si="1066"/>
        <v>128.63429608053627</v>
      </c>
      <c r="IR237" s="270">
        <f t="shared" si="1066"/>
        <v>119.15915800647036</v>
      </c>
      <c r="IS237" s="270">
        <f t="shared" si="1066"/>
        <v>118.78003418105841</v>
      </c>
      <c r="IT237" s="286">
        <f>+SUBTOTAL(9,IH237:IS237)</f>
        <v>1630.7106087280088</v>
      </c>
      <c r="IU237" s="225"/>
      <c r="IV237" s="269">
        <f>SUM(IV228:IV236)</f>
        <v>1031.099213323914</v>
      </c>
      <c r="IW237" s="270">
        <f t="shared" ref="IW237:JG237" si="1067">SUM(IW228:IW236)</f>
        <v>1039.4059148856602</v>
      </c>
      <c r="IX237" s="270">
        <f t="shared" si="1067"/>
        <v>983.34387166989882</v>
      </c>
      <c r="IY237" s="270">
        <f t="shared" si="1067"/>
        <v>977.08650023149198</v>
      </c>
      <c r="IZ237" s="270">
        <f t="shared" si="1067"/>
        <v>983.89563466581512</v>
      </c>
      <c r="JA237" s="270">
        <f t="shared" si="1067"/>
        <v>969.16435619955087</v>
      </c>
      <c r="JB237" s="270">
        <f t="shared" si="1067"/>
        <v>950.44961464674907</v>
      </c>
      <c r="JC237" s="270">
        <f t="shared" si="1067"/>
        <v>957.67534954712448</v>
      </c>
      <c r="JD237" s="270">
        <f t="shared" si="1067"/>
        <v>956.83938804940192</v>
      </c>
      <c r="JE237" s="270">
        <f t="shared" si="1067"/>
        <v>900.4400725637538</v>
      </c>
      <c r="JF237" s="270">
        <f t="shared" si="1067"/>
        <v>834.11410604529271</v>
      </c>
      <c r="JG237" s="270">
        <f t="shared" si="1067"/>
        <v>831.46023926740884</v>
      </c>
      <c r="JH237" s="286">
        <f>+SUBTOTAL(9,IV237:JG237)</f>
        <v>11414.974261096062</v>
      </c>
      <c r="JI237" s="225"/>
      <c r="JJ237" s="269">
        <f>SUM(JJ228:JJ236)</f>
        <v>1620.2987637947219</v>
      </c>
      <c r="JK237" s="270">
        <f t="shared" ref="JK237:JU237" si="1068">SUM(JK228:JK236)</f>
        <v>1633.3521519631804</v>
      </c>
      <c r="JL237" s="270">
        <f t="shared" si="1068"/>
        <v>1545.2546554812695</v>
      </c>
      <c r="JM237" s="270">
        <f t="shared" si="1068"/>
        <v>1535.4216432209159</v>
      </c>
      <c r="JN237" s="270">
        <f t="shared" si="1068"/>
        <v>1546.1217116177095</v>
      </c>
      <c r="JO237" s="270">
        <f t="shared" si="1068"/>
        <v>1522.9725597421514</v>
      </c>
      <c r="JP237" s="270">
        <f t="shared" si="1068"/>
        <v>1493.563680159177</v>
      </c>
      <c r="JQ237" s="270">
        <f t="shared" si="1068"/>
        <v>1504.9184064311958</v>
      </c>
      <c r="JR237" s="270">
        <f t="shared" si="1068"/>
        <v>1503.6047526490602</v>
      </c>
      <c r="JS237" s="270">
        <f t="shared" si="1068"/>
        <v>1414.9772568858989</v>
      </c>
      <c r="JT237" s="270">
        <f t="shared" si="1068"/>
        <v>1310.7507380711741</v>
      </c>
      <c r="JU237" s="270">
        <f t="shared" si="1068"/>
        <v>1306.5803759916425</v>
      </c>
      <c r="JV237" s="286">
        <f>+SUBTOTAL(9,JJ237:JU237)</f>
        <v>17937.816696008096</v>
      </c>
      <c r="JW237" s="225"/>
      <c r="JX237" s="269">
        <f>SUM(JX228:JX236)</f>
        <v>736.49943808851003</v>
      </c>
      <c r="JY237" s="270">
        <f t="shared" ref="JY237:KI237" si="1069">SUM(JY228:JY236)</f>
        <v>742.43279634690009</v>
      </c>
      <c r="JZ237" s="270">
        <f t="shared" si="1069"/>
        <v>702.38847976421346</v>
      </c>
      <c r="KA237" s="270">
        <f t="shared" si="1069"/>
        <v>697.91892873678</v>
      </c>
      <c r="KB237" s="270">
        <f t="shared" si="1069"/>
        <v>702.78259618986795</v>
      </c>
      <c r="KC237" s="270">
        <f t="shared" si="1069"/>
        <v>692.26025442825062</v>
      </c>
      <c r="KD237" s="270">
        <f t="shared" si="1069"/>
        <v>678.8925818905351</v>
      </c>
      <c r="KE237" s="270">
        <f t="shared" si="1069"/>
        <v>684.05382110508901</v>
      </c>
      <c r="KF237" s="270">
        <f t="shared" si="1069"/>
        <v>683.45670574957285</v>
      </c>
      <c r="KG237" s="270">
        <f t="shared" si="1069"/>
        <v>643.17148040268137</v>
      </c>
      <c r="KH237" s="270">
        <f t="shared" si="1069"/>
        <v>595.79579003235187</v>
      </c>
      <c r="KI237" s="270">
        <f t="shared" si="1069"/>
        <v>593.90017090529204</v>
      </c>
      <c r="KJ237" s="286">
        <f>+SUBTOTAL(9,JX237:KI237)</f>
        <v>8153.553043640045</v>
      </c>
      <c r="KK237" s="225"/>
      <c r="KL237" s="269">
        <f>SUM(KL228:KL236)</f>
        <v>294.59977523540397</v>
      </c>
      <c r="KM237" s="270">
        <f t="shared" ref="KM237:KW237" si="1070">SUM(KM228:KM236)</f>
        <v>296.97311853876005</v>
      </c>
      <c r="KN237" s="270">
        <f t="shared" si="1070"/>
        <v>280.95539190568536</v>
      </c>
      <c r="KO237" s="270">
        <f t="shared" si="1070"/>
        <v>279.16757149471198</v>
      </c>
      <c r="KP237" s="270">
        <f t="shared" si="1070"/>
        <v>281.11303847594718</v>
      </c>
      <c r="KQ237" s="270">
        <f t="shared" si="1070"/>
        <v>276.90410177130025</v>
      </c>
      <c r="KR237" s="270">
        <f t="shared" si="1070"/>
        <v>271.55703275621403</v>
      </c>
      <c r="KS237" s="270">
        <f t="shared" si="1070"/>
        <v>273.62152844203558</v>
      </c>
      <c r="KT237" s="270">
        <f t="shared" si="1070"/>
        <v>273.38268229982913</v>
      </c>
      <c r="KU237" s="270">
        <f t="shared" si="1070"/>
        <v>257.26859216107255</v>
      </c>
      <c r="KV237" s="270">
        <f t="shared" si="1070"/>
        <v>238.31831601294073</v>
      </c>
      <c r="KW237" s="270">
        <f t="shared" si="1070"/>
        <v>237.56006836211682</v>
      </c>
      <c r="KX237" s="286">
        <f>+SUBTOTAL(9,KL237:KW237)</f>
        <v>3261.4212174560175</v>
      </c>
      <c r="KY237" s="225"/>
      <c r="KZ237" s="269">
        <f>SUM(KZ228:KZ236)</f>
        <v>147.29988761770198</v>
      </c>
      <c r="LA237" s="270">
        <f t="shared" ref="LA237:LK237" si="1071">SUM(LA228:LA236)</f>
        <v>148.48655926938002</v>
      </c>
      <c r="LB237" s="270">
        <f t="shared" si="1071"/>
        <v>140.47769595284268</v>
      </c>
      <c r="LC237" s="270">
        <f t="shared" si="1071"/>
        <v>139.58378574735599</v>
      </c>
      <c r="LD237" s="270">
        <f t="shared" si="1071"/>
        <v>140.55651923797359</v>
      </c>
      <c r="LE237" s="270">
        <f t="shared" si="1071"/>
        <v>138.45205088565012</v>
      </c>
      <c r="LF237" s="270">
        <f t="shared" si="1071"/>
        <v>135.77851637810701</v>
      </c>
      <c r="LG237" s="270">
        <f t="shared" si="1071"/>
        <v>136.81076422101779</v>
      </c>
      <c r="LH237" s="270">
        <f t="shared" si="1071"/>
        <v>136.69134114991456</v>
      </c>
      <c r="LI237" s="270">
        <f t="shared" si="1071"/>
        <v>128.63429608053627</v>
      </c>
      <c r="LJ237" s="270">
        <f t="shared" si="1071"/>
        <v>119.15915800647036</v>
      </c>
      <c r="LK237" s="270">
        <f t="shared" si="1071"/>
        <v>118.78003418105841</v>
      </c>
      <c r="LL237" s="286">
        <f>+SUBTOTAL(9,KZ237:LK237)</f>
        <v>1630.7106087280088</v>
      </c>
      <c r="LM237" s="225"/>
      <c r="LN237" s="269">
        <f>SUM(LN228:LN236)</f>
        <v>0</v>
      </c>
      <c r="LO237" s="270">
        <f t="shared" ref="LO237:LY237" si="1072">SUM(LO228:LO236)</f>
        <v>0</v>
      </c>
      <c r="LP237" s="270">
        <f t="shared" si="1072"/>
        <v>0</v>
      </c>
      <c r="LQ237" s="270">
        <f t="shared" si="1072"/>
        <v>0</v>
      </c>
      <c r="LR237" s="270">
        <f t="shared" si="1072"/>
        <v>0</v>
      </c>
      <c r="LS237" s="270">
        <f t="shared" si="1072"/>
        <v>0</v>
      </c>
      <c r="LT237" s="270">
        <f t="shared" si="1072"/>
        <v>0</v>
      </c>
      <c r="LU237" s="270">
        <f t="shared" si="1072"/>
        <v>0</v>
      </c>
      <c r="LV237" s="270">
        <f t="shared" si="1072"/>
        <v>0</v>
      </c>
      <c r="LW237" s="270">
        <f t="shared" si="1072"/>
        <v>0</v>
      </c>
      <c r="LX237" s="270">
        <f t="shared" si="1072"/>
        <v>0</v>
      </c>
      <c r="LY237" s="270">
        <f t="shared" si="1072"/>
        <v>0</v>
      </c>
      <c r="LZ237" s="286">
        <f>+SUBTOTAL(9,LN237:LY237)</f>
        <v>0</v>
      </c>
      <c r="MA237" s="225"/>
      <c r="MB237" s="286">
        <f t="shared" ref="MB237:MC237" si="1073">SUM(MB228:MB236)</f>
        <v>24157.18156930312</v>
      </c>
      <c r="MC237" s="286">
        <f t="shared" si="1073"/>
        <v>24351.795720178325</v>
      </c>
      <c r="MD237" s="286">
        <f t="shared" ref="MD237:MN237" si="1074">SUM(MD228:MD236)</f>
        <v>38286.342128272183</v>
      </c>
      <c r="ME237" s="286">
        <f t="shared" si="1074"/>
        <v>38139.740854572337</v>
      </c>
      <c r="MF237" s="286">
        <f t="shared" si="1074"/>
        <v>38299.269147033621</v>
      </c>
      <c r="MG237" s="286">
        <f t="shared" si="1074"/>
        <v>37954.136337252588</v>
      </c>
      <c r="MH237" s="286">
        <f t="shared" si="1074"/>
        <v>37515.676678015516</v>
      </c>
      <c r="MI237" s="286">
        <f t="shared" si="1074"/>
        <v>37684.965324252866</v>
      </c>
      <c r="MJ237" s="286">
        <f t="shared" si="1074"/>
        <v>37665.379940591949</v>
      </c>
      <c r="MK237" s="286">
        <f t="shared" si="1074"/>
        <v>36344.0245492139</v>
      </c>
      <c r="ML237" s="286">
        <f t="shared" si="1074"/>
        <v>34790.101905067109</v>
      </c>
      <c r="MM237" s="286">
        <f t="shared" si="1074"/>
        <v>34727.925597699534</v>
      </c>
      <c r="MN237" s="286">
        <f t="shared" si="1074"/>
        <v>419916.53975145298</v>
      </c>
    </row>
    <row r="238" spans="1:352" x14ac:dyDescent="0.3">
      <c r="A238" s="262"/>
      <c r="B238" s="187"/>
      <c r="C238" s="98"/>
      <c r="D238" s="268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30"/>
      <c r="Q238" s="266"/>
      <c r="R238" s="268"/>
      <c r="S238" s="265"/>
      <c r="T238" s="265"/>
      <c r="U238" s="265"/>
      <c r="V238" s="265"/>
      <c r="W238" s="265"/>
      <c r="X238" s="265"/>
      <c r="Y238" s="265"/>
      <c r="Z238" s="265"/>
      <c r="AA238" s="265"/>
      <c r="AB238" s="265"/>
      <c r="AC238" s="265"/>
      <c r="AD238" s="230"/>
      <c r="AE238" s="266"/>
      <c r="AF238" s="268"/>
      <c r="AG238" s="265"/>
      <c r="AH238" s="265"/>
      <c r="AI238" s="265"/>
      <c r="AJ238" s="265"/>
      <c r="AK238" s="265"/>
      <c r="AL238" s="265"/>
      <c r="AM238" s="265"/>
      <c r="AN238" s="265"/>
      <c r="AO238" s="265"/>
      <c r="AP238" s="265"/>
      <c r="AQ238" s="265"/>
      <c r="AR238" s="230"/>
      <c r="AS238" s="266"/>
      <c r="AT238" s="268"/>
      <c r="AU238" s="265"/>
      <c r="AV238" s="265"/>
      <c r="AW238" s="265"/>
      <c r="AX238" s="265"/>
      <c r="AY238" s="265"/>
      <c r="AZ238" s="265"/>
      <c r="BA238" s="265"/>
      <c r="BB238" s="265"/>
      <c r="BC238" s="265"/>
      <c r="BD238" s="265"/>
      <c r="BE238" s="265"/>
      <c r="BF238" s="230"/>
      <c r="BG238" s="224"/>
      <c r="BH238" s="268"/>
      <c r="BI238" s="265"/>
      <c r="BJ238" s="265"/>
      <c r="BK238" s="265"/>
      <c r="BL238" s="265"/>
      <c r="BM238" s="265"/>
      <c r="BN238" s="265"/>
      <c r="BO238" s="265"/>
      <c r="BP238" s="265"/>
      <c r="BQ238" s="265"/>
      <c r="BR238" s="265"/>
      <c r="BS238" s="265"/>
      <c r="BT238" s="230"/>
      <c r="BU238" s="266"/>
      <c r="BV238" s="268"/>
      <c r="BW238" s="265"/>
      <c r="BX238" s="265"/>
      <c r="BY238" s="265"/>
      <c r="BZ238" s="265"/>
      <c r="CA238" s="265"/>
      <c r="CB238" s="265"/>
      <c r="CC238" s="265"/>
      <c r="CD238" s="265"/>
      <c r="CE238" s="265"/>
      <c r="CF238" s="265"/>
      <c r="CG238" s="265"/>
      <c r="CH238" s="230"/>
      <c r="CI238" s="266"/>
      <c r="CJ238" s="268"/>
      <c r="CK238" s="265"/>
      <c r="CL238" s="265"/>
      <c r="CM238" s="265"/>
      <c r="CN238" s="265"/>
      <c r="CO238" s="265"/>
      <c r="CP238" s="265"/>
      <c r="CQ238" s="265"/>
      <c r="CR238" s="265"/>
      <c r="CS238" s="265"/>
      <c r="CT238" s="265"/>
      <c r="CU238" s="265"/>
      <c r="CV238" s="230"/>
      <c r="CW238" s="266"/>
      <c r="CX238" s="268"/>
      <c r="CY238" s="265"/>
      <c r="CZ238" s="265"/>
      <c r="DA238" s="265"/>
      <c r="DB238" s="265"/>
      <c r="DC238" s="265"/>
      <c r="DD238" s="265"/>
      <c r="DE238" s="265"/>
      <c r="DF238" s="265"/>
      <c r="DG238" s="265"/>
      <c r="DH238" s="265"/>
      <c r="DI238" s="265"/>
      <c r="DJ238" s="230"/>
      <c r="DK238" s="266"/>
      <c r="DL238" s="268"/>
      <c r="DM238" s="265"/>
      <c r="DN238" s="265"/>
      <c r="DO238" s="265"/>
      <c r="DP238" s="265"/>
      <c r="DQ238" s="265"/>
      <c r="DR238" s="265"/>
      <c r="DS238" s="265"/>
      <c r="DT238" s="265"/>
      <c r="DU238" s="265"/>
      <c r="DV238" s="265"/>
      <c r="DW238" s="265"/>
      <c r="DX238" s="230"/>
      <c r="DY238" s="266"/>
      <c r="DZ238" s="268"/>
      <c r="EA238" s="265"/>
      <c r="EB238" s="265"/>
      <c r="EC238" s="265"/>
      <c r="ED238" s="265"/>
      <c r="EE238" s="265"/>
      <c r="EF238" s="265"/>
      <c r="EG238" s="265"/>
      <c r="EH238" s="265"/>
      <c r="EI238" s="265"/>
      <c r="EJ238" s="265"/>
      <c r="EK238" s="265"/>
      <c r="EL238" s="230"/>
      <c r="EM238" s="266"/>
      <c r="EN238" s="268"/>
      <c r="EO238" s="265"/>
      <c r="EP238" s="265"/>
      <c r="EQ238" s="265"/>
      <c r="ER238" s="265"/>
      <c r="ES238" s="265"/>
      <c r="ET238" s="265"/>
      <c r="EU238" s="265"/>
      <c r="EV238" s="265"/>
      <c r="EW238" s="265"/>
      <c r="EX238" s="265"/>
      <c r="EY238" s="265"/>
      <c r="EZ238" s="230"/>
      <c r="FA238" s="266"/>
      <c r="FB238" s="268"/>
      <c r="FC238" s="265"/>
      <c r="FD238" s="265"/>
      <c r="FE238" s="265"/>
      <c r="FF238" s="265"/>
      <c r="FG238" s="265"/>
      <c r="FH238" s="265"/>
      <c r="FI238" s="265"/>
      <c r="FJ238" s="265"/>
      <c r="FK238" s="265"/>
      <c r="FL238" s="265"/>
      <c r="FM238" s="265"/>
      <c r="FN238" s="230"/>
      <c r="FO238" s="266"/>
      <c r="FP238" s="268"/>
      <c r="FQ238" s="265"/>
      <c r="FR238" s="265"/>
      <c r="FS238" s="265"/>
      <c r="FT238" s="265"/>
      <c r="FU238" s="265"/>
      <c r="FV238" s="265"/>
      <c r="FW238" s="265"/>
      <c r="FX238" s="265"/>
      <c r="FY238" s="265"/>
      <c r="FZ238" s="265"/>
      <c r="GA238" s="265"/>
      <c r="GB238" s="230"/>
      <c r="GC238" s="266"/>
      <c r="GD238" s="283">
        <f>+GD237+GR237</f>
        <v>147.29988761770198</v>
      </c>
      <c r="GE238" s="273">
        <f>+GD238/83.92</f>
        <v>1.7552417494959722</v>
      </c>
      <c r="GF238" s="265"/>
      <c r="GG238" s="265"/>
      <c r="GH238" s="265"/>
      <c r="GI238" s="265"/>
      <c r="GJ238" s="265"/>
      <c r="GK238" s="265"/>
      <c r="GL238" s="265"/>
      <c r="GM238" s="265"/>
      <c r="GN238" s="265"/>
      <c r="GO238" s="265"/>
      <c r="GP238" s="230"/>
      <c r="GQ238" s="266"/>
      <c r="GR238" s="268"/>
      <c r="GS238" s="265"/>
      <c r="GT238" s="265"/>
      <c r="GU238" s="265"/>
      <c r="GV238" s="265"/>
      <c r="GW238" s="265"/>
      <c r="GX238" s="265"/>
      <c r="GY238" s="265"/>
      <c r="GZ238" s="265"/>
      <c r="HA238" s="265"/>
      <c r="HB238" s="265"/>
      <c r="HC238" s="265"/>
      <c r="HD238" s="230">
        <f t="shared" si="1048"/>
        <v>0</v>
      </c>
      <c r="HE238" s="266"/>
      <c r="HF238" s="268"/>
      <c r="HG238" s="265"/>
      <c r="HH238" s="265"/>
      <c r="HI238" s="265"/>
      <c r="HJ238" s="265"/>
      <c r="HK238" s="265"/>
      <c r="HL238" s="265"/>
      <c r="HM238" s="265"/>
      <c r="HN238" s="265"/>
      <c r="HO238" s="265"/>
      <c r="HP238" s="265"/>
      <c r="HQ238" s="265"/>
      <c r="HR238" s="230"/>
      <c r="HS238" s="266"/>
      <c r="HT238" s="268"/>
      <c r="HU238" s="265"/>
      <c r="HV238" s="265"/>
      <c r="HW238" s="265"/>
      <c r="HX238" s="265"/>
      <c r="HY238" s="265"/>
      <c r="HZ238" s="265"/>
      <c r="IA238" s="265"/>
      <c r="IB238" s="265"/>
      <c r="IC238" s="265"/>
      <c r="ID238" s="265"/>
      <c r="IE238" s="265"/>
      <c r="IF238" s="230"/>
      <c r="IG238" s="266"/>
      <c r="IH238" s="268"/>
      <c r="II238" s="265"/>
      <c r="IJ238" s="265"/>
      <c r="IK238" s="265"/>
      <c r="IL238" s="265"/>
      <c r="IM238" s="265"/>
      <c r="IN238" s="265"/>
      <c r="IO238" s="265"/>
      <c r="IP238" s="265"/>
      <c r="IQ238" s="265"/>
      <c r="IR238" s="265"/>
      <c r="IS238" s="265"/>
      <c r="IT238" s="230"/>
      <c r="IU238" s="266"/>
      <c r="IV238" s="268"/>
      <c r="IW238" s="265"/>
      <c r="IX238" s="265"/>
      <c r="IY238" s="265"/>
      <c r="IZ238" s="265"/>
      <c r="JA238" s="265"/>
      <c r="JB238" s="265"/>
      <c r="JC238" s="265"/>
      <c r="JD238" s="265"/>
      <c r="JE238" s="265"/>
      <c r="JF238" s="265"/>
      <c r="JG238" s="265"/>
      <c r="JH238" s="230"/>
      <c r="JI238" s="266"/>
      <c r="JJ238" s="268"/>
      <c r="JK238" s="265"/>
      <c r="JL238" s="265"/>
      <c r="JM238" s="265"/>
      <c r="JN238" s="265"/>
      <c r="JO238" s="265"/>
      <c r="JP238" s="265"/>
      <c r="JQ238" s="265"/>
      <c r="JR238" s="265"/>
      <c r="JS238" s="265"/>
      <c r="JT238" s="265"/>
      <c r="JU238" s="265"/>
      <c r="JV238" s="230"/>
      <c r="JW238" s="266"/>
      <c r="JX238" s="268"/>
      <c r="JY238" s="265"/>
      <c r="JZ238" s="265"/>
      <c r="KA238" s="265"/>
      <c r="KB238" s="265"/>
      <c r="KC238" s="265"/>
      <c r="KD238" s="265"/>
      <c r="KE238" s="265"/>
      <c r="KF238" s="265"/>
      <c r="KG238" s="265"/>
      <c r="KH238" s="265"/>
      <c r="KI238" s="265"/>
      <c r="KJ238" s="230"/>
      <c r="KK238" s="266"/>
      <c r="KL238" s="268"/>
      <c r="KM238" s="265"/>
      <c r="KN238" s="265"/>
      <c r="KO238" s="265"/>
      <c r="KP238" s="265"/>
      <c r="KQ238" s="265"/>
      <c r="KR238" s="265"/>
      <c r="KS238" s="265"/>
      <c r="KT238" s="265"/>
      <c r="KU238" s="265"/>
      <c r="KV238" s="265"/>
      <c r="KW238" s="265"/>
      <c r="KX238" s="230"/>
      <c r="KY238" s="266"/>
      <c r="KZ238" s="268"/>
      <c r="LA238" s="265"/>
      <c r="LB238" s="265"/>
      <c r="LC238" s="265"/>
      <c r="LD238" s="265"/>
      <c r="LE238" s="265"/>
      <c r="LF238" s="265"/>
      <c r="LG238" s="265"/>
      <c r="LH238" s="265"/>
      <c r="LI238" s="265"/>
      <c r="LJ238" s="265"/>
      <c r="LK238" s="265"/>
      <c r="LL238" s="230"/>
      <c r="LM238" s="266"/>
      <c r="LN238" s="268"/>
      <c r="LO238" s="265"/>
      <c r="LP238" s="265"/>
      <c r="LQ238" s="265"/>
      <c r="LR238" s="265"/>
      <c r="LS238" s="265"/>
      <c r="LT238" s="265"/>
      <c r="LU238" s="265"/>
      <c r="LV238" s="265"/>
      <c r="LW238" s="265"/>
      <c r="LX238" s="265"/>
      <c r="LY238" s="265"/>
      <c r="LZ238" s="230"/>
      <c r="MA238" s="266"/>
      <c r="MB238" s="230"/>
      <c r="MC238" s="230"/>
      <c r="MD238" s="230"/>
      <c r="ME238" s="230"/>
      <c r="MF238" s="230"/>
      <c r="MG238" s="230"/>
      <c r="MH238" s="230"/>
      <c r="MI238" s="230"/>
      <c r="MJ238" s="230"/>
      <c r="MK238" s="230"/>
      <c r="ML238" s="230"/>
      <c r="MM238" s="230"/>
      <c r="MN238" s="230"/>
    </row>
    <row r="239" spans="1:352" x14ac:dyDescent="0.25">
      <c r="A239" s="262"/>
      <c r="B239" s="181" t="s">
        <v>216</v>
      </c>
      <c r="C239" s="98"/>
      <c r="D239" s="263">
        <f t="shared" ref="D239:O239" si="1075">+D96/$D$144</f>
        <v>0</v>
      </c>
      <c r="E239" s="263">
        <f t="shared" si="1075"/>
        <v>0</v>
      </c>
      <c r="F239" s="263">
        <f t="shared" si="1075"/>
        <v>0</v>
      </c>
      <c r="G239" s="263">
        <f t="shared" si="1075"/>
        <v>0</v>
      </c>
      <c r="H239" s="263">
        <f t="shared" si="1075"/>
        <v>0</v>
      </c>
      <c r="I239" s="263">
        <f t="shared" si="1075"/>
        <v>0</v>
      </c>
      <c r="J239" s="263">
        <f t="shared" si="1075"/>
        <v>0</v>
      </c>
      <c r="K239" s="263">
        <f t="shared" si="1075"/>
        <v>0</v>
      </c>
      <c r="L239" s="263">
        <f t="shared" si="1075"/>
        <v>0</v>
      </c>
      <c r="M239" s="263">
        <f t="shared" si="1075"/>
        <v>0</v>
      </c>
      <c r="N239" s="263">
        <f t="shared" si="1075"/>
        <v>0</v>
      </c>
      <c r="O239" s="263">
        <f t="shared" si="1075"/>
        <v>0</v>
      </c>
      <c r="P239" s="223">
        <f>+SUBTOTAL(9,D239:O239)</f>
        <v>0</v>
      </c>
      <c r="Q239" s="284"/>
      <c r="R239" s="263">
        <v>0</v>
      </c>
      <c r="S239" s="273">
        <v>0</v>
      </c>
      <c r="T239" s="273">
        <v>0</v>
      </c>
      <c r="U239" s="273">
        <v>0</v>
      </c>
      <c r="V239" s="273">
        <v>0</v>
      </c>
      <c r="W239" s="273">
        <v>0</v>
      </c>
      <c r="X239" s="273">
        <v>0</v>
      </c>
      <c r="Y239" s="273">
        <v>0</v>
      </c>
      <c r="Z239" s="273">
        <v>0</v>
      </c>
      <c r="AA239" s="273">
        <v>0</v>
      </c>
      <c r="AB239" s="273">
        <v>0</v>
      </c>
      <c r="AC239" s="273">
        <v>0</v>
      </c>
      <c r="AD239" s="223">
        <f>+SUBTOTAL(9,R239:AC239)</f>
        <v>0</v>
      </c>
      <c r="AE239" s="284"/>
      <c r="AF239" s="263">
        <v>0</v>
      </c>
      <c r="AG239" s="273">
        <v>0</v>
      </c>
      <c r="AH239" s="273">
        <v>0</v>
      </c>
      <c r="AI239" s="273">
        <v>0</v>
      </c>
      <c r="AJ239" s="273">
        <v>0</v>
      </c>
      <c r="AK239" s="273">
        <v>0</v>
      </c>
      <c r="AL239" s="273">
        <v>0</v>
      </c>
      <c r="AM239" s="273">
        <v>0</v>
      </c>
      <c r="AN239" s="273">
        <v>0</v>
      </c>
      <c r="AO239" s="273">
        <v>0</v>
      </c>
      <c r="AP239" s="273">
        <v>0</v>
      </c>
      <c r="AQ239" s="273">
        <v>0</v>
      </c>
      <c r="AR239" s="223">
        <f>+SUBTOTAL(9,AF239:AQ239)</f>
        <v>0</v>
      </c>
      <c r="AS239" s="266"/>
      <c r="AT239" s="263">
        <v>0</v>
      </c>
      <c r="AU239" s="273">
        <v>0</v>
      </c>
      <c r="AV239" s="273">
        <v>0</v>
      </c>
      <c r="AW239" s="273">
        <v>0</v>
      </c>
      <c r="AX239" s="273">
        <v>0</v>
      </c>
      <c r="AY239" s="273">
        <v>0</v>
      </c>
      <c r="AZ239" s="273">
        <v>0</v>
      </c>
      <c r="BA239" s="273">
        <v>0</v>
      </c>
      <c r="BB239" s="273">
        <v>0</v>
      </c>
      <c r="BC239" s="273">
        <v>0</v>
      </c>
      <c r="BD239" s="273">
        <v>0</v>
      </c>
      <c r="BE239" s="273">
        <v>0</v>
      </c>
      <c r="BF239" s="223">
        <f>+SUBTOTAL(9,AT239:BE239)</f>
        <v>0</v>
      </c>
      <c r="BG239" s="224"/>
      <c r="BH239" s="263">
        <v>0</v>
      </c>
      <c r="BI239" s="264">
        <v>0</v>
      </c>
      <c r="BJ239" s="265">
        <v>0</v>
      </c>
      <c r="BK239" s="265">
        <v>0</v>
      </c>
      <c r="BL239" s="265">
        <v>0</v>
      </c>
      <c r="BM239" s="265">
        <v>0</v>
      </c>
      <c r="BN239" s="265">
        <v>0</v>
      </c>
      <c r="BO239" s="265">
        <v>0</v>
      </c>
      <c r="BP239" s="265">
        <v>0</v>
      </c>
      <c r="BQ239" s="265">
        <v>0</v>
      </c>
      <c r="BR239" s="265">
        <v>0</v>
      </c>
      <c r="BS239" s="265">
        <v>0</v>
      </c>
      <c r="BT239" s="223">
        <f>+SUBTOTAL(9,BH239:BS239)</f>
        <v>0</v>
      </c>
      <c r="BU239" s="266"/>
      <c r="BV239" s="263">
        <v>0</v>
      </c>
      <c r="BW239" s="264">
        <v>0</v>
      </c>
      <c r="BX239" s="265">
        <v>0</v>
      </c>
      <c r="BY239" s="265">
        <v>0</v>
      </c>
      <c r="BZ239" s="265">
        <v>0</v>
      </c>
      <c r="CA239" s="265">
        <v>0</v>
      </c>
      <c r="CB239" s="265">
        <v>0</v>
      </c>
      <c r="CC239" s="265">
        <v>0</v>
      </c>
      <c r="CD239" s="265">
        <v>0</v>
      </c>
      <c r="CE239" s="265">
        <v>0</v>
      </c>
      <c r="CF239" s="265">
        <v>0</v>
      </c>
      <c r="CG239" s="265">
        <v>0</v>
      </c>
      <c r="CH239" s="223">
        <f>+SUBTOTAL(9,BV239:CG239)</f>
        <v>0</v>
      </c>
      <c r="CI239" s="284"/>
      <c r="CJ239" s="263">
        <v>0</v>
      </c>
      <c r="CK239" s="264">
        <v>0</v>
      </c>
      <c r="CL239" s="265">
        <v>0</v>
      </c>
      <c r="CM239" s="265">
        <v>0</v>
      </c>
      <c r="CN239" s="265">
        <v>0</v>
      </c>
      <c r="CO239" s="265">
        <v>0</v>
      </c>
      <c r="CP239" s="265">
        <v>0</v>
      </c>
      <c r="CQ239" s="265">
        <v>0</v>
      </c>
      <c r="CR239" s="265">
        <v>0</v>
      </c>
      <c r="CS239" s="265">
        <v>0</v>
      </c>
      <c r="CT239" s="265">
        <v>0</v>
      </c>
      <c r="CU239" s="265">
        <v>0</v>
      </c>
      <c r="CV239" s="223">
        <f>+SUBTOTAL(9,CJ239:CU239)</f>
        <v>0</v>
      </c>
      <c r="CW239" s="284"/>
      <c r="CX239" s="263">
        <v>0</v>
      </c>
      <c r="CY239" s="264">
        <v>0</v>
      </c>
      <c r="CZ239" s="265">
        <v>0</v>
      </c>
      <c r="DA239" s="265">
        <v>0</v>
      </c>
      <c r="DB239" s="265">
        <v>0</v>
      </c>
      <c r="DC239" s="265">
        <v>0</v>
      </c>
      <c r="DD239" s="265">
        <v>0</v>
      </c>
      <c r="DE239" s="265">
        <v>0</v>
      </c>
      <c r="DF239" s="265">
        <v>0</v>
      </c>
      <c r="DG239" s="265">
        <v>0</v>
      </c>
      <c r="DH239" s="265">
        <v>0</v>
      </c>
      <c r="DI239" s="265">
        <v>0</v>
      </c>
      <c r="DJ239" s="223">
        <f>+SUBTOTAL(9,CX239:DI239)</f>
        <v>0</v>
      </c>
      <c r="DK239" s="284"/>
      <c r="DL239" s="263">
        <v>0</v>
      </c>
      <c r="DM239" s="264">
        <v>0</v>
      </c>
      <c r="DN239" s="265">
        <v>0</v>
      </c>
      <c r="DO239" s="265">
        <v>0</v>
      </c>
      <c r="DP239" s="265">
        <v>0</v>
      </c>
      <c r="DQ239" s="265">
        <v>0</v>
      </c>
      <c r="DR239" s="265">
        <v>0</v>
      </c>
      <c r="DS239" s="265">
        <v>0</v>
      </c>
      <c r="DT239" s="265">
        <v>0</v>
      </c>
      <c r="DU239" s="265">
        <v>0</v>
      </c>
      <c r="DV239" s="265">
        <v>0</v>
      </c>
      <c r="DW239" s="265">
        <v>0</v>
      </c>
      <c r="DX239" s="223">
        <f>+SUBTOTAL(9,DL239:DW239)</f>
        <v>0</v>
      </c>
      <c r="DY239" s="284"/>
      <c r="DZ239" s="263">
        <v>0</v>
      </c>
      <c r="EA239" s="264">
        <v>0</v>
      </c>
      <c r="EB239" s="265">
        <v>0</v>
      </c>
      <c r="EC239" s="265">
        <v>0</v>
      </c>
      <c r="ED239" s="265">
        <v>0</v>
      </c>
      <c r="EE239" s="265">
        <v>0</v>
      </c>
      <c r="EF239" s="265">
        <v>0</v>
      </c>
      <c r="EG239" s="265">
        <v>0</v>
      </c>
      <c r="EH239" s="265">
        <v>0</v>
      </c>
      <c r="EI239" s="265">
        <v>0</v>
      </c>
      <c r="EJ239" s="265">
        <v>0</v>
      </c>
      <c r="EK239" s="265">
        <v>0</v>
      </c>
      <c r="EL239" s="223">
        <f>+SUBTOTAL(9,DZ239:EK239)</f>
        <v>0</v>
      </c>
      <c r="EM239" s="284"/>
      <c r="EN239" s="263">
        <v>0</v>
      </c>
      <c r="EO239" s="264">
        <v>0</v>
      </c>
      <c r="EP239" s="265">
        <v>0</v>
      </c>
      <c r="EQ239" s="265">
        <v>0</v>
      </c>
      <c r="ER239" s="265">
        <v>0</v>
      </c>
      <c r="ES239" s="265">
        <v>0</v>
      </c>
      <c r="ET239" s="265">
        <v>0</v>
      </c>
      <c r="EU239" s="265">
        <v>0</v>
      </c>
      <c r="EV239" s="265">
        <v>0</v>
      </c>
      <c r="EW239" s="265">
        <v>0</v>
      </c>
      <c r="EX239" s="265">
        <v>0</v>
      </c>
      <c r="EY239" s="265">
        <v>0</v>
      </c>
      <c r="EZ239" s="223">
        <f>+SUBTOTAL(9,EN239:EY239)</f>
        <v>0</v>
      </c>
      <c r="FA239" s="284"/>
      <c r="FB239" s="263">
        <v>0</v>
      </c>
      <c r="FC239" s="264">
        <v>0</v>
      </c>
      <c r="FD239" s="265">
        <v>0</v>
      </c>
      <c r="FE239" s="265">
        <v>0</v>
      </c>
      <c r="FF239" s="265">
        <v>0</v>
      </c>
      <c r="FG239" s="265">
        <v>0</v>
      </c>
      <c r="FH239" s="265">
        <v>0</v>
      </c>
      <c r="FI239" s="265">
        <v>0</v>
      </c>
      <c r="FJ239" s="265">
        <v>0</v>
      </c>
      <c r="FK239" s="265">
        <v>0</v>
      </c>
      <c r="FL239" s="265">
        <v>0</v>
      </c>
      <c r="FM239" s="265">
        <v>0</v>
      </c>
      <c r="FN239" s="223">
        <f>+SUBTOTAL(9,FB239:FM239)</f>
        <v>0</v>
      </c>
      <c r="FO239" s="284"/>
      <c r="FP239" s="263">
        <v>0</v>
      </c>
      <c r="FQ239" s="264">
        <v>0</v>
      </c>
      <c r="FR239" s="265">
        <v>0</v>
      </c>
      <c r="FS239" s="265">
        <v>0</v>
      </c>
      <c r="FT239" s="265">
        <v>0</v>
      </c>
      <c r="FU239" s="265">
        <v>0</v>
      </c>
      <c r="FV239" s="265">
        <v>0</v>
      </c>
      <c r="FW239" s="265">
        <v>0</v>
      </c>
      <c r="FX239" s="265">
        <v>0</v>
      </c>
      <c r="FY239" s="265">
        <v>0</v>
      </c>
      <c r="FZ239" s="265">
        <v>0</v>
      </c>
      <c r="GA239" s="265">
        <v>0</v>
      </c>
      <c r="GB239" s="223">
        <f>+SUBTOTAL(9,FP239:GA239)</f>
        <v>0</v>
      </c>
      <c r="GC239" s="284"/>
      <c r="GD239" s="263">
        <v>0</v>
      </c>
      <c r="GE239" s="264">
        <v>0</v>
      </c>
      <c r="GF239" s="265">
        <v>0</v>
      </c>
      <c r="GG239" s="265">
        <v>0</v>
      </c>
      <c r="GH239" s="265">
        <v>0</v>
      </c>
      <c r="GI239" s="265">
        <v>0</v>
      </c>
      <c r="GJ239" s="265">
        <v>0</v>
      </c>
      <c r="GK239" s="265">
        <v>0</v>
      </c>
      <c r="GL239" s="265">
        <v>0</v>
      </c>
      <c r="GM239" s="265">
        <v>0</v>
      </c>
      <c r="GN239" s="265">
        <v>0</v>
      </c>
      <c r="GO239" s="265">
        <v>0</v>
      </c>
      <c r="GP239" s="223">
        <f>+SUBTOTAL(9,GD239:GO239)</f>
        <v>0</v>
      </c>
      <c r="GQ239" s="284"/>
      <c r="GR239" s="263">
        <v>0</v>
      </c>
      <c r="GS239" s="264">
        <v>0</v>
      </c>
      <c r="GT239" s="265">
        <v>0</v>
      </c>
      <c r="GU239" s="265">
        <v>0</v>
      </c>
      <c r="GV239" s="265">
        <v>0</v>
      </c>
      <c r="GW239" s="265">
        <v>0</v>
      </c>
      <c r="GX239" s="265">
        <v>0</v>
      </c>
      <c r="GY239" s="265">
        <v>0</v>
      </c>
      <c r="GZ239" s="265">
        <v>0</v>
      </c>
      <c r="HA239" s="265">
        <v>0</v>
      </c>
      <c r="HB239" s="265">
        <v>0</v>
      </c>
      <c r="HC239" s="265">
        <v>0</v>
      </c>
      <c r="HD239" s="223">
        <f t="shared" si="1048"/>
        <v>0</v>
      </c>
      <c r="HE239" s="284"/>
      <c r="HF239" s="263">
        <v>0</v>
      </c>
      <c r="HG239" s="264">
        <v>0</v>
      </c>
      <c r="HH239" s="265">
        <v>0</v>
      </c>
      <c r="HI239" s="265">
        <v>0</v>
      </c>
      <c r="HJ239" s="265">
        <v>0</v>
      </c>
      <c r="HK239" s="265">
        <v>0</v>
      </c>
      <c r="HL239" s="265">
        <v>0</v>
      </c>
      <c r="HM239" s="265">
        <v>0</v>
      </c>
      <c r="HN239" s="265">
        <v>0</v>
      </c>
      <c r="HO239" s="265">
        <v>0</v>
      </c>
      <c r="HP239" s="265">
        <v>0</v>
      </c>
      <c r="HQ239" s="265">
        <v>0</v>
      </c>
      <c r="HR239" s="223">
        <f>+SUBTOTAL(9,HF239:HQ239)</f>
        <v>0</v>
      </c>
      <c r="HS239" s="284"/>
      <c r="HT239" s="263">
        <v>0</v>
      </c>
      <c r="HU239" s="264">
        <v>0</v>
      </c>
      <c r="HV239" s="265">
        <v>0</v>
      </c>
      <c r="HW239" s="265">
        <v>0</v>
      </c>
      <c r="HX239" s="265">
        <v>0</v>
      </c>
      <c r="HY239" s="265">
        <v>0</v>
      </c>
      <c r="HZ239" s="265">
        <v>0</v>
      </c>
      <c r="IA239" s="265">
        <v>0</v>
      </c>
      <c r="IB239" s="265">
        <v>0</v>
      </c>
      <c r="IC239" s="265">
        <v>0</v>
      </c>
      <c r="ID239" s="265">
        <v>0</v>
      </c>
      <c r="IE239" s="265">
        <v>0</v>
      </c>
      <c r="IF239" s="223">
        <f>+SUBTOTAL(9,HT239:IE239)</f>
        <v>0</v>
      </c>
      <c r="IG239" s="284"/>
      <c r="IH239" s="263">
        <v>0</v>
      </c>
      <c r="II239" s="264">
        <v>0</v>
      </c>
      <c r="IJ239" s="265">
        <v>0</v>
      </c>
      <c r="IK239" s="265">
        <v>0</v>
      </c>
      <c r="IL239" s="265">
        <v>0</v>
      </c>
      <c r="IM239" s="265">
        <v>0</v>
      </c>
      <c r="IN239" s="265">
        <v>0</v>
      </c>
      <c r="IO239" s="265">
        <v>0</v>
      </c>
      <c r="IP239" s="265">
        <v>0</v>
      </c>
      <c r="IQ239" s="265">
        <v>0</v>
      </c>
      <c r="IR239" s="265">
        <v>0</v>
      </c>
      <c r="IS239" s="265">
        <v>0</v>
      </c>
      <c r="IT239" s="223">
        <f>+SUBTOTAL(9,IH239:IS239)</f>
        <v>0</v>
      </c>
      <c r="IU239" s="284"/>
      <c r="IV239" s="263">
        <v>0</v>
      </c>
      <c r="IW239" s="264">
        <v>0</v>
      </c>
      <c r="IX239" s="265">
        <v>0</v>
      </c>
      <c r="IY239" s="265">
        <v>0</v>
      </c>
      <c r="IZ239" s="265">
        <v>0</v>
      </c>
      <c r="JA239" s="265">
        <v>0</v>
      </c>
      <c r="JB239" s="265">
        <v>0</v>
      </c>
      <c r="JC239" s="265">
        <v>0</v>
      </c>
      <c r="JD239" s="265">
        <v>0</v>
      </c>
      <c r="JE239" s="265">
        <v>0</v>
      </c>
      <c r="JF239" s="265">
        <v>0</v>
      </c>
      <c r="JG239" s="265">
        <v>0</v>
      </c>
      <c r="JH239" s="223">
        <f>+SUBTOTAL(9,IV239:JG239)</f>
        <v>0</v>
      </c>
      <c r="JI239" s="284"/>
      <c r="JJ239" s="263">
        <v>0</v>
      </c>
      <c r="JK239" s="264">
        <v>0</v>
      </c>
      <c r="JL239" s="265">
        <v>0</v>
      </c>
      <c r="JM239" s="265">
        <v>0</v>
      </c>
      <c r="JN239" s="265">
        <v>0</v>
      </c>
      <c r="JO239" s="265">
        <v>0</v>
      </c>
      <c r="JP239" s="265">
        <v>0</v>
      </c>
      <c r="JQ239" s="265">
        <v>0</v>
      </c>
      <c r="JR239" s="265">
        <v>0</v>
      </c>
      <c r="JS239" s="265">
        <v>0</v>
      </c>
      <c r="JT239" s="265">
        <v>0</v>
      </c>
      <c r="JU239" s="265">
        <v>0</v>
      </c>
      <c r="JV239" s="223">
        <f>+SUBTOTAL(9,JJ239:JU239)</f>
        <v>0</v>
      </c>
      <c r="JW239" s="284"/>
      <c r="JX239" s="263">
        <v>0</v>
      </c>
      <c r="JY239" s="264">
        <v>0</v>
      </c>
      <c r="JZ239" s="265">
        <v>0</v>
      </c>
      <c r="KA239" s="265">
        <v>0</v>
      </c>
      <c r="KB239" s="265">
        <v>0</v>
      </c>
      <c r="KC239" s="265">
        <v>0</v>
      </c>
      <c r="KD239" s="265">
        <v>0</v>
      </c>
      <c r="KE239" s="265">
        <v>0</v>
      </c>
      <c r="KF239" s="265">
        <v>0</v>
      </c>
      <c r="KG239" s="265">
        <v>0</v>
      </c>
      <c r="KH239" s="265">
        <v>0</v>
      </c>
      <c r="KI239" s="265">
        <v>0</v>
      </c>
      <c r="KJ239" s="223">
        <f>+SUBTOTAL(9,JX239:KI239)</f>
        <v>0</v>
      </c>
      <c r="KK239" s="284"/>
      <c r="KL239" s="263">
        <v>0</v>
      </c>
      <c r="KM239" s="264">
        <v>0</v>
      </c>
      <c r="KN239" s="265">
        <v>0</v>
      </c>
      <c r="KO239" s="265">
        <v>0</v>
      </c>
      <c r="KP239" s="265">
        <v>0</v>
      </c>
      <c r="KQ239" s="265">
        <v>0</v>
      </c>
      <c r="KR239" s="265">
        <v>0</v>
      </c>
      <c r="KS239" s="265">
        <v>0</v>
      </c>
      <c r="KT239" s="265">
        <v>0</v>
      </c>
      <c r="KU239" s="265">
        <v>0</v>
      </c>
      <c r="KV239" s="265">
        <v>0</v>
      </c>
      <c r="KW239" s="265">
        <v>0</v>
      </c>
      <c r="KX239" s="223">
        <f>+SUBTOTAL(9,KL239:KW239)</f>
        <v>0</v>
      </c>
      <c r="KY239" s="284"/>
      <c r="KZ239" s="263">
        <v>0</v>
      </c>
      <c r="LA239" s="264">
        <v>0</v>
      </c>
      <c r="LB239" s="265">
        <v>0</v>
      </c>
      <c r="LC239" s="265">
        <v>0</v>
      </c>
      <c r="LD239" s="265">
        <v>0</v>
      </c>
      <c r="LE239" s="265">
        <v>0</v>
      </c>
      <c r="LF239" s="265">
        <v>0</v>
      </c>
      <c r="LG239" s="265">
        <v>0</v>
      </c>
      <c r="LH239" s="265">
        <v>0</v>
      </c>
      <c r="LI239" s="265">
        <v>0</v>
      </c>
      <c r="LJ239" s="265">
        <v>0</v>
      </c>
      <c r="LK239" s="265">
        <v>0</v>
      </c>
      <c r="LL239" s="223">
        <f>+SUBTOTAL(9,KZ239:LK239)</f>
        <v>0</v>
      </c>
      <c r="LM239" s="284"/>
      <c r="LN239" s="263">
        <v>0</v>
      </c>
      <c r="LO239" s="264">
        <v>0</v>
      </c>
      <c r="LP239" s="265">
        <v>0</v>
      </c>
      <c r="LQ239" s="265">
        <v>0</v>
      </c>
      <c r="LR239" s="265">
        <v>0</v>
      </c>
      <c r="LS239" s="265">
        <v>0</v>
      </c>
      <c r="LT239" s="265">
        <v>0</v>
      </c>
      <c r="LU239" s="265">
        <v>0</v>
      </c>
      <c r="LV239" s="265">
        <v>0</v>
      </c>
      <c r="LW239" s="265">
        <v>0</v>
      </c>
      <c r="LX239" s="265">
        <v>0</v>
      </c>
      <c r="LY239" s="265">
        <v>0</v>
      </c>
      <c r="LZ239" s="223">
        <f>+SUBTOTAL(9,LN239:LY239)</f>
        <v>0</v>
      </c>
      <c r="MA239" s="284"/>
      <c r="MB239" s="230">
        <f t="shared" ref="MB239:MM239" si="1076">SUMIF($D$6:$LY$6,MB$3,$D239:$LY239)</f>
        <v>0</v>
      </c>
      <c r="MC239" s="230">
        <f t="shared" si="1076"/>
        <v>0</v>
      </c>
      <c r="MD239" s="230">
        <f t="shared" si="1076"/>
        <v>0</v>
      </c>
      <c r="ME239" s="230">
        <f t="shared" si="1076"/>
        <v>0</v>
      </c>
      <c r="MF239" s="230">
        <f t="shared" si="1076"/>
        <v>0</v>
      </c>
      <c r="MG239" s="230">
        <f t="shared" si="1076"/>
        <v>0</v>
      </c>
      <c r="MH239" s="230">
        <f t="shared" si="1076"/>
        <v>0</v>
      </c>
      <c r="MI239" s="230">
        <f t="shared" si="1076"/>
        <v>0</v>
      </c>
      <c r="MJ239" s="230">
        <f t="shared" si="1076"/>
        <v>0</v>
      </c>
      <c r="MK239" s="230">
        <f t="shared" si="1076"/>
        <v>0</v>
      </c>
      <c r="ML239" s="230">
        <f t="shared" si="1076"/>
        <v>0</v>
      </c>
      <c r="MM239" s="230">
        <f t="shared" si="1076"/>
        <v>0</v>
      </c>
      <c r="MN239" s="230">
        <f t="shared" ref="MN239" si="1077">SUM(MB239:MM239)</f>
        <v>0</v>
      </c>
    </row>
    <row r="240" spans="1:352" x14ac:dyDescent="0.25">
      <c r="A240" s="262"/>
      <c r="B240" s="181"/>
      <c r="C240" s="98"/>
      <c r="D240" s="268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30"/>
      <c r="Q240" s="266"/>
      <c r="R240" s="268"/>
      <c r="S240" s="265"/>
      <c r="T240" s="265"/>
      <c r="U240" s="265"/>
      <c r="V240" s="265"/>
      <c r="W240" s="265"/>
      <c r="X240" s="265"/>
      <c r="Y240" s="265"/>
      <c r="Z240" s="265"/>
      <c r="AA240" s="265"/>
      <c r="AB240" s="265"/>
      <c r="AC240" s="265"/>
      <c r="AD240" s="230"/>
      <c r="AE240" s="266"/>
      <c r="AF240" s="268"/>
      <c r="AG240" s="265"/>
      <c r="AH240" s="265"/>
      <c r="AI240" s="265"/>
      <c r="AJ240" s="265"/>
      <c r="AK240" s="265"/>
      <c r="AL240" s="265"/>
      <c r="AM240" s="265"/>
      <c r="AN240" s="265"/>
      <c r="AO240" s="265"/>
      <c r="AP240" s="265"/>
      <c r="AQ240" s="265"/>
      <c r="AR240" s="230"/>
      <c r="AS240" s="266"/>
      <c r="AT240" s="268"/>
      <c r="AU240" s="265"/>
      <c r="AV240" s="265"/>
      <c r="AW240" s="265"/>
      <c r="AX240" s="265"/>
      <c r="AY240" s="265"/>
      <c r="AZ240" s="265"/>
      <c r="BA240" s="265"/>
      <c r="BB240" s="265"/>
      <c r="BC240" s="265"/>
      <c r="BD240" s="265"/>
      <c r="BE240" s="265"/>
      <c r="BF240" s="230"/>
      <c r="BG240" s="224"/>
      <c r="BH240" s="268"/>
      <c r="BI240" s="265"/>
      <c r="BJ240" s="265"/>
      <c r="BK240" s="265"/>
      <c r="BL240" s="265"/>
      <c r="BM240" s="265"/>
      <c r="BN240" s="265"/>
      <c r="BO240" s="265"/>
      <c r="BP240" s="265"/>
      <c r="BQ240" s="265"/>
      <c r="BR240" s="265"/>
      <c r="BS240" s="265"/>
      <c r="BT240" s="230"/>
      <c r="BU240" s="266"/>
      <c r="BV240" s="268"/>
      <c r="BW240" s="265"/>
      <c r="BX240" s="265"/>
      <c r="BY240" s="265"/>
      <c r="BZ240" s="265"/>
      <c r="CA240" s="265"/>
      <c r="CB240" s="265"/>
      <c r="CC240" s="265"/>
      <c r="CD240" s="265"/>
      <c r="CE240" s="265"/>
      <c r="CF240" s="265"/>
      <c r="CG240" s="265"/>
      <c r="CH240" s="230"/>
      <c r="CI240" s="266"/>
      <c r="CJ240" s="268"/>
      <c r="CK240" s="265"/>
      <c r="CL240" s="265"/>
      <c r="CM240" s="265"/>
      <c r="CN240" s="265"/>
      <c r="CO240" s="265"/>
      <c r="CP240" s="265"/>
      <c r="CQ240" s="265"/>
      <c r="CR240" s="265"/>
      <c r="CS240" s="265"/>
      <c r="CT240" s="265"/>
      <c r="CU240" s="265"/>
      <c r="CV240" s="230"/>
      <c r="CW240" s="266"/>
      <c r="CX240" s="268"/>
      <c r="CY240" s="265"/>
      <c r="CZ240" s="265"/>
      <c r="DA240" s="265"/>
      <c r="DB240" s="265"/>
      <c r="DC240" s="265"/>
      <c r="DD240" s="265"/>
      <c r="DE240" s="265"/>
      <c r="DF240" s="265"/>
      <c r="DG240" s="265"/>
      <c r="DH240" s="265"/>
      <c r="DI240" s="265"/>
      <c r="DJ240" s="230"/>
      <c r="DK240" s="266"/>
      <c r="DL240" s="268"/>
      <c r="DM240" s="265"/>
      <c r="DN240" s="265"/>
      <c r="DO240" s="265"/>
      <c r="DP240" s="265"/>
      <c r="DQ240" s="265"/>
      <c r="DR240" s="265"/>
      <c r="DS240" s="265"/>
      <c r="DT240" s="265"/>
      <c r="DU240" s="265"/>
      <c r="DV240" s="265"/>
      <c r="DW240" s="265"/>
      <c r="DX240" s="230"/>
      <c r="DY240" s="266"/>
      <c r="DZ240" s="268"/>
      <c r="EA240" s="265"/>
      <c r="EB240" s="265"/>
      <c r="EC240" s="265"/>
      <c r="ED240" s="265"/>
      <c r="EE240" s="265"/>
      <c r="EF240" s="265"/>
      <c r="EG240" s="265"/>
      <c r="EH240" s="265"/>
      <c r="EI240" s="265"/>
      <c r="EJ240" s="265"/>
      <c r="EK240" s="265"/>
      <c r="EL240" s="230"/>
      <c r="EM240" s="266"/>
      <c r="EN240" s="268"/>
      <c r="EO240" s="265"/>
      <c r="EP240" s="265"/>
      <c r="EQ240" s="265"/>
      <c r="ER240" s="265"/>
      <c r="ES240" s="265"/>
      <c r="ET240" s="265"/>
      <c r="EU240" s="265"/>
      <c r="EV240" s="265"/>
      <c r="EW240" s="265"/>
      <c r="EX240" s="265"/>
      <c r="EY240" s="265"/>
      <c r="EZ240" s="230"/>
      <c r="FA240" s="266"/>
      <c r="FB240" s="268"/>
      <c r="FC240" s="265"/>
      <c r="FD240" s="265"/>
      <c r="FE240" s="265"/>
      <c r="FF240" s="265"/>
      <c r="FG240" s="265"/>
      <c r="FH240" s="265"/>
      <c r="FI240" s="265"/>
      <c r="FJ240" s="265"/>
      <c r="FK240" s="265"/>
      <c r="FL240" s="265"/>
      <c r="FM240" s="265"/>
      <c r="FN240" s="230"/>
      <c r="FO240" s="266"/>
      <c r="FP240" s="268"/>
      <c r="FQ240" s="265"/>
      <c r="FR240" s="265"/>
      <c r="FS240" s="265"/>
      <c r="FT240" s="265"/>
      <c r="FU240" s="265"/>
      <c r="FV240" s="265"/>
      <c r="FW240" s="265"/>
      <c r="FX240" s="265"/>
      <c r="FY240" s="265"/>
      <c r="FZ240" s="265"/>
      <c r="GA240" s="265"/>
      <c r="GB240" s="230"/>
      <c r="GC240" s="266"/>
      <c r="GD240" s="268"/>
      <c r="GE240" s="265"/>
      <c r="GF240" s="265"/>
      <c r="GG240" s="265"/>
      <c r="GH240" s="265"/>
      <c r="GI240" s="265"/>
      <c r="GJ240" s="265"/>
      <c r="GK240" s="265"/>
      <c r="GL240" s="265"/>
      <c r="GM240" s="265"/>
      <c r="GN240" s="265"/>
      <c r="GO240" s="265"/>
      <c r="GP240" s="230"/>
      <c r="GQ240" s="266"/>
      <c r="GR240" s="268"/>
      <c r="GS240" s="265"/>
      <c r="GT240" s="265"/>
      <c r="GU240" s="265"/>
      <c r="GV240" s="265"/>
      <c r="GW240" s="265"/>
      <c r="GX240" s="265"/>
      <c r="GY240" s="265"/>
      <c r="GZ240" s="265"/>
      <c r="HA240" s="265"/>
      <c r="HB240" s="265"/>
      <c r="HC240" s="265"/>
      <c r="HD240" s="230">
        <f t="shared" si="1048"/>
        <v>0</v>
      </c>
      <c r="HE240" s="266"/>
      <c r="HF240" s="268"/>
      <c r="HG240" s="265"/>
      <c r="HH240" s="265"/>
      <c r="HI240" s="265"/>
      <c r="HJ240" s="265"/>
      <c r="HK240" s="265"/>
      <c r="HL240" s="265"/>
      <c r="HM240" s="265"/>
      <c r="HN240" s="265"/>
      <c r="HO240" s="265"/>
      <c r="HP240" s="265"/>
      <c r="HQ240" s="265"/>
      <c r="HR240" s="230"/>
      <c r="HS240" s="266"/>
      <c r="HT240" s="268"/>
      <c r="HU240" s="265"/>
      <c r="HV240" s="265"/>
      <c r="HW240" s="265"/>
      <c r="HX240" s="265"/>
      <c r="HY240" s="265"/>
      <c r="HZ240" s="265"/>
      <c r="IA240" s="265"/>
      <c r="IB240" s="265"/>
      <c r="IC240" s="265"/>
      <c r="ID240" s="265"/>
      <c r="IE240" s="265"/>
      <c r="IF240" s="230"/>
      <c r="IG240" s="266"/>
      <c r="IH240" s="268"/>
      <c r="II240" s="265"/>
      <c r="IJ240" s="265"/>
      <c r="IK240" s="265"/>
      <c r="IL240" s="265"/>
      <c r="IM240" s="265"/>
      <c r="IN240" s="265"/>
      <c r="IO240" s="265"/>
      <c r="IP240" s="265"/>
      <c r="IQ240" s="265"/>
      <c r="IR240" s="265"/>
      <c r="IS240" s="265"/>
      <c r="IT240" s="230"/>
      <c r="IU240" s="266"/>
      <c r="IV240" s="268"/>
      <c r="IW240" s="265"/>
      <c r="IX240" s="265"/>
      <c r="IY240" s="265"/>
      <c r="IZ240" s="265"/>
      <c r="JA240" s="265"/>
      <c r="JB240" s="265"/>
      <c r="JC240" s="265"/>
      <c r="JD240" s="265"/>
      <c r="JE240" s="265"/>
      <c r="JF240" s="265"/>
      <c r="JG240" s="265"/>
      <c r="JH240" s="230"/>
      <c r="JI240" s="266"/>
      <c r="JJ240" s="268"/>
      <c r="JK240" s="265"/>
      <c r="JL240" s="265"/>
      <c r="JM240" s="265"/>
      <c r="JN240" s="265"/>
      <c r="JO240" s="265"/>
      <c r="JP240" s="265"/>
      <c r="JQ240" s="265"/>
      <c r="JR240" s="265"/>
      <c r="JS240" s="265"/>
      <c r="JT240" s="265"/>
      <c r="JU240" s="265"/>
      <c r="JV240" s="230"/>
      <c r="JW240" s="266"/>
      <c r="JX240" s="268"/>
      <c r="JY240" s="265"/>
      <c r="JZ240" s="265"/>
      <c r="KA240" s="265"/>
      <c r="KB240" s="265"/>
      <c r="KC240" s="265"/>
      <c r="KD240" s="265"/>
      <c r="KE240" s="265"/>
      <c r="KF240" s="265"/>
      <c r="KG240" s="265"/>
      <c r="KH240" s="265"/>
      <c r="KI240" s="265"/>
      <c r="KJ240" s="230"/>
      <c r="KK240" s="266"/>
      <c r="KL240" s="268"/>
      <c r="KM240" s="265"/>
      <c r="KN240" s="265"/>
      <c r="KO240" s="265"/>
      <c r="KP240" s="265"/>
      <c r="KQ240" s="265"/>
      <c r="KR240" s="265"/>
      <c r="KS240" s="265"/>
      <c r="KT240" s="265"/>
      <c r="KU240" s="265"/>
      <c r="KV240" s="265"/>
      <c r="KW240" s="265"/>
      <c r="KX240" s="230"/>
      <c r="KY240" s="266"/>
      <c r="KZ240" s="268"/>
      <c r="LA240" s="265"/>
      <c r="LB240" s="265"/>
      <c r="LC240" s="265"/>
      <c r="LD240" s="265"/>
      <c r="LE240" s="265"/>
      <c r="LF240" s="265"/>
      <c r="LG240" s="265"/>
      <c r="LH240" s="265"/>
      <c r="LI240" s="265"/>
      <c r="LJ240" s="265"/>
      <c r="LK240" s="265"/>
      <c r="LL240" s="230"/>
      <c r="LM240" s="266"/>
      <c r="LN240" s="268"/>
      <c r="LO240" s="265"/>
      <c r="LP240" s="265"/>
      <c r="LQ240" s="265"/>
      <c r="LR240" s="265"/>
      <c r="LS240" s="265"/>
      <c r="LT240" s="265"/>
      <c r="LU240" s="265"/>
      <c r="LV240" s="265"/>
      <c r="LW240" s="265"/>
      <c r="LX240" s="265"/>
      <c r="LY240" s="265"/>
      <c r="LZ240" s="230"/>
      <c r="MA240" s="266"/>
      <c r="MB240" s="230"/>
      <c r="MC240" s="230"/>
      <c r="MD240" s="230"/>
      <c r="ME240" s="230"/>
      <c r="MF240" s="230"/>
      <c r="MG240" s="230"/>
      <c r="MH240" s="230"/>
      <c r="MI240" s="230"/>
      <c r="MJ240" s="230"/>
      <c r="MK240" s="230"/>
      <c r="ML240" s="230"/>
      <c r="MM240" s="230"/>
      <c r="MN240" s="230"/>
    </row>
    <row r="241" spans="1:352" x14ac:dyDescent="0.3">
      <c r="A241" s="262"/>
      <c r="B241" s="166" t="s">
        <v>217</v>
      </c>
      <c r="C241" s="98"/>
      <c r="D241" s="269">
        <f>+D239+D237+D225+D200+D188</f>
        <v>52874.854116862305</v>
      </c>
      <c r="E241" s="270">
        <f t="shared" ref="E241:P241" si="1078">+E239+E237+E225+E200+E188</f>
        <v>50788.656763111023</v>
      </c>
      <c r="F241" s="270">
        <f t="shared" si="1078"/>
        <v>51047.10828755355</v>
      </c>
      <c r="G241" s="270">
        <f t="shared" si="1078"/>
        <v>50575.377946169596</v>
      </c>
      <c r="H241" s="270">
        <f t="shared" si="1078"/>
        <v>50639.918509430383</v>
      </c>
      <c r="I241" s="270">
        <f t="shared" si="1078"/>
        <v>50657.205608564036</v>
      </c>
      <c r="J241" s="270">
        <f t="shared" si="1078"/>
        <v>51306.002415235547</v>
      </c>
      <c r="K241" s="270">
        <f t="shared" si="1078"/>
        <v>51986.515835422855</v>
      </c>
      <c r="L241" s="270">
        <f t="shared" si="1078"/>
        <v>54067.454022017795</v>
      </c>
      <c r="M241" s="270">
        <f t="shared" si="1078"/>
        <v>51781.937350811655</v>
      </c>
      <c r="N241" s="270">
        <f t="shared" si="1078"/>
        <v>49538.814065640254</v>
      </c>
      <c r="O241" s="270">
        <f t="shared" si="1078"/>
        <v>48460.985891980759</v>
      </c>
      <c r="P241" s="286">
        <f t="shared" si="1078"/>
        <v>566434.22315968736</v>
      </c>
      <c r="Q241" s="225"/>
      <c r="R241" s="269">
        <f>+R239+R237+R225+R200+R188</f>
        <v>4618.4203644116124</v>
      </c>
      <c r="S241" s="270">
        <f t="shared" ref="S241:AD241" si="1079">+S239+S237+S225+S200+S188</f>
        <v>4409.2634309690802</v>
      </c>
      <c r="T241" s="270">
        <f t="shared" si="1079"/>
        <v>4434.9519996361396</v>
      </c>
      <c r="U241" s="270">
        <f t="shared" si="1079"/>
        <v>4387.2001050785875</v>
      </c>
      <c r="V241" s="270">
        <f t="shared" si="1079"/>
        <v>4393.8767150710828</v>
      </c>
      <c r="W241" s="270">
        <f t="shared" si="1079"/>
        <v>4395.6650356711161</v>
      </c>
      <c r="X241" s="270">
        <f t="shared" si="1079"/>
        <v>4460.4414582277459</v>
      </c>
      <c r="Y241" s="270">
        <f t="shared" si="1079"/>
        <v>4526.5249444158871</v>
      </c>
      <c r="Z241" s="270">
        <f t="shared" si="1079"/>
        <v>4742.4107625419938</v>
      </c>
      <c r="AA241" s="270">
        <f t="shared" si="1079"/>
        <v>4505.9780034517044</v>
      </c>
      <c r="AB241" s="270">
        <f t="shared" si="1079"/>
        <v>4276.5810744081336</v>
      </c>
      <c r="AC241" s="270">
        <f t="shared" si="1079"/>
        <v>4165.019973112765</v>
      </c>
      <c r="AD241" s="286">
        <f t="shared" si="1079"/>
        <v>53316.333866995854</v>
      </c>
      <c r="AE241" s="225"/>
      <c r="AF241" s="269">
        <f>+AF239+AF237+AF225+AF200+AF188</f>
        <v>4639.6667895784385</v>
      </c>
      <c r="AG241" s="270">
        <f t="shared" ref="AG241:AR241" si="1080">+AG239+AG237+AG225+AG200+AG188</f>
        <v>4430.5098561359064</v>
      </c>
      <c r="AH241" s="270">
        <f t="shared" si="1080"/>
        <v>4456.1984248029657</v>
      </c>
      <c r="AI241" s="270">
        <f t="shared" si="1080"/>
        <v>4408.4465302454137</v>
      </c>
      <c r="AJ241" s="270">
        <f t="shared" si="1080"/>
        <v>4415.123140237909</v>
      </c>
      <c r="AK241" s="270">
        <f t="shared" si="1080"/>
        <v>4416.9114608379423</v>
      </c>
      <c r="AL241" s="270">
        <f t="shared" si="1080"/>
        <v>4481.6878833945721</v>
      </c>
      <c r="AM241" s="270">
        <f t="shared" si="1080"/>
        <v>4547.7713695827133</v>
      </c>
      <c r="AN241" s="270">
        <f t="shared" si="1080"/>
        <v>4763.6571877088199</v>
      </c>
      <c r="AO241" s="270">
        <f t="shared" si="1080"/>
        <v>4527.2244286185305</v>
      </c>
      <c r="AP241" s="270">
        <f t="shared" si="1080"/>
        <v>4297.8274995749598</v>
      </c>
      <c r="AQ241" s="270">
        <f t="shared" si="1080"/>
        <v>4186.2663982795912</v>
      </c>
      <c r="AR241" s="286">
        <f t="shared" si="1080"/>
        <v>53571.290968997768</v>
      </c>
      <c r="AS241" s="266"/>
      <c r="AT241" s="269">
        <f>+AT239+AT237+AT225+AT200+AT188</f>
        <v>11078.803916280762</v>
      </c>
      <c r="AU241" s="270">
        <f t="shared" ref="AU241:BF241" si="1081">+AU239+AU237+AU225+AU200+AU188</f>
        <v>10939.365960652407</v>
      </c>
      <c r="AV241" s="270">
        <f t="shared" si="1081"/>
        <v>10956.491673097113</v>
      </c>
      <c r="AW241" s="270">
        <f t="shared" si="1081"/>
        <v>10924.657076725412</v>
      </c>
      <c r="AX241" s="270">
        <f t="shared" si="1081"/>
        <v>10929.108150053742</v>
      </c>
      <c r="AY241" s="270">
        <f t="shared" si="1081"/>
        <v>10930.300363787097</v>
      </c>
      <c r="AZ241" s="270">
        <f t="shared" si="1081"/>
        <v>10981.416803101942</v>
      </c>
      <c r="BA241" s="270">
        <f t="shared" si="1081"/>
        <v>11025.472460560704</v>
      </c>
      <c r="BB241" s="270">
        <f t="shared" si="1081"/>
        <v>11169.396339311439</v>
      </c>
      <c r="BC241" s="270">
        <f t="shared" si="1081"/>
        <v>11011.774499917914</v>
      </c>
      <c r="BD241" s="270">
        <f t="shared" si="1081"/>
        <v>10858.843213888867</v>
      </c>
      <c r="BE241" s="270">
        <f t="shared" si="1081"/>
        <v>10784.46914635862</v>
      </c>
      <c r="BF241" s="286">
        <f t="shared" si="1081"/>
        <v>131590.09960373602</v>
      </c>
      <c r="BG241" s="224"/>
      <c r="BH241" s="269">
        <f>+BH239+BH237+BH225+BH200+BH188</f>
        <v>61668.341097558536</v>
      </c>
      <c r="BI241" s="270">
        <f t="shared" ref="BI241:BT241" si="1082">+BI239+BI237+BI225+BI200+BI188</f>
        <v>60618.624113853977</v>
      </c>
      <c r="BJ241" s="270">
        <f t="shared" si="1082"/>
        <v>60747.066957189272</v>
      </c>
      <c r="BK241" s="270">
        <f t="shared" si="1082"/>
        <v>60508.307484401514</v>
      </c>
      <c r="BL241" s="270">
        <f t="shared" si="1082"/>
        <v>60541.690534363988</v>
      </c>
      <c r="BM241" s="270">
        <f t="shared" si="1082"/>
        <v>60550.632137364155</v>
      </c>
      <c r="BN241" s="270">
        <f t="shared" si="1082"/>
        <v>60893.472782082477</v>
      </c>
      <c r="BO241" s="270">
        <f t="shared" si="1082"/>
        <v>61223.890213023187</v>
      </c>
      <c r="BP241" s="270">
        <f t="shared" si="1082"/>
        <v>62303.31930365372</v>
      </c>
      <c r="BQ241" s="270">
        <f t="shared" si="1082"/>
        <v>61104.472953388162</v>
      </c>
      <c r="BR241" s="270">
        <f t="shared" si="1082"/>
        <v>59974.170862984422</v>
      </c>
      <c r="BS241" s="270">
        <f t="shared" si="1082"/>
        <v>59416.365356507573</v>
      </c>
      <c r="BT241" s="286">
        <f t="shared" si="1082"/>
        <v>729550.35379637103</v>
      </c>
      <c r="BU241" s="266"/>
      <c r="BV241" s="269">
        <f>+BV239+BV237+BV225+BV200+BV188</f>
        <v>10817.14266357413</v>
      </c>
      <c r="BW241" s="270">
        <f t="shared" ref="BW241:CH241" si="1083">+BW239+BW237+BW225+BW200+BW188</f>
        <v>10729.549519887692</v>
      </c>
      <c r="BX241" s="270">
        <f t="shared" si="1083"/>
        <v>10738.112376110046</v>
      </c>
      <c r="BY241" s="270">
        <f t="shared" si="1083"/>
        <v>10722.195077924194</v>
      </c>
      <c r="BZ241" s="270">
        <f t="shared" si="1083"/>
        <v>10724.42061458836</v>
      </c>
      <c r="CA241" s="270">
        <f t="shared" si="1083"/>
        <v>10725.016721455038</v>
      </c>
      <c r="CB241" s="270">
        <f t="shared" si="1083"/>
        <v>10754.108067899875</v>
      </c>
      <c r="CC241" s="270">
        <f t="shared" si="1083"/>
        <v>10794.010062501515</v>
      </c>
      <c r="CD241" s="270">
        <f t="shared" si="1083"/>
        <v>10848.097836004625</v>
      </c>
      <c r="CE241" s="270">
        <f t="shared" si="1083"/>
        <v>10769.286916307861</v>
      </c>
      <c r="CF241" s="270">
        <f t="shared" si="1083"/>
        <v>10692.821273293339</v>
      </c>
      <c r="CG241" s="270">
        <f t="shared" si="1083"/>
        <v>10655.634239528215</v>
      </c>
      <c r="CH241" s="286">
        <f t="shared" si="1083"/>
        <v>128970.39536907489</v>
      </c>
      <c r="CI241" s="225"/>
      <c r="CJ241" s="269">
        <f>+CJ239+CJ237+CJ225+CJ200+CJ188</f>
        <v>29395.802378438391</v>
      </c>
      <c r="CK241" s="270">
        <f t="shared" ref="CK241:CV241" si="1084">+CK239+CK237+CK225+CK200+CK188</f>
        <v>28628.893622482436</v>
      </c>
      <c r="CL241" s="270">
        <f t="shared" si="1084"/>
        <v>28723.085040928323</v>
      </c>
      <c r="CM241" s="270">
        <f t="shared" si="1084"/>
        <v>28547.994760883961</v>
      </c>
      <c r="CN241" s="270">
        <f t="shared" si="1084"/>
        <v>28572.475664189777</v>
      </c>
      <c r="CO241" s="270">
        <f t="shared" si="1084"/>
        <v>28579.032839723237</v>
      </c>
      <c r="CP241" s="270">
        <f t="shared" si="1084"/>
        <v>28825.312674448673</v>
      </c>
      <c r="CQ241" s="270">
        <f t="shared" si="1084"/>
        <v>29067.618790471857</v>
      </c>
      <c r="CR241" s="270">
        <f t="shared" si="1084"/>
        <v>29859.200123600916</v>
      </c>
      <c r="CS241" s="270">
        <f t="shared" si="1084"/>
        <v>28992.280006936518</v>
      </c>
      <c r="CT241" s="270">
        <f t="shared" si="1084"/>
        <v>28151.157933776762</v>
      </c>
      <c r="CU241" s="270">
        <f t="shared" si="1084"/>
        <v>27742.100562360407</v>
      </c>
      <c r="CV241" s="286">
        <f t="shared" si="1084"/>
        <v>345084.95439824124</v>
      </c>
      <c r="CW241" s="225"/>
      <c r="CX241" s="269">
        <f>+CX239+CX237+CX225+CX200+CX188</f>
        <v>66293.555113917348</v>
      </c>
      <c r="CY241" s="270">
        <f t="shared" ref="CY241:DJ241" si="1085">+CY239+CY237+CY225+CY200+CY188</f>
        <v>64250.265489171856</v>
      </c>
      <c r="CZ241" s="270">
        <f t="shared" si="1085"/>
        <v>64500.154157392026</v>
      </c>
      <c r="DA241" s="270">
        <f t="shared" si="1085"/>
        <v>64044.341114193921</v>
      </c>
      <c r="DB241" s="270">
        <f t="shared" si="1085"/>
        <v>64106.656140790546</v>
      </c>
      <c r="DC241" s="270">
        <f t="shared" si="1085"/>
        <v>64123.347133057527</v>
      </c>
      <c r="DD241" s="270">
        <f t="shared" si="1085"/>
        <v>64764.370515114511</v>
      </c>
      <c r="DE241" s="270">
        <f t="shared" si="1085"/>
        <v>65449.667355380821</v>
      </c>
      <c r="DF241" s="270">
        <f t="shared" si="1085"/>
        <v>67431.832353792008</v>
      </c>
      <c r="DG241" s="270">
        <f t="shared" si="1085"/>
        <v>65233.467879689684</v>
      </c>
      <c r="DH241" s="270">
        <f t="shared" si="1085"/>
        <v>63058.468960125741</v>
      </c>
      <c r="DI241" s="270">
        <f t="shared" si="1085"/>
        <v>62017.827820231367</v>
      </c>
      <c r="DJ241" s="286">
        <f t="shared" si="1085"/>
        <v>775273.95403285732</v>
      </c>
      <c r="DK241" s="225"/>
      <c r="DL241" s="269">
        <f>+DL239+DL237+DL225+DL200+DL188</f>
        <v>47052.223178740991</v>
      </c>
      <c r="DM241" s="270">
        <f t="shared" ref="DM241:DX241" si="1086">+DM239+DM237+DM225+DM200+DM188</f>
        <v>43287.522400515991</v>
      </c>
      <c r="DN241" s="270">
        <f t="shared" si="1086"/>
        <v>43275.282374741888</v>
      </c>
      <c r="DO241" s="270">
        <f t="shared" si="1086"/>
        <v>41326.598025538056</v>
      </c>
      <c r="DP241" s="270">
        <f t="shared" si="1086"/>
        <v>41388.913052134681</v>
      </c>
      <c r="DQ241" s="270">
        <f t="shared" si="1086"/>
        <v>41405.604044401662</v>
      </c>
      <c r="DR241" s="270">
        <f t="shared" si="1086"/>
        <v>45559.597207202212</v>
      </c>
      <c r="DS241" s="270">
        <f t="shared" si="1086"/>
        <v>42630.613494560996</v>
      </c>
      <c r="DT241" s="270">
        <f t="shared" si="1086"/>
        <v>44636.610714135197</v>
      </c>
      <c r="DU241" s="270">
        <f t="shared" si="1086"/>
        <v>42413.222407811707</v>
      </c>
      <c r="DV241" s="270">
        <f t="shared" si="1086"/>
        <v>40288.866958219165</v>
      </c>
      <c r="DW241" s="270">
        <f t="shared" si="1086"/>
        <v>39247.630012795722</v>
      </c>
      <c r="DX241" s="286">
        <f t="shared" si="1086"/>
        <v>512512.68387079827</v>
      </c>
      <c r="DY241" s="225"/>
      <c r="DZ241" s="269">
        <f>+DZ239+DZ237+DZ225+DZ200+DZ188</f>
        <v>5096.4324633834694</v>
      </c>
      <c r="EA241" s="270">
        <f t="shared" ref="EA241:EL241" si="1087">+EA239+EA237+EA225+EA200+EA188</f>
        <v>5026.7134855692921</v>
      </c>
      <c r="EB241" s="270">
        <f t="shared" si="1087"/>
        <v>5035.2763417916449</v>
      </c>
      <c r="EC241" s="270">
        <f t="shared" si="1087"/>
        <v>8218.3590436057948</v>
      </c>
      <c r="ED241" s="270">
        <f t="shared" si="1087"/>
        <v>5021.5845802699596</v>
      </c>
      <c r="EE241" s="270">
        <f t="shared" si="1087"/>
        <v>5022.1806871366371</v>
      </c>
      <c r="EF241" s="270">
        <f t="shared" si="1087"/>
        <v>5047.7686970705126</v>
      </c>
      <c r="EG241" s="270">
        <f t="shared" si="1087"/>
        <v>5069.7965257998931</v>
      </c>
      <c r="EH241" s="270">
        <f t="shared" si="1087"/>
        <v>5141.7584651752613</v>
      </c>
      <c r="EI241" s="270">
        <f t="shared" si="1087"/>
        <v>5062.9475454784988</v>
      </c>
      <c r="EJ241" s="270">
        <f t="shared" si="1087"/>
        <v>4986.4819024639746</v>
      </c>
      <c r="EK241" s="270">
        <f t="shared" si="1087"/>
        <v>4949.294868698853</v>
      </c>
      <c r="EL241" s="286">
        <f t="shared" si="1087"/>
        <v>63678.594606443796</v>
      </c>
      <c r="EM241" s="225"/>
      <c r="EN241" s="269">
        <f>+EN239+EN237+EN225+EN200+EN188</f>
        <v>7549.6928581301436</v>
      </c>
      <c r="EO241" s="270">
        <f t="shared" ref="EO241:EZ241" si="1088">+EO239+EO237+EO225+EO200+EO188</f>
        <v>7410.2549025017888</v>
      </c>
      <c r="EP241" s="270">
        <f t="shared" si="1088"/>
        <v>7427.3806149464954</v>
      </c>
      <c r="EQ241" s="270">
        <f t="shared" si="1088"/>
        <v>7395.5460185747943</v>
      </c>
      <c r="ER241" s="270">
        <f t="shared" si="1088"/>
        <v>7399.9970919031248</v>
      </c>
      <c r="ES241" s="270">
        <f t="shared" si="1088"/>
        <v>7401.1893056364806</v>
      </c>
      <c r="ET241" s="270">
        <f t="shared" si="1088"/>
        <v>7452.3057449513226</v>
      </c>
      <c r="EU241" s="270">
        <f t="shared" si="1088"/>
        <v>7496.3614024100825</v>
      </c>
      <c r="EV241" s="270">
        <f t="shared" si="1088"/>
        <v>7640.2852811608209</v>
      </c>
      <c r="EW241" s="270">
        <f t="shared" si="1088"/>
        <v>7482.6634417672949</v>
      </c>
      <c r="EX241" s="270">
        <f t="shared" si="1088"/>
        <v>7329.7321557382475</v>
      </c>
      <c r="EY241" s="270">
        <f t="shared" si="1088"/>
        <v>7255.3580882080014</v>
      </c>
      <c r="EZ241" s="286">
        <f t="shared" si="1088"/>
        <v>89240.766905928598</v>
      </c>
      <c r="FA241" s="225"/>
      <c r="FB241" s="269">
        <f>+FB239+FB237+FB225+FB200+FB188</f>
        <v>1657.2642079020598</v>
      </c>
      <c r="FC241" s="270">
        <f t="shared" ref="FC241:FN241" si="1089">+FC239+FC237+FC225+FC200+FC188</f>
        <v>1587.5452300878821</v>
      </c>
      <c r="FD241" s="270">
        <f t="shared" si="1089"/>
        <v>1596.1080863102354</v>
      </c>
      <c r="FE241" s="270">
        <f t="shared" si="1089"/>
        <v>1580.1907881243847</v>
      </c>
      <c r="FF241" s="270">
        <f t="shared" si="1089"/>
        <v>1582.4163247885499</v>
      </c>
      <c r="FG241" s="270">
        <f t="shared" si="1089"/>
        <v>1583.0124316552276</v>
      </c>
      <c r="FH241" s="270">
        <f t="shared" si="1089"/>
        <v>1605.0375245252321</v>
      </c>
      <c r="FI241" s="270">
        <f t="shared" si="1089"/>
        <v>1627.0653532546125</v>
      </c>
      <c r="FJ241" s="270">
        <f t="shared" si="1089"/>
        <v>1699.0272926299813</v>
      </c>
      <c r="FK241" s="270">
        <f t="shared" si="1089"/>
        <v>1620.2163729332183</v>
      </c>
      <c r="FL241" s="270">
        <f t="shared" si="1089"/>
        <v>1543.7507299186948</v>
      </c>
      <c r="FM241" s="270">
        <f t="shared" si="1089"/>
        <v>1506.5636961535718</v>
      </c>
      <c r="FN241" s="286">
        <f t="shared" si="1089"/>
        <v>19188.198038283648</v>
      </c>
      <c r="FO241" s="225"/>
      <c r="FP241" s="269">
        <f>+FP239+FP237+FP225+FP200+FP188</f>
        <v>22878.566328527002</v>
      </c>
      <c r="FQ241" s="270">
        <f t="shared" ref="FQ241:GB241" si="1090">+FQ239+FQ237+FQ225+FQ200+FQ188</f>
        <v>22328.152644933572</v>
      </c>
      <c r="FR241" s="270">
        <f t="shared" si="1090"/>
        <v>22398.221332484329</v>
      </c>
      <c r="FS241" s="270">
        <f t="shared" si="1090"/>
        <v>22276.671551189087</v>
      </c>
      <c r="FT241" s="270">
        <f t="shared" si="1090"/>
        <v>22292.250307838243</v>
      </c>
      <c r="FU241" s="270">
        <f t="shared" si="1090"/>
        <v>22296.42305590499</v>
      </c>
      <c r="FV241" s="270">
        <f t="shared" si="1090"/>
        <v>22470.927590647068</v>
      </c>
      <c r="FW241" s="270">
        <f t="shared" si="1090"/>
        <v>22666.828778788004</v>
      </c>
      <c r="FX241" s="270">
        <f t="shared" si="1090"/>
        <v>23164.604299124832</v>
      </c>
      <c r="FY241" s="270">
        <f t="shared" si="1090"/>
        <v>22621.269138654541</v>
      </c>
      <c r="FZ241" s="270">
        <f t="shared" si="1090"/>
        <v>22052.048722395593</v>
      </c>
      <c r="GA241" s="270">
        <f t="shared" si="1090"/>
        <v>21792.335291568808</v>
      </c>
      <c r="GB241" s="286">
        <f t="shared" si="1090"/>
        <v>269238.29904205608</v>
      </c>
      <c r="GC241" s="225"/>
      <c r="GD241" s="269">
        <f>+GD239+GD237+GD225+GD200+GD188</f>
        <v>10454.928650228087</v>
      </c>
      <c r="GE241" s="270">
        <f t="shared" ref="GE241:GP241" si="1091">+GE239+GE237+GE225+GE200+GE188</f>
        <v>10447.590511308093</v>
      </c>
      <c r="GF241" s="270">
        <f t="shared" si="1091"/>
        <v>10446.024673536167</v>
      </c>
      <c r="GG241" s="270">
        <f t="shared" si="1091"/>
        <v>10440.236069344597</v>
      </c>
      <c r="GH241" s="270">
        <f t="shared" si="1091"/>
        <v>10442.461606008761</v>
      </c>
      <c r="GI241" s="270">
        <f t="shared" si="1091"/>
        <v>10443.057712875439</v>
      </c>
      <c r="GJ241" s="270">
        <f t="shared" si="1091"/>
        <v>10461.269650359362</v>
      </c>
      <c r="GK241" s="270">
        <f t="shared" si="1091"/>
        <v>10441.591092053472</v>
      </c>
      <c r="GL241" s="270">
        <f t="shared" si="1091"/>
        <v>10519.511086719593</v>
      </c>
      <c r="GM241" s="270">
        <f t="shared" si="1091"/>
        <v>10432.358889615774</v>
      </c>
      <c r="GN241" s="270">
        <f t="shared" si="1091"/>
        <v>10389.854161758545</v>
      </c>
      <c r="GO241" s="270">
        <f t="shared" si="1091"/>
        <v>10352.071322464344</v>
      </c>
      <c r="GP241" s="286">
        <f t="shared" si="1091"/>
        <v>125270.95542627224</v>
      </c>
      <c r="GQ241" s="225"/>
      <c r="GR241" s="269">
        <f>+GR239+GR237+GR225+GR200+GR188</f>
        <v>-5959.7658686014547</v>
      </c>
      <c r="GS241" s="270">
        <f t="shared" ref="GS241:HC241" si="1092">+GS239+GS237+GS225+GS200+GS188</f>
        <v>-7113.6708972001215</v>
      </c>
      <c r="GT241" s="270">
        <f t="shared" si="1092"/>
        <v>21737.156430363517</v>
      </c>
      <c r="GU241" s="270">
        <f t="shared" si="1092"/>
        <v>21659.99901854273</v>
      </c>
      <c r="GV241" s="270">
        <f t="shared" si="1092"/>
        <v>21582.303594329198</v>
      </c>
      <c r="GW241" s="270">
        <f t="shared" si="1092"/>
        <v>21504.066463728625</v>
      </c>
      <c r="GX241" s="270">
        <f t="shared" si="1092"/>
        <v>21425.283932746737</v>
      </c>
      <c r="GY241" s="270">
        <f t="shared" si="1092"/>
        <v>21345.952188228148</v>
      </c>
      <c r="GZ241" s="270">
        <f t="shared" si="1092"/>
        <v>21266.067417017475</v>
      </c>
      <c r="HA241" s="270">
        <f t="shared" si="1092"/>
        <v>21185.625567637107</v>
      </c>
      <c r="HB241" s="270">
        <f t="shared" si="1092"/>
        <v>21104.623065253887</v>
      </c>
      <c r="HC241" s="270">
        <f t="shared" si="1092"/>
        <v>21023.055739229101</v>
      </c>
      <c r="HD241" s="286">
        <f t="shared" si="1048"/>
        <v>0</v>
      </c>
      <c r="HE241" s="225"/>
      <c r="HF241" s="269">
        <f>+HF239+HF237+HF225+HF200+HF188</f>
        <v>10458.835191951421</v>
      </c>
      <c r="HG241" s="270">
        <f t="shared" ref="HG241:HR241" si="1093">+HG239+HG237+HG225+HG200+HG188</f>
        <v>10179.959280694711</v>
      </c>
      <c r="HH241" s="270">
        <f t="shared" si="1093"/>
        <v>10214.210705584124</v>
      </c>
      <c r="HI241" s="270">
        <f t="shared" si="1093"/>
        <v>10150.541512840722</v>
      </c>
      <c r="HJ241" s="270">
        <f t="shared" si="1093"/>
        <v>10159.443659497383</v>
      </c>
      <c r="HK241" s="270">
        <f t="shared" si="1093"/>
        <v>10161.828086964095</v>
      </c>
      <c r="HL241" s="270">
        <f t="shared" si="1093"/>
        <v>10255.695855965563</v>
      </c>
      <c r="HM241" s="270">
        <f t="shared" si="1093"/>
        <v>10343.807170883083</v>
      </c>
      <c r="HN241" s="270">
        <f t="shared" si="1093"/>
        <v>10631.65492838456</v>
      </c>
      <c r="HO241" s="270">
        <f t="shared" si="1093"/>
        <v>10316.411249597506</v>
      </c>
      <c r="HP241" s="270">
        <f t="shared" si="1093"/>
        <v>10010.548677539413</v>
      </c>
      <c r="HQ241" s="270">
        <f t="shared" si="1093"/>
        <v>9861.8005424789189</v>
      </c>
      <c r="HR241" s="286">
        <f t="shared" si="1093"/>
        <v>122744.73686238151</v>
      </c>
      <c r="HS241" s="225"/>
      <c r="HT241" s="269">
        <f>+HT239+HT237+HT225+HT200+HT188</f>
        <v>2698.4224538505823</v>
      </c>
      <c r="HU241" s="270">
        <f t="shared" ref="HU241:IF241" si="1094">+HU239+HU237+HU225+HU200+HU188</f>
        <v>2628.7034760364049</v>
      </c>
      <c r="HV241" s="270">
        <f t="shared" si="1094"/>
        <v>2637.2663322587578</v>
      </c>
      <c r="HW241" s="270">
        <f t="shared" si="1094"/>
        <v>2621.3490340729072</v>
      </c>
      <c r="HX241" s="270">
        <f t="shared" si="1094"/>
        <v>2623.5745707370725</v>
      </c>
      <c r="HY241" s="270">
        <f t="shared" si="1094"/>
        <v>2624.1706776037499</v>
      </c>
      <c r="HZ241" s="270">
        <f t="shared" si="1094"/>
        <v>2646.600918233526</v>
      </c>
      <c r="IA241" s="270">
        <f t="shared" si="1094"/>
        <v>2668.628746962906</v>
      </c>
      <c r="IB241" s="270">
        <f t="shared" si="1094"/>
        <v>2740.5906863382752</v>
      </c>
      <c r="IC241" s="270">
        <f t="shared" si="1094"/>
        <v>2661.7797666415117</v>
      </c>
      <c r="ID241" s="270">
        <f t="shared" si="1094"/>
        <v>2585.3141236269885</v>
      </c>
      <c r="IE241" s="270">
        <f t="shared" si="1094"/>
        <v>2548.1270898618654</v>
      </c>
      <c r="IF241" s="286">
        <f t="shared" si="1094"/>
        <v>31684.527876224547</v>
      </c>
      <c r="IG241" s="225"/>
      <c r="IH241" s="269">
        <f>+IH239+IH237+IH225+IH200+IH188</f>
        <v>7745.9558189602094</v>
      </c>
      <c r="II241" s="270">
        <f t="shared" ref="II241:IT241" si="1095">+II239+II237+II225+II200+II188</f>
        <v>7676.236841146032</v>
      </c>
      <c r="IJ241" s="270">
        <f t="shared" si="1095"/>
        <v>7684.7996973683848</v>
      </c>
      <c r="IK241" s="270">
        <f t="shared" si="1095"/>
        <v>7668.8823991825338</v>
      </c>
      <c r="IL241" s="270">
        <f t="shared" si="1095"/>
        <v>7671.1079358466995</v>
      </c>
      <c r="IM241" s="270">
        <f t="shared" si="1095"/>
        <v>7671.704042713377</v>
      </c>
      <c r="IN241" s="270">
        <f t="shared" si="1095"/>
        <v>7700.7953891582156</v>
      </c>
      <c r="IO241" s="270">
        <f t="shared" si="1095"/>
        <v>7722.823217887596</v>
      </c>
      <c r="IP241" s="270">
        <f t="shared" si="1095"/>
        <v>7794.7851572629643</v>
      </c>
      <c r="IQ241" s="270">
        <f t="shared" si="1095"/>
        <v>7715.9742375662017</v>
      </c>
      <c r="IR241" s="270">
        <f t="shared" si="1095"/>
        <v>7639.5085945516785</v>
      </c>
      <c r="IS241" s="270">
        <f t="shared" si="1095"/>
        <v>7602.321560786555</v>
      </c>
      <c r="IT241" s="286">
        <f t="shared" si="1095"/>
        <v>92294.894892430457</v>
      </c>
      <c r="IU241" s="225"/>
      <c r="IV241" s="269">
        <f>+IV239+IV237+IV225+IV200+IV188</f>
        <v>24692.162610700499</v>
      </c>
      <c r="IW241" s="270">
        <f t="shared" ref="IW241:JH241" si="1096">+IW239+IW237+IW225+IW200+IW188</f>
        <v>24204.129766001261</v>
      </c>
      <c r="IX241" s="270">
        <f t="shared" si="1096"/>
        <v>24264.069759557733</v>
      </c>
      <c r="IY241" s="270">
        <f t="shared" si="1096"/>
        <v>24152.648672256775</v>
      </c>
      <c r="IZ241" s="270">
        <f t="shared" si="1096"/>
        <v>24168.227428905935</v>
      </c>
      <c r="JA241" s="270">
        <f t="shared" si="1096"/>
        <v>24172.400176972678</v>
      </c>
      <c r="JB241" s="270">
        <f t="shared" si="1096"/>
        <v>24341.113481972141</v>
      </c>
      <c r="JC241" s="270">
        <f t="shared" si="1096"/>
        <v>24495.308283077804</v>
      </c>
      <c r="JD241" s="270">
        <f t="shared" si="1096"/>
        <v>24999.041858705386</v>
      </c>
      <c r="JE241" s="270">
        <f t="shared" si="1096"/>
        <v>24447.365420828042</v>
      </c>
      <c r="JF241" s="270">
        <f t="shared" si="1096"/>
        <v>23912.105919726382</v>
      </c>
      <c r="JG241" s="270">
        <f t="shared" si="1096"/>
        <v>23651.796683370521</v>
      </c>
      <c r="JH241" s="286">
        <f t="shared" si="1096"/>
        <v>291500.37006207515</v>
      </c>
      <c r="JI241" s="225"/>
      <c r="JJ241" s="269">
        <f>+JJ239+JJ237+JJ225+JJ200+JJ188</f>
        <v>34265.869108657644</v>
      </c>
      <c r="JK241" s="270">
        <f t="shared" ref="JK241:JV241" si="1097">+JK239+JK237+JK225+JK200+JK188</f>
        <v>33357.396958993399</v>
      </c>
      <c r="JL241" s="270">
        <f t="shared" si="1097"/>
        <v>33471.845765427846</v>
      </c>
      <c r="JM241" s="270">
        <f t="shared" si="1097"/>
        <v>33276.498097394928</v>
      </c>
      <c r="JN241" s="270">
        <f t="shared" si="1097"/>
        <v>33300.979000700747</v>
      </c>
      <c r="JO241" s="270">
        <f t="shared" si="1097"/>
        <v>33307.5361762342</v>
      </c>
      <c r="JP241" s="270">
        <f t="shared" si="1097"/>
        <v>33556.723541941523</v>
      </c>
      <c r="JQ241" s="270">
        <f t="shared" si="1097"/>
        <v>33891.379514971377</v>
      </c>
      <c r="JR241" s="270">
        <f t="shared" si="1097"/>
        <v>34662.107654582804</v>
      </c>
      <c r="JS241" s="270">
        <f t="shared" si="1097"/>
        <v>33778.504983104292</v>
      </c>
      <c r="JT241" s="270">
        <f t="shared" si="1097"/>
        <v>32902.826189258172</v>
      </c>
      <c r="JU241" s="270">
        <f t="shared" si="1097"/>
        <v>32494.960428899969</v>
      </c>
      <c r="JV241" s="286">
        <f t="shared" si="1097"/>
        <v>402266.62742016686</v>
      </c>
      <c r="JW241" s="225"/>
      <c r="JX241" s="269">
        <f>+JX239+JX237+JX225+JX200+JX188</f>
        <v>17913.299113866826</v>
      </c>
      <c r="JY241" s="270">
        <f t="shared" ref="JY241:KJ241" si="1098">+JY239+JY237+JY225+JY200+JY188</f>
        <v>17562.738066549988</v>
      </c>
      <c r="JZ241" s="270">
        <f t="shared" si="1098"/>
        <v>17605.552347661756</v>
      </c>
      <c r="KA241" s="270">
        <f t="shared" si="1098"/>
        <v>17525.965856732502</v>
      </c>
      <c r="KB241" s="270">
        <f t="shared" si="1098"/>
        <v>17537.093540053327</v>
      </c>
      <c r="KC241" s="270">
        <f t="shared" si="1098"/>
        <v>17540.074074386717</v>
      </c>
      <c r="KD241" s="270">
        <f t="shared" si="1098"/>
        <v>17656.252922912143</v>
      </c>
      <c r="KE241" s="270">
        <f t="shared" si="1098"/>
        <v>17766.392066559049</v>
      </c>
      <c r="KF241" s="270">
        <f t="shared" si="1098"/>
        <v>18126.201763435889</v>
      </c>
      <c r="KG241" s="270">
        <f t="shared" si="1098"/>
        <v>17723.805887545022</v>
      </c>
      <c r="KH241" s="270">
        <f t="shared" si="1098"/>
        <v>17349.818949879456</v>
      </c>
      <c r="KI241" s="270">
        <f t="shared" si="1098"/>
        <v>17163.883781053843</v>
      </c>
      <c r="KJ241" s="286">
        <f t="shared" si="1098"/>
        <v>211471.0783706365</v>
      </c>
      <c r="KK241" s="225"/>
      <c r="KL241" s="269">
        <f>+KL239+KL237+KL225+KL200+KL188</f>
        <v>3431.3777961663691</v>
      </c>
      <c r="KM241" s="270">
        <f t="shared" ref="KM241:KX241" si="1099">+KM239+KM237+KM225+KM200+KM188</f>
        <v>3291.9398405380143</v>
      </c>
      <c r="KN241" s="270">
        <f t="shared" si="1099"/>
        <v>3309.0655529827209</v>
      </c>
      <c r="KO241" s="270">
        <f t="shared" si="1099"/>
        <v>3277.2309566110189</v>
      </c>
      <c r="KP241" s="270">
        <f t="shared" si="1099"/>
        <v>3281.6820299393494</v>
      </c>
      <c r="KQ241" s="270">
        <f t="shared" si="1099"/>
        <v>3282.8742436727052</v>
      </c>
      <c r="KR241" s="270">
        <f t="shared" si="1099"/>
        <v>3326.0664694508459</v>
      </c>
      <c r="KS241" s="270">
        <f t="shared" si="1099"/>
        <v>3370.1221269096063</v>
      </c>
      <c r="KT241" s="270">
        <f t="shared" si="1099"/>
        <v>3514.0460056603442</v>
      </c>
      <c r="KU241" s="270">
        <f t="shared" si="1099"/>
        <v>3356.3765018244917</v>
      </c>
      <c r="KV241" s="270">
        <f t="shared" si="1099"/>
        <v>3203.4928802377708</v>
      </c>
      <c r="KW241" s="270">
        <f t="shared" si="1099"/>
        <v>3129.1188127075247</v>
      </c>
      <c r="KX241" s="286">
        <f t="shared" si="1099"/>
        <v>39773.393216700766</v>
      </c>
      <c r="KY241" s="225"/>
      <c r="KZ241" s="269">
        <f>+KZ239+KZ237+KZ225+KZ200+KZ188</f>
        <v>2837.5668771108299</v>
      </c>
      <c r="LA241" s="270">
        <f t="shared" ref="LA241:LL241" si="1100">+LA239+LA237+LA225+LA200+LA188</f>
        <v>2767.847899296652</v>
      </c>
      <c r="LB241" s="270">
        <f t="shared" si="1100"/>
        <v>2776.4107555190053</v>
      </c>
      <c r="LC241" s="270">
        <f t="shared" si="1100"/>
        <v>2760.4934573331548</v>
      </c>
      <c r="LD241" s="270">
        <f t="shared" si="1100"/>
        <v>2762.7189939973196</v>
      </c>
      <c r="LE241" s="270">
        <f t="shared" si="1100"/>
        <v>2763.3151008639975</v>
      </c>
      <c r="LF241" s="270">
        <f t="shared" si="1100"/>
        <v>2784.8992976424865</v>
      </c>
      <c r="LG241" s="270">
        <f t="shared" si="1100"/>
        <v>2806.927126371867</v>
      </c>
      <c r="LH241" s="270">
        <f t="shared" si="1100"/>
        <v>2878.8890657472357</v>
      </c>
      <c r="LI241" s="270">
        <f t="shared" si="1100"/>
        <v>2800.1258104927983</v>
      </c>
      <c r="LJ241" s="270">
        <f t="shared" si="1100"/>
        <v>2723.612503035949</v>
      </c>
      <c r="LK241" s="270">
        <f t="shared" si="1100"/>
        <v>2686.4254692708255</v>
      </c>
      <c r="LL241" s="286">
        <f t="shared" si="1100"/>
        <v>33349.232356682121</v>
      </c>
      <c r="LM241" s="225"/>
      <c r="LN241" s="269">
        <f>+LN239+LN237+LN225+LN200+LN188</f>
        <v>0</v>
      </c>
      <c r="LO241" s="270">
        <f t="shared" ref="LO241:LZ241" si="1101">+LO239+LO237+LO225+LO200+LO188</f>
        <v>0</v>
      </c>
      <c r="LP241" s="270">
        <f t="shared" si="1101"/>
        <v>0</v>
      </c>
      <c r="LQ241" s="270">
        <f t="shared" si="1101"/>
        <v>0</v>
      </c>
      <c r="LR241" s="270">
        <f t="shared" si="1101"/>
        <v>0</v>
      </c>
      <c r="LS241" s="270">
        <f t="shared" si="1101"/>
        <v>0</v>
      </c>
      <c r="LT241" s="270">
        <f t="shared" si="1101"/>
        <v>0</v>
      </c>
      <c r="LU241" s="270">
        <f t="shared" si="1101"/>
        <v>0</v>
      </c>
      <c r="LV241" s="270">
        <f t="shared" si="1101"/>
        <v>0</v>
      </c>
      <c r="LW241" s="270">
        <f t="shared" si="1101"/>
        <v>0</v>
      </c>
      <c r="LX241" s="270">
        <f t="shared" si="1101"/>
        <v>0</v>
      </c>
      <c r="LY241" s="270">
        <f t="shared" si="1101"/>
        <v>0</v>
      </c>
      <c r="LZ241" s="286">
        <f t="shared" si="1101"/>
        <v>0</v>
      </c>
      <c r="MA241" s="225"/>
      <c r="MB241" s="286">
        <f>+MB239+MB237+MB225+MB200+MB188</f>
        <v>434159.41723019618</v>
      </c>
      <c r="MC241" s="286">
        <f t="shared" ref="MC241:MN241" si="1102">+MC239+MC237+MC225+MC200+MC188</f>
        <v>419438.18916323734</v>
      </c>
      <c r="MD241" s="286">
        <f t="shared" si="1102"/>
        <v>449481.83968724398</v>
      </c>
      <c r="ME241" s="286">
        <f t="shared" si="1102"/>
        <v>448449.73059696652</v>
      </c>
      <c r="MF241" s="286">
        <f t="shared" si="1102"/>
        <v>445538.02318567608</v>
      </c>
      <c r="MG241" s="286">
        <f t="shared" si="1102"/>
        <v>445557.54758121067</v>
      </c>
      <c r="MH241" s="286">
        <f t="shared" si="1102"/>
        <v>452757.15082428418</v>
      </c>
      <c r="MI241" s="286">
        <f t="shared" si="1102"/>
        <v>452965.06812007795</v>
      </c>
      <c r="MJ241" s="286">
        <f t="shared" si="1102"/>
        <v>464600.54960471182</v>
      </c>
      <c r="MK241" s="286">
        <f t="shared" si="1102"/>
        <v>451545.06926061993</v>
      </c>
      <c r="ML241" s="286">
        <f t="shared" si="1102"/>
        <v>438871.27041729633</v>
      </c>
      <c r="MM241" s="286">
        <f t="shared" si="1102"/>
        <v>432693.41277590767</v>
      </c>
      <c r="MN241" s="286">
        <f t="shared" si="1102"/>
        <v>5336057.268447428</v>
      </c>
    </row>
    <row r="242" spans="1:352" x14ac:dyDescent="0.25">
      <c r="A242" s="262"/>
      <c r="B242" s="181"/>
      <c r="C242" s="98"/>
      <c r="D242" s="268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30"/>
      <c r="Q242" s="266"/>
      <c r="R242" s="268"/>
      <c r="S242" s="265"/>
      <c r="T242" s="265"/>
      <c r="U242" s="265"/>
      <c r="V242" s="265"/>
      <c r="W242" s="265"/>
      <c r="X242" s="265"/>
      <c r="Y242" s="265"/>
      <c r="Z242" s="265"/>
      <c r="AA242" s="265"/>
      <c r="AB242" s="265"/>
      <c r="AC242" s="265"/>
      <c r="AD242" s="230"/>
      <c r="AE242" s="266"/>
      <c r="AF242" s="268"/>
      <c r="AG242" s="265"/>
      <c r="AH242" s="265"/>
      <c r="AI242" s="265"/>
      <c r="AJ242" s="265"/>
      <c r="AK242" s="265"/>
      <c r="AL242" s="265"/>
      <c r="AM242" s="265"/>
      <c r="AN242" s="265"/>
      <c r="AO242" s="265"/>
      <c r="AP242" s="265"/>
      <c r="AQ242" s="265"/>
      <c r="AR242" s="230"/>
      <c r="AS242" s="266"/>
      <c r="AT242" s="268"/>
      <c r="AU242" s="265"/>
      <c r="AV242" s="265"/>
      <c r="AW242" s="265"/>
      <c r="AX242" s="265"/>
      <c r="AY242" s="265"/>
      <c r="AZ242" s="265"/>
      <c r="BA242" s="265"/>
      <c r="BB242" s="265"/>
      <c r="BC242" s="265"/>
      <c r="BD242" s="265"/>
      <c r="BE242" s="265"/>
      <c r="BF242" s="230"/>
      <c r="BG242" s="224"/>
      <c r="BH242" s="268"/>
      <c r="BI242" s="265"/>
      <c r="BJ242" s="265"/>
      <c r="BK242" s="265"/>
      <c r="BL242" s="265"/>
      <c r="BM242" s="265"/>
      <c r="BN242" s="265"/>
      <c r="BO242" s="265"/>
      <c r="BP242" s="265"/>
      <c r="BQ242" s="265"/>
      <c r="BR242" s="265"/>
      <c r="BS242" s="265"/>
      <c r="BT242" s="230"/>
      <c r="BU242" s="266"/>
      <c r="BV242" s="268"/>
      <c r="BW242" s="265"/>
      <c r="BX242" s="265"/>
      <c r="BY242" s="265"/>
      <c r="BZ242" s="265"/>
      <c r="CA242" s="265"/>
      <c r="CB242" s="265"/>
      <c r="CC242" s="265"/>
      <c r="CD242" s="265"/>
      <c r="CE242" s="265"/>
      <c r="CF242" s="265"/>
      <c r="CG242" s="265"/>
      <c r="CH242" s="230"/>
      <c r="CI242" s="266"/>
      <c r="CJ242" s="268"/>
      <c r="CK242" s="265"/>
      <c r="CL242" s="265"/>
      <c r="CM242" s="265"/>
      <c r="CN242" s="265"/>
      <c r="CO242" s="265"/>
      <c r="CP242" s="265"/>
      <c r="CQ242" s="265"/>
      <c r="CR242" s="265"/>
      <c r="CS242" s="265"/>
      <c r="CT242" s="265"/>
      <c r="CU242" s="265"/>
      <c r="CV242" s="230"/>
      <c r="CW242" s="266"/>
      <c r="CX242" s="268"/>
      <c r="CY242" s="265"/>
      <c r="CZ242" s="265"/>
      <c r="DA242" s="265"/>
      <c r="DB242" s="265"/>
      <c r="DC242" s="265"/>
      <c r="DD242" s="265"/>
      <c r="DE242" s="265"/>
      <c r="DF242" s="265"/>
      <c r="DG242" s="265"/>
      <c r="DH242" s="265"/>
      <c r="DI242" s="265"/>
      <c r="DJ242" s="230"/>
      <c r="DK242" s="266"/>
      <c r="DL242" s="268"/>
      <c r="DM242" s="265"/>
      <c r="DN242" s="265"/>
      <c r="DO242" s="265"/>
      <c r="DP242" s="265"/>
      <c r="DQ242" s="265"/>
      <c r="DR242" s="265"/>
      <c r="DS242" s="265"/>
      <c r="DT242" s="265"/>
      <c r="DU242" s="265"/>
      <c r="DV242" s="265"/>
      <c r="DW242" s="265"/>
      <c r="DX242" s="230"/>
      <c r="DY242" s="266"/>
      <c r="DZ242" s="268"/>
      <c r="EA242" s="265"/>
      <c r="EB242" s="265"/>
      <c r="EC242" s="265"/>
      <c r="ED242" s="265"/>
      <c r="EE242" s="265"/>
      <c r="EF242" s="265"/>
      <c r="EG242" s="265"/>
      <c r="EH242" s="265"/>
      <c r="EI242" s="265"/>
      <c r="EJ242" s="265"/>
      <c r="EK242" s="265"/>
      <c r="EL242" s="230"/>
      <c r="EM242" s="266"/>
      <c r="EN242" s="268"/>
      <c r="EO242" s="265"/>
      <c r="EP242" s="265"/>
      <c r="EQ242" s="265"/>
      <c r="ER242" s="265"/>
      <c r="ES242" s="265"/>
      <c r="ET242" s="265"/>
      <c r="EU242" s="265"/>
      <c r="EV242" s="265"/>
      <c r="EW242" s="265"/>
      <c r="EX242" s="265"/>
      <c r="EY242" s="265"/>
      <c r="EZ242" s="230"/>
      <c r="FA242" s="266"/>
      <c r="FB242" s="268"/>
      <c r="FC242" s="265"/>
      <c r="FD242" s="265"/>
      <c r="FE242" s="265"/>
      <c r="FF242" s="265"/>
      <c r="FG242" s="265"/>
      <c r="FH242" s="265"/>
      <c r="FI242" s="265"/>
      <c r="FJ242" s="265"/>
      <c r="FK242" s="265"/>
      <c r="FL242" s="265"/>
      <c r="FM242" s="265"/>
      <c r="FN242" s="230"/>
      <c r="FO242" s="266"/>
      <c r="FP242" s="268"/>
      <c r="FQ242" s="265"/>
      <c r="FR242" s="265"/>
      <c r="FS242" s="265"/>
      <c r="FT242" s="265"/>
      <c r="FU242" s="265"/>
      <c r="FV242" s="265"/>
      <c r="FW242" s="265"/>
      <c r="FX242" s="265"/>
      <c r="FY242" s="265"/>
      <c r="FZ242" s="265"/>
      <c r="GA242" s="265"/>
      <c r="GB242" s="230"/>
      <c r="GC242" s="266"/>
      <c r="GD242" s="268"/>
      <c r="GE242" s="265"/>
      <c r="GF242" s="265"/>
      <c r="GG242" s="265"/>
      <c r="GH242" s="265"/>
      <c r="GI242" s="265"/>
      <c r="GJ242" s="265"/>
      <c r="GK242" s="265"/>
      <c r="GL242" s="265"/>
      <c r="GM242" s="265"/>
      <c r="GN242" s="265"/>
      <c r="GO242" s="265"/>
      <c r="GP242" s="230"/>
      <c r="GQ242" s="266"/>
      <c r="GR242" s="268"/>
      <c r="GS242" s="265"/>
      <c r="GT242" s="265"/>
      <c r="GU242" s="265"/>
      <c r="GV242" s="265"/>
      <c r="GW242" s="265"/>
      <c r="GX242" s="265"/>
      <c r="GY242" s="265"/>
      <c r="GZ242" s="265"/>
      <c r="HA242" s="265"/>
      <c r="HB242" s="265"/>
      <c r="HC242" s="265"/>
      <c r="HD242" s="230">
        <f t="shared" si="1048"/>
        <v>0</v>
      </c>
      <c r="HE242" s="266"/>
      <c r="HF242" s="268"/>
      <c r="HG242" s="265"/>
      <c r="HH242" s="265"/>
      <c r="HI242" s="265"/>
      <c r="HJ242" s="265"/>
      <c r="HK242" s="265"/>
      <c r="HL242" s="265"/>
      <c r="HM242" s="265"/>
      <c r="HN242" s="265"/>
      <c r="HO242" s="265"/>
      <c r="HP242" s="265"/>
      <c r="HQ242" s="265"/>
      <c r="HR242" s="230"/>
      <c r="HS242" s="266"/>
      <c r="HT242" s="268"/>
      <c r="HU242" s="265"/>
      <c r="HV242" s="265"/>
      <c r="HW242" s="265"/>
      <c r="HX242" s="265"/>
      <c r="HY242" s="265"/>
      <c r="HZ242" s="265"/>
      <c r="IA242" s="265"/>
      <c r="IB242" s="265"/>
      <c r="IC242" s="265"/>
      <c r="ID242" s="265"/>
      <c r="IE242" s="265"/>
      <c r="IF242" s="230"/>
      <c r="IG242" s="266"/>
      <c r="IH242" s="268"/>
      <c r="II242" s="265"/>
      <c r="IJ242" s="265"/>
      <c r="IK242" s="265"/>
      <c r="IL242" s="265"/>
      <c r="IM242" s="265"/>
      <c r="IN242" s="265"/>
      <c r="IO242" s="265"/>
      <c r="IP242" s="265"/>
      <c r="IQ242" s="265"/>
      <c r="IR242" s="265"/>
      <c r="IS242" s="265"/>
      <c r="IT242" s="230"/>
      <c r="IU242" s="266"/>
      <c r="IV242" s="268"/>
      <c r="IW242" s="265"/>
      <c r="IX242" s="265"/>
      <c r="IY242" s="265"/>
      <c r="IZ242" s="265"/>
      <c r="JA242" s="265"/>
      <c r="JB242" s="265"/>
      <c r="JC242" s="265"/>
      <c r="JD242" s="265"/>
      <c r="JE242" s="265"/>
      <c r="JF242" s="265"/>
      <c r="JG242" s="265"/>
      <c r="JH242" s="230"/>
      <c r="JI242" s="266"/>
      <c r="JJ242" s="268"/>
      <c r="JK242" s="265"/>
      <c r="JL242" s="265"/>
      <c r="JM242" s="265"/>
      <c r="JN242" s="265"/>
      <c r="JO242" s="265"/>
      <c r="JP242" s="265"/>
      <c r="JQ242" s="265"/>
      <c r="JR242" s="265"/>
      <c r="JS242" s="265"/>
      <c r="JT242" s="265"/>
      <c r="JU242" s="265"/>
      <c r="JV242" s="230"/>
      <c r="JW242" s="266"/>
      <c r="JX242" s="268"/>
      <c r="JY242" s="265"/>
      <c r="JZ242" s="265"/>
      <c r="KA242" s="265"/>
      <c r="KB242" s="265"/>
      <c r="KC242" s="265"/>
      <c r="KD242" s="265"/>
      <c r="KE242" s="265"/>
      <c r="KF242" s="265"/>
      <c r="KG242" s="265"/>
      <c r="KH242" s="265"/>
      <c r="KI242" s="265"/>
      <c r="KJ242" s="230"/>
      <c r="KK242" s="266"/>
      <c r="KL242" s="268"/>
      <c r="KM242" s="265"/>
      <c r="KN242" s="265"/>
      <c r="KO242" s="265"/>
      <c r="KP242" s="265"/>
      <c r="KQ242" s="265"/>
      <c r="KR242" s="265"/>
      <c r="KS242" s="265"/>
      <c r="KT242" s="265"/>
      <c r="KU242" s="265"/>
      <c r="KV242" s="265"/>
      <c r="KW242" s="265"/>
      <c r="KX242" s="230"/>
      <c r="KY242" s="266"/>
      <c r="KZ242" s="268"/>
      <c r="LA242" s="265"/>
      <c r="LB242" s="265"/>
      <c r="LC242" s="265"/>
      <c r="LD242" s="265"/>
      <c r="LE242" s="265"/>
      <c r="LF242" s="265"/>
      <c r="LG242" s="265"/>
      <c r="LH242" s="265"/>
      <c r="LI242" s="265"/>
      <c r="LJ242" s="265"/>
      <c r="LK242" s="265"/>
      <c r="LL242" s="230"/>
      <c r="LM242" s="266"/>
      <c r="LN242" s="268"/>
      <c r="LO242" s="265"/>
      <c r="LP242" s="265"/>
      <c r="LQ242" s="265"/>
      <c r="LR242" s="265"/>
      <c r="LS242" s="265"/>
      <c r="LT242" s="265"/>
      <c r="LU242" s="265"/>
      <c r="LV242" s="265"/>
      <c r="LW242" s="265"/>
      <c r="LX242" s="265"/>
      <c r="LY242" s="265"/>
      <c r="LZ242" s="230"/>
      <c r="MA242" s="266"/>
      <c r="MB242" s="230"/>
      <c r="MC242" s="230">
        <f>MC241-MB241</f>
        <v>-14721.228066958836</v>
      </c>
      <c r="MD242" s="230">
        <f>MC242/83.92</f>
        <v>-175.4197815414542</v>
      </c>
      <c r="ME242" s="230"/>
      <c r="MF242" s="230"/>
      <c r="MG242" s="230"/>
      <c r="MH242" s="230"/>
      <c r="MI242" s="230"/>
      <c r="MJ242" s="230"/>
      <c r="MK242" s="230"/>
      <c r="ML242" s="230"/>
      <c r="MM242" s="230"/>
      <c r="MN242" s="230"/>
    </row>
    <row r="243" spans="1:352" x14ac:dyDescent="0.3">
      <c r="A243" s="262"/>
      <c r="B243" s="195" t="s">
        <v>218</v>
      </c>
      <c r="C243" s="98"/>
      <c r="D243" s="269">
        <f>+D155-D166+D172-D241</f>
        <v>-52874.854116862305</v>
      </c>
      <c r="E243" s="270">
        <f t="shared" ref="E243:P243" si="1103">+E155-E166+E172-E241</f>
        <v>-50788.656763111023</v>
      </c>
      <c r="F243" s="270">
        <f t="shared" si="1103"/>
        <v>-51047.10828755355</v>
      </c>
      <c r="G243" s="270">
        <f t="shared" si="1103"/>
        <v>-50575.377946169596</v>
      </c>
      <c r="H243" s="270">
        <f t="shared" si="1103"/>
        <v>-50639.918509430383</v>
      </c>
      <c r="I243" s="270">
        <f t="shared" si="1103"/>
        <v>-50657.205608564036</v>
      </c>
      <c r="J243" s="270">
        <f t="shared" si="1103"/>
        <v>-51306.002415235547</v>
      </c>
      <c r="K243" s="270">
        <f t="shared" si="1103"/>
        <v>-51986.515835422855</v>
      </c>
      <c r="L243" s="270">
        <f t="shared" si="1103"/>
        <v>-54067.454022017795</v>
      </c>
      <c r="M243" s="270">
        <f t="shared" si="1103"/>
        <v>-51781.937350811655</v>
      </c>
      <c r="N243" s="270">
        <f t="shared" si="1103"/>
        <v>-49538.814065640254</v>
      </c>
      <c r="O243" s="270">
        <f t="shared" si="1103"/>
        <v>-48460.985891980759</v>
      </c>
      <c r="P243" s="286">
        <f t="shared" si="1103"/>
        <v>-566434.22315968736</v>
      </c>
      <c r="Q243" s="225"/>
      <c r="R243" s="269">
        <f>+R155-R166+R172-R241</f>
        <v>-4618.4203644116124</v>
      </c>
      <c r="S243" s="270">
        <f t="shared" ref="S243:AD243" si="1104">+S155-S166+S172-S241</f>
        <v>-4409.2634309690802</v>
      </c>
      <c r="T243" s="270">
        <f t="shared" si="1104"/>
        <v>-4434.9519996361396</v>
      </c>
      <c r="U243" s="270">
        <f t="shared" si="1104"/>
        <v>-4387.2001050785875</v>
      </c>
      <c r="V243" s="270">
        <f t="shared" si="1104"/>
        <v>-4393.8767150710828</v>
      </c>
      <c r="W243" s="270">
        <f t="shared" si="1104"/>
        <v>-4395.6650356711161</v>
      </c>
      <c r="X243" s="270">
        <f t="shared" si="1104"/>
        <v>-4460.4414582277459</v>
      </c>
      <c r="Y243" s="270">
        <f t="shared" si="1104"/>
        <v>-4526.5249444158871</v>
      </c>
      <c r="Z243" s="270">
        <f t="shared" si="1104"/>
        <v>-4742.4107625419938</v>
      </c>
      <c r="AA243" s="270">
        <f t="shared" si="1104"/>
        <v>-4505.9780034517044</v>
      </c>
      <c r="AB243" s="270">
        <f t="shared" si="1104"/>
        <v>-4276.5810744081336</v>
      </c>
      <c r="AC243" s="270">
        <f t="shared" si="1104"/>
        <v>-4165.019973112765</v>
      </c>
      <c r="AD243" s="286">
        <f t="shared" si="1104"/>
        <v>-53316.333866995854</v>
      </c>
      <c r="AE243" s="225"/>
      <c r="AF243" s="269">
        <f>+AF155-AF166+AF172-AF241</f>
        <v>-4639.6667895784385</v>
      </c>
      <c r="AG243" s="270">
        <f t="shared" ref="AG243:AR243" si="1105">+AG155-AG166+AG172-AG241</f>
        <v>-4430.5098561359064</v>
      </c>
      <c r="AH243" s="270">
        <f t="shared" si="1105"/>
        <v>-4456.1984248029657</v>
      </c>
      <c r="AI243" s="270">
        <f t="shared" si="1105"/>
        <v>-4408.4465302454137</v>
      </c>
      <c r="AJ243" s="270">
        <f t="shared" si="1105"/>
        <v>-4415.123140237909</v>
      </c>
      <c r="AK243" s="270">
        <f t="shared" si="1105"/>
        <v>-4416.9114608379423</v>
      </c>
      <c r="AL243" s="270">
        <f t="shared" si="1105"/>
        <v>-4481.6878833945721</v>
      </c>
      <c r="AM243" s="270">
        <f t="shared" si="1105"/>
        <v>-4547.7713695827133</v>
      </c>
      <c r="AN243" s="270">
        <f t="shared" si="1105"/>
        <v>-4763.6571877088199</v>
      </c>
      <c r="AO243" s="270">
        <f t="shared" si="1105"/>
        <v>-4527.2244286185305</v>
      </c>
      <c r="AP243" s="270">
        <f t="shared" si="1105"/>
        <v>-4297.8274995749598</v>
      </c>
      <c r="AQ243" s="270">
        <f t="shared" si="1105"/>
        <v>-4186.2663982795912</v>
      </c>
      <c r="AR243" s="286">
        <f t="shared" si="1105"/>
        <v>-53571.290968997768</v>
      </c>
      <c r="AS243" s="266"/>
      <c r="AT243" s="269">
        <f>+AT155-AT166+AT172-AT241</f>
        <v>-11078.803916280762</v>
      </c>
      <c r="AU243" s="270">
        <f t="shared" ref="AU243:BF243" si="1106">+AU155-AU166+AU172-AU241</f>
        <v>-10939.365960652407</v>
      </c>
      <c r="AV243" s="270">
        <f t="shared" si="1106"/>
        <v>-10956.491673097113</v>
      </c>
      <c r="AW243" s="270">
        <f t="shared" si="1106"/>
        <v>-10924.657076725412</v>
      </c>
      <c r="AX243" s="270">
        <f t="shared" si="1106"/>
        <v>-10929.108150053742</v>
      </c>
      <c r="AY243" s="270">
        <f t="shared" si="1106"/>
        <v>-10930.300363787097</v>
      </c>
      <c r="AZ243" s="270">
        <f t="shared" si="1106"/>
        <v>-10981.416803101942</v>
      </c>
      <c r="BA243" s="270">
        <f t="shared" si="1106"/>
        <v>-11025.472460560704</v>
      </c>
      <c r="BB243" s="270">
        <f t="shared" si="1106"/>
        <v>-11169.396339311439</v>
      </c>
      <c r="BC243" s="270">
        <f t="shared" si="1106"/>
        <v>-11011.774499917914</v>
      </c>
      <c r="BD243" s="270">
        <f t="shared" si="1106"/>
        <v>-10858.843213888867</v>
      </c>
      <c r="BE243" s="270">
        <f t="shared" si="1106"/>
        <v>-10784.46914635862</v>
      </c>
      <c r="BF243" s="286">
        <f t="shared" si="1106"/>
        <v>-131590.09960373602</v>
      </c>
      <c r="BG243" s="224"/>
      <c r="BH243" s="269">
        <f>+BH155-BH166+BH172-BH241</f>
        <v>-61668.341097558536</v>
      </c>
      <c r="BI243" s="270">
        <f t="shared" ref="BI243:BT243" si="1107">+BI155-BI166+BI172-BI241</f>
        <v>-60618.624113853977</v>
      </c>
      <c r="BJ243" s="270">
        <f t="shared" si="1107"/>
        <v>-60747.066957189272</v>
      </c>
      <c r="BK243" s="270">
        <f t="shared" si="1107"/>
        <v>-60508.307484401514</v>
      </c>
      <c r="BL243" s="270">
        <f t="shared" si="1107"/>
        <v>-60541.690534363988</v>
      </c>
      <c r="BM243" s="270">
        <f t="shared" si="1107"/>
        <v>-60550.632137364155</v>
      </c>
      <c r="BN243" s="270">
        <f t="shared" si="1107"/>
        <v>-60893.472782082477</v>
      </c>
      <c r="BO243" s="270">
        <f t="shared" si="1107"/>
        <v>-61223.890213023187</v>
      </c>
      <c r="BP243" s="270">
        <f t="shared" si="1107"/>
        <v>-62303.31930365372</v>
      </c>
      <c r="BQ243" s="270">
        <f t="shared" si="1107"/>
        <v>-61104.472953388162</v>
      </c>
      <c r="BR243" s="270">
        <f t="shared" si="1107"/>
        <v>-59974.170862984422</v>
      </c>
      <c r="BS243" s="270">
        <f t="shared" si="1107"/>
        <v>-59416.365356507573</v>
      </c>
      <c r="BT243" s="286">
        <f t="shared" si="1107"/>
        <v>-729550.35379637103</v>
      </c>
      <c r="BU243" s="266"/>
      <c r="BV243" s="269">
        <f>+BV155-BV166+BV172-BV241</f>
        <v>-10817.14266357413</v>
      </c>
      <c r="BW243" s="270">
        <f t="shared" ref="BW243:CH243" si="1108">+BW155-BW166+BW172-BW241</f>
        <v>-10729.549519887692</v>
      </c>
      <c r="BX243" s="270">
        <f t="shared" si="1108"/>
        <v>-10738.112376110046</v>
      </c>
      <c r="BY243" s="270">
        <f t="shared" si="1108"/>
        <v>-10722.195077924194</v>
      </c>
      <c r="BZ243" s="270">
        <f t="shared" si="1108"/>
        <v>-10724.42061458836</v>
      </c>
      <c r="CA243" s="270">
        <f t="shared" si="1108"/>
        <v>-10725.016721455038</v>
      </c>
      <c r="CB243" s="270">
        <f t="shared" si="1108"/>
        <v>-10754.108067899875</v>
      </c>
      <c r="CC243" s="270">
        <f t="shared" si="1108"/>
        <v>-10794.010062501515</v>
      </c>
      <c r="CD243" s="270">
        <f t="shared" si="1108"/>
        <v>-10848.097836004625</v>
      </c>
      <c r="CE243" s="270">
        <f t="shared" si="1108"/>
        <v>-10769.286916307861</v>
      </c>
      <c r="CF243" s="270">
        <f t="shared" si="1108"/>
        <v>-10692.821273293339</v>
      </c>
      <c r="CG243" s="270">
        <f t="shared" si="1108"/>
        <v>-10655.634239528215</v>
      </c>
      <c r="CH243" s="286">
        <f t="shared" si="1108"/>
        <v>-128970.39536907489</v>
      </c>
      <c r="CI243" s="225"/>
      <c r="CJ243" s="269">
        <f>+CJ155-CJ166+CJ172-CJ241</f>
        <v>-29395.802378438391</v>
      </c>
      <c r="CK243" s="270">
        <f t="shared" ref="CK243:CV243" si="1109">+CK155-CK166+CK172-CK241</f>
        <v>-28628.893622482436</v>
      </c>
      <c r="CL243" s="270">
        <f t="shared" si="1109"/>
        <v>-28723.085040928323</v>
      </c>
      <c r="CM243" s="270">
        <f t="shared" si="1109"/>
        <v>-28547.994760883961</v>
      </c>
      <c r="CN243" s="270">
        <f t="shared" si="1109"/>
        <v>-28572.475664189777</v>
      </c>
      <c r="CO243" s="270">
        <f t="shared" si="1109"/>
        <v>-28579.032839723237</v>
      </c>
      <c r="CP243" s="270">
        <f t="shared" si="1109"/>
        <v>-28825.312674448673</v>
      </c>
      <c r="CQ243" s="270">
        <f t="shared" si="1109"/>
        <v>-29067.618790471857</v>
      </c>
      <c r="CR243" s="270">
        <f t="shared" si="1109"/>
        <v>-29859.200123600916</v>
      </c>
      <c r="CS243" s="270">
        <f t="shared" si="1109"/>
        <v>-28992.280006936518</v>
      </c>
      <c r="CT243" s="270">
        <f t="shared" si="1109"/>
        <v>-28151.157933776762</v>
      </c>
      <c r="CU243" s="270">
        <f t="shared" si="1109"/>
        <v>-27742.100562360407</v>
      </c>
      <c r="CV243" s="286">
        <f t="shared" si="1109"/>
        <v>-345084.95439824124</v>
      </c>
      <c r="CW243" s="225"/>
      <c r="CX243" s="269">
        <f>+CX155-CX166+CX172-CX241</f>
        <v>-66293.555113917348</v>
      </c>
      <c r="CY243" s="270">
        <f t="shared" ref="CY243:DJ243" si="1110">+CY155-CY166+CY172-CY241</f>
        <v>-64250.265489171856</v>
      </c>
      <c r="CZ243" s="270">
        <f t="shared" si="1110"/>
        <v>-64500.154157392026</v>
      </c>
      <c r="DA243" s="270">
        <f t="shared" si="1110"/>
        <v>-64044.341114193921</v>
      </c>
      <c r="DB243" s="270">
        <f t="shared" si="1110"/>
        <v>-64106.656140790546</v>
      </c>
      <c r="DC243" s="270">
        <f t="shared" si="1110"/>
        <v>-64123.347133057527</v>
      </c>
      <c r="DD243" s="270">
        <f t="shared" si="1110"/>
        <v>-64764.370515114511</v>
      </c>
      <c r="DE243" s="270">
        <f t="shared" si="1110"/>
        <v>-65449.667355380821</v>
      </c>
      <c r="DF243" s="270">
        <f t="shared" si="1110"/>
        <v>-67431.832353792008</v>
      </c>
      <c r="DG243" s="270">
        <f t="shared" si="1110"/>
        <v>-65233.467879689684</v>
      </c>
      <c r="DH243" s="270">
        <f t="shared" si="1110"/>
        <v>-63058.468960125741</v>
      </c>
      <c r="DI243" s="270">
        <f t="shared" si="1110"/>
        <v>-62017.827820231367</v>
      </c>
      <c r="DJ243" s="286">
        <f t="shared" si="1110"/>
        <v>-775273.95403285732</v>
      </c>
      <c r="DK243" s="225"/>
      <c r="DL243" s="269">
        <f>+DL155-DL166+DL172-DL241</f>
        <v>-47052.223178740991</v>
      </c>
      <c r="DM243" s="270">
        <f t="shared" ref="DM243:DX243" si="1111">+DM155-DM166+DM172-DM241</f>
        <v>-43287.522400515991</v>
      </c>
      <c r="DN243" s="270">
        <f t="shared" si="1111"/>
        <v>-43275.282374741888</v>
      </c>
      <c r="DO243" s="270">
        <f t="shared" si="1111"/>
        <v>-41326.598025538056</v>
      </c>
      <c r="DP243" s="270">
        <f t="shared" si="1111"/>
        <v>-41388.913052134681</v>
      </c>
      <c r="DQ243" s="270">
        <f t="shared" si="1111"/>
        <v>-41405.604044401662</v>
      </c>
      <c r="DR243" s="270">
        <f t="shared" si="1111"/>
        <v>-45559.597207202212</v>
      </c>
      <c r="DS243" s="270">
        <f t="shared" si="1111"/>
        <v>-42630.613494560996</v>
      </c>
      <c r="DT243" s="270">
        <f t="shared" si="1111"/>
        <v>-44636.610714135197</v>
      </c>
      <c r="DU243" s="270">
        <f t="shared" si="1111"/>
        <v>-42413.222407811707</v>
      </c>
      <c r="DV243" s="270">
        <f t="shared" si="1111"/>
        <v>-40288.866958219165</v>
      </c>
      <c r="DW243" s="270">
        <f t="shared" si="1111"/>
        <v>-39247.630012795722</v>
      </c>
      <c r="DX243" s="286">
        <f t="shared" si="1111"/>
        <v>-512512.68387079827</v>
      </c>
      <c r="DY243" s="225"/>
      <c r="DZ243" s="269">
        <f>+DZ155-DZ166+DZ172-DZ241</f>
        <v>-5096.4324633834694</v>
      </c>
      <c r="EA243" s="270">
        <f t="shared" ref="EA243:EL243" si="1112">+EA155-EA166+EA172-EA241</f>
        <v>-5026.7134855692921</v>
      </c>
      <c r="EB243" s="270">
        <f t="shared" si="1112"/>
        <v>-5035.2763417916449</v>
      </c>
      <c r="EC243" s="270">
        <f t="shared" si="1112"/>
        <v>-8218.3590436057948</v>
      </c>
      <c r="ED243" s="270">
        <f t="shared" si="1112"/>
        <v>-5021.5845802699596</v>
      </c>
      <c r="EE243" s="270">
        <f t="shared" si="1112"/>
        <v>-5022.1806871366371</v>
      </c>
      <c r="EF243" s="270">
        <f t="shared" si="1112"/>
        <v>-5047.7686970705126</v>
      </c>
      <c r="EG243" s="270">
        <f t="shared" si="1112"/>
        <v>-5069.7965257998931</v>
      </c>
      <c r="EH243" s="270">
        <f t="shared" si="1112"/>
        <v>-5141.7584651752613</v>
      </c>
      <c r="EI243" s="270">
        <f t="shared" si="1112"/>
        <v>-5062.9475454784988</v>
      </c>
      <c r="EJ243" s="270">
        <f t="shared" si="1112"/>
        <v>-4986.4819024639746</v>
      </c>
      <c r="EK243" s="270">
        <f t="shared" si="1112"/>
        <v>-4949.294868698853</v>
      </c>
      <c r="EL243" s="286">
        <f t="shared" si="1112"/>
        <v>-63678.594606443796</v>
      </c>
      <c r="EM243" s="225"/>
      <c r="EN243" s="269">
        <f>+EN155-EN166+EN172-EN241</f>
        <v>-7549.6928581301436</v>
      </c>
      <c r="EO243" s="270">
        <f t="shared" ref="EO243:EZ243" si="1113">+EO155-EO166+EO172-EO241</f>
        <v>-7410.2549025017888</v>
      </c>
      <c r="EP243" s="270">
        <f t="shared" si="1113"/>
        <v>-7427.3806149464954</v>
      </c>
      <c r="EQ243" s="270">
        <f t="shared" si="1113"/>
        <v>-7395.5460185747943</v>
      </c>
      <c r="ER243" s="270">
        <f t="shared" si="1113"/>
        <v>-7399.9970919031248</v>
      </c>
      <c r="ES243" s="270">
        <f t="shared" si="1113"/>
        <v>-7401.1893056364806</v>
      </c>
      <c r="ET243" s="270">
        <f t="shared" si="1113"/>
        <v>-7452.3057449513226</v>
      </c>
      <c r="EU243" s="270">
        <f t="shared" si="1113"/>
        <v>-7496.3614024100825</v>
      </c>
      <c r="EV243" s="270">
        <f t="shared" si="1113"/>
        <v>-7640.2852811608209</v>
      </c>
      <c r="EW243" s="270">
        <f t="shared" si="1113"/>
        <v>-7482.6634417672949</v>
      </c>
      <c r="EX243" s="270">
        <f t="shared" si="1113"/>
        <v>-7329.7321557382475</v>
      </c>
      <c r="EY243" s="270">
        <f t="shared" si="1113"/>
        <v>-7255.3580882080014</v>
      </c>
      <c r="EZ243" s="286">
        <f t="shared" si="1113"/>
        <v>-89240.766905928598</v>
      </c>
      <c r="FA243" s="225"/>
      <c r="FB243" s="269">
        <f>+FB155-FB166+FB172-FB241</f>
        <v>-1657.2642079020598</v>
      </c>
      <c r="FC243" s="270">
        <f t="shared" ref="FC243:FN243" si="1114">+FC155-FC166+FC172-FC241</f>
        <v>-1587.5452300878821</v>
      </c>
      <c r="FD243" s="270">
        <f t="shared" si="1114"/>
        <v>-1596.1080863102354</v>
      </c>
      <c r="FE243" s="270">
        <f t="shared" si="1114"/>
        <v>-1580.1907881243847</v>
      </c>
      <c r="FF243" s="270">
        <f t="shared" si="1114"/>
        <v>-1582.4163247885499</v>
      </c>
      <c r="FG243" s="270">
        <f t="shared" si="1114"/>
        <v>-1583.0124316552276</v>
      </c>
      <c r="FH243" s="270">
        <f t="shared" si="1114"/>
        <v>-1605.0375245252321</v>
      </c>
      <c r="FI243" s="270">
        <f t="shared" si="1114"/>
        <v>-1627.0653532546125</v>
      </c>
      <c r="FJ243" s="270">
        <f t="shared" si="1114"/>
        <v>-1699.0272926299813</v>
      </c>
      <c r="FK243" s="270">
        <f t="shared" si="1114"/>
        <v>-1620.2163729332183</v>
      </c>
      <c r="FL243" s="270">
        <f t="shared" si="1114"/>
        <v>-1543.7507299186948</v>
      </c>
      <c r="FM243" s="270">
        <f t="shared" si="1114"/>
        <v>-1506.5636961535718</v>
      </c>
      <c r="FN243" s="286">
        <f t="shared" si="1114"/>
        <v>-19188.198038283648</v>
      </c>
      <c r="FO243" s="225"/>
      <c r="FP243" s="269">
        <f>+FP155-FP166+FP172-FP241</f>
        <v>-22878.566328527002</v>
      </c>
      <c r="FQ243" s="270">
        <f t="shared" ref="FQ243:GB243" si="1115">+FQ155-FQ166+FQ172-FQ241</f>
        <v>-22328.152644933572</v>
      </c>
      <c r="FR243" s="270">
        <f t="shared" si="1115"/>
        <v>-22398.221332484329</v>
      </c>
      <c r="FS243" s="270">
        <f t="shared" si="1115"/>
        <v>-22276.671551189087</v>
      </c>
      <c r="FT243" s="270">
        <f t="shared" si="1115"/>
        <v>-22292.250307838243</v>
      </c>
      <c r="FU243" s="270">
        <f t="shared" si="1115"/>
        <v>-22296.42305590499</v>
      </c>
      <c r="FV243" s="270">
        <f t="shared" si="1115"/>
        <v>-22470.927590647068</v>
      </c>
      <c r="FW243" s="270">
        <f t="shared" si="1115"/>
        <v>-22666.828778788004</v>
      </c>
      <c r="FX243" s="270">
        <f t="shared" si="1115"/>
        <v>-23164.604299124832</v>
      </c>
      <c r="FY243" s="270">
        <f t="shared" si="1115"/>
        <v>-22621.269138654541</v>
      </c>
      <c r="FZ243" s="270">
        <f t="shared" si="1115"/>
        <v>-22052.048722395593</v>
      </c>
      <c r="GA243" s="270">
        <f t="shared" si="1115"/>
        <v>-21792.335291568808</v>
      </c>
      <c r="GB243" s="286">
        <f t="shared" si="1115"/>
        <v>-269238.29904205608</v>
      </c>
      <c r="GC243" s="225"/>
      <c r="GD243" s="269">
        <f>+GD155-GD166+GD172-GD241</f>
        <v>-10454.928650228087</v>
      </c>
      <c r="GE243" s="270">
        <f t="shared" ref="GE243:GP243" si="1116">+GE155-GE166+GE172-GE241</f>
        <v>-10447.590511308093</v>
      </c>
      <c r="GF243" s="270">
        <f t="shared" si="1116"/>
        <v>-10446.024673536167</v>
      </c>
      <c r="GG243" s="270">
        <f t="shared" si="1116"/>
        <v>-10440.236069344597</v>
      </c>
      <c r="GH243" s="270">
        <f t="shared" si="1116"/>
        <v>-10442.461606008761</v>
      </c>
      <c r="GI243" s="270">
        <f t="shared" si="1116"/>
        <v>-10443.057712875439</v>
      </c>
      <c r="GJ243" s="270">
        <f t="shared" si="1116"/>
        <v>-10461.269650359362</v>
      </c>
      <c r="GK243" s="270">
        <f t="shared" si="1116"/>
        <v>-10441.591092053472</v>
      </c>
      <c r="GL243" s="270">
        <f t="shared" si="1116"/>
        <v>-10519.511086719593</v>
      </c>
      <c r="GM243" s="270">
        <f t="shared" si="1116"/>
        <v>-10432.358889615774</v>
      </c>
      <c r="GN243" s="270">
        <f t="shared" si="1116"/>
        <v>-10389.854161758545</v>
      </c>
      <c r="GO243" s="270">
        <f t="shared" si="1116"/>
        <v>-10352.071322464344</v>
      </c>
      <c r="GP243" s="286">
        <f t="shared" si="1116"/>
        <v>-125270.95542627224</v>
      </c>
      <c r="GQ243" s="225"/>
      <c r="GR243" s="269">
        <f>+GR155-GR166+GR172-GR241</f>
        <v>5959.7658686014547</v>
      </c>
      <c r="GS243" s="270">
        <f t="shared" ref="GS243:HC243" si="1117">+GS155-GS166+GS172-GS241</f>
        <v>7113.6708972001215</v>
      </c>
      <c r="GT243" s="270">
        <f t="shared" si="1117"/>
        <v>-21737.156430363517</v>
      </c>
      <c r="GU243" s="270">
        <f t="shared" si="1117"/>
        <v>-21659.99901854273</v>
      </c>
      <c r="GV243" s="270">
        <f t="shared" si="1117"/>
        <v>-21582.303594329198</v>
      </c>
      <c r="GW243" s="270">
        <f t="shared" si="1117"/>
        <v>-21504.066463728625</v>
      </c>
      <c r="GX243" s="270">
        <f t="shared" si="1117"/>
        <v>-21425.283932746737</v>
      </c>
      <c r="GY243" s="270">
        <f t="shared" si="1117"/>
        <v>-21345.952188228148</v>
      </c>
      <c r="GZ243" s="270">
        <f t="shared" si="1117"/>
        <v>-21266.067417017475</v>
      </c>
      <c r="HA243" s="270">
        <f t="shared" si="1117"/>
        <v>-21185.625567637107</v>
      </c>
      <c r="HB243" s="270">
        <f t="shared" si="1117"/>
        <v>-21104.623065253887</v>
      </c>
      <c r="HC243" s="270">
        <f t="shared" si="1117"/>
        <v>-21023.055739229101</v>
      </c>
      <c r="HD243" s="286">
        <f t="shared" si="1048"/>
        <v>0</v>
      </c>
      <c r="HE243" s="225"/>
      <c r="HF243" s="269">
        <f>+HF155-HF166+HF172-HF241</f>
        <v>-10458.835191951421</v>
      </c>
      <c r="HG243" s="270">
        <f t="shared" ref="HG243:HR243" si="1118">+HG155-HG166+HG172-HG241</f>
        <v>-10179.959280694711</v>
      </c>
      <c r="HH243" s="270">
        <f t="shared" si="1118"/>
        <v>-10214.210705584124</v>
      </c>
      <c r="HI243" s="270">
        <f t="shared" si="1118"/>
        <v>-10150.541512840722</v>
      </c>
      <c r="HJ243" s="270">
        <f t="shared" si="1118"/>
        <v>-10159.443659497383</v>
      </c>
      <c r="HK243" s="270">
        <f t="shared" si="1118"/>
        <v>-10161.828086964095</v>
      </c>
      <c r="HL243" s="270">
        <f t="shared" si="1118"/>
        <v>-10255.695855965563</v>
      </c>
      <c r="HM243" s="270">
        <f t="shared" si="1118"/>
        <v>-10343.807170883083</v>
      </c>
      <c r="HN243" s="270">
        <f t="shared" si="1118"/>
        <v>-10631.65492838456</v>
      </c>
      <c r="HO243" s="270">
        <f t="shared" si="1118"/>
        <v>-10316.411249597506</v>
      </c>
      <c r="HP243" s="270">
        <f t="shared" si="1118"/>
        <v>-10010.548677539413</v>
      </c>
      <c r="HQ243" s="270">
        <f t="shared" si="1118"/>
        <v>-9861.8005424789189</v>
      </c>
      <c r="HR243" s="286">
        <f t="shared" si="1118"/>
        <v>-122744.73686238151</v>
      </c>
      <c r="HS243" s="225"/>
      <c r="HT243" s="269">
        <f>+HT155-HT166+HT172-HT241</f>
        <v>-2698.4224538505823</v>
      </c>
      <c r="HU243" s="270">
        <f t="shared" ref="HU243:IF243" si="1119">+HU155-HU166+HU172-HU241</f>
        <v>-2628.7034760364049</v>
      </c>
      <c r="HV243" s="270">
        <f t="shared" si="1119"/>
        <v>-2637.2663322587578</v>
      </c>
      <c r="HW243" s="270">
        <f t="shared" si="1119"/>
        <v>-2621.3490340729072</v>
      </c>
      <c r="HX243" s="270">
        <f t="shared" si="1119"/>
        <v>-2623.5745707370725</v>
      </c>
      <c r="HY243" s="270">
        <f t="shared" si="1119"/>
        <v>-2624.1706776037499</v>
      </c>
      <c r="HZ243" s="270">
        <f t="shared" si="1119"/>
        <v>-2646.600918233526</v>
      </c>
      <c r="IA243" s="270">
        <f t="shared" si="1119"/>
        <v>-2668.628746962906</v>
      </c>
      <c r="IB243" s="270">
        <f t="shared" si="1119"/>
        <v>-2740.5906863382752</v>
      </c>
      <c r="IC243" s="270">
        <f t="shared" si="1119"/>
        <v>-2661.7797666415117</v>
      </c>
      <c r="ID243" s="270">
        <f t="shared" si="1119"/>
        <v>-2585.3141236269885</v>
      </c>
      <c r="IE243" s="270">
        <f t="shared" si="1119"/>
        <v>-2548.1270898618654</v>
      </c>
      <c r="IF243" s="286">
        <f t="shared" si="1119"/>
        <v>-31684.527876224547</v>
      </c>
      <c r="IG243" s="225"/>
      <c r="IH243" s="269">
        <f>+IH155-IH166+IH172-IH241</f>
        <v>-7745.9558189602094</v>
      </c>
      <c r="II243" s="270">
        <f t="shared" ref="II243:IT243" si="1120">+II155-II166+II172-II241</f>
        <v>-7676.236841146032</v>
      </c>
      <c r="IJ243" s="270">
        <f t="shared" si="1120"/>
        <v>-7684.7996973683848</v>
      </c>
      <c r="IK243" s="270">
        <f t="shared" si="1120"/>
        <v>-7668.8823991825338</v>
      </c>
      <c r="IL243" s="270">
        <f t="shared" si="1120"/>
        <v>-7671.1079358466995</v>
      </c>
      <c r="IM243" s="270">
        <f t="shared" si="1120"/>
        <v>-7671.704042713377</v>
      </c>
      <c r="IN243" s="270">
        <f t="shared" si="1120"/>
        <v>-7700.7953891582156</v>
      </c>
      <c r="IO243" s="270">
        <f t="shared" si="1120"/>
        <v>-7722.823217887596</v>
      </c>
      <c r="IP243" s="270">
        <f t="shared" si="1120"/>
        <v>-7794.7851572629643</v>
      </c>
      <c r="IQ243" s="270">
        <f t="shared" si="1120"/>
        <v>-7715.9742375662017</v>
      </c>
      <c r="IR243" s="270">
        <f t="shared" si="1120"/>
        <v>-7639.5085945516785</v>
      </c>
      <c r="IS243" s="270">
        <f t="shared" si="1120"/>
        <v>-7602.321560786555</v>
      </c>
      <c r="IT243" s="286">
        <f t="shared" si="1120"/>
        <v>-92294.894892430457</v>
      </c>
      <c r="IU243" s="225"/>
      <c r="IV243" s="269">
        <f>+IV155-IV166+IV172-IV241</f>
        <v>-24692.162610700499</v>
      </c>
      <c r="IW243" s="270">
        <f t="shared" ref="IW243:JH243" si="1121">+IW155-IW166+IW172-IW241</f>
        <v>-24204.129766001261</v>
      </c>
      <c r="IX243" s="270">
        <f t="shared" si="1121"/>
        <v>-24264.069759557733</v>
      </c>
      <c r="IY243" s="270">
        <f t="shared" si="1121"/>
        <v>-24152.648672256775</v>
      </c>
      <c r="IZ243" s="270">
        <f t="shared" si="1121"/>
        <v>-24168.227428905935</v>
      </c>
      <c r="JA243" s="270">
        <f t="shared" si="1121"/>
        <v>-24172.400176972678</v>
      </c>
      <c r="JB243" s="270">
        <f t="shared" si="1121"/>
        <v>-24341.113481972141</v>
      </c>
      <c r="JC243" s="270">
        <f t="shared" si="1121"/>
        <v>-24495.308283077804</v>
      </c>
      <c r="JD243" s="270">
        <f t="shared" si="1121"/>
        <v>-24999.041858705386</v>
      </c>
      <c r="JE243" s="270">
        <f t="shared" si="1121"/>
        <v>-24447.365420828042</v>
      </c>
      <c r="JF243" s="270">
        <f t="shared" si="1121"/>
        <v>-23912.105919726382</v>
      </c>
      <c r="JG243" s="270">
        <f t="shared" si="1121"/>
        <v>-23651.796683370521</v>
      </c>
      <c r="JH243" s="286">
        <f t="shared" si="1121"/>
        <v>-291500.37006207515</v>
      </c>
      <c r="JI243" s="225"/>
      <c r="JJ243" s="269">
        <f>+JJ155-JJ166+JJ172-JJ241</f>
        <v>-34265.869108657644</v>
      </c>
      <c r="JK243" s="270">
        <f t="shared" ref="JK243:JV243" si="1122">+JK155-JK166+JK172-JK241</f>
        <v>-33357.396958993399</v>
      </c>
      <c r="JL243" s="270">
        <f t="shared" si="1122"/>
        <v>-33471.845765427846</v>
      </c>
      <c r="JM243" s="270">
        <f t="shared" si="1122"/>
        <v>-33276.498097394928</v>
      </c>
      <c r="JN243" s="270">
        <f t="shared" si="1122"/>
        <v>-33300.979000700747</v>
      </c>
      <c r="JO243" s="270">
        <f t="shared" si="1122"/>
        <v>-33307.5361762342</v>
      </c>
      <c r="JP243" s="270">
        <f t="shared" si="1122"/>
        <v>-33556.723541941523</v>
      </c>
      <c r="JQ243" s="270">
        <f t="shared" si="1122"/>
        <v>-33891.379514971377</v>
      </c>
      <c r="JR243" s="270">
        <f t="shared" si="1122"/>
        <v>-34662.107654582804</v>
      </c>
      <c r="JS243" s="270">
        <f t="shared" si="1122"/>
        <v>-33778.504983104292</v>
      </c>
      <c r="JT243" s="270">
        <f t="shared" si="1122"/>
        <v>-32902.826189258172</v>
      </c>
      <c r="JU243" s="270">
        <f t="shared" si="1122"/>
        <v>-32494.960428899969</v>
      </c>
      <c r="JV243" s="286">
        <f t="shared" si="1122"/>
        <v>-402266.62742016686</v>
      </c>
      <c r="JW243" s="225"/>
      <c r="JX243" s="269">
        <f>+JX155-JX166+JX172-JX241</f>
        <v>-17913.299113866826</v>
      </c>
      <c r="JY243" s="270">
        <f t="shared" ref="JY243:KJ243" si="1123">+JY155-JY166+JY172-JY241</f>
        <v>-17562.738066549988</v>
      </c>
      <c r="JZ243" s="270">
        <f t="shared" si="1123"/>
        <v>-17605.552347661756</v>
      </c>
      <c r="KA243" s="270">
        <f t="shared" si="1123"/>
        <v>-17525.965856732502</v>
      </c>
      <c r="KB243" s="270">
        <f t="shared" si="1123"/>
        <v>-17537.093540053327</v>
      </c>
      <c r="KC243" s="270">
        <f t="shared" si="1123"/>
        <v>-17540.074074386717</v>
      </c>
      <c r="KD243" s="270">
        <f t="shared" si="1123"/>
        <v>-17656.252922912143</v>
      </c>
      <c r="KE243" s="270">
        <f t="shared" si="1123"/>
        <v>-17766.392066559049</v>
      </c>
      <c r="KF243" s="270">
        <f t="shared" si="1123"/>
        <v>-18126.201763435889</v>
      </c>
      <c r="KG243" s="270">
        <f t="shared" si="1123"/>
        <v>-17723.805887545022</v>
      </c>
      <c r="KH243" s="270">
        <f t="shared" si="1123"/>
        <v>-17349.818949879456</v>
      </c>
      <c r="KI243" s="270">
        <f t="shared" si="1123"/>
        <v>-17163.883781053843</v>
      </c>
      <c r="KJ243" s="286">
        <f t="shared" si="1123"/>
        <v>-211471.0783706365</v>
      </c>
      <c r="KK243" s="225"/>
      <c r="KL243" s="269">
        <f>+KL155-KL166+KL172-KL241</f>
        <v>-3431.3777961663691</v>
      </c>
      <c r="KM243" s="270">
        <f t="shared" ref="KM243:KX243" si="1124">+KM155-KM166+KM172-KM241</f>
        <v>-3291.9398405380143</v>
      </c>
      <c r="KN243" s="270">
        <f t="shared" si="1124"/>
        <v>-3309.0655529827209</v>
      </c>
      <c r="KO243" s="270">
        <f t="shared" si="1124"/>
        <v>-3277.2309566110189</v>
      </c>
      <c r="KP243" s="270">
        <f t="shared" si="1124"/>
        <v>-3281.6820299393494</v>
      </c>
      <c r="KQ243" s="270">
        <f t="shared" si="1124"/>
        <v>-3282.8742436727052</v>
      </c>
      <c r="KR243" s="270">
        <f t="shared" si="1124"/>
        <v>-3326.0664694508459</v>
      </c>
      <c r="KS243" s="270">
        <f t="shared" si="1124"/>
        <v>-3370.1221269096063</v>
      </c>
      <c r="KT243" s="270">
        <f t="shared" si="1124"/>
        <v>-3514.0460056603442</v>
      </c>
      <c r="KU243" s="270">
        <f t="shared" si="1124"/>
        <v>-3356.3765018244917</v>
      </c>
      <c r="KV243" s="270">
        <f t="shared" si="1124"/>
        <v>-3203.4928802377708</v>
      </c>
      <c r="KW243" s="270">
        <f t="shared" si="1124"/>
        <v>-3129.1188127075247</v>
      </c>
      <c r="KX243" s="286">
        <f t="shared" si="1124"/>
        <v>-39773.393216700766</v>
      </c>
      <c r="KY243" s="225"/>
      <c r="KZ243" s="269">
        <f>+KZ155-KZ166+KZ172-KZ241</f>
        <v>-2837.5668771108299</v>
      </c>
      <c r="LA243" s="270">
        <f t="shared" ref="LA243:LL243" si="1125">+LA155-LA166+LA172-LA241</f>
        <v>-2767.847899296652</v>
      </c>
      <c r="LB243" s="270">
        <f t="shared" si="1125"/>
        <v>-2776.4107555190053</v>
      </c>
      <c r="LC243" s="270">
        <f t="shared" si="1125"/>
        <v>-2760.4934573331548</v>
      </c>
      <c r="LD243" s="270">
        <f t="shared" si="1125"/>
        <v>-2762.7189939973196</v>
      </c>
      <c r="LE243" s="270">
        <f t="shared" si="1125"/>
        <v>-2763.3151008639975</v>
      </c>
      <c r="LF243" s="270">
        <f t="shared" si="1125"/>
        <v>-2784.8992976424865</v>
      </c>
      <c r="LG243" s="270">
        <f t="shared" si="1125"/>
        <v>-2806.927126371867</v>
      </c>
      <c r="LH243" s="270">
        <f t="shared" si="1125"/>
        <v>-2878.8890657472357</v>
      </c>
      <c r="LI243" s="270">
        <f t="shared" si="1125"/>
        <v>-2800.1258104927983</v>
      </c>
      <c r="LJ243" s="270">
        <f t="shared" si="1125"/>
        <v>-2723.612503035949</v>
      </c>
      <c r="LK243" s="270">
        <f t="shared" si="1125"/>
        <v>-2686.4254692708255</v>
      </c>
      <c r="LL243" s="286">
        <f t="shared" si="1125"/>
        <v>-33349.232356682121</v>
      </c>
      <c r="LM243" s="225"/>
      <c r="LN243" s="269">
        <f>+LN155-LN166+LN172-LN241</f>
        <v>0</v>
      </c>
      <c r="LO243" s="270">
        <f t="shared" ref="LO243:LZ243" si="1126">+LO155-LO166+LO172-LO241</f>
        <v>0</v>
      </c>
      <c r="LP243" s="270">
        <f t="shared" si="1126"/>
        <v>0</v>
      </c>
      <c r="LQ243" s="270">
        <f t="shared" si="1126"/>
        <v>0</v>
      </c>
      <c r="LR243" s="270">
        <f t="shared" si="1126"/>
        <v>0</v>
      </c>
      <c r="LS243" s="270">
        <f t="shared" si="1126"/>
        <v>0</v>
      </c>
      <c r="LT243" s="270">
        <f t="shared" si="1126"/>
        <v>0</v>
      </c>
      <c r="LU243" s="270">
        <f t="shared" si="1126"/>
        <v>0</v>
      </c>
      <c r="LV243" s="270">
        <f t="shared" si="1126"/>
        <v>0</v>
      </c>
      <c r="LW243" s="270">
        <f t="shared" si="1126"/>
        <v>0</v>
      </c>
      <c r="LX243" s="270">
        <f t="shared" si="1126"/>
        <v>0</v>
      </c>
      <c r="LY243" s="270">
        <f t="shared" si="1126"/>
        <v>0</v>
      </c>
      <c r="LZ243" s="286">
        <f t="shared" si="1126"/>
        <v>0</v>
      </c>
      <c r="MA243" s="225"/>
      <c r="MB243" s="286">
        <f t="shared" ref="MB243:MN243" si="1127">+MB155-MB166+MB172-MB241</f>
        <v>-434159.41723019618</v>
      </c>
      <c r="MC243" s="286">
        <f t="shared" si="1127"/>
        <v>-419438.18916323734</v>
      </c>
      <c r="MD243" s="286">
        <f t="shared" si="1127"/>
        <v>-449481.83968724398</v>
      </c>
      <c r="ME243" s="286">
        <f t="shared" si="1127"/>
        <v>-448449.73059696652</v>
      </c>
      <c r="MF243" s="286">
        <f t="shared" si="1127"/>
        <v>-445538.02318567608</v>
      </c>
      <c r="MG243" s="286">
        <f t="shared" si="1127"/>
        <v>-445557.54758121067</v>
      </c>
      <c r="MH243" s="286">
        <f t="shared" si="1127"/>
        <v>-452757.15082428418</v>
      </c>
      <c r="MI243" s="286">
        <f t="shared" si="1127"/>
        <v>-452965.06812007795</v>
      </c>
      <c r="MJ243" s="286">
        <f t="shared" si="1127"/>
        <v>-464600.54960471182</v>
      </c>
      <c r="MK243" s="286">
        <f t="shared" si="1127"/>
        <v>-451545.06926061993</v>
      </c>
      <c r="ML243" s="286">
        <f t="shared" si="1127"/>
        <v>-438871.27041729633</v>
      </c>
      <c r="MM243" s="286">
        <f t="shared" si="1127"/>
        <v>-432693.41277590767</v>
      </c>
      <c r="MN243" s="286">
        <f t="shared" si="1127"/>
        <v>-5336057.268447428</v>
      </c>
    </row>
    <row r="244" spans="1:352" x14ac:dyDescent="0.25">
      <c r="A244" s="262"/>
      <c r="B244" s="181"/>
      <c r="C244" s="98"/>
      <c r="D244" s="268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30"/>
      <c r="Q244" s="266"/>
      <c r="R244" s="268"/>
      <c r="S244" s="265"/>
      <c r="T244" s="265"/>
      <c r="U244" s="265"/>
      <c r="V244" s="265"/>
      <c r="W244" s="265"/>
      <c r="X244" s="265"/>
      <c r="Y244" s="265"/>
      <c r="Z244" s="265"/>
      <c r="AA244" s="265"/>
      <c r="AB244" s="265"/>
      <c r="AC244" s="265"/>
      <c r="AD244" s="230"/>
      <c r="AE244" s="266"/>
      <c r="AF244" s="268"/>
      <c r="AG244" s="265"/>
      <c r="AH244" s="265"/>
      <c r="AI244" s="265"/>
      <c r="AJ244" s="265"/>
      <c r="AK244" s="265"/>
      <c r="AL244" s="265"/>
      <c r="AM244" s="265"/>
      <c r="AN244" s="265"/>
      <c r="AO244" s="265"/>
      <c r="AP244" s="265"/>
      <c r="AQ244" s="265"/>
      <c r="AR244" s="230"/>
      <c r="AS244" s="266"/>
      <c r="AT244" s="268"/>
      <c r="AU244" s="265"/>
      <c r="AV244" s="265"/>
      <c r="AW244" s="265"/>
      <c r="AX244" s="265"/>
      <c r="AY244" s="265"/>
      <c r="AZ244" s="265"/>
      <c r="BA244" s="265"/>
      <c r="BB244" s="265"/>
      <c r="BC244" s="265"/>
      <c r="BD244" s="265"/>
      <c r="BE244" s="265"/>
      <c r="BF244" s="230"/>
      <c r="BG244" s="224"/>
      <c r="BH244" s="268"/>
      <c r="BI244" s="265"/>
      <c r="BJ244" s="265"/>
      <c r="BK244" s="265"/>
      <c r="BL244" s="265"/>
      <c r="BM244" s="265"/>
      <c r="BN244" s="265"/>
      <c r="BO244" s="265"/>
      <c r="BP244" s="265"/>
      <c r="BQ244" s="265"/>
      <c r="BR244" s="265"/>
      <c r="BS244" s="265"/>
      <c r="BT244" s="230"/>
      <c r="BU244" s="266"/>
      <c r="BV244" s="268"/>
      <c r="BW244" s="265"/>
      <c r="BX244" s="265"/>
      <c r="BY244" s="265"/>
      <c r="BZ244" s="265"/>
      <c r="CA244" s="265"/>
      <c r="CB244" s="265"/>
      <c r="CC244" s="265"/>
      <c r="CD244" s="265"/>
      <c r="CE244" s="265"/>
      <c r="CF244" s="265"/>
      <c r="CG244" s="265"/>
      <c r="CH244" s="230"/>
      <c r="CI244" s="266"/>
      <c r="CJ244" s="268"/>
      <c r="CK244" s="265"/>
      <c r="CL244" s="265"/>
      <c r="CM244" s="265"/>
      <c r="CN244" s="265"/>
      <c r="CO244" s="265"/>
      <c r="CP244" s="265"/>
      <c r="CQ244" s="265"/>
      <c r="CR244" s="265"/>
      <c r="CS244" s="265"/>
      <c r="CT244" s="265"/>
      <c r="CU244" s="265"/>
      <c r="CV244" s="230"/>
      <c r="CW244" s="266"/>
      <c r="CX244" s="268"/>
      <c r="CY244" s="265"/>
      <c r="CZ244" s="265"/>
      <c r="DA244" s="265"/>
      <c r="DB244" s="265"/>
      <c r="DC244" s="265"/>
      <c r="DD244" s="265"/>
      <c r="DE244" s="265"/>
      <c r="DF244" s="265"/>
      <c r="DG244" s="265"/>
      <c r="DH244" s="265"/>
      <c r="DI244" s="265"/>
      <c r="DJ244" s="230"/>
      <c r="DK244" s="266"/>
      <c r="DL244" s="268"/>
      <c r="DM244" s="265"/>
      <c r="DN244" s="265"/>
      <c r="DO244" s="265"/>
      <c r="DP244" s="265"/>
      <c r="DQ244" s="265"/>
      <c r="DR244" s="265"/>
      <c r="DS244" s="265"/>
      <c r="DT244" s="265"/>
      <c r="DU244" s="265"/>
      <c r="DV244" s="265"/>
      <c r="DW244" s="265"/>
      <c r="DX244" s="230"/>
      <c r="DY244" s="266"/>
      <c r="DZ244" s="268"/>
      <c r="EA244" s="265"/>
      <c r="EB244" s="265"/>
      <c r="EC244" s="265"/>
      <c r="ED244" s="265"/>
      <c r="EE244" s="265"/>
      <c r="EF244" s="265"/>
      <c r="EG244" s="265"/>
      <c r="EH244" s="265"/>
      <c r="EI244" s="265"/>
      <c r="EJ244" s="265"/>
      <c r="EK244" s="265"/>
      <c r="EL244" s="230"/>
      <c r="EM244" s="266"/>
      <c r="EN244" s="268"/>
      <c r="EO244" s="265"/>
      <c r="EP244" s="265"/>
      <c r="EQ244" s="265"/>
      <c r="ER244" s="265"/>
      <c r="ES244" s="265"/>
      <c r="ET244" s="265"/>
      <c r="EU244" s="265"/>
      <c r="EV244" s="265"/>
      <c r="EW244" s="265"/>
      <c r="EX244" s="265"/>
      <c r="EY244" s="265"/>
      <c r="EZ244" s="230"/>
      <c r="FA244" s="266"/>
      <c r="FB244" s="268"/>
      <c r="FC244" s="265"/>
      <c r="FD244" s="265"/>
      <c r="FE244" s="265"/>
      <c r="FF244" s="265"/>
      <c r="FG244" s="265"/>
      <c r="FH244" s="265"/>
      <c r="FI244" s="265"/>
      <c r="FJ244" s="265"/>
      <c r="FK244" s="265"/>
      <c r="FL244" s="265"/>
      <c r="FM244" s="265"/>
      <c r="FN244" s="230"/>
      <c r="FO244" s="266"/>
      <c r="FP244" s="268"/>
      <c r="FQ244" s="265"/>
      <c r="FR244" s="265"/>
      <c r="FS244" s="265"/>
      <c r="FT244" s="265"/>
      <c r="FU244" s="265"/>
      <c r="FV244" s="265"/>
      <c r="FW244" s="265"/>
      <c r="FX244" s="265"/>
      <c r="FY244" s="265"/>
      <c r="FZ244" s="265"/>
      <c r="GA244" s="265"/>
      <c r="GB244" s="230"/>
      <c r="GC244" s="266"/>
      <c r="GD244" s="268"/>
      <c r="GE244" s="265"/>
      <c r="GF244" s="265"/>
      <c r="GG244" s="265"/>
      <c r="GH244" s="265"/>
      <c r="GI244" s="265"/>
      <c r="GJ244" s="265"/>
      <c r="GK244" s="265"/>
      <c r="GL244" s="265"/>
      <c r="GM244" s="265"/>
      <c r="GN244" s="265"/>
      <c r="GO244" s="265"/>
      <c r="GP244" s="230"/>
      <c r="GQ244" s="266"/>
      <c r="GR244" s="268"/>
      <c r="GS244" s="265"/>
      <c r="GT244" s="265"/>
      <c r="GU244" s="265"/>
      <c r="GV244" s="265"/>
      <c r="GW244" s="265"/>
      <c r="GX244" s="265"/>
      <c r="GY244" s="265"/>
      <c r="GZ244" s="265"/>
      <c r="HA244" s="265"/>
      <c r="HB244" s="265"/>
      <c r="HC244" s="265"/>
      <c r="HD244" s="230">
        <f t="shared" si="1048"/>
        <v>0</v>
      </c>
      <c r="HE244" s="266"/>
      <c r="HF244" s="268"/>
      <c r="HG244" s="265"/>
      <c r="HH244" s="265"/>
      <c r="HI244" s="265"/>
      <c r="HJ244" s="265"/>
      <c r="HK244" s="265"/>
      <c r="HL244" s="265"/>
      <c r="HM244" s="265"/>
      <c r="HN244" s="265"/>
      <c r="HO244" s="265"/>
      <c r="HP244" s="265"/>
      <c r="HQ244" s="265"/>
      <c r="HR244" s="230"/>
      <c r="HS244" s="266"/>
      <c r="HT244" s="268"/>
      <c r="HU244" s="265"/>
      <c r="HV244" s="265"/>
      <c r="HW244" s="265"/>
      <c r="HX244" s="265"/>
      <c r="HY244" s="265"/>
      <c r="HZ244" s="265"/>
      <c r="IA244" s="265"/>
      <c r="IB244" s="265"/>
      <c r="IC244" s="265"/>
      <c r="ID244" s="265"/>
      <c r="IE244" s="265"/>
      <c r="IF244" s="230"/>
      <c r="IG244" s="266"/>
      <c r="IH244" s="268"/>
      <c r="II244" s="265"/>
      <c r="IJ244" s="265"/>
      <c r="IK244" s="265"/>
      <c r="IL244" s="265"/>
      <c r="IM244" s="265"/>
      <c r="IN244" s="265"/>
      <c r="IO244" s="265"/>
      <c r="IP244" s="265"/>
      <c r="IQ244" s="265"/>
      <c r="IR244" s="265"/>
      <c r="IS244" s="265"/>
      <c r="IT244" s="230"/>
      <c r="IU244" s="266"/>
      <c r="IV244" s="268"/>
      <c r="IW244" s="265"/>
      <c r="IX244" s="265"/>
      <c r="IY244" s="265"/>
      <c r="IZ244" s="265"/>
      <c r="JA244" s="265"/>
      <c r="JB244" s="265"/>
      <c r="JC244" s="265"/>
      <c r="JD244" s="265"/>
      <c r="JE244" s="265"/>
      <c r="JF244" s="265"/>
      <c r="JG244" s="265"/>
      <c r="JH244" s="230"/>
      <c r="JI244" s="266"/>
      <c r="JJ244" s="268"/>
      <c r="JK244" s="265"/>
      <c r="JL244" s="265"/>
      <c r="JM244" s="265"/>
      <c r="JN244" s="265"/>
      <c r="JO244" s="265"/>
      <c r="JP244" s="265"/>
      <c r="JQ244" s="265"/>
      <c r="JR244" s="265"/>
      <c r="JS244" s="265"/>
      <c r="JT244" s="265"/>
      <c r="JU244" s="265"/>
      <c r="JV244" s="230"/>
      <c r="JW244" s="266"/>
      <c r="JX244" s="268"/>
      <c r="JY244" s="265"/>
      <c r="JZ244" s="265"/>
      <c r="KA244" s="265"/>
      <c r="KB244" s="265"/>
      <c r="KC244" s="265"/>
      <c r="KD244" s="265"/>
      <c r="KE244" s="265"/>
      <c r="KF244" s="265"/>
      <c r="KG244" s="265"/>
      <c r="KH244" s="265"/>
      <c r="KI244" s="265"/>
      <c r="KJ244" s="230"/>
      <c r="KK244" s="266"/>
      <c r="KL244" s="268"/>
      <c r="KM244" s="265"/>
      <c r="KN244" s="265"/>
      <c r="KO244" s="265"/>
      <c r="KP244" s="265"/>
      <c r="KQ244" s="265"/>
      <c r="KR244" s="265"/>
      <c r="KS244" s="265"/>
      <c r="KT244" s="265"/>
      <c r="KU244" s="265"/>
      <c r="KV244" s="265"/>
      <c r="KW244" s="265"/>
      <c r="KX244" s="230"/>
      <c r="KY244" s="266"/>
      <c r="KZ244" s="268"/>
      <c r="LA244" s="265"/>
      <c r="LB244" s="265"/>
      <c r="LC244" s="265"/>
      <c r="LD244" s="265"/>
      <c r="LE244" s="265"/>
      <c r="LF244" s="265"/>
      <c r="LG244" s="265"/>
      <c r="LH244" s="265"/>
      <c r="LI244" s="265"/>
      <c r="LJ244" s="265"/>
      <c r="LK244" s="265"/>
      <c r="LL244" s="230"/>
      <c r="LM244" s="266"/>
      <c r="LN244" s="268"/>
      <c r="LO244" s="265"/>
      <c r="LP244" s="265"/>
      <c r="LQ244" s="265"/>
      <c r="LR244" s="265"/>
      <c r="LS244" s="265"/>
      <c r="LT244" s="265"/>
      <c r="LU244" s="265"/>
      <c r="LV244" s="265"/>
      <c r="LW244" s="265"/>
      <c r="LX244" s="265"/>
      <c r="LY244" s="265"/>
      <c r="LZ244" s="230"/>
      <c r="MA244" s="266"/>
      <c r="MB244" s="230"/>
      <c r="MC244" s="230"/>
      <c r="MD244" s="230"/>
      <c r="ME244" s="230"/>
      <c r="MF244" s="230"/>
      <c r="MG244" s="230"/>
      <c r="MH244" s="230"/>
      <c r="MI244" s="230"/>
      <c r="MJ244" s="230"/>
      <c r="MK244" s="230"/>
      <c r="ML244" s="230"/>
      <c r="MM244" s="230"/>
      <c r="MN244" s="230"/>
    </row>
    <row r="245" spans="1:352" x14ac:dyDescent="0.3">
      <c r="A245" s="262"/>
      <c r="B245" s="214" t="s">
        <v>219</v>
      </c>
      <c r="C245" s="98"/>
      <c r="D245" s="268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30"/>
      <c r="Q245" s="266"/>
      <c r="R245" s="268"/>
      <c r="S245" s="265"/>
      <c r="T245" s="265"/>
      <c r="U245" s="265"/>
      <c r="V245" s="265"/>
      <c r="W245" s="265"/>
      <c r="X245" s="265"/>
      <c r="Y245" s="265"/>
      <c r="Z245" s="265"/>
      <c r="AA245" s="265"/>
      <c r="AB245" s="265"/>
      <c r="AC245" s="265"/>
      <c r="AD245" s="230"/>
      <c r="AE245" s="266"/>
      <c r="AF245" s="268"/>
      <c r="AG245" s="265"/>
      <c r="AH245" s="265"/>
      <c r="AI245" s="265"/>
      <c r="AJ245" s="265"/>
      <c r="AK245" s="265"/>
      <c r="AL245" s="265"/>
      <c r="AM245" s="265"/>
      <c r="AN245" s="265"/>
      <c r="AO245" s="265"/>
      <c r="AP245" s="265"/>
      <c r="AQ245" s="265"/>
      <c r="AR245" s="230"/>
      <c r="AS245" s="266"/>
      <c r="AT245" s="268"/>
      <c r="AU245" s="265"/>
      <c r="AV245" s="265"/>
      <c r="AW245" s="265"/>
      <c r="AX245" s="265"/>
      <c r="AY245" s="265"/>
      <c r="AZ245" s="265"/>
      <c r="BA245" s="265"/>
      <c r="BB245" s="265"/>
      <c r="BC245" s="265"/>
      <c r="BD245" s="265"/>
      <c r="BE245" s="265"/>
      <c r="BF245" s="230"/>
      <c r="BG245" s="224"/>
      <c r="BH245" s="268"/>
      <c r="BI245" s="265"/>
      <c r="BJ245" s="265"/>
      <c r="BK245" s="265"/>
      <c r="BL245" s="265"/>
      <c r="BM245" s="265"/>
      <c r="BN245" s="265"/>
      <c r="BO245" s="265"/>
      <c r="BP245" s="265"/>
      <c r="BQ245" s="265"/>
      <c r="BR245" s="265"/>
      <c r="BS245" s="265"/>
      <c r="BT245" s="230"/>
      <c r="BU245" s="266"/>
      <c r="BV245" s="268"/>
      <c r="BW245" s="265"/>
      <c r="BX245" s="265"/>
      <c r="BY245" s="265"/>
      <c r="BZ245" s="265"/>
      <c r="CA245" s="265"/>
      <c r="CB245" s="265"/>
      <c r="CC245" s="265"/>
      <c r="CD245" s="265"/>
      <c r="CE245" s="265"/>
      <c r="CF245" s="265"/>
      <c r="CG245" s="265"/>
      <c r="CH245" s="230"/>
      <c r="CI245" s="266"/>
      <c r="CJ245" s="268"/>
      <c r="CK245" s="265"/>
      <c r="CL245" s="265"/>
      <c r="CM245" s="265"/>
      <c r="CN245" s="265"/>
      <c r="CO245" s="265"/>
      <c r="CP245" s="265"/>
      <c r="CQ245" s="265"/>
      <c r="CR245" s="265"/>
      <c r="CS245" s="265"/>
      <c r="CT245" s="265"/>
      <c r="CU245" s="265"/>
      <c r="CV245" s="230"/>
      <c r="CW245" s="266"/>
      <c r="CX245" s="268"/>
      <c r="CY245" s="265"/>
      <c r="CZ245" s="265"/>
      <c r="DA245" s="265"/>
      <c r="DB245" s="265"/>
      <c r="DC245" s="265"/>
      <c r="DD245" s="265"/>
      <c r="DE245" s="265"/>
      <c r="DF245" s="265"/>
      <c r="DG245" s="265"/>
      <c r="DH245" s="265"/>
      <c r="DI245" s="265"/>
      <c r="DJ245" s="230"/>
      <c r="DK245" s="266"/>
      <c r="DL245" s="268"/>
      <c r="DM245" s="265"/>
      <c r="DN245" s="265"/>
      <c r="DO245" s="265"/>
      <c r="DP245" s="265"/>
      <c r="DQ245" s="265"/>
      <c r="DR245" s="265"/>
      <c r="DS245" s="265"/>
      <c r="DT245" s="265"/>
      <c r="DU245" s="265"/>
      <c r="DV245" s="265"/>
      <c r="DW245" s="265"/>
      <c r="DX245" s="230"/>
      <c r="DY245" s="266"/>
      <c r="DZ245" s="268"/>
      <c r="EA245" s="265"/>
      <c r="EB245" s="265"/>
      <c r="EC245" s="265"/>
      <c r="ED245" s="265"/>
      <c r="EE245" s="265"/>
      <c r="EF245" s="265"/>
      <c r="EG245" s="265"/>
      <c r="EH245" s="265"/>
      <c r="EI245" s="265"/>
      <c r="EJ245" s="265"/>
      <c r="EK245" s="265"/>
      <c r="EL245" s="230"/>
      <c r="EM245" s="266"/>
      <c r="EN245" s="268"/>
      <c r="EO245" s="265"/>
      <c r="EP245" s="265"/>
      <c r="EQ245" s="265"/>
      <c r="ER245" s="265"/>
      <c r="ES245" s="265"/>
      <c r="ET245" s="265"/>
      <c r="EU245" s="265"/>
      <c r="EV245" s="265"/>
      <c r="EW245" s="265"/>
      <c r="EX245" s="265"/>
      <c r="EY245" s="265"/>
      <c r="EZ245" s="230"/>
      <c r="FA245" s="266"/>
      <c r="FB245" s="268"/>
      <c r="FC245" s="265"/>
      <c r="FD245" s="265"/>
      <c r="FE245" s="265"/>
      <c r="FF245" s="265"/>
      <c r="FG245" s="265"/>
      <c r="FH245" s="265"/>
      <c r="FI245" s="265"/>
      <c r="FJ245" s="265"/>
      <c r="FK245" s="265"/>
      <c r="FL245" s="265"/>
      <c r="FM245" s="265"/>
      <c r="FN245" s="230"/>
      <c r="FO245" s="266"/>
      <c r="FP245" s="268"/>
      <c r="FQ245" s="265"/>
      <c r="FR245" s="265"/>
      <c r="FS245" s="265"/>
      <c r="FT245" s="265"/>
      <c r="FU245" s="265"/>
      <c r="FV245" s="265"/>
      <c r="FW245" s="265"/>
      <c r="FX245" s="265"/>
      <c r="FY245" s="265"/>
      <c r="FZ245" s="265"/>
      <c r="GA245" s="265"/>
      <c r="GB245" s="230"/>
      <c r="GC245" s="266"/>
      <c r="GD245" s="268"/>
      <c r="GE245" s="265"/>
      <c r="GF245" s="265"/>
      <c r="GG245" s="265"/>
      <c r="GH245" s="265"/>
      <c r="GI245" s="265"/>
      <c r="GJ245" s="265"/>
      <c r="GK245" s="265"/>
      <c r="GL245" s="265"/>
      <c r="GM245" s="265"/>
      <c r="GN245" s="265"/>
      <c r="GO245" s="265"/>
      <c r="GP245" s="230"/>
      <c r="GQ245" s="266"/>
      <c r="GR245" s="268"/>
      <c r="GS245" s="265"/>
      <c r="GT245" s="265"/>
      <c r="GU245" s="265"/>
      <c r="GV245" s="265"/>
      <c r="GW245" s="265"/>
      <c r="GX245" s="265"/>
      <c r="GY245" s="265"/>
      <c r="GZ245" s="265"/>
      <c r="HA245" s="265"/>
      <c r="HB245" s="265"/>
      <c r="HC245" s="265"/>
      <c r="HD245" s="230">
        <f t="shared" si="1048"/>
        <v>0</v>
      </c>
      <c r="HE245" s="266"/>
      <c r="HF245" s="268"/>
      <c r="HG245" s="265"/>
      <c r="HH245" s="265"/>
      <c r="HI245" s="265"/>
      <c r="HJ245" s="265"/>
      <c r="HK245" s="265"/>
      <c r="HL245" s="265"/>
      <c r="HM245" s="265"/>
      <c r="HN245" s="265"/>
      <c r="HO245" s="265"/>
      <c r="HP245" s="265"/>
      <c r="HQ245" s="265"/>
      <c r="HR245" s="230"/>
      <c r="HS245" s="266"/>
      <c r="HT245" s="268"/>
      <c r="HU245" s="265"/>
      <c r="HV245" s="265"/>
      <c r="HW245" s="265"/>
      <c r="HX245" s="265"/>
      <c r="HY245" s="265"/>
      <c r="HZ245" s="265"/>
      <c r="IA245" s="265"/>
      <c r="IB245" s="265"/>
      <c r="IC245" s="265"/>
      <c r="ID245" s="265"/>
      <c r="IE245" s="265"/>
      <c r="IF245" s="230"/>
      <c r="IG245" s="266"/>
      <c r="IH245" s="268"/>
      <c r="II245" s="265"/>
      <c r="IJ245" s="265"/>
      <c r="IK245" s="265"/>
      <c r="IL245" s="265"/>
      <c r="IM245" s="265"/>
      <c r="IN245" s="265"/>
      <c r="IO245" s="265"/>
      <c r="IP245" s="265"/>
      <c r="IQ245" s="265"/>
      <c r="IR245" s="265"/>
      <c r="IS245" s="265"/>
      <c r="IT245" s="230"/>
      <c r="IU245" s="266"/>
      <c r="IV245" s="268"/>
      <c r="IW245" s="265"/>
      <c r="IX245" s="265"/>
      <c r="IY245" s="265"/>
      <c r="IZ245" s="265"/>
      <c r="JA245" s="265"/>
      <c r="JB245" s="265"/>
      <c r="JC245" s="265"/>
      <c r="JD245" s="265"/>
      <c r="JE245" s="265"/>
      <c r="JF245" s="265"/>
      <c r="JG245" s="265"/>
      <c r="JH245" s="230"/>
      <c r="JI245" s="266"/>
      <c r="JJ245" s="268"/>
      <c r="JK245" s="265"/>
      <c r="JL245" s="265"/>
      <c r="JM245" s="265"/>
      <c r="JN245" s="265"/>
      <c r="JO245" s="265"/>
      <c r="JP245" s="265"/>
      <c r="JQ245" s="265"/>
      <c r="JR245" s="265"/>
      <c r="JS245" s="265"/>
      <c r="JT245" s="265"/>
      <c r="JU245" s="265"/>
      <c r="JV245" s="230"/>
      <c r="JW245" s="266"/>
      <c r="JX245" s="268"/>
      <c r="JY245" s="265"/>
      <c r="JZ245" s="265"/>
      <c r="KA245" s="265"/>
      <c r="KB245" s="265"/>
      <c r="KC245" s="265"/>
      <c r="KD245" s="265"/>
      <c r="KE245" s="265"/>
      <c r="KF245" s="265"/>
      <c r="KG245" s="265"/>
      <c r="KH245" s="265"/>
      <c r="KI245" s="265"/>
      <c r="KJ245" s="230"/>
      <c r="KK245" s="266"/>
      <c r="KL245" s="268"/>
      <c r="KM245" s="265"/>
      <c r="KN245" s="265"/>
      <c r="KO245" s="265"/>
      <c r="KP245" s="265"/>
      <c r="KQ245" s="265"/>
      <c r="KR245" s="265"/>
      <c r="KS245" s="265"/>
      <c r="KT245" s="265"/>
      <c r="KU245" s="265"/>
      <c r="KV245" s="265"/>
      <c r="KW245" s="265"/>
      <c r="KX245" s="230"/>
      <c r="KY245" s="266"/>
      <c r="KZ245" s="268"/>
      <c r="LA245" s="265"/>
      <c r="LB245" s="265"/>
      <c r="LC245" s="265"/>
      <c r="LD245" s="265"/>
      <c r="LE245" s="265"/>
      <c r="LF245" s="265"/>
      <c r="LG245" s="265"/>
      <c r="LH245" s="265"/>
      <c r="LI245" s="265"/>
      <c r="LJ245" s="265"/>
      <c r="LK245" s="265"/>
      <c r="LL245" s="230"/>
      <c r="LM245" s="266"/>
      <c r="LN245" s="268"/>
      <c r="LO245" s="265"/>
      <c r="LP245" s="265"/>
      <c r="LQ245" s="265"/>
      <c r="LR245" s="265"/>
      <c r="LS245" s="265"/>
      <c r="LT245" s="265"/>
      <c r="LU245" s="265"/>
      <c r="LV245" s="265"/>
      <c r="LW245" s="265"/>
      <c r="LX245" s="265"/>
      <c r="LY245" s="265"/>
      <c r="LZ245" s="230"/>
      <c r="MA245" s="266"/>
      <c r="MB245" s="230"/>
      <c r="MC245" s="230"/>
      <c r="MD245" s="230"/>
      <c r="ME245" s="230"/>
      <c r="MF245" s="230"/>
      <c r="MG245" s="230"/>
      <c r="MH245" s="230"/>
      <c r="MI245" s="230"/>
      <c r="MJ245" s="230"/>
      <c r="MK245" s="230"/>
      <c r="ML245" s="230"/>
      <c r="MM245" s="230"/>
      <c r="MN245" s="230"/>
    </row>
    <row r="246" spans="1:352" x14ac:dyDescent="0.25">
      <c r="A246" s="262"/>
      <c r="B246" s="215" t="s">
        <v>220</v>
      </c>
      <c r="C246" s="98"/>
      <c r="D246" s="263">
        <f t="shared" ref="D246:O246" si="1128">+D103/$D$144</f>
        <v>342.82460998380918</v>
      </c>
      <c r="E246" s="263">
        <f t="shared" si="1128"/>
        <v>342.82460998380918</v>
      </c>
      <c r="F246" s="263">
        <f t="shared" si="1128"/>
        <v>342.82460998380918</v>
      </c>
      <c r="G246" s="263">
        <f t="shared" si="1128"/>
        <v>342.82460998380918</v>
      </c>
      <c r="H246" s="263">
        <f t="shared" si="1128"/>
        <v>342.82460998380918</v>
      </c>
      <c r="I246" s="263">
        <f t="shared" si="1128"/>
        <v>342.82460998380918</v>
      </c>
      <c r="J246" s="263">
        <f t="shared" si="1128"/>
        <v>342.82460998380918</v>
      </c>
      <c r="K246" s="263">
        <f t="shared" si="1128"/>
        <v>342.82460998380918</v>
      </c>
      <c r="L246" s="263">
        <f t="shared" si="1128"/>
        <v>342.82460998380918</v>
      </c>
      <c r="M246" s="263">
        <f t="shared" si="1128"/>
        <v>342.82460998380918</v>
      </c>
      <c r="N246" s="263">
        <f t="shared" si="1128"/>
        <v>342.82460998380918</v>
      </c>
      <c r="O246" s="263">
        <f t="shared" si="1128"/>
        <v>342.82460998380918</v>
      </c>
      <c r="P246" s="223">
        <f>+SUBTOTAL(9,D246:O246)</f>
        <v>4113.8953198057106</v>
      </c>
      <c r="Q246" s="284"/>
      <c r="R246" s="263">
        <v>2976.1904761904761</v>
      </c>
      <c r="S246" s="273">
        <v>2976.1904761904761</v>
      </c>
      <c r="T246" s="273">
        <v>2976.1904761904761</v>
      </c>
      <c r="U246" s="273">
        <v>2976.1904761904761</v>
      </c>
      <c r="V246" s="273">
        <v>2976.1904761904761</v>
      </c>
      <c r="W246" s="273">
        <v>2976.1904761904761</v>
      </c>
      <c r="X246" s="273">
        <v>2976.1904761904761</v>
      </c>
      <c r="Y246" s="273">
        <v>2976.1904761904761</v>
      </c>
      <c r="Z246" s="273">
        <v>2976.1904761904761</v>
      </c>
      <c r="AA246" s="273">
        <v>2976.1904761904761</v>
      </c>
      <c r="AB246" s="273">
        <v>2976.1904761904761</v>
      </c>
      <c r="AC246" s="273">
        <v>2976.1904761904761</v>
      </c>
      <c r="AD246" s="223">
        <f>+SUBTOTAL(9,R246:AC246)</f>
        <v>35714.285714285717</v>
      </c>
      <c r="AE246" s="284"/>
      <c r="AF246" s="263">
        <v>2976.1904761904761</v>
      </c>
      <c r="AG246" s="273">
        <v>2976.1904761904761</v>
      </c>
      <c r="AH246" s="273">
        <v>2976.1904761904761</v>
      </c>
      <c r="AI246" s="273">
        <v>2976.1904761904761</v>
      </c>
      <c r="AJ246" s="273">
        <v>2976.1904761904761</v>
      </c>
      <c r="AK246" s="273">
        <v>2976.1904761904761</v>
      </c>
      <c r="AL246" s="273">
        <v>2976.1904761904761</v>
      </c>
      <c r="AM246" s="273">
        <v>2976.1904761904761</v>
      </c>
      <c r="AN246" s="273">
        <v>2976.1904761904761</v>
      </c>
      <c r="AO246" s="273">
        <v>2976.1904761904761</v>
      </c>
      <c r="AP246" s="273">
        <v>2976.1904761904761</v>
      </c>
      <c r="AQ246" s="273">
        <v>2976.1904761904761</v>
      </c>
      <c r="AR246" s="223">
        <f>+SUBTOTAL(9,AF246:AQ246)</f>
        <v>35714.285714285717</v>
      </c>
      <c r="AS246" s="266"/>
      <c r="AT246" s="263">
        <v>1984.1269841269841</v>
      </c>
      <c r="AU246" s="273">
        <v>1984.1269841269841</v>
      </c>
      <c r="AV246" s="273">
        <v>1984.1269841269841</v>
      </c>
      <c r="AW246" s="273">
        <v>1984.1269841269841</v>
      </c>
      <c r="AX246" s="273">
        <v>1984.1269841269841</v>
      </c>
      <c r="AY246" s="273">
        <v>1984.1269841269841</v>
      </c>
      <c r="AZ246" s="273">
        <v>1984.1269841269841</v>
      </c>
      <c r="BA246" s="273">
        <v>1984.1269841269841</v>
      </c>
      <c r="BB246" s="273">
        <v>1984.1269841269841</v>
      </c>
      <c r="BC246" s="273">
        <v>1984.1269841269841</v>
      </c>
      <c r="BD246" s="273">
        <v>1984.1269841269841</v>
      </c>
      <c r="BE246" s="273">
        <v>1984.1269841269841</v>
      </c>
      <c r="BF246" s="223">
        <f>+SUBTOTAL(9,AT246:BE246)</f>
        <v>23809.523809523802</v>
      </c>
      <c r="BG246" s="224"/>
      <c r="BH246" s="263">
        <v>14880.952380952382</v>
      </c>
      <c r="BI246" s="264">
        <v>14880.952380952382</v>
      </c>
      <c r="BJ246" s="265">
        <v>14880.952380952382</v>
      </c>
      <c r="BK246" s="265">
        <v>14880.952380952382</v>
      </c>
      <c r="BL246" s="265">
        <v>14880.952380952382</v>
      </c>
      <c r="BM246" s="265">
        <v>14880.952380952382</v>
      </c>
      <c r="BN246" s="265">
        <v>14880.952380952382</v>
      </c>
      <c r="BO246" s="265">
        <v>14880.952380952382</v>
      </c>
      <c r="BP246" s="265">
        <v>14880.952380952382</v>
      </c>
      <c r="BQ246" s="265">
        <v>14880.952380952382</v>
      </c>
      <c r="BR246" s="265">
        <v>14880.952380952382</v>
      </c>
      <c r="BS246" s="265">
        <v>14880.952380952382</v>
      </c>
      <c r="BT246" s="223">
        <f>+SUBTOTAL(9,BH246:BS246)</f>
        <v>178571.42857142852</v>
      </c>
      <c r="BU246" s="266"/>
      <c r="BV246" s="263">
        <v>992.06349206349205</v>
      </c>
      <c r="BW246" s="264">
        <v>992.06349206349205</v>
      </c>
      <c r="BX246" s="265">
        <v>992.06349206349205</v>
      </c>
      <c r="BY246" s="265">
        <v>992.06349206349205</v>
      </c>
      <c r="BZ246" s="265">
        <v>992.06349206349205</v>
      </c>
      <c r="CA246" s="265">
        <v>992.06349206349205</v>
      </c>
      <c r="CB246" s="265">
        <v>992.06349206349205</v>
      </c>
      <c r="CC246" s="265">
        <v>992.06349206349205</v>
      </c>
      <c r="CD246" s="265">
        <v>992.06349206349205</v>
      </c>
      <c r="CE246" s="265">
        <v>992.06349206349205</v>
      </c>
      <c r="CF246" s="265">
        <v>992.06349206349205</v>
      </c>
      <c r="CG246" s="265">
        <v>992.06349206349205</v>
      </c>
      <c r="CH246" s="223">
        <f>+SUBTOTAL(9,BV246:CG246)</f>
        <v>11904.761904761901</v>
      </c>
      <c r="CI246" s="284"/>
      <c r="CJ246" s="263">
        <v>10912.698412698413</v>
      </c>
      <c r="CK246" s="264">
        <v>10912.698412698413</v>
      </c>
      <c r="CL246" s="265">
        <v>10912.698412698413</v>
      </c>
      <c r="CM246" s="265">
        <v>10912.698412698413</v>
      </c>
      <c r="CN246" s="265">
        <v>10912.698412698413</v>
      </c>
      <c r="CO246" s="265">
        <v>10912.698412698413</v>
      </c>
      <c r="CP246" s="265">
        <v>10912.698412698413</v>
      </c>
      <c r="CQ246" s="265">
        <v>10912.698412698413</v>
      </c>
      <c r="CR246" s="265">
        <v>10912.698412698413</v>
      </c>
      <c r="CS246" s="265">
        <v>10912.698412698413</v>
      </c>
      <c r="CT246" s="265">
        <v>10912.698412698413</v>
      </c>
      <c r="CU246" s="265">
        <v>10912.698412698413</v>
      </c>
      <c r="CV246" s="223">
        <f>+SUBTOTAL(9,CJ246:CU246)</f>
        <v>130952.38095238099</v>
      </c>
      <c r="CW246" s="284"/>
      <c r="CX246" s="263">
        <v>27777.777777777777</v>
      </c>
      <c r="CY246" s="264">
        <v>27777.777777777777</v>
      </c>
      <c r="CZ246" s="265">
        <v>27777.777777777777</v>
      </c>
      <c r="DA246" s="265">
        <v>27777.777777777777</v>
      </c>
      <c r="DB246" s="265">
        <v>27777.777777777777</v>
      </c>
      <c r="DC246" s="265">
        <v>27777.777777777777</v>
      </c>
      <c r="DD246" s="265">
        <v>27777.777777777777</v>
      </c>
      <c r="DE246" s="265">
        <v>27777.777777777777</v>
      </c>
      <c r="DF246" s="265">
        <v>27777.777777777777</v>
      </c>
      <c r="DG246" s="265">
        <v>27777.777777777777</v>
      </c>
      <c r="DH246" s="265">
        <v>27777.777777777777</v>
      </c>
      <c r="DI246" s="265">
        <v>27777.777777777777</v>
      </c>
      <c r="DJ246" s="223">
        <f>+SUBTOTAL(9,CX246:DI246)</f>
        <v>333333.33333333326</v>
      </c>
      <c r="DK246" s="284"/>
      <c r="DL246" s="263">
        <v>27777.777777777777</v>
      </c>
      <c r="DM246" s="264">
        <v>27777.777777777777</v>
      </c>
      <c r="DN246" s="265">
        <v>27777.777777777777</v>
      </c>
      <c r="DO246" s="265">
        <v>27777.777777777777</v>
      </c>
      <c r="DP246" s="265">
        <v>27777.777777777777</v>
      </c>
      <c r="DQ246" s="265">
        <v>27777.777777777777</v>
      </c>
      <c r="DR246" s="265">
        <v>27777.777777777777</v>
      </c>
      <c r="DS246" s="265">
        <v>27777.777777777777</v>
      </c>
      <c r="DT246" s="265">
        <v>27777.777777777777</v>
      </c>
      <c r="DU246" s="265">
        <v>27777.777777777777</v>
      </c>
      <c r="DV246" s="265">
        <v>27777.777777777777</v>
      </c>
      <c r="DW246" s="265">
        <v>27777.777777777777</v>
      </c>
      <c r="DX246" s="223">
        <f>+SUBTOTAL(9,DL246:DW246)</f>
        <v>333333.33333333326</v>
      </c>
      <c r="DY246" s="284"/>
      <c r="DZ246" s="263">
        <v>992.06349206349205</v>
      </c>
      <c r="EA246" s="264">
        <v>992.06349206349205</v>
      </c>
      <c r="EB246" s="265">
        <v>992.06349206349205</v>
      </c>
      <c r="EC246" s="265">
        <v>992.06349206349205</v>
      </c>
      <c r="ED246" s="265">
        <v>992.06349206349205</v>
      </c>
      <c r="EE246" s="265">
        <v>992.06349206349205</v>
      </c>
      <c r="EF246" s="265">
        <v>992.06349206349205</v>
      </c>
      <c r="EG246" s="265">
        <v>992.06349206349205</v>
      </c>
      <c r="EH246" s="265">
        <v>992.06349206349205</v>
      </c>
      <c r="EI246" s="265">
        <v>992.06349206349205</v>
      </c>
      <c r="EJ246" s="265">
        <v>992.06349206349205</v>
      </c>
      <c r="EK246" s="265">
        <v>992.06349206349205</v>
      </c>
      <c r="EL246" s="223">
        <f>+SUBTOTAL(9,DZ246:EK246)</f>
        <v>11904.761904761901</v>
      </c>
      <c r="EM246" s="284"/>
      <c r="EN246" s="263">
        <v>1984.1269841269841</v>
      </c>
      <c r="EO246" s="264">
        <v>1984.1269841269841</v>
      </c>
      <c r="EP246" s="265">
        <v>1984.1269841269841</v>
      </c>
      <c r="EQ246" s="265">
        <v>1984.1269841269841</v>
      </c>
      <c r="ER246" s="265">
        <v>1984.1269841269841</v>
      </c>
      <c r="ES246" s="265">
        <v>1984.1269841269841</v>
      </c>
      <c r="ET246" s="265">
        <v>1984.1269841269841</v>
      </c>
      <c r="EU246" s="265">
        <v>1984.1269841269841</v>
      </c>
      <c r="EV246" s="265">
        <v>1984.1269841269841</v>
      </c>
      <c r="EW246" s="265">
        <v>1984.1269841269841</v>
      </c>
      <c r="EX246" s="265">
        <v>1984.1269841269841</v>
      </c>
      <c r="EY246" s="265">
        <v>1984.1269841269841</v>
      </c>
      <c r="EZ246" s="223">
        <f>+SUBTOTAL(9,EN246:EY246)</f>
        <v>23809.523809523802</v>
      </c>
      <c r="FA246" s="284"/>
      <c r="FB246" s="263">
        <v>992.06349206349205</v>
      </c>
      <c r="FC246" s="264">
        <v>992.06349206349205</v>
      </c>
      <c r="FD246" s="265">
        <v>992.06349206349205</v>
      </c>
      <c r="FE246" s="265">
        <v>992.06349206349205</v>
      </c>
      <c r="FF246" s="265">
        <v>992.06349206349205</v>
      </c>
      <c r="FG246" s="265">
        <v>992.06349206349205</v>
      </c>
      <c r="FH246" s="265">
        <v>992.06349206349205</v>
      </c>
      <c r="FI246" s="265">
        <v>992.06349206349205</v>
      </c>
      <c r="FJ246" s="265">
        <v>992.06349206349205</v>
      </c>
      <c r="FK246" s="265">
        <v>992.06349206349205</v>
      </c>
      <c r="FL246" s="265">
        <v>992.06349206349205</v>
      </c>
      <c r="FM246" s="265">
        <v>992.06349206349205</v>
      </c>
      <c r="FN246" s="223">
        <f>+SUBTOTAL(9,FB246:FM246)</f>
        <v>11904.761904761901</v>
      </c>
      <c r="FO246" s="284"/>
      <c r="FP246" s="263">
        <v>6944.4444444444443</v>
      </c>
      <c r="FQ246" s="264">
        <v>6944.4444444444443</v>
      </c>
      <c r="FR246" s="265">
        <v>6944.4444444444443</v>
      </c>
      <c r="FS246" s="265">
        <v>6944.4444444444443</v>
      </c>
      <c r="FT246" s="265">
        <v>6944.4444444444443</v>
      </c>
      <c r="FU246" s="265">
        <v>6944.4444444444443</v>
      </c>
      <c r="FV246" s="265">
        <v>6944.4444444444443</v>
      </c>
      <c r="FW246" s="265">
        <v>6944.4444444444443</v>
      </c>
      <c r="FX246" s="265">
        <v>6944.4444444444443</v>
      </c>
      <c r="FY246" s="265">
        <v>6944.4444444444443</v>
      </c>
      <c r="FZ246" s="265">
        <v>6944.4444444444443</v>
      </c>
      <c r="GA246" s="265">
        <v>6944.4444444444443</v>
      </c>
      <c r="GB246" s="223">
        <f>+SUBTOTAL(9,FP246:GA246)</f>
        <v>83333.333333333314</v>
      </c>
      <c r="GC246" s="284"/>
      <c r="GD246" s="263">
        <v>992.06349206349205</v>
      </c>
      <c r="GE246" s="264">
        <v>992.06349206349205</v>
      </c>
      <c r="GF246" s="265">
        <v>992.06349206349205</v>
      </c>
      <c r="GG246" s="265">
        <v>992.06349206349205</v>
      </c>
      <c r="GH246" s="265">
        <v>992.06349206349205</v>
      </c>
      <c r="GI246" s="265">
        <v>992.06349206349205</v>
      </c>
      <c r="GJ246" s="265">
        <v>992.06349206349205</v>
      </c>
      <c r="GK246" s="265">
        <v>992.06349206349205</v>
      </c>
      <c r="GL246" s="265">
        <v>992.06349206349205</v>
      </c>
      <c r="GM246" s="265">
        <v>992.06349206349205</v>
      </c>
      <c r="GN246" s="265">
        <v>992.06349206349205</v>
      </c>
      <c r="GO246" s="265">
        <v>992.06349206349205</v>
      </c>
      <c r="GP246" s="223">
        <f>+SUBTOTAL(9,GD246:GO246)</f>
        <v>11904.761904761901</v>
      </c>
      <c r="GQ246" s="284"/>
      <c r="GR246" s="263">
        <v>0</v>
      </c>
      <c r="GS246" s="264">
        <v>0</v>
      </c>
      <c r="GT246" s="265">
        <v>0</v>
      </c>
      <c r="GU246" s="265">
        <v>0</v>
      </c>
      <c r="GV246" s="265">
        <v>0</v>
      </c>
      <c r="GW246" s="265">
        <v>0</v>
      </c>
      <c r="GX246" s="265">
        <v>0</v>
      </c>
      <c r="GY246" s="265">
        <v>0</v>
      </c>
      <c r="GZ246" s="265">
        <v>0</v>
      </c>
      <c r="HA246" s="265">
        <v>0</v>
      </c>
      <c r="HB246" s="265">
        <v>0</v>
      </c>
      <c r="HC246" s="265">
        <v>0</v>
      </c>
      <c r="HD246" s="223">
        <f t="shared" si="1048"/>
        <v>0</v>
      </c>
      <c r="HE246" s="284"/>
      <c r="HF246" s="263">
        <v>3968.2539682539682</v>
      </c>
      <c r="HG246" s="264">
        <v>3968.2539682539682</v>
      </c>
      <c r="HH246" s="265">
        <v>3968.2539682539682</v>
      </c>
      <c r="HI246" s="265">
        <v>3968.2539682539682</v>
      </c>
      <c r="HJ246" s="265">
        <v>3968.2539682539682</v>
      </c>
      <c r="HK246" s="265">
        <v>3968.2539682539682</v>
      </c>
      <c r="HL246" s="265">
        <v>3968.2539682539682</v>
      </c>
      <c r="HM246" s="265">
        <v>3968.2539682539682</v>
      </c>
      <c r="HN246" s="265">
        <v>3968.2539682539682</v>
      </c>
      <c r="HO246" s="265">
        <v>3968.2539682539682</v>
      </c>
      <c r="HP246" s="265">
        <v>3968.2539682539682</v>
      </c>
      <c r="HQ246" s="265">
        <v>3968.2539682539682</v>
      </c>
      <c r="HR246" s="223">
        <f>+SUBTOTAL(9,HF246:HQ246)</f>
        <v>47619.047619047604</v>
      </c>
      <c r="HS246" s="284"/>
      <c r="HT246" s="263">
        <v>992.06349206349205</v>
      </c>
      <c r="HU246" s="264">
        <v>992.06349206349205</v>
      </c>
      <c r="HV246" s="265">
        <v>992.06349206349205</v>
      </c>
      <c r="HW246" s="265">
        <v>992.06349206349205</v>
      </c>
      <c r="HX246" s="265">
        <v>992.06349206349205</v>
      </c>
      <c r="HY246" s="265">
        <v>992.06349206349205</v>
      </c>
      <c r="HZ246" s="265">
        <v>992.06349206349205</v>
      </c>
      <c r="IA246" s="265">
        <v>992.06349206349205</v>
      </c>
      <c r="IB246" s="265">
        <v>992.06349206349205</v>
      </c>
      <c r="IC246" s="265">
        <v>992.06349206349205</v>
      </c>
      <c r="ID246" s="265">
        <v>992.06349206349205</v>
      </c>
      <c r="IE246" s="265">
        <v>992.06349206349205</v>
      </c>
      <c r="IF246" s="223">
        <f>+SUBTOTAL(9,HT246:IE246)</f>
        <v>11904.761904761901</v>
      </c>
      <c r="IG246" s="284"/>
      <c r="IH246" s="263">
        <v>992.06349206349205</v>
      </c>
      <c r="II246" s="264">
        <v>992.06349206349205</v>
      </c>
      <c r="IJ246" s="265">
        <v>992.06349206349205</v>
      </c>
      <c r="IK246" s="265">
        <v>992.06349206349205</v>
      </c>
      <c r="IL246" s="265">
        <v>992.06349206349205</v>
      </c>
      <c r="IM246" s="265">
        <v>992.06349206349205</v>
      </c>
      <c r="IN246" s="265">
        <v>992.06349206349205</v>
      </c>
      <c r="IO246" s="265">
        <v>992.06349206349205</v>
      </c>
      <c r="IP246" s="265">
        <v>992.06349206349205</v>
      </c>
      <c r="IQ246" s="265">
        <v>992.06349206349205</v>
      </c>
      <c r="IR246" s="265">
        <v>992.06349206349205</v>
      </c>
      <c r="IS246" s="265">
        <v>992.06349206349205</v>
      </c>
      <c r="IT246" s="223">
        <f>+SUBTOTAL(9,IH246:IS246)</f>
        <v>11904.761904761901</v>
      </c>
      <c r="IU246" s="284"/>
      <c r="IV246" s="263">
        <v>6944.4444444444443</v>
      </c>
      <c r="IW246" s="264">
        <v>6944.4444444444443</v>
      </c>
      <c r="IX246" s="265">
        <v>6944.4444444444443</v>
      </c>
      <c r="IY246" s="265">
        <v>6944.4444444444443</v>
      </c>
      <c r="IZ246" s="265">
        <v>6944.4444444444443</v>
      </c>
      <c r="JA246" s="265">
        <v>6944.4444444444443</v>
      </c>
      <c r="JB246" s="265">
        <v>6944.4444444444443</v>
      </c>
      <c r="JC246" s="265">
        <v>6944.4444444444443</v>
      </c>
      <c r="JD246" s="265">
        <v>6944.4444444444443</v>
      </c>
      <c r="JE246" s="265">
        <v>6944.4444444444443</v>
      </c>
      <c r="JF246" s="265">
        <v>6944.4444444444443</v>
      </c>
      <c r="JG246" s="265">
        <v>6944.4444444444443</v>
      </c>
      <c r="JH246" s="223">
        <f>+SUBTOTAL(9,IV246:JG246)</f>
        <v>83333.333333333314</v>
      </c>
      <c r="JI246" s="284"/>
      <c r="JJ246" s="263">
        <v>10912.698412698413</v>
      </c>
      <c r="JK246" s="264">
        <v>10912.698412698413</v>
      </c>
      <c r="JL246" s="265">
        <v>10912.698412698413</v>
      </c>
      <c r="JM246" s="265">
        <v>10912.698412698413</v>
      </c>
      <c r="JN246" s="265">
        <v>10912.698412698413</v>
      </c>
      <c r="JO246" s="265">
        <v>10912.698412698413</v>
      </c>
      <c r="JP246" s="265">
        <v>10912.698412698413</v>
      </c>
      <c r="JQ246" s="265">
        <v>10912.698412698413</v>
      </c>
      <c r="JR246" s="265">
        <v>10912.698412698413</v>
      </c>
      <c r="JS246" s="265">
        <v>10912.698412698413</v>
      </c>
      <c r="JT246" s="265">
        <v>10912.698412698413</v>
      </c>
      <c r="JU246" s="265">
        <v>10912.698412698413</v>
      </c>
      <c r="JV246" s="223">
        <f>+SUBTOTAL(9,JJ246:JU246)</f>
        <v>130952.38095238099</v>
      </c>
      <c r="JW246" s="284"/>
      <c r="JX246" s="263">
        <v>4960.3174603174602</v>
      </c>
      <c r="JY246" s="264">
        <v>4960.3174603174602</v>
      </c>
      <c r="JZ246" s="265">
        <v>4960.3174603174602</v>
      </c>
      <c r="KA246" s="265">
        <v>4960.3174603174602</v>
      </c>
      <c r="KB246" s="265">
        <v>4960.3174603174602</v>
      </c>
      <c r="KC246" s="265">
        <v>4960.3174603174602</v>
      </c>
      <c r="KD246" s="265">
        <v>4960.3174603174602</v>
      </c>
      <c r="KE246" s="265">
        <v>4960.3174603174602</v>
      </c>
      <c r="KF246" s="265">
        <v>4960.3174603174602</v>
      </c>
      <c r="KG246" s="265">
        <v>4960.3174603174602</v>
      </c>
      <c r="KH246" s="265">
        <v>4960.3174603174602</v>
      </c>
      <c r="KI246" s="265">
        <v>4960.3174603174602</v>
      </c>
      <c r="KJ246" s="223">
        <f>+SUBTOTAL(9,JX246:KI246)</f>
        <v>59523.809523809534</v>
      </c>
      <c r="KK246" s="284"/>
      <c r="KL246" s="263">
        <v>1984.1269841269841</v>
      </c>
      <c r="KM246" s="264">
        <v>1984.1269841269841</v>
      </c>
      <c r="KN246" s="265">
        <v>1984.1269841269841</v>
      </c>
      <c r="KO246" s="265">
        <v>1984.1269841269841</v>
      </c>
      <c r="KP246" s="265">
        <v>1984.1269841269841</v>
      </c>
      <c r="KQ246" s="265">
        <v>1984.1269841269841</v>
      </c>
      <c r="KR246" s="265">
        <v>1984.1269841269841</v>
      </c>
      <c r="KS246" s="265">
        <v>1984.1269841269841</v>
      </c>
      <c r="KT246" s="265">
        <v>1984.1269841269841</v>
      </c>
      <c r="KU246" s="265">
        <v>1984.1269841269841</v>
      </c>
      <c r="KV246" s="265">
        <v>1984.1269841269841</v>
      </c>
      <c r="KW246" s="265">
        <v>1984.1269841269841</v>
      </c>
      <c r="KX246" s="223">
        <f>+SUBTOTAL(9,KL246:KW246)</f>
        <v>23809.523809523802</v>
      </c>
      <c r="KY246" s="284"/>
      <c r="KZ246" s="263">
        <v>992.06349206349205</v>
      </c>
      <c r="LA246" s="264">
        <v>992.06349206349205</v>
      </c>
      <c r="LB246" s="265">
        <v>992.06349206349205</v>
      </c>
      <c r="LC246" s="265">
        <v>992.06349206349205</v>
      </c>
      <c r="LD246" s="265">
        <v>992.06349206349205</v>
      </c>
      <c r="LE246" s="265">
        <v>992.06349206349205</v>
      </c>
      <c r="LF246" s="265">
        <v>992.06349206349205</v>
      </c>
      <c r="LG246" s="265">
        <v>992.06349206349205</v>
      </c>
      <c r="LH246" s="265">
        <v>992.06349206349205</v>
      </c>
      <c r="LI246" s="265">
        <v>992.06349206349205</v>
      </c>
      <c r="LJ246" s="265">
        <v>992.06349206349205</v>
      </c>
      <c r="LK246" s="265">
        <v>992.06349206349205</v>
      </c>
      <c r="LL246" s="223">
        <f>+SUBTOTAL(9,KZ246:LK246)</f>
        <v>11904.761904761901</v>
      </c>
      <c r="LM246" s="284"/>
      <c r="LN246" s="263">
        <v>0</v>
      </c>
      <c r="LO246" s="264">
        <v>0</v>
      </c>
      <c r="LP246" s="265">
        <v>0</v>
      </c>
      <c r="LQ246" s="265">
        <v>0</v>
      </c>
      <c r="LR246" s="265">
        <v>0</v>
      </c>
      <c r="LS246" s="265">
        <v>0</v>
      </c>
      <c r="LT246" s="265">
        <v>0</v>
      </c>
      <c r="LU246" s="265">
        <v>0</v>
      </c>
      <c r="LV246" s="265">
        <v>0</v>
      </c>
      <c r="LW246" s="265">
        <v>0</v>
      </c>
      <c r="LX246" s="265">
        <v>0</v>
      </c>
      <c r="LY246" s="265">
        <v>0</v>
      </c>
      <c r="LZ246" s="223">
        <f>+SUBTOTAL(9,LN246:LY246)</f>
        <v>0</v>
      </c>
      <c r="MA246" s="284"/>
      <c r="MB246" s="230">
        <f t="shared" ref="MB246:MM246" si="1129">SUMIF($D$6:$LY$6,MB$3,$D246:$LY246)</f>
        <v>134271.39603855522</v>
      </c>
      <c r="MC246" s="230">
        <f t="shared" si="1129"/>
        <v>134271.39603855522</v>
      </c>
      <c r="MD246" s="230">
        <f t="shared" si="1129"/>
        <v>134271.39603855522</v>
      </c>
      <c r="ME246" s="230">
        <f t="shared" si="1129"/>
        <v>134271.39603855522</v>
      </c>
      <c r="MF246" s="230">
        <f t="shared" si="1129"/>
        <v>134271.39603855522</v>
      </c>
      <c r="MG246" s="230">
        <f t="shared" si="1129"/>
        <v>134271.39603855522</v>
      </c>
      <c r="MH246" s="230">
        <f t="shared" si="1129"/>
        <v>134271.39603855522</v>
      </c>
      <c r="MI246" s="230">
        <f t="shared" si="1129"/>
        <v>134271.39603855522</v>
      </c>
      <c r="MJ246" s="230">
        <f t="shared" si="1129"/>
        <v>134271.39603855522</v>
      </c>
      <c r="MK246" s="230">
        <f t="shared" si="1129"/>
        <v>134271.39603855522</v>
      </c>
      <c r="ML246" s="230">
        <f t="shared" si="1129"/>
        <v>134271.39603855522</v>
      </c>
      <c r="MM246" s="230">
        <f t="shared" si="1129"/>
        <v>134271.39603855522</v>
      </c>
      <c r="MN246" s="230">
        <f t="shared" ref="MN246" si="1130">SUM(MB246:MM246)</f>
        <v>1611256.752462663</v>
      </c>
    </row>
    <row r="247" spans="1:352" x14ac:dyDescent="0.25">
      <c r="A247" s="262"/>
      <c r="B247" s="181"/>
      <c r="C247" s="98"/>
      <c r="D247" s="268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30"/>
      <c r="Q247" s="266"/>
      <c r="R247" s="268"/>
      <c r="S247" s="265"/>
      <c r="T247" s="265"/>
      <c r="U247" s="265"/>
      <c r="V247" s="265"/>
      <c r="W247" s="265"/>
      <c r="X247" s="265"/>
      <c r="Y247" s="265"/>
      <c r="Z247" s="265"/>
      <c r="AA247" s="265"/>
      <c r="AB247" s="265"/>
      <c r="AC247" s="265"/>
      <c r="AD247" s="230"/>
      <c r="AE247" s="266"/>
      <c r="AF247" s="268"/>
      <c r="AG247" s="265"/>
      <c r="AH247" s="265"/>
      <c r="AI247" s="265"/>
      <c r="AJ247" s="265"/>
      <c r="AK247" s="265"/>
      <c r="AL247" s="265"/>
      <c r="AM247" s="265"/>
      <c r="AN247" s="265"/>
      <c r="AO247" s="265"/>
      <c r="AP247" s="265"/>
      <c r="AQ247" s="265"/>
      <c r="AR247" s="230"/>
      <c r="AS247" s="266"/>
      <c r="AT247" s="268"/>
      <c r="AU247" s="265"/>
      <c r="AV247" s="265"/>
      <c r="AW247" s="265"/>
      <c r="AX247" s="265"/>
      <c r="AY247" s="265"/>
      <c r="AZ247" s="265"/>
      <c r="BA247" s="265"/>
      <c r="BB247" s="265"/>
      <c r="BC247" s="265"/>
      <c r="BD247" s="265"/>
      <c r="BE247" s="265"/>
      <c r="BF247" s="230"/>
      <c r="BG247" s="224"/>
      <c r="BH247" s="268"/>
      <c r="BI247" s="265"/>
      <c r="BJ247" s="265"/>
      <c r="BK247" s="265"/>
      <c r="BL247" s="265"/>
      <c r="BM247" s="265"/>
      <c r="BN247" s="265"/>
      <c r="BO247" s="265"/>
      <c r="BP247" s="265"/>
      <c r="BQ247" s="265"/>
      <c r="BR247" s="265"/>
      <c r="BS247" s="265"/>
      <c r="BT247" s="230"/>
      <c r="BU247" s="266"/>
      <c r="BV247" s="268"/>
      <c r="BW247" s="265"/>
      <c r="BX247" s="265"/>
      <c r="BY247" s="265"/>
      <c r="BZ247" s="265"/>
      <c r="CA247" s="265"/>
      <c r="CB247" s="265"/>
      <c r="CC247" s="265"/>
      <c r="CD247" s="265"/>
      <c r="CE247" s="265"/>
      <c r="CF247" s="265"/>
      <c r="CG247" s="265"/>
      <c r="CH247" s="230"/>
      <c r="CI247" s="266"/>
      <c r="CJ247" s="268"/>
      <c r="CK247" s="265"/>
      <c r="CL247" s="265"/>
      <c r="CM247" s="265"/>
      <c r="CN247" s="265"/>
      <c r="CO247" s="265"/>
      <c r="CP247" s="265"/>
      <c r="CQ247" s="265"/>
      <c r="CR247" s="265"/>
      <c r="CS247" s="265"/>
      <c r="CT247" s="265"/>
      <c r="CU247" s="265"/>
      <c r="CV247" s="230"/>
      <c r="CW247" s="266"/>
      <c r="CX247" s="268"/>
      <c r="CY247" s="265"/>
      <c r="CZ247" s="265"/>
      <c r="DA247" s="265"/>
      <c r="DB247" s="265"/>
      <c r="DC247" s="265"/>
      <c r="DD247" s="265"/>
      <c r="DE247" s="265"/>
      <c r="DF247" s="265"/>
      <c r="DG247" s="265"/>
      <c r="DH247" s="265"/>
      <c r="DI247" s="265"/>
      <c r="DJ247" s="230"/>
      <c r="DK247" s="266"/>
      <c r="DL247" s="268"/>
      <c r="DM247" s="265"/>
      <c r="DN247" s="265"/>
      <c r="DO247" s="265"/>
      <c r="DP247" s="265"/>
      <c r="DQ247" s="265"/>
      <c r="DR247" s="265"/>
      <c r="DS247" s="265"/>
      <c r="DT247" s="265"/>
      <c r="DU247" s="265"/>
      <c r="DV247" s="265"/>
      <c r="DW247" s="265"/>
      <c r="DX247" s="230"/>
      <c r="DY247" s="266"/>
      <c r="DZ247" s="268"/>
      <c r="EA247" s="265"/>
      <c r="EB247" s="265"/>
      <c r="EC247" s="265"/>
      <c r="ED247" s="265"/>
      <c r="EE247" s="265"/>
      <c r="EF247" s="265"/>
      <c r="EG247" s="265"/>
      <c r="EH247" s="265"/>
      <c r="EI247" s="265"/>
      <c r="EJ247" s="265"/>
      <c r="EK247" s="265"/>
      <c r="EL247" s="230"/>
      <c r="EM247" s="266"/>
      <c r="EN247" s="268"/>
      <c r="EO247" s="265"/>
      <c r="EP247" s="265"/>
      <c r="EQ247" s="265"/>
      <c r="ER247" s="265"/>
      <c r="ES247" s="265"/>
      <c r="ET247" s="265"/>
      <c r="EU247" s="265"/>
      <c r="EV247" s="265"/>
      <c r="EW247" s="265"/>
      <c r="EX247" s="265"/>
      <c r="EY247" s="265"/>
      <c r="EZ247" s="230"/>
      <c r="FA247" s="266"/>
      <c r="FB247" s="268"/>
      <c r="FC247" s="265"/>
      <c r="FD247" s="265"/>
      <c r="FE247" s="265"/>
      <c r="FF247" s="265"/>
      <c r="FG247" s="265"/>
      <c r="FH247" s="265"/>
      <c r="FI247" s="265"/>
      <c r="FJ247" s="265"/>
      <c r="FK247" s="265"/>
      <c r="FL247" s="265"/>
      <c r="FM247" s="265"/>
      <c r="FN247" s="230"/>
      <c r="FO247" s="266"/>
      <c r="FP247" s="268"/>
      <c r="FQ247" s="265"/>
      <c r="FR247" s="265"/>
      <c r="FS247" s="265"/>
      <c r="FT247" s="265"/>
      <c r="FU247" s="265"/>
      <c r="FV247" s="265"/>
      <c r="FW247" s="265"/>
      <c r="FX247" s="265"/>
      <c r="FY247" s="265"/>
      <c r="FZ247" s="265"/>
      <c r="GA247" s="265"/>
      <c r="GB247" s="230"/>
      <c r="GC247" s="266"/>
      <c r="GD247" s="268"/>
      <c r="GE247" s="265"/>
      <c r="GF247" s="265"/>
      <c r="GG247" s="265"/>
      <c r="GH247" s="265"/>
      <c r="GI247" s="265"/>
      <c r="GJ247" s="265"/>
      <c r="GK247" s="265"/>
      <c r="GL247" s="265"/>
      <c r="GM247" s="265"/>
      <c r="GN247" s="265"/>
      <c r="GO247" s="265"/>
      <c r="GP247" s="230"/>
      <c r="GQ247" s="266"/>
      <c r="GR247" s="268"/>
      <c r="GS247" s="265"/>
      <c r="GT247" s="265"/>
      <c r="GU247" s="265"/>
      <c r="GV247" s="265"/>
      <c r="GW247" s="265"/>
      <c r="GX247" s="265"/>
      <c r="GY247" s="265"/>
      <c r="GZ247" s="265"/>
      <c r="HA247" s="265"/>
      <c r="HB247" s="265"/>
      <c r="HC247" s="265"/>
      <c r="HD247" s="230">
        <f t="shared" si="1048"/>
        <v>0</v>
      </c>
      <c r="HE247" s="266"/>
      <c r="HF247" s="268"/>
      <c r="HG247" s="265"/>
      <c r="HH247" s="265"/>
      <c r="HI247" s="265"/>
      <c r="HJ247" s="265"/>
      <c r="HK247" s="265"/>
      <c r="HL247" s="265"/>
      <c r="HM247" s="265"/>
      <c r="HN247" s="265"/>
      <c r="HO247" s="265"/>
      <c r="HP247" s="265"/>
      <c r="HQ247" s="265"/>
      <c r="HR247" s="230"/>
      <c r="HS247" s="266"/>
      <c r="HT247" s="268"/>
      <c r="HU247" s="265"/>
      <c r="HV247" s="265"/>
      <c r="HW247" s="265"/>
      <c r="HX247" s="265"/>
      <c r="HY247" s="265"/>
      <c r="HZ247" s="265"/>
      <c r="IA247" s="265"/>
      <c r="IB247" s="265"/>
      <c r="IC247" s="265"/>
      <c r="ID247" s="265"/>
      <c r="IE247" s="265"/>
      <c r="IF247" s="230"/>
      <c r="IG247" s="266"/>
      <c r="IH247" s="268"/>
      <c r="II247" s="265"/>
      <c r="IJ247" s="265"/>
      <c r="IK247" s="265"/>
      <c r="IL247" s="265"/>
      <c r="IM247" s="265"/>
      <c r="IN247" s="265"/>
      <c r="IO247" s="265"/>
      <c r="IP247" s="265"/>
      <c r="IQ247" s="265"/>
      <c r="IR247" s="265"/>
      <c r="IS247" s="265"/>
      <c r="IT247" s="230"/>
      <c r="IU247" s="266"/>
      <c r="IV247" s="268"/>
      <c r="IW247" s="265"/>
      <c r="IX247" s="265"/>
      <c r="IY247" s="265"/>
      <c r="IZ247" s="265"/>
      <c r="JA247" s="265"/>
      <c r="JB247" s="265"/>
      <c r="JC247" s="265"/>
      <c r="JD247" s="265"/>
      <c r="JE247" s="265"/>
      <c r="JF247" s="265"/>
      <c r="JG247" s="265"/>
      <c r="JH247" s="230"/>
      <c r="JI247" s="266"/>
      <c r="JJ247" s="268"/>
      <c r="JK247" s="265"/>
      <c r="JL247" s="265"/>
      <c r="JM247" s="265"/>
      <c r="JN247" s="265"/>
      <c r="JO247" s="265"/>
      <c r="JP247" s="265"/>
      <c r="JQ247" s="265"/>
      <c r="JR247" s="265"/>
      <c r="JS247" s="265"/>
      <c r="JT247" s="265"/>
      <c r="JU247" s="265"/>
      <c r="JV247" s="230"/>
      <c r="JW247" s="266"/>
      <c r="JX247" s="268"/>
      <c r="JY247" s="265"/>
      <c r="JZ247" s="265"/>
      <c r="KA247" s="265"/>
      <c r="KB247" s="265"/>
      <c r="KC247" s="265"/>
      <c r="KD247" s="265"/>
      <c r="KE247" s="265"/>
      <c r="KF247" s="265"/>
      <c r="KG247" s="265"/>
      <c r="KH247" s="265"/>
      <c r="KI247" s="265"/>
      <c r="KJ247" s="230"/>
      <c r="KK247" s="266"/>
      <c r="KL247" s="268"/>
      <c r="KM247" s="265"/>
      <c r="KN247" s="265"/>
      <c r="KO247" s="265"/>
      <c r="KP247" s="265"/>
      <c r="KQ247" s="265"/>
      <c r="KR247" s="265"/>
      <c r="KS247" s="265"/>
      <c r="KT247" s="265"/>
      <c r="KU247" s="265"/>
      <c r="KV247" s="265"/>
      <c r="KW247" s="265"/>
      <c r="KX247" s="230"/>
      <c r="KY247" s="266"/>
      <c r="KZ247" s="268"/>
      <c r="LA247" s="265"/>
      <c r="LB247" s="265"/>
      <c r="LC247" s="265"/>
      <c r="LD247" s="265"/>
      <c r="LE247" s="265"/>
      <c r="LF247" s="265"/>
      <c r="LG247" s="265"/>
      <c r="LH247" s="265"/>
      <c r="LI247" s="265"/>
      <c r="LJ247" s="265"/>
      <c r="LK247" s="265"/>
      <c r="LL247" s="230"/>
      <c r="LM247" s="266"/>
      <c r="LN247" s="268"/>
      <c r="LO247" s="265"/>
      <c r="LP247" s="265"/>
      <c r="LQ247" s="265"/>
      <c r="LR247" s="265"/>
      <c r="LS247" s="265"/>
      <c r="LT247" s="265"/>
      <c r="LU247" s="265"/>
      <c r="LV247" s="265"/>
      <c r="LW247" s="265"/>
      <c r="LX247" s="265"/>
      <c r="LY247" s="265"/>
      <c r="LZ247" s="230"/>
      <c r="MA247" s="266"/>
      <c r="MB247" s="230"/>
      <c r="MC247" s="230"/>
      <c r="MD247" s="230"/>
      <c r="ME247" s="230"/>
      <c r="MF247" s="230"/>
      <c r="MG247" s="230"/>
      <c r="MH247" s="230"/>
      <c r="MI247" s="230"/>
      <c r="MJ247" s="230"/>
      <c r="MK247" s="230"/>
      <c r="ML247" s="230"/>
      <c r="MM247" s="230"/>
      <c r="MN247" s="230"/>
    </row>
    <row r="248" spans="1:352" x14ac:dyDescent="0.3">
      <c r="A248" s="262"/>
      <c r="B248" s="214" t="s">
        <v>98</v>
      </c>
      <c r="C248" s="98"/>
      <c r="D248" s="268"/>
      <c r="E248" s="276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23"/>
      <c r="Q248" s="284"/>
      <c r="R248" s="268"/>
      <c r="S248" s="276"/>
      <c r="T248" s="273"/>
      <c r="U248" s="273"/>
      <c r="V248" s="273"/>
      <c r="W248" s="273"/>
      <c r="X248" s="273"/>
      <c r="Y248" s="273"/>
      <c r="Z248" s="273"/>
      <c r="AA248" s="273"/>
      <c r="AB248" s="273"/>
      <c r="AC248" s="273"/>
      <c r="AD248" s="223"/>
      <c r="AE248" s="284"/>
      <c r="AF248" s="268"/>
      <c r="AG248" s="276"/>
      <c r="AH248" s="273"/>
      <c r="AI248" s="273"/>
      <c r="AJ248" s="273"/>
      <c r="AK248" s="273"/>
      <c r="AL248" s="273"/>
      <c r="AM248" s="273"/>
      <c r="AN248" s="273"/>
      <c r="AO248" s="273"/>
      <c r="AP248" s="273"/>
      <c r="AQ248" s="273"/>
      <c r="AR248" s="223"/>
      <c r="AS248" s="266"/>
      <c r="AT248" s="268"/>
      <c r="AU248" s="276"/>
      <c r="AV248" s="273"/>
      <c r="AW248" s="273"/>
      <c r="AX248" s="273"/>
      <c r="AY248" s="273"/>
      <c r="AZ248" s="273"/>
      <c r="BA248" s="273"/>
      <c r="BB248" s="273"/>
      <c r="BC248" s="273"/>
      <c r="BD248" s="273"/>
      <c r="BE248" s="273"/>
      <c r="BF248" s="223"/>
      <c r="BG248" s="224"/>
      <c r="BH248" s="268"/>
      <c r="BI248" s="276"/>
      <c r="BJ248" s="273"/>
      <c r="BK248" s="273"/>
      <c r="BL248" s="273"/>
      <c r="BM248" s="273"/>
      <c r="BN248" s="273"/>
      <c r="BO248" s="273"/>
      <c r="BP248" s="273"/>
      <c r="BQ248" s="273"/>
      <c r="BR248" s="273"/>
      <c r="BS248" s="273"/>
      <c r="BT248" s="223"/>
      <c r="BU248" s="266"/>
      <c r="BV248" s="268"/>
      <c r="BW248" s="276"/>
      <c r="BX248" s="273"/>
      <c r="BY248" s="273"/>
      <c r="BZ248" s="273"/>
      <c r="CA248" s="273"/>
      <c r="CB248" s="273"/>
      <c r="CC248" s="273"/>
      <c r="CD248" s="273"/>
      <c r="CE248" s="273"/>
      <c r="CF248" s="273"/>
      <c r="CG248" s="273"/>
      <c r="CH248" s="223"/>
      <c r="CI248" s="284"/>
      <c r="CJ248" s="268"/>
      <c r="CK248" s="276"/>
      <c r="CL248" s="273"/>
      <c r="CM248" s="273"/>
      <c r="CN248" s="273"/>
      <c r="CO248" s="273"/>
      <c r="CP248" s="273"/>
      <c r="CQ248" s="273"/>
      <c r="CR248" s="273"/>
      <c r="CS248" s="273"/>
      <c r="CT248" s="273"/>
      <c r="CU248" s="273"/>
      <c r="CV248" s="223"/>
      <c r="CW248" s="284"/>
      <c r="CX248" s="268"/>
      <c r="CY248" s="276"/>
      <c r="CZ248" s="273"/>
      <c r="DA248" s="273"/>
      <c r="DB248" s="273"/>
      <c r="DC248" s="273"/>
      <c r="DD248" s="273"/>
      <c r="DE248" s="273"/>
      <c r="DF248" s="273"/>
      <c r="DG248" s="273"/>
      <c r="DH248" s="273"/>
      <c r="DI248" s="273"/>
      <c r="DJ248" s="223"/>
      <c r="DK248" s="284"/>
      <c r="DL248" s="268"/>
      <c r="DM248" s="276"/>
      <c r="DN248" s="273"/>
      <c r="DO248" s="273"/>
      <c r="DP248" s="273"/>
      <c r="DQ248" s="273"/>
      <c r="DR248" s="273"/>
      <c r="DS248" s="273"/>
      <c r="DT248" s="273"/>
      <c r="DU248" s="273"/>
      <c r="DV248" s="273"/>
      <c r="DW248" s="273"/>
      <c r="DX248" s="223"/>
      <c r="DY248" s="284"/>
      <c r="DZ248" s="268"/>
      <c r="EA248" s="276"/>
      <c r="EB248" s="273"/>
      <c r="EC248" s="273"/>
      <c r="ED248" s="273"/>
      <c r="EE248" s="273"/>
      <c r="EF248" s="273"/>
      <c r="EG248" s="273"/>
      <c r="EH248" s="273"/>
      <c r="EI248" s="273"/>
      <c r="EJ248" s="273"/>
      <c r="EK248" s="273"/>
      <c r="EL248" s="223"/>
      <c r="EM248" s="284"/>
      <c r="EN248" s="268"/>
      <c r="EO248" s="276"/>
      <c r="EP248" s="273"/>
      <c r="EQ248" s="273"/>
      <c r="ER248" s="273"/>
      <c r="ES248" s="273"/>
      <c r="ET248" s="273"/>
      <c r="EU248" s="273"/>
      <c r="EV248" s="273"/>
      <c r="EW248" s="273"/>
      <c r="EX248" s="273"/>
      <c r="EY248" s="273"/>
      <c r="EZ248" s="223"/>
      <c r="FA248" s="284"/>
      <c r="FB248" s="268"/>
      <c r="FC248" s="276"/>
      <c r="FD248" s="273"/>
      <c r="FE248" s="273"/>
      <c r="FF248" s="273"/>
      <c r="FG248" s="273"/>
      <c r="FH248" s="273"/>
      <c r="FI248" s="273"/>
      <c r="FJ248" s="273"/>
      <c r="FK248" s="273"/>
      <c r="FL248" s="273"/>
      <c r="FM248" s="273"/>
      <c r="FN248" s="223"/>
      <c r="FO248" s="284"/>
      <c r="FP248" s="268"/>
      <c r="FQ248" s="276"/>
      <c r="FR248" s="273"/>
      <c r="FS248" s="273"/>
      <c r="FT248" s="273"/>
      <c r="FU248" s="273"/>
      <c r="FV248" s="273"/>
      <c r="FW248" s="273"/>
      <c r="FX248" s="273"/>
      <c r="FY248" s="273"/>
      <c r="FZ248" s="273"/>
      <c r="GA248" s="273"/>
      <c r="GB248" s="223"/>
      <c r="GC248" s="284"/>
      <c r="GD248" s="268"/>
      <c r="GE248" s="276"/>
      <c r="GF248" s="273"/>
      <c r="GG248" s="273"/>
      <c r="GH248" s="273"/>
      <c r="GI248" s="273"/>
      <c r="GJ248" s="273"/>
      <c r="GK248" s="273"/>
      <c r="GL248" s="273"/>
      <c r="GM248" s="273"/>
      <c r="GN248" s="273"/>
      <c r="GO248" s="273"/>
      <c r="GP248" s="223"/>
      <c r="GQ248" s="284"/>
      <c r="GR248" s="268"/>
      <c r="GS248" s="276"/>
      <c r="GT248" s="273"/>
      <c r="GU248" s="273"/>
      <c r="GV248" s="273"/>
      <c r="GW248" s="273"/>
      <c r="GX248" s="273"/>
      <c r="GY248" s="273"/>
      <c r="GZ248" s="273"/>
      <c r="HA248" s="273"/>
      <c r="HB248" s="273"/>
      <c r="HC248" s="273"/>
      <c r="HD248" s="223">
        <f t="shared" si="1048"/>
        <v>0</v>
      </c>
      <c r="HE248" s="284"/>
      <c r="HF248" s="268"/>
      <c r="HG248" s="276"/>
      <c r="HH248" s="273"/>
      <c r="HI248" s="273"/>
      <c r="HJ248" s="273"/>
      <c r="HK248" s="273"/>
      <c r="HL248" s="273"/>
      <c r="HM248" s="273"/>
      <c r="HN248" s="273"/>
      <c r="HO248" s="273"/>
      <c r="HP248" s="273"/>
      <c r="HQ248" s="273"/>
      <c r="HR248" s="223"/>
      <c r="HS248" s="284"/>
      <c r="HT248" s="268"/>
      <c r="HU248" s="276"/>
      <c r="HV248" s="273"/>
      <c r="HW248" s="273"/>
      <c r="HX248" s="273"/>
      <c r="HY248" s="273"/>
      <c r="HZ248" s="273"/>
      <c r="IA248" s="273"/>
      <c r="IB248" s="273"/>
      <c r="IC248" s="273"/>
      <c r="ID248" s="273"/>
      <c r="IE248" s="273"/>
      <c r="IF248" s="223"/>
      <c r="IG248" s="284"/>
      <c r="IH248" s="268"/>
      <c r="II248" s="276"/>
      <c r="IJ248" s="273"/>
      <c r="IK248" s="273"/>
      <c r="IL248" s="273"/>
      <c r="IM248" s="273"/>
      <c r="IN248" s="273"/>
      <c r="IO248" s="273"/>
      <c r="IP248" s="273"/>
      <c r="IQ248" s="273"/>
      <c r="IR248" s="273"/>
      <c r="IS248" s="273"/>
      <c r="IT248" s="223"/>
      <c r="IU248" s="284"/>
      <c r="IV248" s="268"/>
      <c r="IW248" s="276"/>
      <c r="IX248" s="273"/>
      <c r="IY248" s="273"/>
      <c r="IZ248" s="273"/>
      <c r="JA248" s="273"/>
      <c r="JB248" s="273"/>
      <c r="JC248" s="273"/>
      <c r="JD248" s="273"/>
      <c r="JE248" s="273"/>
      <c r="JF248" s="273"/>
      <c r="JG248" s="273"/>
      <c r="JH248" s="223"/>
      <c r="JI248" s="284"/>
      <c r="JJ248" s="268"/>
      <c r="JK248" s="276"/>
      <c r="JL248" s="273"/>
      <c r="JM248" s="273"/>
      <c r="JN248" s="273"/>
      <c r="JO248" s="273"/>
      <c r="JP248" s="273"/>
      <c r="JQ248" s="273"/>
      <c r="JR248" s="273"/>
      <c r="JS248" s="273"/>
      <c r="JT248" s="273"/>
      <c r="JU248" s="273"/>
      <c r="JV248" s="223"/>
      <c r="JW248" s="284"/>
      <c r="JX248" s="268"/>
      <c r="JY248" s="276"/>
      <c r="JZ248" s="273"/>
      <c r="KA248" s="273"/>
      <c r="KB248" s="273"/>
      <c r="KC248" s="273"/>
      <c r="KD248" s="273"/>
      <c r="KE248" s="273"/>
      <c r="KF248" s="273"/>
      <c r="KG248" s="273"/>
      <c r="KH248" s="273"/>
      <c r="KI248" s="273"/>
      <c r="KJ248" s="223"/>
      <c r="KK248" s="284"/>
      <c r="KL248" s="268"/>
      <c r="KM248" s="276"/>
      <c r="KN248" s="273"/>
      <c r="KO248" s="273"/>
      <c r="KP248" s="273"/>
      <c r="KQ248" s="273"/>
      <c r="KR248" s="273"/>
      <c r="KS248" s="273"/>
      <c r="KT248" s="273"/>
      <c r="KU248" s="273"/>
      <c r="KV248" s="273"/>
      <c r="KW248" s="273"/>
      <c r="KX248" s="223"/>
      <c r="KY248" s="284"/>
      <c r="KZ248" s="268"/>
      <c r="LA248" s="276"/>
      <c r="LB248" s="273"/>
      <c r="LC248" s="273"/>
      <c r="LD248" s="273"/>
      <c r="LE248" s="273"/>
      <c r="LF248" s="273"/>
      <c r="LG248" s="273"/>
      <c r="LH248" s="273"/>
      <c r="LI248" s="273"/>
      <c r="LJ248" s="273"/>
      <c r="LK248" s="273"/>
      <c r="LL248" s="223"/>
      <c r="LM248" s="284"/>
      <c r="LN248" s="268"/>
      <c r="LO248" s="276"/>
      <c r="LP248" s="273"/>
      <c r="LQ248" s="273"/>
      <c r="LR248" s="273"/>
      <c r="LS248" s="273"/>
      <c r="LT248" s="273"/>
      <c r="LU248" s="273"/>
      <c r="LV248" s="273"/>
      <c r="LW248" s="273"/>
      <c r="LX248" s="273"/>
      <c r="LY248" s="273"/>
      <c r="LZ248" s="223"/>
      <c r="MA248" s="284"/>
      <c r="MB248" s="223"/>
      <c r="MC248" s="223"/>
      <c r="MD248" s="223"/>
      <c r="ME248" s="223"/>
      <c r="MF248" s="223"/>
      <c r="MG248" s="223"/>
      <c r="MH248" s="223"/>
      <c r="MI248" s="223"/>
      <c r="MJ248" s="223"/>
      <c r="MK248" s="223"/>
      <c r="ML248" s="223"/>
      <c r="MM248" s="223"/>
      <c r="MN248" s="223"/>
    </row>
    <row r="249" spans="1:352" x14ac:dyDescent="0.25">
      <c r="A249" s="262"/>
      <c r="B249" s="64" t="s">
        <v>99</v>
      </c>
      <c r="C249" s="98"/>
      <c r="D249" s="263">
        <f t="shared" ref="D249:O253" si="1131">+D106/$D$144</f>
        <v>0</v>
      </c>
      <c r="E249" s="263">
        <f t="shared" si="1131"/>
        <v>0</v>
      </c>
      <c r="F249" s="263">
        <f t="shared" si="1131"/>
        <v>0</v>
      </c>
      <c r="G249" s="263">
        <f t="shared" si="1131"/>
        <v>0</v>
      </c>
      <c r="H249" s="263">
        <f t="shared" si="1131"/>
        <v>0</v>
      </c>
      <c r="I249" s="263">
        <f t="shared" si="1131"/>
        <v>0</v>
      </c>
      <c r="J249" s="263">
        <f t="shared" si="1131"/>
        <v>0</v>
      </c>
      <c r="K249" s="263">
        <f t="shared" si="1131"/>
        <v>0</v>
      </c>
      <c r="L249" s="263">
        <f t="shared" si="1131"/>
        <v>0</v>
      </c>
      <c r="M249" s="263">
        <f t="shared" si="1131"/>
        <v>0</v>
      </c>
      <c r="N249" s="263">
        <f t="shared" si="1131"/>
        <v>0</v>
      </c>
      <c r="O249" s="263">
        <f t="shared" si="1131"/>
        <v>0</v>
      </c>
      <c r="P249" s="223">
        <f>+SUBTOTAL(9,D249:O249)</f>
        <v>0</v>
      </c>
      <c r="Q249" s="284"/>
      <c r="R249" s="263">
        <f t="shared" ref="R249:AC253" si="1132">+R106/$D$144</f>
        <v>0</v>
      </c>
      <c r="S249" s="263">
        <f t="shared" si="1132"/>
        <v>0</v>
      </c>
      <c r="T249" s="263">
        <f t="shared" si="1132"/>
        <v>0</v>
      </c>
      <c r="U249" s="263">
        <f t="shared" si="1132"/>
        <v>0</v>
      </c>
      <c r="V249" s="263">
        <f t="shared" si="1132"/>
        <v>0</v>
      </c>
      <c r="W249" s="263">
        <f t="shared" si="1132"/>
        <v>0</v>
      </c>
      <c r="X249" s="263">
        <f t="shared" si="1132"/>
        <v>0</v>
      </c>
      <c r="Y249" s="263">
        <f t="shared" si="1132"/>
        <v>0</v>
      </c>
      <c r="Z249" s="263">
        <f t="shared" si="1132"/>
        <v>0</v>
      </c>
      <c r="AA249" s="263">
        <f t="shared" si="1132"/>
        <v>0</v>
      </c>
      <c r="AB249" s="263">
        <f t="shared" si="1132"/>
        <v>0</v>
      </c>
      <c r="AC249" s="263">
        <f t="shared" si="1132"/>
        <v>0</v>
      </c>
      <c r="AD249" s="223">
        <f>+SUBTOTAL(9,R249:AC249)</f>
        <v>0</v>
      </c>
      <c r="AE249" s="284"/>
      <c r="AF249" s="263">
        <f t="shared" ref="AF249:AQ253" si="1133">+AF106/$D$144</f>
        <v>0</v>
      </c>
      <c r="AG249" s="263">
        <f t="shared" si="1133"/>
        <v>0</v>
      </c>
      <c r="AH249" s="263">
        <f t="shared" si="1133"/>
        <v>0</v>
      </c>
      <c r="AI249" s="263">
        <f t="shared" si="1133"/>
        <v>0</v>
      </c>
      <c r="AJ249" s="263">
        <f t="shared" si="1133"/>
        <v>0</v>
      </c>
      <c r="AK249" s="263">
        <f t="shared" si="1133"/>
        <v>0</v>
      </c>
      <c r="AL249" s="263">
        <f t="shared" si="1133"/>
        <v>0</v>
      </c>
      <c r="AM249" s="263">
        <f t="shared" si="1133"/>
        <v>0</v>
      </c>
      <c r="AN249" s="263">
        <f t="shared" si="1133"/>
        <v>0</v>
      </c>
      <c r="AO249" s="263">
        <f t="shared" si="1133"/>
        <v>0</v>
      </c>
      <c r="AP249" s="263">
        <f t="shared" si="1133"/>
        <v>0</v>
      </c>
      <c r="AQ249" s="263">
        <f t="shared" si="1133"/>
        <v>0</v>
      </c>
      <c r="AR249" s="223">
        <f>+SUBTOTAL(9,AF249:AQ249)</f>
        <v>0</v>
      </c>
      <c r="AS249" s="266"/>
      <c r="AT249" s="263">
        <f t="shared" ref="AT249:BE253" si="1134">+AT106/$D$144</f>
        <v>0</v>
      </c>
      <c r="AU249" s="263">
        <f t="shared" si="1134"/>
        <v>0</v>
      </c>
      <c r="AV249" s="263">
        <f t="shared" si="1134"/>
        <v>0</v>
      </c>
      <c r="AW249" s="263">
        <f t="shared" si="1134"/>
        <v>0</v>
      </c>
      <c r="AX249" s="263">
        <f t="shared" si="1134"/>
        <v>0</v>
      </c>
      <c r="AY249" s="263">
        <f t="shared" si="1134"/>
        <v>0</v>
      </c>
      <c r="AZ249" s="263">
        <f t="shared" si="1134"/>
        <v>0</v>
      </c>
      <c r="BA249" s="263">
        <f t="shared" si="1134"/>
        <v>0</v>
      </c>
      <c r="BB249" s="263">
        <f t="shared" si="1134"/>
        <v>0</v>
      </c>
      <c r="BC249" s="263">
        <f t="shared" si="1134"/>
        <v>0</v>
      </c>
      <c r="BD249" s="263">
        <f t="shared" si="1134"/>
        <v>0</v>
      </c>
      <c r="BE249" s="263">
        <f t="shared" si="1134"/>
        <v>0</v>
      </c>
      <c r="BF249" s="223">
        <f>+SUBTOTAL(9,AT249:BE249)</f>
        <v>0</v>
      </c>
      <c r="BG249" s="224"/>
      <c r="BH249" s="263">
        <f t="shared" ref="BH249:BS253" si="1135">+BH106/$D$144</f>
        <v>0</v>
      </c>
      <c r="BI249" s="263">
        <f t="shared" si="1135"/>
        <v>0</v>
      </c>
      <c r="BJ249" s="263">
        <f t="shared" si="1135"/>
        <v>0</v>
      </c>
      <c r="BK249" s="263">
        <f t="shared" si="1135"/>
        <v>0</v>
      </c>
      <c r="BL249" s="263">
        <f t="shared" si="1135"/>
        <v>0</v>
      </c>
      <c r="BM249" s="263">
        <f t="shared" si="1135"/>
        <v>0</v>
      </c>
      <c r="BN249" s="263">
        <f t="shared" si="1135"/>
        <v>0</v>
      </c>
      <c r="BO249" s="263">
        <f t="shared" si="1135"/>
        <v>0</v>
      </c>
      <c r="BP249" s="263">
        <f t="shared" si="1135"/>
        <v>0</v>
      </c>
      <c r="BQ249" s="263">
        <f t="shared" si="1135"/>
        <v>0</v>
      </c>
      <c r="BR249" s="263">
        <f t="shared" si="1135"/>
        <v>0</v>
      </c>
      <c r="BS249" s="263">
        <f t="shared" si="1135"/>
        <v>0</v>
      </c>
      <c r="BT249" s="223">
        <f>+SUBTOTAL(9,BH249:BS249)</f>
        <v>0</v>
      </c>
      <c r="BU249" s="266"/>
      <c r="BV249" s="263">
        <f t="shared" ref="BV249:CG253" si="1136">+BV106/$D$144</f>
        <v>0</v>
      </c>
      <c r="BW249" s="263">
        <f t="shared" si="1136"/>
        <v>0</v>
      </c>
      <c r="BX249" s="263">
        <f t="shared" si="1136"/>
        <v>0</v>
      </c>
      <c r="BY249" s="263">
        <f t="shared" si="1136"/>
        <v>0</v>
      </c>
      <c r="BZ249" s="263">
        <f t="shared" si="1136"/>
        <v>0</v>
      </c>
      <c r="CA249" s="263">
        <f t="shared" si="1136"/>
        <v>0</v>
      </c>
      <c r="CB249" s="263">
        <f t="shared" si="1136"/>
        <v>0</v>
      </c>
      <c r="CC249" s="263">
        <f t="shared" si="1136"/>
        <v>0</v>
      </c>
      <c r="CD249" s="263">
        <f t="shared" si="1136"/>
        <v>0</v>
      </c>
      <c r="CE249" s="263">
        <f t="shared" si="1136"/>
        <v>0</v>
      </c>
      <c r="CF249" s="263">
        <f t="shared" si="1136"/>
        <v>0</v>
      </c>
      <c r="CG249" s="263">
        <f t="shared" si="1136"/>
        <v>0</v>
      </c>
      <c r="CH249" s="223">
        <f>+SUBTOTAL(9,BV249:CG249)</f>
        <v>0</v>
      </c>
      <c r="CI249" s="284"/>
      <c r="CJ249" s="263">
        <f t="shared" ref="CJ249:CU253" si="1137">+CJ106/$D$144</f>
        <v>0</v>
      </c>
      <c r="CK249" s="263">
        <f t="shared" si="1137"/>
        <v>0</v>
      </c>
      <c r="CL249" s="263">
        <f t="shared" si="1137"/>
        <v>0</v>
      </c>
      <c r="CM249" s="263">
        <f t="shared" si="1137"/>
        <v>0</v>
      </c>
      <c r="CN249" s="263">
        <f t="shared" si="1137"/>
        <v>0</v>
      </c>
      <c r="CO249" s="263">
        <f t="shared" si="1137"/>
        <v>0</v>
      </c>
      <c r="CP249" s="263">
        <f t="shared" si="1137"/>
        <v>0</v>
      </c>
      <c r="CQ249" s="263">
        <f t="shared" si="1137"/>
        <v>0</v>
      </c>
      <c r="CR249" s="263">
        <f t="shared" si="1137"/>
        <v>0</v>
      </c>
      <c r="CS249" s="263">
        <f t="shared" si="1137"/>
        <v>0</v>
      </c>
      <c r="CT249" s="263">
        <f t="shared" si="1137"/>
        <v>0</v>
      </c>
      <c r="CU249" s="263">
        <f t="shared" si="1137"/>
        <v>0</v>
      </c>
      <c r="CV249" s="223">
        <f>+SUBTOTAL(9,CJ249:CU249)</f>
        <v>0</v>
      </c>
      <c r="CW249" s="284"/>
      <c r="CX249" s="263">
        <f t="shared" ref="CX249:DI253" si="1138">+CX106/$D$144</f>
        <v>0</v>
      </c>
      <c r="CY249" s="263">
        <f t="shared" si="1138"/>
        <v>0</v>
      </c>
      <c r="CZ249" s="263">
        <f t="shared" si="1138"/>
        <v>0</v>
      </c>
      <c r="DA249" s="263">
        <f t="shared" si="1138"/>
        <v>0</v>
      </c>
      <c r="DB249" s="263">
        <f t="shared" si="1138"/>
        <v>0</v>
      </c>
      <c r="DC249" s="263">
        <f t="shared" si="1138"/>
        <v>0</v>
      </c>
      <c r="DD249" s="263">
        <f t="shared" si="1138"/>
        <v>0</v>
      </c>
      <c r="DE249" s="263">
        <f t="shared" si="1138"/>
        <v>0</v>
      </c>
      <c r="DF249" s="263">
        <f t="shared" si="1138"/>
        <v>0</v>
      </c>
      <c r="DG249" s="263">
        <f t="shared" si="1138"/>
        <v>0</v>
      </c>
      <c r="DH249" s="263">
        <f t="shared" si="1138"/>
        <v>0</v>
      </c>
      <c r="DI249" s="263">
        <f t="shared" si="1138"/>
        <v>0</v>
      </c>
      <c r="DJ249" s="223">
        <f>+SUBTOTAL(9,CX249:DI249)</f>
        <v>0</v>
      </c>
      <c r="DK249" s="284"/>
      <c r="DL249" s="263">
        <f t="shared" ref="DL249:DW253" si="1139">+DL106/$D$144</f>
        <v>0</v>
      </c>
      <c r="DM249" s="263">
        <f t="shared" si="1139"/>
        <v>0</v>
      </c>
      <c r="DN249" s="263">
        <f t="shared" si="1139"/>
        <v>0</v>
      </c>
      <c r="DO249" s="263">
        <f t="shared" si="1139"/>
        <v>0</v>
      </c>
      <c r="DP249" s="263">
        <f t="shared" si="1139"/>
        <v>0</v>
      </c>
      <c r="DQ249" s="263">
        <f t="shared" si="1139"/>
        <v>0</v>
      </c>
      <c r="DR249" s="263">
        <f t="shared" si="1139"/>
        <v>0</v>
      </c>
      <c r="DS249" s="263">
        <f t="shared" si="1139"/>
        <v>0</v>
      </c>
      <c r="DT249" s="263">
        <f t="shared" si="1139"/>
        <v>0</v>
      </c>
      <c r="DU249" s="263">
        <f t="shared" si="1139"/>
        <v>0</v>
      </c>
      <c r="DV249" s="263">
        <f t="shared" si="1139"/>
        <v>0</v>
      </c>
      <c r="DW249" s="263">
        <f t="shared" si="1139"/>
        <v>0</v>
      </c>
      <c r="DX249" s="223">
        <f>+SUBTOTAL(9,DL249:DW249)</f>
        <v>0</v>
      </c>
      <c r="DY249" s="284"/>
      <c r="DZ249" s="263">
        <f t="shared" ref="DZ249:EK253" si="1140">+DZ106/$D$144</f>
        <v>0</v>
      </c>
      <c r="EA249" s="263">
        <f t="shared" si="1140"/>
        <v>0</v>
      </c>
      <c r="EB249" s="263">
        <f t="shared" si="1140"/>
        <v>0</v>
      </c>
      <c r="EC249" s="263">
        <f t="shared" si="1140"/>
        <v>0</v>
      </c>
      <c r="ED249" s="263">
        <f t="shared" si="1140"/>
        <v>0</v>
      </c>
      <c r="EE249" s="263">
        <f t="shared" si="1140"/>
        <v>0</v>
      </c>
      <c r="EF249" s="263">
        <f t="shared" si="1140"/>
        <v>0</v>
      </c>
      <c r="EG249" s="263">
        <f t="shared" si="1140"/>
        <v>0</v>
      </c>
      <c r="EH249" s="263">
        <f t="shared" si="1140"/>
        <v>0</v>
      </c>
      <c r="EI249" s="263">
        <f t="shared" si="1140"/>
        <v>0</v>
      </c>
      <c r="EJ249" s="263">
        <f t="shared" si="1140"/>
        <v>0</v>
      </c>
      <c r="EK249" s="263">
        <f t="shared" si="1140"/>
        <v>0</v>
      </c>
      <c r="EL249" s="223">
        <f>+SUBTOTAL(9,DZ249:EK249)</f>
        <v>0</v>
      </c>
      <c r="EM249" s="284"/>
      <c r="EN249" s="263">
        <f t="shared" ref="EN249:EY253" si="1141">+EN106/$D$144</f>
        <v>0</v>
      </c>
      <c r="EO249" s="263">
        <f t="shared" si="1141"/>
        <v>0</v>
      </c>
      <c r="EP249" s="263">
        <f t="shared" si="1141"/>
        <v>0</v>
      </c>
      <c r="EQ249" s="263">
        <f t="shared" si="1141"/>
        <v>0</v>
      </c>
      <c r="ER249" s="263">
        <f t="shared" si="1141"/>
        <v>0</v>
      </c>
      <c r="ES249" s="263">
        <f t="shared" si="1141"/>
        <v>0</v>
      </c>
      <c r="ET249" s="263">
        <f t="shared" si="1141"/>
        <v>0</v>
      </c>
      <c r="EU249" s="263">
        <f t="shared" si="1141"/>
        <v>0</v>
      </c>
      <c r="EV249" s="263">
        <f t="shared" si="1141"/>
        <v>0</v>
      </c>
      <c r="EW249" s="263">
        <f t="shared" si="1141"/>
        <v>0</v>
      </c>
      <c r="EX249" s="263">
        <f t="shared" si="1141"/>
        <v>0</v>
      </c>
      <c r="EY249" s="263">
        <f t="shared" si="1141"/>
        <v>0</v>
      </c>
      <c r="EZ249" s="223">
        <f>+SUBTOTAL(9,EN249:EY249)</f>
        <v>0</v>
      </c>
      <c r="FA249" s="284"/>
      <c r="FB249" s="263">
        <f t="shared" ref="FB249:FM253" si="1142">+FB106/$D$144</f>
        <v>0</v>
      </c>
      <c r="FC249" s="263">
        <f t="shared" si="1142"/>
        <v>0</v>
      </c>
      <c r="FD249" s="263">
        <f t="shared" si="1142"/>
        <v>0</v>
      </c>
      <c r="FE249" s="263">
        <f t="shared" si="1142"/>
        <v>0</v>
      </c>
      <c r="FF249" s="263">
        <f t="shared" si="1142"/>
        <v>0</v>
      </c>
      <c r="FG249" s="263">
        <f t="shared" si="1142"/>
        <v>0</v>
      </c>
      <c r="FH249" s="263">
        <f t="shared" si="1142"/>
        <v>0</v>
      </c>
      <c r="FI249" s="263">
        <f t="shared" si="1142"/>
        <v>0</v>
      </c>
      <c r="FJ249" s="263">
        <f t="shared" si="1142"/>
        <v>0</v>
      </c>
      <c r="FK249" s="263">
        <f t="shared" si="1142"/>
        <v>0</v>
      </c>
      <c r="FL249" s="263">
        <f t="shared" si="1142"/>
        <v>0</v>
      </c>
      <c r="FM249" s="263">
        <f t="shared" si="1142"/>
        <v>0</v>
      </c>
      <c r="FN249" s="223">
        <f>+SUBTOTAL(9,FB249:FM249)</f>
        <v>0</v>
      </c>
      <c r="FO249" s="284"/>
      <c r="FP249" s="263">
        <f t="shared" ref="FP249:GA253" si="1143">+FP106/$D$144</f>
        <v>0</v>
      </c>
      <c r="FQ249" s="263">
        <f t="shared" si="1143"/>
        <v>0</v>
      </c>
      <c r="FR249" s="263">
        <f t="shared" si="1143"/>
        <v>0</v>
      </c>
      <c r="FS249" s="263">
        <f t="shared" si="1143"/>
        <v>0</v>
      </c>
      <c r="FT249" s="263">
        <f t="shared" si="1143"/>
        <v>0</v>
      </c>
      <c r="FU249" s="263">
        <f t="shared" si="1143"/>
        <v>0</v>
      </c>
      <c r="FV249" s="263">
        <f t="shared" si="1143"/>
        <v>0</v>
      </c>
      <c r="FW249" s="263">
        <f t="shared" si="1143"/>
        <v>0</v>
      </c>
      <c r="FX249" s="263">
        <f t="shared" si="1143"/>
        <v>0</v>
      </c>
      <c r="FY249" s="263">
        <f t="shared" si="1143"/>
        <v>0</v>
      </c>
      <c r="FZ249" s="263">
        <f t="shared" si="1143"/>
        <v>0</v>
      </c>
      <c r="GA249" s="263">
        <f t="shared" si="1143"/>
        <v>0</v>
      </c>
      <c r="GB249" s="223">
        <f>+SUBTOTAL(9,FP249:GA249)</f>
        <v>0</v>
      </c>
      <c r="GC249" s="284"/>
      <c r="GD249" s="263">
        <f t="shared" ref="GD249:GO253" si="1144">+GD106/$D$144</f>
        <v>0</v>
      </c>
      <c r="GE249" s="263">
        <f t="shared" si="1144"/>
        <v>0</v>
      </c>
      <c r="GF249" s="263">
        <f t="shared" si="1144"/>
        <v>0</v>
      </c>
      <c r="GG249" s="263">
        <f t="shared" si="1144"/>
        <v>0</v>
      </c>
      <c r="GH249" s="263">
        <f t="shared" si="1144"/>
        <v>0</v>
      </c>
      <c r="GI249" s="263">
        <f t="shared" si="1144"/>
        <v>0</v>
      </c>
      <c r="GJ249" s="263">
        <f t="shared" si="1144"/>
        <v>0</v>
      </c>
      <c r="GK249" s="263">
        <f t="shared" si="1144"/>
        <v>0</v>
      </c>
      <c r="GL249" s="263">
        <f t="shared" si="1144"/>
        <v>0</v>
      </c>
      <c r="GM249" s="263">
        <f t="shared" si="1144"/>
        <v>0</v>
      </c>
      <c r="GN249" s="263">
        <f t="shared" si="1144"/>
        <v>0</v>
      </c>
      <c r="GO249" s="263">
        <f t="shared" si="1144"/>
        <v>0</v>
      </c>
      <c r="GP249" s="223">
        <f>+SUBTOTAL(9,GD249:GO249)</f>
        <v>0</v>
      </c>
      <c r="GQ249" s="284"/>
      <c r="GR249" s="263">
        <f t="shared" ref="GR249:HC253" si="1145">+GR106/$D$144</f>
        <v>0</v>
      </c>
      <c r="GS249" s="263">
        <f t="shared" si="1145"/>
        <v>0</v>
      </c>
      <c r="GT249" s="263">
        <f t="shared" si="1145"/>
        <v>0</v>
      </c>
      <c r="GU249" s="263">
        <f t="shared" si="1145"/>
        <v>0</v>
      </c>
      <c r="GV249" s="263">
        <f t="shared" si="1145"/>
        <v>0</v>
      </c>
      <c r="GW249" s="263">
        <f t="shared" si="1145"/>
        <v>0</v>
      </c>
      <c r="GX249" s="263">
        <f t="shared" si="1145"/>
        <v>0</v>
      </c>
      <c r="GY249" s="263">
        <f t="shared" si="1145"/>
        <v>0</v>
      </c>
      <c r="GZ249" s="263">
        <f t="shared" si="1145"/>
        <v>0</v>
      </c>
      <c r="HA249" s="263">
        <f t="shared" si="1145"/>
        <v>0</v>
      </c>
      <c r="HB249" s="263">
        <f t="shared" si="1145"/>
        <v>0</v>
      </c>
      <c r="HC249" s="263">
        <f t="shared" si="1145"/>
        <v>0</v>
      </c>
      <c r="HD249" s="223">
        <f t="shared" si="1048"/>
        <v>0</v>
      </c>
      <c r="HE249" s="284"/>
      <c r="HF249" s="263">
        <f t="shared" ref="HF249:HQ253" si="1146">+HF106/$D$144</f>
        <v>0</v>
      </c>
      <c r="HG249" s="263">
        <f t="shared" si="1146"/>
        <v>0</v>
      </c>
      <c r="HH249" s="263">
        <f t="shared" si="1146"/>
        <v>0</v>
      </c>
      <c r="HI249" s="263">
        <f t="shared" si="1146"/>
        <v>0</v>
      </c>
      <c r="HJ249" s="263">
        <f t="shared" si="1146"/>
        <v>0</v>
      </c>
      <c r="HK249" s="263">
        <f t="shared" si="1146"/>
        <v>0</v>
      </c>
      <c r="HL249" s="263">
        <f t="shared" si="1146"/>
        <v>0</v>
      </c>
      <c r="HM249" s="263">
        <f t="shared" si="1146"/>
        <v>0</v>
      </c>
      <c r="HN249" s="263">
        <f t="shared" si="1146"/>
        <v>0</v>
      </c>
      <c r="HO249" s="263">
        <f t="shared" si="1146"/>
        <v>0</v>
      </c>
      <c r="HP249" s="263">
        <f t="shared" si="1146"/>
        <v>0</v>
      </c>
      <c r="HQ249" s="263">
        <f t="shared" si="1146"/>
        <v>0</v>
      </c>
      <c r="HR249" s="223">
        <f>+SUBTOTAL(9,HF249:HQ249)</f>
        <v>0</v>
      </c>
      <c r="HS249" s="284"/>
      <c r="HT249" s="263">
        <f t="shared" ref="HT249:IE253" si="1147">+HT106/$D$144</f>
        <v>0</v>
      </c>
      <c r="HU249" s="263">
        <f t="shared" si="1147"/>
        <v>0</v>
      </c>
      <c r="HV249" s="263">
        <f t="shared" si="1147"/>
        <v>0</v>
      </c>
      <c r="HW249" s="263">
        <f t="shared" si="1147"/>
        <v>0</v>
      </c>
      <c r="HX249" s="263">
        <f t="shared" si="1147"/>
        <v>0</v>
      </c>
      <c r="HY249" s="263">
        <f t="shared" si="1147"/>
        <v>0</v>
      </c>
      <c r="HZ249" s="263">
        <f t="shared" si="1147"/>
        <v>0</v>
      </c>
      <c r="IA249" s="263">
        <f t="shared" si="1147"/>
        <v>0</v>
      </c>
      <c r="IB249" s="263">
        <f t="shared" si="1147"/>
        <v>0</v>
      </c>
      <c r="IC249" s="263">
        <f t="shared" si="1147"/>
        <v>0</v>
      </c>
      <c r="ID249" s="263">
        <f t="shared" si="1147"/>
        <v>0</v>
      </c>
      <c r="IE249" s="263">
        <f t="shared" si="1147"/>
        <v>0</v>
      </c>
      <c r="IF249" s="223">
        <f>+SUBTOTAL(9,HT249:IE249)</f>
        <v>0</v>
      </c>
      <c r="IG249" s="284"/>
      <c r="IH249" s="263">
        <f t="shared" ref="IH249:IS253" si="1148">+IH106/$D$144</f>
        <v>0</v>
      </c>
      <c r="II249" s="263">
        <f t="shared" si="1148"/>
        <v>0</v>
      </c>
      <c r="IJ249" s="263">
        <f t="shared" si="1148"/>
        <v>0</v>
      </c>
      <c r="IK249" s="263">
        <f t="shared" si="1148"/>
        <v>0</v>
      </c>
      <c r="IL249" s="263">
        <f t="shared" si="1148"/>
        <v>0</v>
      </c>
      <c r="IM249" s="263">
        <f t="shared" si="1148"/>
        <v>0</v>
      </c>
      <c r="IN249" s="263">
        <f t="shared" si="1148"/>
        <v>0</v>
      </c>
      <c r="IO249" s="263">
        <f t="shared" si="1148"/>
        <v>0</v>
      </c>
      <c r="IP249" s="263">
        <f t="shared" si="1148"/>
        <v>0</v>
      </c>
      <c r="IQ249" s="263">
        <f t="shared" si="1148"/>
        <v>0</v>
      </c>
      <c r="IR249" s="263">
        <f t="shared" si="1148"/>
        <v>0</v>
      </c>
      <c r="IS249" s="263">
        <f t="shared" si="1148"/>
        <v>0</v>
      </c>
      <c r="IT249" s="223">
        <f>+SUBTOTAL(9,IH249:IS249)</f>
        <v>0</v>
      </c>
      <c r="IU249" s="284"/>
      <c r="IV249" s="263">
        <f t="shared" ref="IV249:JG253" si="1149">+IV106/$D$144</f>
        <v>0</v>
      </c>
      <c r="IW249" s="263">
        <f t="shared" si="1149"/>
        <v>0</v>
      </c>
      <c r="IX249" s="263">
        <f t="shared" si="1149"/>
        <v>0</v>
      </c>
      <c r="IY249" s="263">
        <f t="shared" si="1149"/>
        <v>0</v>
      </c>
      <c r="IZ249" s="263">
        <f t="shared" si="1149"/>
        <v>0</v>
      </c>
      <c r="JA249" s="263">
        <f t="shared" si="1149"/>
        <v>0</v>
      </c>
      <c r="JB249" s="263">
        <f t="shared" si="1149"/>
        <v>0</v>
      </c>
      <c r="JC249" s="263">
        <f t="shared" si="1149"/>
        <v>0</v>
      </c>
      <c r="JD249" s="263">
        <f t="shared" si="1149"/>
        <v>0</v>
      </c>
      <c r="JE249" s="263">
        <f t="shared" si="1149"/>
        <v>0</v>
      </c>
      <c r="JF249" s="263">
        <f t="shared" si="1149"/>
        <v>0</v>
      </c>
      <c r="JG249" s="263">
        <f t="shared" si="1149"/>
        <v>0</v>
      </c>
      <c r="JH249" s="223">
        <f>+SUBTOTAL(9,IV249:JG249)</f>
        <v>0</v>
      </c>
      <c r="JI249" s="284"/>
      <c r="JJ249" s="263">
        <f t="shared" ref="JJ249:JU253" si="1150">+JJ106/$D$144</f>
        <v>0</v>
      </c>
      <c r="JK249" s="263">
        <f t="shared" si="1150"/>
        <v>0</v>
      </c>
      <c r="JL249" s="263">
        <f t="shared" si="1150"/>
        <v>0</v>
      </c>
      <c r="JM249" s="263">
        <f t="shared" si="1150"/>
        <v>0</v>
      </c>
      <c r="JN249" s="263">
        <f t="shared" si="1150"/>
        <v>0</v>
      </c>
      <c r="JO249" s="263">
        <f t="shared" si="1150"/>
        <v>0</v>
      </c>
      <c r="JP249" s="263">
        <f t="shared" si="1150"/>
        <v>0</v>
      </c>
      <c r="JQ249" s="263">
        <f t="shared" si="1150"/>
        <v>0</v>
      </c>
      <c r="JR249" s="263">
        <f t="shared" si="1150"/>
        <v>0</v>
      </c>
      <c r="JS249" s="263">
        <f t="shared" si="1150"/>
        <v>0</v>
      </c>
      <c r="JT249" s="263">
        <f t="shared" si="1150"/>
        <v>0</v>
      </c>
      <c r="JU249" s="263">
        <f t="shared" si="1150"/>
        <v>0</v>
      </c>
      <c r="JV249" s="223">
        <f>+SUBTOTAL(9,JJ249:JU249)</f>
        <v>0</v>
      </c>
      <c r="JW249" s="284"/>
      <c r="JX249" s="263">
        <f t="shared" ref="JX249:KI253" si="1151">+JX106/$D$144</f>
        <v>0</v>
      </c>
      <c r="JY249" s="263">
        <f t="shared" si="1151"/>
        <v>0</v>
      </c>
      <c r="JZ249" s="263">
        <f t="shared" si="1151"/>
        <v>0</v>
      </c>
      <c r="KA249" s="263">
        <f t="shared" si="1151"/>
        <v>0</v>
      </c>
      <c r="KB249" s="263">
        <f t="shared" si="1151"/>
        <v>0</v>
      </c>
      <c r="KC249" s="263">
        <f t="shared" si="1151"/>
        <v>0</v>
      </c>
      <c r="KD249" s="263">
        <f t="shared" si="1151"/>
        <v>0</v>
      </c>
      <c r="KE249" s="263">
        <f t="shared" si="1151"/>
        <v>0</v>
      </c>
      <c r="KF249" s="263">
        <f t="shared" si="1151"/>
        <v>0</v>
      </c>
      <c r="KG249" s="263">
        <f t="shared" si="1151"/>
        <v>0</v>
      </c>
      <c r="KH249" s="263">
        <f t="shared" si="1151"/>
        <v>0</v>
      </c>
      <c r="KI249" s="263">
        <f t="shared" si="1151"/>
        <v>0</v>
      </c>
      <c r="KJ249" s="223">
        <f>+SUBTOTAL(9,JX249:KI249)</f>
        <v>0</v>
      </c>
      <c r="KK249" s="284"/>
      <c r="KL249" s="263">
        <f t="shared" ref="KL249:KW253" si="1152">+KL106/$D$144</f>
        <v>0</v>
      </c>
      <c r="KM249" s="263">
        <f t="shared" si="1152"/>
        <v>0</v>
      </c>
      <c r="KN249" s="263">
        <f t="shared" si="1152"/>
        <v>0</v>
      </c>
      <c r="KO249" s="263">
        <f t="shared" si="1152"/>
        <v>0</v>
      </c>
      <c r="KP249" s="263">
        <f t="shared" si="1152"/>
        <v>0</v>
      </c>
      <c r="KQ249" s="263">
        <f t="shared" si="1152"/>
        <v>0</v>
      </c>
      <c r="KR249" s="263">
        <f t="shared" si="1152"/>
        <v>0</v>
      </c>
      <c r="KS249" s="263">
        <f t="shared" si="1152"/>
        <v>0</v>
      </c>
      <c r="KT249" s="263">
        <f t="shared" si="1152"/>
        <v>0</v>
      </c>
      <c r="KU249" s="263">
        <f t="shared" si="1152"/>
        <v>0</v>
      </c>
      <c r="KV249" s="263">
        <f t="shared" si="1152"/>
        <v>0</v>
      </c>
      <c r="KW249" s="263">
        <f t="shared" si="1152"/>
        <v>0</v>
      </c>
      <c r="KX249" s="223">
        <f>+SUBTOTAL(9,KL249:KW249)</f>
        <v>0</v>
      </c>
      <c r="KY249" s="284"/>
      <c r="KZ249" s="263">
        <f t="shared" ref="KZ249:LK253" si="1153">+KZ106/$D$144</f>
        <v>0</v>
      </c>
      <c r="LA249" s="263">
        <f t="shared" si="1153"/>
        <v>0</v>
      </c>
      <c r="LB249" s="263">
        <f t="shared" si="1153"/>
        <v>0</v>
      </c>
      <c r="LC249" s="263">
        <f t="shared" si="1153"/>
        <v>0</v>
      </c>
      <c r="LD249" s="263">
        <f t="shared" si="1153"/>
        <v>0</v>
      </c>
      <c r="LE249" s="263">
        <f t="shared" si="1153"/>
        <v>0</v>
      </c>
      <c r="LF249" s="263">
        <f t="shared" si="1153"/>
        <v>0</v>
      </c>
      <c r="LG249" s="263">
        <f t="shared" si="1153"/>
        <v>0</v>
      </c>
      <c r="LH249" s="263">
        <f t="shared" si="1153"/>
        <v>0</v>
      </c>
      <c r="LI249" s="263">
        <f t="shared" si="1153"/>
        <v>0</v>
      </c>
      <c r="LJ249" s="263">
        <f t="shared" si="1153"/>
        <v>0</v>
      </c>
      <c r="LK249" s="263">
        <f t="shared" si="1153"/>
        <v>0</v>
      </c>
      <c r="LL249" s="223">
        <f>+SUBTOTAL(9,KZ249:LK249)</f>
        <v>0</v>
      </c>
      <c r="LM249" s="284"/>
      <c r="LN249" s="263">
        <v>0</v>
      </c>
      <c r="LO249" s="264">
        <v>0</v>
      </c>
      <c r="LP249" s="265">
        <v>0</v>
      </c>
      <c r="LQ249" s="265">
        <v>0</v>
      </c>
      <c r="LR249" s="265">
        <v>0</v>
      </c>
      <c r="LS249" s="265">
        <v>0</v>
      </c>
      <c r="LT249" s="265">
        <v>0</v>
      </c>
      <c r="LU249" s="265">
        <v>0</v>
      </c>
      <c r="LV249" s="265">
        <v>0</v>
      </c>
      <c r="LW249" s="265">
        <v>0</v>
      </c>
      <c r="LX249" s="265">
        <v>0</v>
      </c>
      <c r="LY249" s="265">
        <v>0</v>
      </c>
      <c r="LZ249" s="223">
        <f>+SUBTOTAL(9,LN249:LY249)</f>
        <v>0</v>
      </c>
      <c r="MA249" s="284"/>
      <c r="MB249" s="230">
        <f t="shared" ref="MB249:MM253" si="1154">SUMIF($D$6:$LY$6,MB$3,$D249:$LY249)</f>
        <v>0</v>
      </c>
      <c r="MC249" s="230">
        <f t="shared" si="1154"/>
        <v>0</v>
      </c>
      <c r="MD249" s="230">
        <f t="shared" si="1154"/>
        <v>0</v>
      </c>
      <c r="ME249" s="230">
        <f t="shared" si="1154"/>
        <v>0</v>
      </c>
      <c r="MF249" s="230">
        <f t="shared" si="1154"/>
        <v>0</v>
      </c>
      <c r="MG249" s="230">
        <f t="shared" si="1154"/>
        <v>0</v>
      </c>
      <c r="MH249" s="230">
        <f t="shared" si="1154"/>
        <v>0</v>
      </c>
      <c r="MI249" s="230">
        <f t="shared" si="1154"/>
        <v>0</v>
      </c>
      <c r="MJ249" s="230">
        <f t="shared" si="1154"/>
        <v>0</v>
      </c>
      <c r="MK249" s="230">
        <f t="shared" si="1154"/>
        <v>0</v>
      </c>
      <c r="ML249" s="230">
        <f t="shared" si="1154"/>
        <v>0</v>
      </c>
      <c r="MM249" s="230">
        <f t="shared" si="1154"/>
        <v>0</v>
      </c>
      <c r="MN249" s="230">
        <f t="shared" ref="MN249:MN253" si="1155">SUM(MB249:MM249)</f>
        <v>0</v>
      </c>
    </row>
    <row r="250" spans="1:352" x14ac:dyDescent="0.25">
      <c r="A250" s="262"/>
      <c r="B250" s="64" t="s">
        <v>100</v>
      </c>
      <c r="C250" s="98"/>
      <c r="D250" s="263">
        <f t="shared" si="1131"/>
        <v>0</v>
      </c>
      <c r="E250" s="263">
        <f t="shared" si="1131"/>
        <v>0</v>
      </c>
      <c r="F250" s="263">
        <f t="shared" si="1131"/>
        <v>0</v>
      </c>
      <c r="G250" s="263">
        <f t="shared" si="1131"/>
        <v>0</v>
      </c>
      <c r="H250" s="263">
        <f t="shared" si="1131"/>
        <v>0</v>
      </c>
      <c r="I250" s="263">
        <f t="shared" si="1131"/>
        <v>0</v>
      </c>
      <c r="J250" s="263">
        <f t="shared" si="1131"/>
        <v>0</v>
      </c>
      <c r="K250" s="263">
        <f t="shared" si="1131"/>
        <v>0</v>
      </c>
      <c r="L250" s="263">
        <f t="shared" si="1131"/>
        <v>0</v>
      </c>
      <c r="M250" s="263">
        <f t="shared" si="1131"/>
        <v>0</v>
      </c>
      <c r="N250" s="263">
        <f t="shared" si="1131"/>
        <v>0</v>
      </c>
      <c r="O250" s="263">
        <f t="shared" si="1131"/>
        <v>0</v>
      </c>
      <c r="P250" s="223">
        <f>+SUBTOTAL(9,D250:O250)</f>
        <v>0</v>
      </c>
      <c r="Q250" s="284"/>
      <c r="R250" s="263">
        <f t="shared" si="1132"/>
        <v>0</v>
      </c>
      <c r="S250" s="263">
        <f t="shared" si="1132"/>
        <v>0</v>
      </c>
      <c r="T250" s="263">
        <f t="shared" si="1132"/>
        <v>0</v>
      </c>
      <c r="U250" s="263">
        <f t="shared" si="1132"/>
        <v>0</v>
      </c>
      <c r="V250" s="263">
        <f t="shared" si="1132"/>
        <v>0</v>
      </c>
      <c r="W250" s="263">
        <f t="shared" si="1132"/>
        <v>0</v>
      </c>
      <c r="X250" s="263">
        <f t="shared" si="1132"/>
        <v>0</v>
      </c>
      <c r="Y250" s="263">
        <f t="shared" si="1132"/>
        <v>0</v>
      </c>
      <c r="Z250" s="263">
        <f t="shared" si="1132"/>
        <v>0</v>
      </c>
      <c r="AA250" s="263">
        <f t="shared" si="1132"/>
        <v>0</v>
      </c>
      <c r="AB250" s="263">
        <f t="shared" si="1132"/>
        <v>0</v>
      </c>
      <c r="AC250" s="263">
        <f t="shared" si="1132"/>
        <v>0</v>
      </c>
      <c r="AD250" s="223">
        <f>+SUBTOTAL(9,R250:AC250)</f>
        <v>0</v>
      </c>
      <c r="AE250" s="284"/>
      <c r="AF250" s="263">
        <f t="shared" si="1133"/>
        <v>0</v>
      </c>
      <c r="AG250" s="263">
        <f t="shared" si="1133"/>
        <v>0</v>
      </c>
      <c r="AH250" s="263">
        <f t="shared" si="1133"/>
        <v>0</v>
      </c>
      <c r="AI250" s="263">
        <f t="shared" si="1133"/>
        <v>0</v>
      </c>
      <c r="AJ250" s="263">
        <f t="shared" si="1133"/>
        <v>0</v>
      </c>
      <c r="AK250" s="263">
        <f t="shared" si="1133"/>
        <v>0</v>
      </c>
      <c r="AL250" s="263">
        <f t="shared" si="1133"/>
        <v>0</v>
      </c>
      <c r="AM250" s="263">
        <f t="shared" si="1133"/>
        <v>0</v>
      </c>
      <c r="AN250" s="263">
        <f t="shared" si="1133"/>
        <v>0</v>
      </c>
      <c r="AO250" s="263">
        <f t="shared" si="1133"/>
        <v>0</v>
      </c>
      <c r="AP250" s="263">
        <f t="shared" si="1133"/>
        <v>0</v>
      </c>
      <c r="AQ250" s="263">
        <f t="shared" si="1133"/>
        <v>0</v>
      </c>
      <c r="AR250" s="223">
        <f>+SUBTOTAL(9,AF250:AQ250)</f>
        <v>0</v>
      </c>
      <c r="AS250" s="266"/>
      <c r="AT250" s="263">
        <f t="shared" si="1134"/>
        <v>0</v>
      </c>
      <c r="AU250" s="263">
        <f t="shared" si="1134"/>
        <v>0</v>
      </c>
      <c r="AV250" s="263">
        <f t="shared" si="1134"/>
        <v>0</v>
      </c>
      <c r="AW250" s="263">
        <f t="shared" si="1134"/>
        <v>0</v>
      </c>
      <c r="AX250" s="263">
        <f t="shared" si="1134"/>
        <v>0</v>
      </c>
      <c r="AY250" s="263">
        <f t="shared" si="1134"/>
        <v>0</v>
      </c>
      <c r="AZ250" s="263">
        <f t="shared" si="1134"/>
        <v>0</v>
      </c>
      <c r="BA250" s="263">
        <f t="shared" si="1134"/>
        <v>0</v>
      </c>
      <c r="BB250" s="263">
        <f t="shared" si="1134"/>
        <v>0</v>
      </c>
      <c r="BC250" s="263">
        <f t="shared" si="1134"/>
        <v>0</v>
      </c>
      <c r="BD250" s="263">
        <f t="shared" si="1134"/>
        <v>0</v>
      </c>
      <c r="BE250" s="263">
        <f t="shared" si="1134"/>
        <v>0</v>
      </c>
      <c r="BF250" s="223">
        <f>+SUBTOTAL(9,AT250:BE250)</f>
        <v>0</v>
      </c>
      <c r="BG250" s="224"/>
      <c r="BH250" s="263">
        <f t="shared" si="1135"/>
        <v>0</v>
      </c>
      <c r="BI250" s="263">
        <f t="shared" si="1135"/>
        <v>0</v>
      </c>
      <c r="BJ250" s="263">
        <f t="shared" si="1135"/>
        <v>0</v>
      </c>
      <c r="BK250" s="263">
        <f t="shared" si="1135"/>
        <v>0</v>
      </c>
      <c r="BL250" s="263">
        <f t="shared" si="1135"/>
        <v>0</v>
      </c>
      <c r="BM250" s="263">
        <f t="shared" si="1135"/>
        <v>0</v>
      </c>
      <c r="BN250" s="263">
        <f t="shared" si="1135"/>
        <v>0</v>
      </c>
      <c r="BO250" s="263">
        <f t="shared" si="1135"/>
        <v>0</v>
      </c>
      <c r="BP250" s="263">
        <f t="shared" si="1135"/>
        <v>0</v>
      </c>
      <c r="BQ250" s="263">
        <f t="shared" si="1135"/>
        <v>0</v>
      </c>
      <c r="BR250" s="263">
        <f t="shared" si="1135"/>
        <v>0</v>
      </c>
      <c r="BS250" s="263">
        <f t="shared" si="1135"/>
        <v>0</v>
      </c>
      <c r="BT250" s="223">
        <f>+SUBTOTAL(9,BH250:BS250)</f>
        <v>0</v>
      </c>
      <c r="BU250" s="266"/>
      <c r="BV250" s="263">
        <f t="shared" si="1136"/>
        <v>0</v>
      </c>
      <c r="BW250" s="263">
        <f t="shared" si="1136"/>
        <v>0</v>
      </c>
      <c r="BX250" s="263">
        <f t="shared" si="1136"/>
        <v>0</v>
      </c>
      <c r="BY250" s="263">
        <f t="shared" si="1136"/>
        <v>0</v>
      </c>
      <c r="BZ250" s="263">
        <f t="shared" si="1136"/>
        <v>0</v>
      </c>
      <c r="CA250" s="263">
        <f t="shared" si="1136"/>
        <v>0</v>
      </c>
      <c r="CB250" s="263">
        <f t="shared" si="1136"/>
        <v>0</v>
      </c>
      <c r="CC250" s="263">
        <f t="shared" si="1136"/>
        <v>0</v>
      </c>
      <c r="CD250" s="263">
        <f t="shared" si="1136"/>
        <v>0</v>
      </c>
      <c r="CE250" s="263">
        <f t="shared" si="1136"/>
        <v>0</v>
      </c>
      <c r="CF250" s="263">
        <f t="shared" si="1136"/>
        <v>0</v>
      </c>
      <c r="CG250" s="263">
        <f t="shared" si="1136"/>
        <v>0</v>
      </c>
      <c r="CH250" s="223">
        <f>+SUBTOTAL(9,BV250:CG250)</f>
        <v>0</v>
      </c>
      <c r="CI250" s="284"/>
      <c r="CJ250" s="263">
        <f t="shared" si="1137"/>
        <v>0</v>
      </c>
      <c r="CK250" s="263">
        <f t="shared" si="1137"/>
        <v>0</v>
      </c>
      <c r="CL250" s="263">
        <f t="shared" si="1137"/>
        <v>0</v>
      </c>
      <c r="CM250" s="263">
        <f t="shared" si="1137"/>
        <v>0</v>
      </c>
      <c r="CN250" s="263">
        <f t="shared" si="1137"/>
        <v>0</v>
      </c>
      <c r="CO250" s="263">
        <f t="shared" si="1137"/>
        <v>0</v>
      </c>
      <c r="CP250" s="263">
        <f t="shared" si="1137"/>
        <v>0</v>
      </c>
      <c r="CQ250" s="263">
        <f t="shared" si="1137"/>
        <v>0</v>
      </c>
      <c r="CR250" s="263">
        <f t="shared" si="1137"/>
        <v>0</v>
      </c>
      <c r="CS250" s="263">
        <f t="shared" si="1137"/>
        <v>0</v>
      </c>
      <c r="CT250" s="263">
        <f t="shared" si="1137"/>
        <v>0</v>
      </c>
      <c r="CU250" s="263">
        <f t="shared" si="1137"/>
        <v>0</v>
      </c>
      <c r="CV250" s="223">
        <f>+SUBTOTAL(9,CJ250:CU250)</f>
        <v>0</v>
      </c>
      <c r="CW250" s="284"/>
      <c r="CX250" s="263">
        <f t="shared" si="1138"/>
        <v>0</v>
      </c>
      <c r="CY250" s="263">
        <f t="shared" si="1138"/>
        <v>0</v>
      </c>
      <c r="CZ250" s="263">
        <f t="shared" si="1138"/>
        <v>0</v>
      </c>
      <c r="DA250" s="263">
        <f t="shared" si="1138"/>
        <v>0</v>
      </c>
      <c r="DB250" s="263">
        <f t="shared" si="1138"/>
        <v>0</v>
      </c>
      <c r="DC250" s="263">
        <f t="shared" si="1138"/>
        <v>0</v>
      </c>
      <c r="DD250" s="263">
        <f t="shared" si="1138"/>
        <v>0</v>
      </c>
      <c r="DE250" s="263">
        <f t="shared" si="1138"/>
        <v>0</v>
      </c>
      <c r="DF250" s="263">
        <f t="shared" si="1138"/>
        <v>0</v>
      </c>
      <c r="DG250" s="263">
        <f t="shared" si="1138"/>
        <v>0</v>
      </c>
      <c r="DH250" s="263">
        <f t="shared" si="1138"/>
        <v>0</v>
      </c>
      <c r="DI250" s="263">
        <f t="shared" si="1138"/>
        <v>0</v>
      </c>
      <c r="DJ250" s="223">
        <f>+SUBTOTAL(9,CX250:DI250)</f>
        <v>0</v>
      </c>
      <c r="DK250" s="284"/>
      <c r="DL250" s="263">
        <f t="shared" si="1139"/>
        <v>0</v>
      </c>
      <c r="DM250" s="263">
        <f t="shared" si="1139"/>
        <v>0</v>
      </c>
      <c r="DN250" s="263">
        <f t="shared" si="1139"/>
        <v>0</v>
      </c>
      <c r="DO250" s="263">
        <f t="shared" si="1139"/>
        <v>0</v>
      </c>
      <c r="DP250" s="263">
        <f t="shared" si="1139"/>
        <v>0</v>
      </c>
      <c r="DQ250" s="263">
        <f t="shared" si="1139"/>
        <v>0</v>
      </c>
      <c r="DR250" s="263">
        <f t="shared" si="1139"/>
        <v>0</v>
      </c>
      <c r="DS250" s="263">
        <f t="shared" si="1139"/>
        <v>0</v>
      </c>
      <c r="DT250" s="263">
        <f t="shared" si="1139"/>
        <v>0</v>
      </c>
      <c r="DU250" s="263">
        <f t="shared" si="1139"/>
        <v>0</v>
      </c>
      <c r="DV250" s="263">
        <f t="shared" si="1139"/>
        <v>0</v>
      </c>
      <c r="DW250" s="263">
        <f t="shared" si="1139"/>
        <v>0</v>
      </c>
      <c r="DX250" s="223">
        <f>+SUBTOTAL(9,DL250:DW250)</f>
        <v>0</v>
      </c>
      <c r="DY250" s="284"/>
      <c r="DZ250" s="263">
        <f t="shared" si="1140"/>
        <v>0</v>
      </c>
      <c r="EA250" s="263">
        <f t="shared" si="1140"/>
        <v>0</v>
      </c>
      <c r="EB250" s="263">
        <f t="shared" si="1140"/>
        <v>0</v>
      </c>
      <c r="EC250" s="263">
        <f t="shared" si="1140"/>
        <v>0</v>
      </c>
      <c r="ED250" s="263">
        <f t="shared" si="1140"/>
        <v>0</v>
      </c>
      <c r="EE250" s="263">
        <f t="shared" si="1140"/>
        <v>0</v>
      </c>
      <c r="EF250" s="263">
        <f t="shared" si="1140"/>
        <v>0</v>
      </c>
      <c r="EG250" s="263">
        <f t="shared" si="1140"/>
        <v>0</v>
      </c>
      <c r="EH250" s="263">
        <f t="shared" si="1140"/>
        <v>0</v>
      </c>
      <c r="EI250" s="263">
        <f t="shared" si="1140"/>
        <v>0</v>
      </c>
      <c r="EJ250" s="263">
        <f t="shared" si="1140"/>
        <v>0</v>
      </c>
      <c r="EK250" s="263">
        <f t="shared" si="1140"/>
        <v>0</v>
      </c>
      <c r="EL250" s="223">
        <f>+SUBTOTAL(9,DZ250:EK250)</f>
        <v>0</v>
      </c>
      <c r="EM250" s="284"/>
      <c r="EN250" s="263">
        <f t="shared" si="1141"/>
        <v>0</v>
      </c>
      <c r="EO250" s="263">
        <f t="shared" si="1141"/>
        <v>0</v>
      </c>
      <c r="EP250" s="263">
        <f t="shared" si="1141"/>
        <v>0</v>
      </c>
      <c r="EQ250" s="263">
        <f t="shared" si="1141"/>
        <v>0</v>
      </c>
      <c r="ER250" s="263">
        <f t="shared" si="1141"/>
        <v>0</v>
      </c>
      <c r="ES250" s="263">
        <f t="shared" si="1141"/>
        <v>0</v>
      </c>
      <c r="ET250" s="263">
        <f t="shared" si="1141"/>
        <v>0</v>
      </c>
      <c r="EU250" s="263">
        <f t="shared" si="1141"/>
        <v>0</v>
      </c>
      <c r="EV250" s="263">
        <f t="shared" si="1141"/>
        <v>0</v>
      </c>
      <c r="EW250" s="263">
        <f t="shared" si="1141"/>
        <v>0</v>
      </c>
      <c r="EX250" s="263">
        <f t="shared" si="1141"/>
        <v>0</v>
      </c>
      <c r="EY250" s="263">
        <f t="shared" si="1141"/>
        <v>0</v>
      </c>
      <c r="EZ250" s="223">
        <f>+SUBTOTAL(9,EN250:EY250)</f>
        <v>0</v>
      </c>
      <c r="FA250" s="284"/>
      <c r="FB250" s="263">
        <f t="shared" si="1142"/>
        <v>0</v>
      </c>
      <c r="FC250" s="263">
        <f t="shared" si="1142"/>
        <v>0</v>
      </c>
      <c r="FD250" s="263">
        <f t="shared" si="1142"/>
        <v>0</v>
      </c>
      <c r="FE250" s="263">
        <f t="shared" si="1142"/>
        <v>0</v>
      </c>
      <c r="FF250" s="263">
        <f t="shared" si="1142"/>
        <v>0</v>
      </c>
      <c r="FG250" s="263">
        <f t="shared" si="1142"/>
        <v>0</v>
      </c>
      <c r="FH250" s="263">
        <f t="shared" si="1142"/>
        <v>0</v>
      </c>
      <c r="FI250" s="263">
        <f t="shared" si="1142"/>
        <v>0</v>
      </c>
      <c r="FJ250" s="263">
        <f t="shared" si="1142"/>
        <v>0</v>
      </c>
      <c r="FK250" s="263">
        <f t="shared" si="1142"/>
        <v>0</v>
      </c>
      <c r="FL250" s="263">
        <f t="shared" si="1142"/>
        <v>0</v>
      </c>
      <c r="FM250" s="263">
        <f t="shared" si="1142"/>
        <v>0</v>
      </c>
      <c r="FN250" s="223">
        <f>+SUBTOTAL(9,FB250:FM250)</f>
        <v>0</v>
      </c>
      <c r="FO250" s="284"/>
      <c r="FP250" s="263">
        <f t="shared" si="1143"/>
        <v>0</v>
      </c>
      <c r="FQ250" s="263">
        <f t="shared" si="1143"/>
        <v>0</v>
      </c>
      <c r="FR250" s="263">
        <f t="shared" si="1143"/>
        <v>0</v>
      </c>
      <c r="FS250" s="263">
        <f t="shared" si="1143"/>
        <v>0</v>
      </c>
      <c r="FT250" s="263">
        <f t="shared" si="1143"/>
        <v>0</v>
      </c>
      <c r="FU250" s="263">
        <f t="shared" si="1143"/>
        <v>0</v>
      </c>
      <c r="FV250" s="263">
        <f t="shared" si="1143"/>
        <v>0</v>
      </c>
      <c r="FW250" s="263">
        <f t="shared" si="1143"/>
        <v>0</v>
      </c>
      <c r="FX250" s="263">
        <f t="shared" si="1143"/>
        <v>0</v>
      </c>
      <c r="FY250" s="263">
        <f t="shared" si="1143"/>
        <v>0</v>
      </c>
      <c r="FZ250" s="263">
        <f t="shared" si="1143"/>
        <v>0</v>
      </c>
      <c r="GA250" s="263">
        <f t="shared" si="1143"/>
        <v>0</v>
      </c>
      <c r="GB250" s="223">
        <f>+SUBTOTAL(9,FP250:GA250)</f>
        <v>0</v>
      </c>
      <c r="GC250" s="284"/>
      <c r="GD250" s="263">
        <f t="shared" si="1144"/>
        <v>0</v>
      </c>
      <c r="GE250" s="263">
        <f t="shared" si="1144"/>
        <v>0</v>
      </c>
      <c r="GF250" s="263">
        <f t="shared" si="1144"/>
        <v>0</v>
      </c>
      <c r="GG250" s="263">
        <f t="shared" si="1144"/>
        <v>0</v>
      </c>
      <c r="GH250" s="263">
        <f t="shared" si="1144"/>
        <v>0</v>
      </c>
      <c r="GI250" s="263">
        <f t="shared" si="1144"/>
        <v>0</v>
      </c>
      <c r="GJ250" s="263">
        <f t="shared" si="1144"/>
        <v>0</v>
      </c>
      <c r="GK250" s="263">
        <f t="shared" si="1144"/>
        <v>0</v>
      </c>
      <c r="GL250" s="263">
        <f t="shared" si="1144"/>
        <v>0</v>
      </c>
      <c r="GM250" s="263">
        <f t="shared" si="1144"/>
        <v>0</v>
      </c>
      <c r="GN250" s="263">
        <f t="shared" si="1144"/>
        <v>0</v>
      </c>
      <c r="GO250" s="263">
        <f t="shared" si="1144"/>
        <v>0</v>
      </c>
      <c r="GP250" s="223">
        <f>+SUBTOTAL(9,GD250:GO250)</f>
        <v>0</v>
      </c>
      <c r="GQ250" s="284"/>
      <c r="GR250" s="263">
        <f t="shared" si="1145"/>
        <v>0</v>
      </c>
      <c r="GS250" s="263">
        <f t="shared" si="1145"/>
        <v>0</v>
      </c>
      <c r="GT250" s="263">
        <f t="shared" si="1145"/>
        <v>0</v>
      </c>
      <c r="GU250" s="263">
        <f t="shared" si="1145"/>
        <v>0</v>
      </c>
      <c r="GV250" s="263">
        <f t="shared" si="1145"/>
        <v>0</v>
      </c>
      <c r="GW250" s="263">
        <f t="shared" si="1145"/>
        <v>0</v>
      </c>
      <c r="GX250" s="263">
        <f t="shared" si="1145"/>
        <v>0</v>
      </c>
      <c r="GY250" s="263">
        <f t="shared" si="1145"/>
        <v>0</v>
      </c>
      <c r="GZ250" s="263">
        <f t="shared" si="1145"/>
        <v>0</v>
      </c>
      <c r="HA250" s="263">
        <f t="shared" si="1145"/>
        <v>0</v>
      </c>
      <c r="HB250" s="263">
        <f t="shared" si="1145"/>
        <v>0</v>
      </c>
      <c r="HC250" s="263">
        <f t="shared" si="1145"/>
        <v>0</v>
      </c>
      <c r="HD250" s="223">
        <f t="shared" si="1048"/>
        <v>0</v>
      </c>
      <c r="HE250" s="284"/>
      <c r="HF250" s="263">
        <f t="shared" si="1146"/>
        <v>0</v>
      </c>
      <c r="HG250" s="263">
        <f t="shared" si="1146"/>
        <v>0</v>
      </c>
      <c r="HH250" s="263">
        <f t="shared" si="1146"/>
        <v>0</v>
      </c>
      <c r="HI250" s="263">
        <f t="shared" si="1146"/>
        <v>0</v>
      </c>
      <c r="HJ250" s="263">
        <f t="shared" si="1146"/>
        <v>0</v>
      </c>
      <c r="HK250" s="263">
        <f t="shared" si="1146"/>
        <v>0</v>
      </c>
      <c r="HL250" s="263">
        <f t="shared" si="1146"/>
        <v>0</v>
      </c>
      <c r="HM250" s="263">
        <f t="shared" si="1146"/>
        <v>0</v>
      </c>
      <c r="HN250" s="263">
        <f t="shared" si="1146"/>
        <v>0</v>
      </c>
      <c r="HO250" s="263">
        <f t="shared" si="1146"/>
        <v>0</v>
      </c>
      <c r="HP250" s="263">
        <f t="shared" si="1146"/>
        <v>0</v>
      </c>
      <c r="HQ250" s="263">
        <f t="shared" si="1146"/>
        <v>0</v>
      </c>
      <c r="HR250" s="223">
        <f>+SUBTOTAL(9,HF250:HQ250)</f>
        <v>0</v>
      </c>
      <c r="HS250" s="284"/>
      <c r="HT250" s="263">
        <f t="shared" si="1147"/>
        <v>0</v>
      </c>
      <c r="HU250" s="263">
        <f t="shared" si="1147"/>
        <v>0</v>
      </c>
      <c r="HV250" s="263">
        <f t="shared" si="1147"/>
        <v>0</v>
      </c>
      <c r="HW250" s="263">
        <f t="shared" si="1147"/>
        <v>0</v>
      </c>
      <c r="HX250" s="263">
        <f t="shared" si="1147"/>
        <v>0</v>
      </c>
      <c r="HY250" s="263">
        <f t="shared" si="1147"/>
        <v>0</v>
      </c>
      <c r="HZ250" s="263">
        <f t="shared" si="1147"/>
        <v>0</v>
      </c>
      <c r="IA250" s="263">
        <f t="shared" si="1147"/>
        <v>0</v>
      </c>
      <c r="IB250" s="263">
        <f t="shared" si="1147"/>
        <v>0</v>
      </c>
      <c r="IC250" s="263">
        <f t="shared" si="1147"/>
        <v>0</v>
      </c>
      <c r="ID250" s="263">
        <f t="shared" si="1147"/>
        <v>0</v>
      </c>
      <c r="IE250" s="263">
        <f t="shared" si="1147"/>
        <v>0</v>
      </c>
      <c r="IF250" s="223">
        <f>+SUBTOTAL(9,HT250:IE250)</f>
        <v>0</v>
      </c>
      <c r="IG250" s="284"/>
      <c r="IH250" s="263">
        <f t="shared" si="1148"/>
        <v>0</v>
      </c>
      <c r="II250" s="263">
        <f t="shared" si="1148"/>
        <v>0</v>
      </c>
      <c r="IJ250" s="263">
        <f t="shared" si="1148"/>
        <v>0</v>
      </c>
      <c r="IK250" s="263">
        <f t="shared" si="1148"/>
        <v>0</v>
      </c>
      <c r="IL250" s="263">
        <f t="shared" si="1148"/>
        <v>0</v>
      </c>
      <c r="IM250" s="263">
        <f t="shared" si="1148"/>
        <v>0</v>
      </c>
      <c r="IN250" s="263">
        <f t="shared" si="1148"/>
        <v>0</v>
      </c>
      <c r="IO250" s="263">
        <f t="shared" si="1148"/>
        <v>0</v>
      </c>
      <c r="IP250" s="263">
        <f t="shared" si="1148"/>
        <v>0</v>
      </c>
      <c r="IQ250" s="263">
        <f t="shared" si="1148"/>
        <v>0</v>
      </c>
      <c r="IR250" s="263">
        <f t="shared" si="1148"/>
        <v>0</v>
      </c>
      <c r="IS250" s="263">
        <f t="shared" si="1148"/>
        <v>0</v>
      </c>
      <c r="IT250" s="223">
        <f>+SUBTOTAL(9,IH250:IS250)</f>
        <v>0</v>
      </c>
      <c r="IU250" s="284"/>
      <c r="IV250" s="263">
        <f t="shared" si="1149"/>
        <v>0</v>
      </c>
      <c r="IW250" s="263">
        <f t="shared" si="1149"/>
        <v>0</v>
      </c>
      <c r="IX250" s="263">
        <f t="shared" si="1149"/>
        <v>0</v>
      </c>
      <c r="IY250" s="263">
        <f t="shared" si="1149"/>
        <v>0</v>
      </c>
      <c r="IZ250" s="263">
        <f t="shared" si="1149"/>
        <v>0</v>
      </c>
      <c r="JA250" s="263">
        <f t="shared" si="1149"/>
        <v>0</v>
      </c>
      <c r="JB250" s="263">
        <f t="shared" si="1149"/>
        <v>0</v>
      </c>
      <c r="JC250" s="263">
        <f t="shared" si="1149"/>
        <v>0</v>
      </c>
      <c r="JD250" s="263">
        <f t="shared" si="1149"/>
        <v>0</v>
      </c>
      <c r="JE250" s="263">
        <f t="shared" si="1149"/>
        <v>0</v>
      </c>
      <c r="JF250" s="263">
        <f t="shared" si="1149"/>
        <v>0</v>
      </c>
      <c r="JG250" s="263">
        <f t="shared" si="1149"/>
        <v>0</v>
      </c>
      <c r="JH250" s="223">
        <f>+SUBTOTAL(9,IV250:JG250)</f>
        <v>0</v>
      </c>
      <c r="JI250" s="284"/>
      <c r="JJ250" s="263">
        <f t="shared" si="1150"/>
        <v>0</v>
      </c>
      <c r="JK250" s="263">
        <f t="shared" si="1150"/>
        <v>0</v>
      </c>
      <c r="JL250" s="263">
        <f t="shared" si="1150"/>
        <v>0</v>
      </c>
      <c r="JM250" s="263">
        <f t="shared" si="1150"/>
        <v>0</v>
      </c>
      <c r="JN250" s="263">
        <f t="shared" si="1150"/>
        <v>0</v>
      </c>
      <c r="JO250" s="263">
        <f t="shared" si="1150"/>
        <v>0</v>
      </c>
      <c r="JP250" s="263">
        <f t="shared" si="1150"/>
        <v>0</v>
      </c>
      <c r="JQ250" s="263">
        <f t="shared" si="1150"/>
        <v>0</v>
      </c>
      <c r="JR250" s="263">
        <f t="shared" si="1150"/>
        <v>0</v>
      </c>
      <c r="JS250" s="263">
        <f t="shared" si="1150"/>
        <v>0</v>
      </c>
      <c r="JT250" s="263">
        <f t="shared" si="1150"/>
        <v>0</v>
      </c>
      <c r="JU250" s="263">
        <f t="shared" si="1150"/>
        <v>0</v>
      </c>
      <c r="JV250" s="223">
        <f>+SUBTOTAL(9,JJ250:JU250)</f>
        <v>0</v>
      </c>
      <c r="JW250" s="284"/>
      <c r="JX250" s="263">
        <f t="shared" si="1151"/>
        <v>0</v>
      </c>
      <c r="JY250" s="263">
        <f t="shared" si="1151"/>
        <v>0</v>
      </c>
      <c r="JZ250" s="263">
        <f t="shared" si="1151"/>
        <v>0</v>
      </c>
      <c r="KA250" s="263">
        <f t="shared" si="1151"/>
        <v>0</v>
      </c>
      <c r="KB250" s="263">
        <f t="shared" si="1151"/>
        <v>0</v>
      </c>
      <c r="KC250" s="263">
        <f t="shared" si="1151"/>
        <v>0</v>
      </c>
      <c r="KD250" s="263">
        <f t="shared" si="1151"/>
        <v>0</v>
      </c>
      <c r="KE250" s="263">
        <f t="shared" si="1151"/>
        <v>0</v>
      </c>
      <c r="KF250" s="263">
        <f t="shared" si="1151"/>
        <v>0</v>
      </c>
      <c r="KG250" s="263">
        <f t="shared" si="1151"/>
        <v>0</v>
      </c>
      <c r="KH250" s="263">
        <f t="shared" si="1151"/>
        <v>0</v>
      </c>
      <c r="KI250" s="263">
        <f t="shared" si="1151"/>
        <v>0</v>
      </c>
      <c r="KJ250" s="223">
        <f>+SUBTOTAL(9,JX250:KI250)</f>
        <v>0</v>
      </c>
      <c r="KK250" s="284"/>
      <c r="KL250" s="263">
        <f t="shared" si="1152"/>
        <v>0</v>
      </c>
      <c r="KM250" s="263">
        <f t="shared" si="1152"/>
        <v>0</v>
      </c>
      <c r="KN250" s="263">
        <f t="shared" si="1152"/>
        <v>0</v>
      </c>
      <c r="KO250" s="263">
        <f t="shared" si="1152"/>
        <v>0</v>
      </c>
      <c r="KP250" s="263">
        <f t="shared" si="1152"/>
        <v>0</v>
      </c>
      <c r="KQ250" s="263">
        <f t="shared" si="1152"/>
        <v>0</v>
      </c>
      <c r="KR250" s="263">
        <f t="shared" si="1152"/>
        <v>0</v>
      </c>
      <c r="KS250" s="263">
        <f t="shared" si="1152"/>
        <v>0</v>
      </c>
      <c r="KT250" s="263">
        <f t="shared" si="1152"/>
        <v>0</v>
      </c>
      <c r="KU250" s="263">
        <f t="shared" si="1152"/>
        <v>0</v>
      </c>
      <c r="KV250" s="263">
        <f t="shared" si="1152"/>
        <v>0</v>
      </c>
      <c r="KW250" s="263">
        <f t="shared" si="1152"/>
        <v>0</v>
      </c>
      <c r="KX250" s="223">
        <f>+SUBTOTAL(9,KL250:KW250)</f>
        <v>0</v>
      </c>
      <c r="KY250" s="284"/>
      <c r="KZ250" s="263">
        <f t="shared" si="1153"/>
        <v>0</v>
      </c>
      <c r="LA250" s="263">
        <f t="shared" si="1153"/>
        <v>0</v>
      </c>
      <c r="LB250" s="263">
        <f t="shared" si="1153"/>
        <v>0</v>
      </c>
      <c r="LC250" s="263">
        <f t="shared" si="1153"/>
        <v>0</v>
      </c>
      <c r="LD250" s="263">
        <f t="shared" si="1153"/>
        <v>0</v>
      </c>
      <c r="LE250" s="263">
        <f t="shared" si="1153"/>
        <v>0</v>
      </c>
      <c r="LF250" s="263">
        <f t="shared" si="1153"/>
        <v>0</v>
      </c>
      <c r="LG250" s="263">
        <f t="shared" si="1153"/>
        <v>0</v>
      </c>
      <c r="LH250" s="263">
        <f t="shared" si="1153"/>
        <v>0</v>
      </c>
      <c r="LI250" s="263">
        <f t="shared" si="1153"/>
        <v>0</v>
      </c>
      <c r="LJ250" s="263">
        <f t="shared" si="1153"/>
        <v>0</v>
      </c>
      <c r="LK250" s="263">
        <f t="shared" si="1153"/>
        <v>0</v>
      </c>
      <c r="LL250" s="223">
        <f>+SUBTOTAL(9,KZ250:LK250)</f>
        <v>0</v>
      </c>
      <c r="LM250" s="284"/>
      <c r="LN250" s="263">
        <v>0</v>
      </c>
      <c r="LO250" s="264">
        <v>0</v>
      </c>
      <c r="LP250" s="265">
        <v>0</v>
      </c>
      <c r="LQ250" s="265">
        <v>0</v>
      </c>
      <c r="LR250" s="265">
        <v>0</v>
      </c>
      <c r="LS250" s="265">
        <v>0</v>
      </c>
      <c r="LT250" s="265">
        <v>0</v>
      </c>
      <c r="LU250" s="265">
        <v>0</v>
      </c>
      <c r="LV250" s="265">
        <v>0</v>
      </c>
      <c r="LW250" s="265">
        <v>0</v>
      </c>
      <c r="LX250" s="265">
        <v>0</v>
      </c>
      <c r="LY250" s="265">
        <v>0</v>
      </c>
      <c r="LZ250" s="223">
        <f>+SUBTOTAL(9,LN250:LY250)</f>
        <v>0</v>
      </c>
      <c r="MA250" s="284"/>
      <c r="MB250" s="230">
        <f t="shared" si="1154"/>
        <v>0</v>
      </c>
      <c r="MC250" s="230">
        <f t="shared" si="1154"/>
        <v>0</v>
      </c>
      <c r="MD250" s="230">
        <f t="shared" si="1154"/>
        <v>0</v>
      </c>
      <c r="ME250" s="230">
        <f t="shared" si="1154"/>
        <v>0</v>
      </c>
      <c r="MF250" s="230">
        <f t="shared" si="1154"/>
        <v>0</v>
      </c>
      <c r="MG250" s="230">
        <f t="shared" si="1154"/>
        <v>0</v>
      </c>
      <c r="MH250" s="230">
        <f t="shared" si="1154"/>
        <v>0</v>
      </c>
      <c r="MI250" s="230">
        <f t="shared" si="1154"/>
        <v>0</v>
      </c>
      <c r="MJ250" s="230">
        <f t="shared" si="1154"/>
        <v>0</v>
      </c>
      <c r="MK250" s="230">
        <f t="shared" si="1154"/>
        <v>0</v>
      </c>
      <c r="ML250" s="230">
        <f t="shared" si="1154"/>
        <v>0</v>
      </c>
      <c r="MM250" s="230">
        <f t="shared" si="1154"/>
        <v>0</v>
      </c>
      <c r="MN250" s="230">
        <f t="shared" si="1155"/>
        <v>0</v>
      </c>
    </row>
    <row r="251" spans="1:352" x14ac:dyDescent="0.25">
      <c r="A251" s="262"/>
      <c r="B251" s="64" t="s">
        <v>101</v>
      </c>
      <c r="C251" s="172"/>
      <c r="D251" s="263">
        <f t="shared" si="1131"/>
        <v>1.371298439935237</v>
      </c>
      <c r="E251" s="263">
        <f t="shared" si="1131"/>
        <v>1.371298439935237</v>
      </c>
      <c r="F251" s="263">
        <f t="shared" si="1131"/>
        <v>1.371298439935237</v>
      </c>
      <c r="G251" s="263">
        <f t="shared" si="1131"/>
        <v>1.371298439935237</v>
      </c>
      <c r="H251" s="263">
        <f t="shared" si="1131"/>
        <v>1.371298439935237</v>
      </c>
      <c r="I251" s="263">
        <f t="shared" si="1131"/>
        <v>1.371298439935237</v>
      </c>
      <c r="J251" s="263">
        <f t="shared" si="1131"/>
        <v>1.371298439935237</v>
      </c>
      <c r="K251" s="263">
        <f t="shared" si="1131"/>
        <v>1.371298439935237</v>
      </c>
      <c r="L251" s="263">
        <f t="shared" si="1131"/>
        <v>1.371298439935237</v>
      </c>
      <c r="M251" s="263">
        <f t="shared" si="1131"/>
        <v>1.371298439935237</v>
      </c>
      <c r="N251" s="263">
        <f t="shared" si="1131"/>
        <v>1.371298439935237</v>
      </c>
      <c r="O251" s="263">
        <f t="shared" si="1131"/>
        <v>1.371298439935237</v>
      </c>
      <c r="P251" s="223">
        <f>+SUBTOTAL(9,D251:O251)</f>
        <v>16.455581279222848</v>
      </c>
      <c r="Q251" s="284"/>
      <c r="R251" s="263">
        <f t="shared" si="1132"/>
        <v>0.14185845930364518</v>
      </c>
      <c r="S251" s="263">
        <f t="shared" si="1132"/>
        <v>0.14185845930364518</v>
      </c>
      <c r="T251" s="263">
        <f t="shared" si="1132"/>
        <v>0.14185845930364518</v>
      </c>
      <c r="U251" s="263">
        <f t="shared" si="1132"/>
        <v>0.14185845930364518</v>
      </c>
      <c r="V251" s="263">
        <f t="shared" si="1132"/>
        <v>0.14185845930364518</v>
      </c>
      <c r="W251" s="263">
        <f t="shared" si="1132"/>
        <v>0.14185845930364518</v>
      </c>
      <c r="X251" s="263">
        <f t="shared" si="1132"/>
        <v>0.14185845930364518</v>
      </c>
      <c r="Y251" s="263">
        <f t="shared" si="1132"/>
        <v>0.14185845930364518</v>
      </c>
      <c r="Z251" s="263">
        <f t="shared" si="1132"/>
        <v>0.14185845930364518</v>
      </c>
      <c r="AA251" s="263">
        <f t="shared" si="1132"/>
        <v>0.14185845930364518</v>
      </c>
      <c r="AB251" s="263">
        <f t="shared" si="1132"/>
        <v>0.14185845930364518</v>
      </c>
      <c r="AC251" s="263">
        <f t="shared" si="1132"/>
        <v>0.14185845930364518</v>
      </c>
      <c r="AD251" s="223">
        <f>+SUBTOTAL(9,R251:AC251)</f>
        <v>1.7023015116437421</v>
      </c>
      <c r="AE251" s="284"/>
      <c r="AF251" s="263">
        <f t="shared" si="1133"/>
        <v>0.14185845930364518</v>
      </c>
      <c r="AG251" s="263">
        <f t="shared" si="1133"/>
        <v>0.14185845930364518</v>
      </c>
      <c r="AH251" s="263">
        <f t="shared" si="1133"/>
        <v>0.14185845930364518</v>
      </c>
      <c r="AI251" s="263">
        <f t="shared" si="1133"/>
        <v>0.14185845930364518</v>
      </c>
      <c r="AJ251" s="263">
        <f t="shared" si="1133"/>
        <v>0.14185845930364518</v>
      </c>
      <c r="AK251" s="263">
        <f t="shared" si="1133"/>
        <v>0.14185845930364518</v>
      </c>
      <c r="AL251" s="263">
        <f t="shared" si="1133"/>
        <v>0.14185845930364518</v>
      </c>
      <c r="AM251" s="263">
        <f t="shared" si="1133"/>
        <v>0.14185845930364518</v>
      </c>
      <c r="AN251" s="263">
        <f t="shared" si="1133"/>
        <v>0.14185845930364518</v>
      </c>
      <c r="AO251" s="263">
        <f t="shared" si="1133"/>
        <v>0.14185845930364518</v>
      </c>
      <c r="AP251" s="263">
        <f t="shared" si="1133"/>
        <v>0.14185845930364518</v>
      </c>
      <c r="AQ251" s="263">
        <f t="shared" si="1133"/>
        <v>0.14185845930364518</v>
      </c>
      <c r="AR251" s="223">
        <f>+SUBTOTAL(9,AF251:AQ251)</f>
        <v>1.7023015116437421</v>
      </c>
      <c r="AS251" s="266"/>
      <c r="AT251" s="263">
        <f t="shared" si="1134"/>
        <v>9.4572306202430137E-2</v>
      </c>
      <c r="AU251" s="263">
        <f t="shared" si="1134"/>
        <v>9.4572306202430137E-2</v>
      </c>
      <c r="AV251" s="263">
        <f t="shared" si="1134"/>
        <v>9.4572306202430137E-2</v>
      </c>
      <c r="AW251" s="263">
        <f t="shared" si="1134"/>
        <v>9.4572306202430137E-2</v>
      </c>
      <c r="AX251" s="263">
        <f t="shared" si="1134"/>
        <v>9.4572306202430137E-2</v>
      </c>
      <c r="AY251" s="263">
        <f t="shared" si="1134"/>
        <v>9.4572306202430137E-2</v>
      </c>
      <c r="AZ251" s="263">
        <f t="shared" si="1134"/>
        <v>9.4572306202430137E-2</v>
      </c>
      <c r="BA251" s="263">
        <f t="shared" si="1134"/>
        <v>9.4572306202430137E-2</v>
      </c>
      <c r="BB251" s="263">
        <f t="shared" si="1134"/>
        <v>9.4572306202430137E-2</v>
      </c>
      <c r="BC251" s="263">
        <f t="shared" si="1134"/>
        <v>9.4572306202430137E-2</v>
      </c>
      <c r="BD251" s="263">
        <f t="shared" si="1134"/>
        <v>9.4572306202430137E-2</v>
      </c>
      <c r="BE251" s="263">
        <f t="shared" si="1134"/>
        <v>9.4572306202430137E-2</v>
      </c>
      <c r="BF251" s="223">
        <f>+SUBTOTAL(9,AT251:BE251)</f>
        <v>1.1348676744291619</v>
      </c>
      <c r="BG251" s="224"/>
      <c r="BH251" s="263">
        <f t="shared" si="1135"/>
        <v>0.70929229651822601</v>
      </c>
      <c r="BI251" s="263">
        <f t="shared" si="1135"/>
        <v>0.70929229651822601</v>
      </c>
      <c r="BJ251" s="263">
        <f t="shared" si="1135"/>
        <v>0.70929229651822601</v>
      </c>
      <c r="BK251" s="263">
        <f t="shared" si="1135"/>
        <v>0.70929229651822601</v>
      </c>
      <c r="BL251" s="263">
        <f t="shared" si="1135"/>
        <v>0.70929229651822601</v>
      </c>
      <c r="BM251" s="263">
        <f t="shared" si="1135"/>
        <v>0.70929229651822601</v>
      </c>
      <c r="BN251" s="263">
        <f t="shared" si="1135"/>
        <v>0.70929229651822601</v>
      </c>
      <c r="BO251" s="263">
        <f t="shared" si="1135"/>
        <v>0.70929229651822601</v>
      </c>
      <c r="BP251" s="263">
        <f t="shared" si="1135"/>
        <v>0.70929229651822601</v>
      </c>
      <c r="BQ251" s="263">
        <f t="shared" si="1135"/>
        <v>0.70929229651822601</v>
      </c>
      <c r="BR251" s="263">
        <f t="shared" si="1135"/>
        <v>0.70929229651822601</v>
      </c>
      <c r="BS251" s="263">
        <f t="shared" si="1135"/>
        <v>0.70929229651822601</v>
      </c>
      <c r="BT251" s="223">
        <f>+SUBTOTAL(9,BH251:BS251)</f>
        <v>8.5115075582187139</v>
      </c>
      <c r="BU251" s="266"/>
      <c r="BV251" s="263">
        <f t="shared" si="1136"/>
        <v>4.7286153101215068E-2</v>
      </c>
      <c r="BW251" s="263">
        <f t="shared" si="1136"/>
        <v>4.7286153101215068E-2</v>
      </c>
      <c r="BX251" s="263">
        <f t="shared" si="1136"/>
        <v>4.7286153101215068E-2</v>
      </c>
      <c r="BY251" s="263">
        <f t="shared" si="1136"/>
        <v>4.7286153101215068E-2</v>
      </c>
      <c r="BZ251" s="263">
        <f t="shared" si="1136"/>
        <v>4.7286153101215068E-2</v>
      </c>
      <c r="CA251" s="263">
        <f t="shared" si="1136"/>
        <v>4.7286153101215068E-2</v>
      </c>
      <c r="CB251" s="263">
        <f t="shared" si="1136"/>
        <v>4.7286153101215068E-2</v>
      </c>
      <c r="CC251" s="263">
        <f t="shared" si="1136"/>
        <v>4.7286153101215068E-2</v>
      </c>
      <c r="CD251" s="263">
        <f t="shared" si="1136"/>
        <v>4.7286153101215068E-2</v>
      </c>
      <c r="CE251" s="263">
        <f t="shared" si="1136"/>
        <v>4.7286153101215068E-2</v>
      </c>
      <c r="CF251" s="263">
        <f t="shared" si="1136"/>
        <v>4.7286153101215068E-2</v>
      </c>
      <c r="CG251" s="263">
        <f t="shared" si="1136"/>
        <v>4.7286153101215068E-2</v>
      </c>
      <c r="CH251" s="223">
        <f>+SUBTOTAL(9,BV251:CG251)</f>
        <v>0.56743383721458096</v>
      </c>
      <c r="CI251" s="284"/>
      <c r="CJ251" s="263">
        <f t="shared" si="1137"/>
        <v>0.52014768411336576</v>
      </c>
      <c r="CK251" s="263">
        <f t="shared" si="1137"/>
        <v>0.52014768411336576</v>
      </c>
      <c r="CL251" s="263">
        <f t="shared" si="1137"/>
        <v>0.52014768411336576</v>
      </c>
      <c r="CM251" s="263">
        <f t="shared" si="1137"/>
        <v>0.52014768411336576</v>
      </c>
      <c r="CN251" s="263">
        <f t="shared" si="1137"/>
        <v>0.52014768411336576</v>
      </c>
      <c r="CO251" s="263">
        <f t="shared" si="1137"/>
        <v>0.52014768411336576</v>
      </c>
      <c r="CP251" s="263">
        <f t="shared" si="1137"/>
        <v>0.52014768411336576</v>
      </c>
      <c r="CQ251" s="263">
        <f t="shared" si="1137"/>
        <v>0.52014768411336576</v>
      </c>
      <c r="CR251" s="263">
        <f t="shared" si="1137"/>
        <v>0.52014768411336576</v>
      </c>
      <c r="CS251" s="263">
        <f t="shared" si="1137"/>
        <v>0.52014768411336576</v>
      </c>
      <c r="CT251" s="263">
        <f t="shared" si="1137"/>
        <v>0.52014768411336576</v>
      </c>
      <c r="CU251" s="263">
        <f t="shared" si="1137"/>
        <v>0.52014768411336576</v>
      </c>
      <c r="CV251" s="223">
        <f>+SUBTOTAL(9,CJ251:CU251)</f>
        <v>6.2417722093603887</v>
      </c>
      <c r="CW251" s="284"/>
      <c r="CX251" s="263">
        <f t="shared" si="1138"/>
        <v>1.3240122868340218</v>
      </c>
      <c r="CY251" s="263">
        <f t="shared" si="1138"/>
        <v>1.3240122868340218</v>
      </c>
      <c r="CZ251" s="263">
        <f t="shared" si="1138"/>
        <v>1.3240122868340218</v>
      </c>
      <c r="DA251" s="263">
        <f t="shared" si="1138"/>
        <v>1.3240122868340218</v>
      </c>
      <c r="DB251" s="263">
        <f t="shared" si="1138"/>
        <v>1.3240122868340218</v>
      </c>
      <c r="DC251" s="263">
        <f t="shared" si="1138"/>
        <v>1.3240122868340218</v>
      </c>
      <c r="DD251" s="263">
        <f t="shared" si="1138"/>
        <v>1.3240122868340218</v>
      </c>
      <c r="DE251" s="263">
        <f t="shared" si="1138"/>
        <v>1.3240122868340218</v>
      </c>
      <c r="DF251" s="263">
        <f t="shared" si="1138"/>
        <v>1.3240122868340218</v>
      </c>
      <c r="DG251" s="263">
        <f t="shared" si="1138"/>
        <v>1.3240122868340218</v>
      </c>
      <c r="DH251" s="263">
        <f t="shared" si="1138"/>
        <v>1.3240122868340218</v>
      </c>
      <c r="DI251" s="263">
        <f t="shared" si="1138"/>
        <v>1.3240122868340218</v>
      </c>
      <c r="DJ251" s="223">
        <f>+SUBTOTAL(9,CX251:DI251)</f>
        <v>15.888147442008259</v>
      </c>
      <c r="DK251" s="284"/>
      <c r="DL251" s="263">
        <f t="shared" si="1139"/>
        <v>1.3240122868340218</v>
      </c>
      <c r="DM251" s="263">
        <f t="shared" si="1139"/>
        <v>1.3240122868340218</v>
      </c>
      <c r="DN251" s="263">
        <f t="shared" si="1139"/>
        <v>1.3240122868340218</v>
      </c>
      <c r="DO251" s="263">
        <f t="shared" si="1139"/>
        <v>1.3240122868340218</v>
      </c>
      <c r="DP251" s="263">
        <f t="shared" si="1139"/>
        <v>1.3240122868340218</v>
      </c>
      <c r="DQ251" s="263">
        <f t="shared" si="1139"/>
        <v>1.3240122868340218</v>
      </c>
      <c r="DR251" s="263">
        <f t="shared" si="1139"/>
        <v>1.3240122868340218</v>
      </c>
      <c r="DS251" s="263">
        <f t="shared" si="1139"/>
        <v>1.3240122868340218</v>
      </c>
      <c r="DT251" s="263">
        <f t="shared" si="1139"/>
        <v>1.3240122868340218</v>
      </c>
      <c r="DU251" s="263">
        <f t="shared" si="1139"/>
        <v>1.3240122868340218</v>
      </c>
      <c r="DV251" s="263">
        <f t="shared" si="1139"/>
        <v>1.3240122868340218</v>
      </c>
      <c r="DW251" s="263">
        <f t="shared" si="1139"/>
        <v>1.3240122868340218</v>
      </c>
      <c r="DX251" s="223">
        <f>+SUBTOTAL(9,DL251:DW251)</f>
        <v>15.888147442008259</v>
      </c>
      <c r="DY251" s="284"/>
      <c r="DZ251" s="263">
        <f t="shared" si="1140"/>
        <v>4.7286153101215068E-2</v>
      </c>
      <c r="EA251" s="263">
        <f t="shared" si="1140"/>
        <v>4.7286153101215068E-2</v>
      </c>
      <c r="EB251" s="263">
        <f t="shared" si="1140"/>
        <v>4.7286153101215068E-2</v>
      </c>
      <c r="EC251" s="263">
        <f t="shared" si="1140"/>
        <v>4.7286153101215068E-2</v>
      </c>
      <c r="ED251" s="263">
        <f t="shared" si="1140"/>
        <v>4.7286153101215068E-2</v>
      </c>
      <c r="EE251" s="263">
        <f t="shared" si="1140"/>
        <v>4.7286153101215068E-2</v>
      </c>
      <c r="EF251" s="263">
        <f t="shared" si="1140"/>
        <v>4.7286153101215068E-2</v>
      </c>
      <c r="EG251" s="263">
        <f t="shared" si="1140"/>
        <v>4.7286153101215068E-2</v>
      </c>
      <c r="EH251" s="263">
        <f t="shared" si="1140"/>
        <v>4.7286153101215068E-2</v>
      </c>
      <c r="EI251" s="263">
        <f t="shared" si="1140"/>
        <v>4.7286153101215068E-2</v>
      </c>
      <c r="EJ251" s="263">
        <f t="shared" si="1140"/>
        <v>4.7286153101215068E-2</v>
      </c>
      <c r="EK251" s="263">
        <f t="shared" si="1140"/>
        <v>4.7286153101215068E-2</v>
      </c>
      <c r="EL251" s="223">
        <f>+SUBTOTAL(9,DZ251:EK251)</f>
        <v>0.56743383721458096</v>
      </c>
      <c r="EM251" s="284"/>
      <c r="EN251" s="263">
        <f t="shared" si="1141"/>
        <v>9.4572306202430137E-2</v>
      </c>
      <c r="EO251" s="263">
        <f t="shared" si="1141"/>
        <v>9.4572306202430137E-2</v>
      </c>
      <c r="EP251" s="263">
        <f t="shared" si="1141"/>
        <v>9.4572306202430137E-2</v>
      </c>
      <c r="EQ251" s="263">
        <f t="shared" si="1141"/>
        <v>9.4572306202430137E-2</v>
      </c>
      <c r="ER251" s="263">
        <f t="shared" si="1141"/>
        <v>9.4572306202430137E-2</v>
      </c>
      <c r="ES251" s="263">
        <f t="shared" si="1141"/>
        <v>9.4572306202430137E-2</v>
      </c>
      <c r="ET251" s="263">
        <f t="shared" si="1141"/>
        <v>9.4572306202430137E-2</v>
      </c>
      <c r="EU251" s="263">
        <f t="shared" si="1141"/>
        <v>9.4572306202430137E-2</v>
      </c>
      <c r="EV251" s="263">
        <f t="shared" si="1141"/>
        <v>9.4572306202430137E-2</v>
      </c>
      <c r="EW251" s="263">
        <f t="shared" si="1141"/>
        <v>9.4572306202430137E-2</v>
      </c>
      <c r="EX251" s="263">
        <f t="shared" si="1141"/>
        <v>9.4572306202430137E-2</v>
      </c>
      <c r="EY251" s="263">
        <f t="shared" si="1141"/>
        <v>9.4572306202430137E-2</v>
      </c>
      <c r="EZ251" s="223">
        <f>+SUBTOTAL(9,EN251:EY251)</f>
        <v>1.1348676744291619</v>
      </c>
      <c r="FA251" s="284"/>
      <c r="FB251" s="263">
        <f t="shared" si="1142"/>
        <v>4.7286153101215068E-2</v>
      </c>
      <c r="FC251" s="263">
        <f t="shared" si="1142"/>
        <v>4.7286153101215068E-2</v>
      </c>
      <c r="FD251" s="263">
        <f t="shared" si="1142"/>
        <v>4.7286153101215068E-2</v>
      </c>
      <c r="FE251" s="263">
        <f t="shared" si="1142"/>
        <v>4.7286153101215068E-2</v>
      </c>
      <c r="FF251" s="263">
        <f t="shared" si="1142"/>
        <v>4.7286153101215068E-2</v>
      </c>
      <c r="FG251" s="263">
        <f t="shared" si="1142"/>
        <v>4.7286153101215068E-2</v>
      </c>
      <c r="FH251" s="263">
        <f t="shared" si="1142"/>
        <v>4.7286153101215068E-2</v>
      </c>
      <c r="FI251" s="263">
        <f t="shared" si="1142"/>
        <v>4.7286153101215068E-2</v>
      </c>
      <c r="FJ251" s="263">
        <f t="shared" si="1142"/>
        <v>4.7286153101215068E-2</v>
      </c>
      <c r="FK251" s="263">
        <f t="shared" si="1142"/>
        <v>4.7286153101215068E-2</v>
      </c>
      <c r="FL251" s="263">
        <f t="shared" si="1142"/>
        <v>4.7286153101215068E-2</v>
      </c>
      <c r="FM251" s="263">
        <f t="shared" si="1142"/>
        <v>4.7286153101215068E-2</v>
      </c>
      <c r="FN251" s="223">
        <f>+SUBTOTAL(9,FB251:FM251)</f>
        <v>0.56743383721458096</v>
      </c>
      <c r="FO251" s="284"/>
      <c r="FP251" s="263">
        <f t="shared" si="1143"/>
        <v>0.33100307170850546</v>
      </c>
      <c r="FQ251" s="263">
        <f t="shared" si="1143"/>
        <v>0.33100307170850546</v>
      </c>
      <c r="FR251" s="263">
        <f t="shared" si="1143"/>
        <v>0.33100307170850546</v>
      </c>
      <c r="FS251" s="263">
        <f t="shared" si="1143"/>
        <v>0.33100307170850546</v>
      </c>
      <c r="FT251" s="263">
        <f t="shared" si="1143"/>
        <v>0.33100307170850546</v>
      </c>
      <c r="FU251" s="263">
        <f t="shared" si="1143"/>
        <v>0.33100307170850546</v>
      </c>
      <c r="FV251" s="263">
        <f t="shared" si="1143"/>
        <v>0.33100307170850546</v>
      </c>
      <c r="FW251" s="263">
        <f t="shared" si="1143"/>
        <v>0.33100307170850546</v>
      </c>
      <c r="FX251" s="263">
        <f t="shared" si="1143"/>
        <v>0.33100307170850546</v>
      </c>
      <c r="FY251" s="263">
        <f t="shared" si="1143"/>
        <v>0.33100307170850546</v>
      </c>
      <c r="FZ251" s="263">
        <f t="shared" si="1143"/>
        <v>0.33100307170850546</v>
      </c>
      <c r="GA251" s="263">
        <f t="shared" si="1143"/>
        <v>0.33100307170850546</v>
      </c>
      <c r="GB251" s="223">
        <f>+SUBTOTAL(9,FP251:GA251)</f>
        <v>3.9720368605020648</v>
      </c>
      <c r="GC251" s="284"/>
      <c r="GD251" s="263">
        <f t="shared" si="1144"/>
        <v>4.7286153101215068E-2</v>
      </c>
      <c r="GE251" s="263">
        <f t="shared" si="1144"/>
        <v>4.7286153101215068E-2</v>
      </c>
      <c r="GF251" s="263">
        <f t="shared" si="1144"/>
        <v>4.7286153101215068E-2</v>
      </c>
      <c r="GG251" s="263">
        <f t="shared" si="1144"/>
        <v>4.7286153101215068E-2</v>
      </c>
      <c r="GH251" s="263">
        <f t="shared" si="1144"/>
        <v>4.7286153101215068E-2</v>
      </c>
      <c r="GI251" s="263">
        <f t="shared" si="1144"/>
        <v>4.7286153101215068E-2</v>
      </c>
      <c r="GJ251" s="263">
        <f t="shared" si="1144"/>
        <v>4.7286153101215068E-2</v>
      </c>
      <c r="GK251" s="263">
        <f t="shared" si="1144"/>
        <v>4.7286153101215068E-2</v>
      </c>
      <c r="GL251" s="263">
        <f t="shared" si="1144"/>
        <v>4.7286153101215068E-2</v>
      </c>
      <c r="GM251" s="263">
        <f t="shared" si="1144"/>
        <v>4.7286153101215068E-2</v>
      </c>
      <c r="GN251" s="263">
        <f t="shared" si="1144"/>
        <v>4.7286153101215068E-2</v>
      </c>
      <c r="GO251" s="263">
        <f t="shared" si="1144"/>
        <v>4.7286153101215068E-2</v>
      </c>
      <c r="GP251" s="223">
        <f>+SUBTOTAL(9,GD251:GO251)</f>
        <v>0.56743383721458096</v>
      </c>
      <c r="GQ251" s="284"/>
      <c r="GR251" s="263">
        <f t="shared" si="1145"/>
        <v>0</v>
      </c>
      <c r="GS251" s="263">
        <f t="shared" si="1145"/>
        <v>0</v>
      </c>
      <c r="GT251" s="263">
        <f t="shared" si="1145"/>
        <v>0</v>
      </c>
      <c r="GU251" s="263">
        <f t="shared" si="1145"/>
        <v>0</v>
      </c>
      <c r="GV251" s="263">
        <f t="shared" si="1145"/>
        <v>0</v>
      </c>
      <c r="GW251" s="263">
        <f t="shared" si="1145"/>
        <v>0</v>
      </c>
      <c r="GX251" s="263">
        <f t="shared" si="1145"/>
        <v>0</v>
      </c>
      <c r="GY251" s="263">
        <f t="shared" si="1145"/>
        <v>0</v>
      </c>
      <c r="GZ251" s="263">
        <f t="shared" si="1145"/>
        <v>0</v>
      </c>
      <c r="HA251" s="263">
        <f t="shared" si="1145"/>
        <v>0</v>
      </c>
      <c r="HB251" s="263">
        <f t="shared" si="1145"/>
        <v>0</v>
      </c>
      <c r="HC251" s="263">
        <f t="shared" si="1145"/>
        <v>0</v>
      </c>
      <c r="HD251" s="223">
        <f t="shared" si="1048"/>
        <v>0</v>
      </c>
      <c r="HE251" s="284"/>
      <c r="HF251" s="263">
        <f t="shared" si="1146"/>
        <v>0.18914461240486027</v>
      </c>
      <c r="HG251" s="263">
        <f t="shared" si="1146"/>
        <v>0.18914461240486027</v>
      </c>
      <c r="HH251" s="263">
        <f t="shared" si="1146"/>
        <v>0.18914461240486027</v>
      </c>
      <c r="HI251" s="263">
        <f t="shared" si="1146"/>
        <v>0.18914461240486027</v>
      </c>
      <c r="HJ251" s="263">
        <f t="shared" si="1146"/>
        <v>0.18914461240486027</v>
      </c>
      <c r="HK251" s="263">
        <f t="shared" si="1146"/>
        <v>0.18914461240486027</v>
      </c>
      <c r="HL251" s="263">
        <f t="shared" si="1146"/>
        <v>0.18914461240486027</v>
      </c>
      <c r="HM251" s="263">
        <f t="shared" si="1146"/>
        <v>0.18914461240486027</v>
      </c>
      <c r="HN251" s="263">
        <f t="shared" si="1146"/>
        <v>0.18914461240486027</v>
      </c>
      <c r="HO251" s="263">
        <f t="shared" si="1146"/>
        <v>0.18914461240486027</v>
      </c>
      <c r="HP251" s="263">
        <f t="shared" si="1146"/>
        <v>0.18914461240486027</v>
      </c>
      <c r="HQ251" s="263">
        <f t="shared" si="1146"/>
        <v>0.18914461240486027</v>
      </c>
      <c r="HR251" s="223">
        <f>+SUBTOTAL(9,HF251:HQ251)</f>
        <v>2.2697353488583238</v>
      </c>
      <c r="HS251" s="284"/>
      <c r="HT251" s="263">
        <f t="shared" si="1147"/>
        <v>4.7286153101215068E-2</v>
      </c>
      <c r="HU251" s="263">
        <f t="shared" si="1147"/>
        <v>4.7286153101215068E-2</v>
      </c>
      <c r="HV251" s="263">
        <f t="shared" si="1147"/>
        <v>4.7286153101215068E-2</v>
      </c>
      <c r="HW251" s="263">
        <f t="shared" si="1147"/>
        <v>4.7286153101215068E-2</v>
      </c>
      <c r="HX251" s="263">
        <f t="shared" si="1147"/>
        <v>4.7286153101215068E-2</v>
      </c>
      <c r="HY251" s="263">
        <f t="shared" si="1147"/>
        <v>4.7286153101215068E-2</v>
      </c>
      <c r="HZ251" s="263">
        <f t="shared" si="1147"/>
        <v>4.7286153101215068E-2</v>
      </c>
      <c r="IA251" s="263">
        <f t="shared" si="1147"/>
        <v>4.7286153101215068E-2</v>
      </c>
      <c r="IB251" s="263">
        <f t="shared" si="1147"/>
        <v>4.7286153101215068E-2</v>
      </c>
      <c r="IC251" s="263">
        <f t="shared" si="1147"/>
        <v>4.7286153101215068E-2</v>
      </c>
      <c r="ID251" s="263">
        <f t="shared" si="1147"/>
        <v>4.7286153101215068E-2</v>
      </c>
      <c r="IE251" s="263">
        <f t="shared" si="1147"/>
        <v>4.7286153101215068E-2</v>
      </c>
      <c r="IF251" s="223">
        <f>+SUBTOTAL(9,HT251:IE251)</f>
        <v>0.56743383721458096</v>
      </c>
      <c r="IG251" s="284"/>
      <c r="IH251" s="263">
        <f t="shared" si="1148"/>
        <v>4.7286153101215068E-2</v>
      </c>
      <c r="II251" s="263">
        <f t="shared" si="1148"/>
        <v>4.7286153101215068E-2</v>
      </c>
      <c r="IJ251" s="263">
        <f t="shared" si="1148"/>
        <v>4.7286153101215068E-2</v>
      </c>
      <c r="IK251" s="263">
        <f t="shared" si="1148"/>
        <v>4.7286153101215068E-2</v>
      </c>
      <c r="IL251" s="263">
        <f t="shared" si="1148"/>
        <v>4.7286153101215068E-2</v>
      </c>
      <c r="IM251" s="263">
        <f t="shared" si="1148"/>
        <v>4.7286153101215068E-2</v>
      </c>
      <c r="IN251" s="263">
        <f t="shared" si="1148"/>
        <v>4.7286153101215068E-2</v>
      </c>
      <c r="IO251" s="263">
        <f t="shared" si="1148"/>
        <v>4.7286153101215068E-2</v>
      </c>
      <c r="IP251" s="263">
        <f t="shared" si="1148"/>
        <v>4.7286153101215068E-2</v>
      </c>
      <c r="IQ251" s="263">
        <f t="shared" si="1148"/>
        <v>4.7286153101215068E-2</v>
      </c>
      <c r="IR251" s="263">
        <f t="shared" si="1148"/>
        <v>4.7286153101215068E-2</v>
      </c>
      <c r="IS251" s="263">
        <f t="shared" si="1148"/>
        <v>4.7286153101215068E-2</v>
      </c>
      <c r="IT251" s="223">
        <f>+SUBTOTAL(9,IH251:IS251)</f>
        <v>0.56743383721458096</v>
      </c>
      <c r="IU251" s="284"/>
      <c r="IV251" s="263">
        <f t="shared" si="1149"/>
        <v>0.33100307170850546</v>
      </c>
      <c r="IW251" s="263">
        <f t="shared" si="1149"/>
        <v>0.33100307170850546</v>
      </c>
      <c r="IX251" s="263">
        <f t="shared" si="1149"/>
        <v>0.33100307170850546</v>
      </c>
      <c r="IY251" s="263">
        <f t="shared" si="1149"/>
        <v>0.33100307170850546</v>
      </c>
      <c r="IZ251" s="263">
        <f t="shared" si="1149"/>
        <v>0.33100307170850546</v>
      </c>
      <c r="JA251" s="263">
        <f t="shared" si="1149"/>
        <v>0.33100307170850546</v>
      </c>
      <c r="JB251" s="263">
        <f t="shared" si="1149"/>
        <v>0.33100307170850546</v>
      </c>
      <c r="JC251" s="263">
        <f t="shared" si="1149"/>
        <v>0.33100307170850546</v>
      </c>
      <c r="JD251" s="263">
        <f t="shared" si="1149"/>
        <v>0.33100307170850546</v>
      </c>
      <c r="JE251" s="263">
        <f t="shared" si="1149"/>
        <v>0.33100307170850546</v>
      </c>
      <c r="JF251" s="263">
        <f t="shared" si="1149"/>
        <v>0.33100307170850546</v>
      </c>
      <c r="JG251" s="263">
        <f t="shared" si="1149"/>
        <v>0.33100307170850546</v>
      </c>
      <c r="JH251" s="223">
        <f>+SUBTOTAL(9,IV251:JG251)</f>
        <v>3.9720368605020648</v>
      </c>
      <c r="JI251" s="284"/>
      <c r="JJ251" s="263">
        <f t="shared" si="1150"/>
        <v>0.52014768411336576</v>
      </c>
      <c r="JK251" s="263">
        <f t="shared" si="1150"/>
        <v>0.52014768411336576</v>
      </c>
      <c r="JL251" s="263">
        <f t="shared" si="1150"/>
        <v>0.52014768411336576</v>
      </c>
      <c r="JM251" s="263">
        <f t="shared" si="1150"/>
        <v>0.52014768411336576</v>
      </c>
      <c r="JN251" s="263">
        <f t="shared" si="1150"/>
        <v>0.52014768411336576</v>
      </c>
      <c r="JO251" s="263">
        <f t="shared" si="1150"/>
        <v>0.52014768411336576</v>
      </c>
      <c r="JP251" s="263">
        <f t="shared" si="1150"/>
        <v>0.52014768411336576</v>
      </c>
      <c r="JQ251" s="263">
        <f t="shared" si="1150"/>
        <v>0.52014768411336576</v>
      </c>
      <c r="JR251" s="263">
        <f t="shared" si="1150"/>
        <v>0.52014768411336576</v>
      </c>
      <c r="JS251" s="263">
        <f t="shared" si="1150"/>
        <v>0.52014768411336576</v>
      </c>
      <c r="JT251" s="263">
        <f t="shared" si="1150"/>
        <v>0.52014768411336576</v>
      </c>
      <c r="JU251" s="263">
        <f t="shared" si="1150"/>
        <v>0.52014768411336576</v>
      </c>
      <c r="JV251" s="223">
        <f>+SUBTOTAL(9,JJ251:JU251)</f>
        <v>6.2417722093603887</v>
      </c>
      <c r="JW251" s="284"/>
      <c r="JX251" s="263">
        <f t="shared" si="1151"/>
        <v>0.23643076550607534</v>
      </c>
      <c r="JY251" s="263">
        <f t="shared" si="1151"/>
        <v>0.23643076550607534</v>
      </c>
      <c r="JZ251" s="263">
        <f t="shared" si="1151"/>
        <v>0.23643076550607534</v>
      </c>
      <c r="KA251" s="263">
        <f t="shared" si="1151"/>
        <v>0.23643076550607534</v>
      </c>
      <c r="KB251" s="263">
        <f t="shared" si="1151"/>
        <v>0.23643076550607534</v>
      </c>
      <c r="KC251" s="263">
        <f t="shared" si="1151"/>
        <v>0.23643076550607534</v>
      </c>
      <c r="KD251" s="263">
        <f t="shared" si="1151"/>
        <v>0.23643076550607534</v>
      </c>
      <c r="KE251" s="263">
        <f t="shared" si="1151"/>
        <v>0.23643076550607534</v>
      </c>
      <c r="KF251" s="263">
        <f t="shared" si="1151"/>
        <v>0.23643076550607534</v>
      </c>
      <c r="KG251" s="263">
        <f t="shared" si="1151"/>
        <v>0.23643076550607534</v>
      </c>
      <c r="KH251" s="263">
        <f t="shared" si="1151"/>
        <v>0.23643076550607534</v>
      </c>
      <c r="KI251" s="263">
        <f t="shared" si="1151"/>
        <v>0.23643076550607534</v>
      </c>
      <c r="KJ251" s="223">
        <f>+SUBTOTAL(9,JX251:KI251)</f>
        <v>2.837169186072904</v>
      </c>
      <c r="KK251" s="284"/>
      <c r="KL251" s="263">
        <f t="shared" si="1152"/>
        <v>9.4572306202430137E-2</v>
      </c>
      <c r="KM251" s="263">
        <f t="shared" si="1152"/>
        <v>9.4572306202430137E-2</v>
      </c>
      <c r="KN251" s="263">
        <f t="shared" si="1152"/>
        <v>9.4572306202430137E-2</v>
      </c>
      <c r="KO251" s="263">
        <f t="shared" si="1152"/>
        <v>9.4572306202430137E-2</v>
      </c>
      <c r="KP251" s="263">
        <f t="shared" si="1152"/>
        <v>9.4572306202430137E-2</v>
      </c>
      <c r="KQ251" s="263">
        <f t="shared" si="1152"/>
        <v>9.4572306202430137E-2</v>
      </c>
      <c r="KR251" s="263">
        <f t="shared" si="1152"/>
        <v>9.4572306202430137E-2</v>
      </c>
      <c r="KS251" s="263">
        <f t="shared" si="1152"/>
        <v>9.4572306202430137E-2</v>
      </c>
      <c r="KT251" s="263">
        <f t="shared" si="1152"/>
        <v>9.4572306202430137E-2</v>
      </c>
      <c r="KU251" s="263">
        <f t="shared" si="1152"/>
        <v>9.4572306202430137E-2</v>
      </c>
      <c r="KV251" s="263">
        <f t="shared" si="1152"/>
        <v>9.4572306202430137E-2</v>
      </c>
      <c r="KW251" s="263">
        <f t="shared" si="1152"/>
        <v>9.4572306202430137E-2</v>
      </c>
      <c r="KX251" s="223">
        <f>+SUBTOTAL(9,KL251:KW251)</f>
        <v>1.1348676744291619</v>
      </c>
      <c r="KY251" s="284"/>
      <c r="KZ251" s="263">
        <f t="shared" si="1153"/>
        <v>4.7286153101215068E-2</v>
      </c>
      <c r="LA251" s="263">
        <f t="shared" si="1153"/>
        <v>4.7286153101215068E-2</v>
      </c>
      <c r="LB251" s="263">
        <f t="shared" si="1153"/>
        <v>4.7286153101215068E-2</v>
      </c>
      <c r="LC251" s="263">
        <f t="shared" si="1153"/>
        <v>4.7286153101215068E-2</v>
      </c>
      <c r="LD251" s="263">
        <f t="shared" si="1153"/>
        <v>4.7286153101215068E-2</v>
      </c>
      <c r="LE251" s="263">
        <f t="shared" si="1153"/>
        <v>4.7286153101215068E-2</v>
      </c>
      <c r="LF251" s="263">
        <f t="shared" si="1153"/>
        <v>4.7286153101215068E-2</v>
      </c>
      <c r="LG251" s="263">
        <f t="shared" si="1153"/>
        <v>4.7286153101215068E-2</v>
      </c>
      <c r="LH251" s="263">
        <f t="shared" si="1153"/>
        <v>4.7286153101215068E-2</v>
      </c>
      <c r="LI251" s="263">
        <f t="shared" si="1153"/>
        <v>4.7286153101215068E-2</v>
      </c>
      <c r="LJ251" s="263">
        <f t="shared" si="1153"/>
        <v>4.7286153101215068E-2</v>
      </c>
      <c r="LK251" s="263">
        <f t="shared" si="1153"/>
        <v>4.7286153101215068E-2</v>
      </c>
      <c r="LL251" s="223">
        <f>+SUBTOTAL(9,KZ251:LK251)</f>
        <v>0.56743383721458096</v>
      </c>
      <c r="LM251" s="284"/>
      <c r="LN251" s="263">
        <v>0</v>
      </c>
      <c r="LO251" s="264">
        <v>0</v>
      </c>
      <c r="LP251" s="265">
        <v>0</v>
      </c>
      <c r="LQ251" s="265">
        <v>0</v>
      </c>
      <c r="LR251" s="265">
        <v>0</v>
      </c>
      <c r="LS251" s="265">
        <v>0</v>
      </c>
      <c r="LT251" s="265">
        <v>0</v>
      </c>
      <c r="LU251" s="265">
        <v>0</v>
      </c>
      <c r="LV251" s="265">
        <v>0</v>
      </c>
      <c r="LW251" s="265">
        <v>0</v>
      </c>
      <c r="LX251" s="265">
        <v>0</v>
      </c>
      <c r="LY251" s="265">
        <v>0</v>
      </c>
      <c r="LZ251" s="223">
        <f>+SUBTOTAL(9,LN251:LY251)</f>
        <v>0</v>
      </c>
      <c r="MA251" s="284"/>
      <c r="MB251" s="230">
        <f t="shared" si="1154"/>
        <v>7.7549291085992706</v>
      </c>
      <c r="MC251" s="230">
        <f t="shared" si="1154"/>
        <v>7.7549291085992706</v>
      </c>
      <c r="MD251" s="230">
        <f t="shared" si="1154"/>
        <v>7.7549291085992706</v>
      </c>
      <c r="ME251" s="230">
        <f t="shared" si="1154"/>
        <v>7.7549291085992706</v>
      </c>
      <c r="MF251" s="230">
        <f t="shared" si="1154"/>
        <v>7.7549291085992706</v>
      </c>
      <c r="MG251" s="230">
        <f t="shared" si="1154"/>
        <v>7.7549291085992706</v>
      </c>
      <c r="MH251" s="230">
        <f t="shared" si="1154"/>
        <v>7.7549291085992706</v>
      </c>
      <c r="MI251" s="230">
        <f t="shared" si="1154"/>
        <v>7.7549291085992706</v>
      </c>
      <c r="MJ251" s="230">
        <f t="shared" si="1154"/>
        <v>7.7549291085992706</v>
      </c>
      <c r="MK251" s="230">
        <f t="shared" si="1154"/>
        <v>7.7549291085992706</v>
      </c>
      <c r="ML251" s="230">
        <f t="shared" si="1154"/>
        <v>7.7549291085992706</v>
      </c>
      <c r="MM251" s="230">
        <f t="shared" si="1154"/>
        <v>7.7549291085992706</v>
      </c>
      <c r="MN251" s="230">
        <f t="shared" si="1155"/>
        <v>93.059149303191248</v>
      </c>
    </row>
    <row r="252" spans="1:352" x14ac:dyDescent="0.25">
      <c r="A252" s="262"/>
      <c r="B252" s="64" t="s">
        <v>102</v>
      </c>
      <c r="C252" s="202"/>
      <c r="D252" s="263">
        <f t="shared" si="1131"/>
        <v>0</v>
      </c>
      <c r="E252" s="263">
        <f t="shared" si="1131"/>
        <v>0</v>
      </c>
      <c r="F252" s="263">
        <f t="shared" si="1131"/>
        <v>0</v>
      </c>
      <c r="G252" s="263">
        <f t="shared" si="1131"/>
        <v>0</v>
      </c>
      <c r="H252" s="263">
        <f t="shared" si="1131"/>
        <v>0</v>
      </c>
      <c r="I252" s="263">
        <f t="shared" si="1131"/>
        <v>0</v>
      </c>
      <c r="J252" s="263">
        <f t="shared" si="1131"/>
        <v>0</v>
      </c>
      <c r="K252" s="263">
        <f t="shared" si="1131"/>
        <v>0</v>
      </c>
      <c r="L252" s="263">
        <f t="shared" si="1131"/>
        <v>0</v>
      </c>
      <c r="M252" s="263">
        <f t="shared" si="1131"/>
        <v>0</v>
      </c>
      <c r="N252" s="263">
        <f t="shared" si="1131"/>
        <v>0</v>
      </c>
      <c r="O252" s="263">
        <f t="shared" si="1131"/>
        <v>0</v>
      </c>
      <c r="P252" s="223">
        <f>+SUBTOTAL(9,D252:O252)</f>
        <v>0</v>
      </c>
      <c r="Q252" s="284"/>
      <c r="R252" s="263">
        <f t="shared" si="1132"/>
        <v>0</v>
      </c>
      <c r="S252" s="263">
        <f t="shared" si="1132"/>
        <v>0</v>
      </c>
      <c r="T252" s="263">
        <f t="shared" si="1132"/>
        <v>0</v>
      </c>
      <c r="U252" s="263">
        <f t="shared" si="1132"/>
        <v>0</v>
      </c>
      <c r="V252" s="263">
        <f t="shared" si="1132"/>
        <v>0</v>
      </c>
      <c r="W252" s="263">
        <f t="shared" si="1132"/>
        <v>0</v>
      </c>
      <c r="X252" s="263">
        <f t="shared" si="1132"/>
        <v>0</v>
      </c>
      <c r="Y252" s="263">
        <f t="shared" si="1132"/>
        <v>0</v>
      </c>
      <c r="Z252" s="263">
        <f t="shared" si="1132"/>
        <v>0</v>
      </c>
      <c r="AA252" s="263">
        <f t="shared" si="1132"/>
        <v>0</v>
      </c>
      <c r="AB252" s="263">
        <f t="shared" si="1132"/>
        <v>0</v>
      </c>
      <c r="AC252" s="263">
        <f t="shared" si="1132"/>
        <v>0</v>
      </c>
      <c r="AD252" s="223">
        <f>+SUBTOTAL(9,R252:AC252)</f>
        <v>0</v>
      </c>
      <c r="AE252" s="284"/>
      <c r="AF252" s="263">
        <f t="shared" si="1133"/>
        <v>0</v>
      </c>
      <c r="AG252" s="263">
        <f t="shared" si="1133"/>
        <v>0</v>
      </c>
      <c r="AH252" s="263">
        <f t="shared" si="1133"/>
        <v>0</v>
      </c>
      <c r="AI252" s="263">
        <f t="shared" si="1133"/>
        <v>0</v>
      </c>
      <c r="AJ252" s="263">
        <f t="shared" si="1133"/>
        <v>0</v>
      </c>
      <c r="AK252" s="263">
        <f t="shared" si="1133"/>
        <v>0</v>
      </c>
      <c r="AL252" s="263">
        <f t="shared" si="1133"/>
        <v>0</v>
      </c>
      <c r="AM252" s="263">
        <f t="shared" si="1133"/>
        <v>0</v>
      </c>
      <c r="AN252" s="263">
        <f t="shared" si="1133"/>
        <v>0</v>
      </c>
      <c r="AO252" s="263">
        <f t="shared" si="1133"/>
        <v>0</v>
      </c>
      <c r="AP252" s="263">
        <f t="shared" si="1133"/>
        <v>0</v>
      </c>
      <c r="AQ252" s="263">
        <f t="shared" si="1133"/>
        <v>0</v>
      </c>
      <c r="AR252" s="223">
        <f>+SUBTOTAL(9,AF252:AQ252)</f>
        <v>0</v>
      </c>
      <c r="AS252" s="266"/>
      <c r="AT252" s="263">
        <f t="shared" si="1134"/>
        <v>0</v>
      </c>
      <c r="AU252" s="263">
        <f t="shared" si="1134"/>
        <v>0</v>
      </c>
      <c r="AV252" s="263">
        <f t="shared" si="1134"/>
        <v>0</v>
      </c>
      <c r="AW252" s="263">
        <f t="shared" si="1134"/>
        <v>0</v>
      </c>
      <c r="AX252" s="263">
        <f t="shared" si="1134"/>
        <v>0</v>
      </c>
      <c r="AY252" s="263">
        <f t="shared" si="1134"/>
        <v>0</v>
      </c>
      <c r="AZ252" s="263">
        <f t="shared" si="1134"/>
        <v>0</v>
      </c>
      <c r="BA252" s="263">
        <f t="shared" si="1134"/>
        <v>0</v>
      </c>
      <c r="BB252" s="263">
        <f t="shared" si="1134"/>
        <v>0</v>
      </c>
      <c r="BC252" s="263">
        <f t="shared" si="1134"/>
        <v>0</v>
      </c>
      <c r="BD252" s="263">
        <f t="shared" si="1134"/>
        <v>0</v>
      </c>
      <c r="BE252" s="263">
        <f t="shared" si="1134"/>
        <v>0</v>
      </c>
      <c r="BF252" s="223">
        <f>+SUBTOTAL(9,AT252:BE252)</f>
        <v>0</v>
      </c>
      <c r="BG252" s="224"/>
      <c r="BH252" s="263">
        <f t="shared" si="1135"/>
        <v>0</v>
      </c>
      <c r="BI252" s="263">
        <f t="shared" si="1135"/>
        <v>0</v>
      </c>
      <c r="BJ252" s="263">
        <f t="shared" si="1135"/>
        <v>0</v>
      </c>
      <c r="BK252" s="263">
        <f t="shared" si="1135"/>
        <v>0</v>
      </c>
      <c r="BL252" s="263">
        <f t="shared" si="1135"/>
        <v>0</v>
      </c>
      <c r="BM252" s="263">
        <f t="shared" si="1135"/>
        <v>0</v>
      </c>
      <c r="BN252" s="263">
        <f t="shared" si="1135"/>
        <v>0</v>
      </c>
      <c r="BO252" s="263">
        <f t="shared" si="1135"/>
        <v>0</v>
      </c>
      <c r="BP252" s="263">
        <f t="shared" si="1135"/>
        <v>0</v>
      </c>
      <c r="BQ252" s="263">
        <f t="shared" si="1135"/>
        <v>0</v>
      </c>
      <c r="BR252" s="263">
        <f t="shared" si="1135"/>
        <v>0</v>
      </c>
      <c r="BS252" s="263">
        <f t="shared" si="1135"/>
        <v>0</v>
      </c>
      <c r="BT252" s="223">
        <f>+SUBTOTAL(9,BH252:BS252)</f>
        <v>0</v>
      </c>
      <c r="BU252" s="266"/>
      <c r="BV252" s="263">
        <f t="shared" si="1136"/>
        <v>0</v>
      </c>
      <c r="BW252" s="263">
        <f t="shared" si="1136"/>
        <v>0</v>
      </c>
      <c r="BX252" s="263">
        <f t="shared" si="1136"/>
        <v>0</v>
      </c>
      <c r="BY252" s="263">
        <f t="shared" si="1136"/>
        <v>0</v>
      </c>
      <c r="BZ252" s="263">
        <f t="shared" si="1136"/>
        <v>0</v>
      </c>
      <c r="CA252" s="263">
        <f t="shared" si="1136"/>
        <v>0</v>
      </c>
      <c r="CB252" s="263">
        <f t="shared" si="1136"/>
        <v>0</v>
      </c>
      <c r="CC252" s="263">
        <f t="shared" si="1136"/>
        <v>0</v>
      </c>
      <c r="CD252" s="263">
        <f t="shared" si="1136"/>
        <v>0</v>
      </c>
      <c r="CE252" s="263">
        <f t="shared" si="1136"/>
        <v>0</v>
      </c>
      <c r="CF252" s="263">
        <f t="shared" si="1136"/>
        <v>0</v>
      </c>
      <c r="CG252" s="263">
        <f t="shared" si="1136"/>
        <v>0</v>
      </c>
      <c r="CH252" s="223">
        <f>+SUBTOTAL(9,BV252:CG252)</f>
        <v>0</v>
      </c>
      <c r="CI252" s="284"/>
      <c r="CJ252" s="263">
        <f t="shared" si="1137"/>
        <v>0</v>
      </c>
      <c r="CK252" s="263">
        <f t="shared" si="1137"/>
        <v>0</v>
      </c>
      <c r="CL252" s="263">
        <f t="shared" si="1137"/>
        <v>0</v>
      </c>
      <c r="CM252" s="263">
        <f t="shared" si="1137"/>
        <v>0</v>
      </c>
      <c r="CN252" s="263">
        <f t="shared" si="1137"/>
        <v>0</v>
      </c>
      <c r="CO252" s="263">
        <f t="shared" si="1137"/>
        <v>0</v>
      </c>
      <c r="CP252" s="263">
        <f t="shared" si="1137"/>
        <v>0</v>
      </c>
      <c r="CQ252" s="263">
        <f t="shared" si="1137"/>
        <v>0</v>
      </c>
      <c r="CR252" s="263">
        <f t="shared" si="1137"/>
        <v>0</v>
      </c>
      <c r="CS252" s="263">
        <f t="shared" si="1137"/>
        <v>0</v>
      </c>
      <c r="CT252" s="263">
        <f t="shared" si="1137"/>
        <v>0</v>
      </c>
      <c r="CU252" s="263">
        <f t="shared" si="1137"/>
        <v>0</v>
      </c>
      <c r="CV252" s="223">
        <f>+SUBTOTAL(9,CJ252:CU252)</f>
        <v>0</v>
      </c>
      <c r="CW252" s="284"/>
      <c r="CX252" s="263">
        <f t="shared" si="1138"/>
        <v>0</v>
      </c>
      <c r="CY252" s="263">
        <f t="shared" si="1138"/>
        <v>0</v>
      </c>
      <c r="CZ252" s="263">
        <f t="shared" si="1138"/>
        <v>0</v>
      </c>
      <c r="DA252" s="263">
        <f t="shared" si="1138"/>
        <v>0</v>
      </c>
      <c r="DB252" s="263">
        <f t="shared" si="1138"/>
        <v>0</v>
      </c>
      <c r="DC252" s="263">
        <f t="shared" si="1138"/>
        <v>0</v>
      </c>
      <c r="DD252" s="263">
        <f t="shared" si="1138"/>
        <v>0</v>
      </c>
      <c r="DE252" s="263">
        <f t="shared" si="1138"/>
        <v>0</v>
      </c>
      <c r="DF252" s="263">
        <f t="shared" si="1138"/>
        <v>0</v>
      </c>
      <c r="DG252" s="263">
        <f t="shared" si="1138"/>
        <v>0</v>
      </c>
      <c r="DH252" s="263">
        <f t="shared" si="1138"/>
        <v>0</v>
      </c>
      <c r="DI252" s="263">
        <f t="shared" si="1138"/>
        <v>0</v>
      </c>
      <c r="DJ252" s="223">
        <f>+SUBTOTAL(9,CX252:DI252)</f>
        <v>0</v>
      </c>
      <c r="DK252" s="284"/>
      <c r="DL252" s="263">
        <f t="shared" si="1139"/>
        <v>0</v>
      </c>
      <c r="DM252" s="263">
        <f t="shared" si="1139"/>
        <v>0</v>
      </c>
      <c r="DN252" s="263">
        <f t="shared" si="1139"/>
        <v>0</v>
      </c>
      <c r="DO252" s="263">
        <f t="shared" si="1139"/>
        <v>0</v>
      </c>
      <c r="DP252" s="263">
        <f t="shared" si="1139"/>
        <v>0</v>
      </c>
      <c r="DQ252" s="263">
        <f t="shared" si="1139"/>
        <v>0</v>
      </c>
      <c r="DR252" s="263">
        <f t="shared" si="1139"/>
        <v>0</v>
      </c>
      <c r="DS252" s="263">
        <f t="shared" si="1139"/>
        <v>0</v>
      </c>
      <c r="DT252" s="263">
        <f t="shared" si="1139"/>
        <v>0</v>
      </c>
      <c r="DU252" s="263">
        <f t="shared" si="1139"/>
        <v>0</v>
      </c>
      <c r="DV252" s="263">
        <f t="shared" si="1139"/>
        <v>0</v>
      </c>
      <c r="DW252" s="263">
        <f t="shared" si="1139"/>
        <v>0</v>
      </c>
      <c r="DX252" s="223">
        <f>+SUBTOTAL(9,DL252:DW252)</f>
        <v>0</v>
      </c>
      <c r="DY252" s="284"/>
      <c r="DZ252" s="263">
        <f t="shared" si="1140"/>
        <v>0</v>
      </c>
      <c r="EA252" s="263">
        <f t="shared" si="1140"/>
        <v>0</v>
      </c>
      <c r="EB252" s="263">
        <f t="shared" si="1140"/>
        <v>0</v>
      </c>
      <c r="EC252" s="263">
        <f t="shared" si="1140"/>
        <v>0</v>
      </c>
      <c r="ED252" s="263">
        <f t="shared" si="1140"/>
        <v>0</v>
      </c>
      <c r="EE252" s="263">
        <f t="shared" si="1140"/>
        <v>0</v>
      </c>
      <c r="EF252" s="263">
        <f t="shared" si="1140"/>
        <v>0</v>
      </c>
      <c r="EG252" s="263">
        <f t="shared" si="1140"/>
        <v>0</v>
      </c>
      <c r="EH252" s="263">
        <f t="shared" si="1140"/>
        <v>0</v>
      </c>
      <c r="EI252" s="263">
        <f t="shared" si="1140"/>
        <v>0</v>
      </c>
      <c r="EJ252" s="263">
        <f t="shared" si="1140"/>
        <v>0</v>
      </c>
      <c r="EK252" s="263">
        <f t="shared" si="1140"/>
        <v>0</v>
      </c>
      <c r="EL252" s="223">
        <f>+SUBTOTAL(9,DZ252:EK252)</f>
        <v>0</v>
      </c>
      <c r="EM252" s="284"/>
      <c r="EN252" s="263">
        <f t="shared" si="1141"/>
        <v>0</v>
      </c>
      <c r="EO252" s="263">
        <f t="shared" si="1141"/>
        <v>0</v>
      </c>
      <c r="EP252" s="263">
        <f t="shared" si="1141"/>
        <v>0</v>
      </c>
      <c r="EQ252" s="263">
        <f t="shared" si="1141"/>
        <v>0</v>
      </c>
      <c r="ER252" s="263">
        <f t="shared" si="1141"/>
        <v>0</v>
      </c>
      <c r="ES252" s="263">
        <f t="shared" si="1141"/>
        <v>0</v>
      </c>
      <c r="ET252" s="263">
        <f t="shared" si="1141"/>
        <v>0</v>
      </c>
      <c r="EU252" s="263">
        <f t="shared" si="1141"/>
        <v>0</v>
      </c>
      <c r="EV252" s="263">
        <f t="shared" si="1141"/>
        <v>0</v>
      </c>
      <c r="EW252" s="263">
        <f t="shared" si="1141"/>
        <v>0</v>
      </c>
      <c r="EX252" s="263">
        <f t="shared" si="1141"/>
        <v>0</v>
      </c>
      <c r="EY252" s="263">
        <f t="shared" si="1141"/>
        <v>0</v>
      </c>
      <c r="EZ252" s="223">
        <f>+SUBTOTAL(9,EN252:EY252)</f>
        <v>0</v>
      </c>
      <c r="FA252" s="284"/>
      <c r="FB252" s="263">
        <f t="shared" si="1142"/>
        <v>0</v>
      </c>
      <c r="FC252" s="263">
        <f t="shared" si="1142"/>
        <v>0</v>
      </c>
      <c r="FD252" s="263">
        <f t="shared" si="1142"/>
        <v>0</v>
      </c>
      <c r="FE252" s="263">
        <f t="shared" si="1142"/>
        <v>0</v>
      </c>
      <c r="FF252" s="263">
        <f t="shared" si="1142"/>
        <v>0</v>
      </c>
      <c r="FG252" s="263">
        <f t="shared" si="1142"/>
        <v>0</v>
      </c>
      <c r="FH252" s="263">
        <f t="shared" si="1142"/>
        <v>0</v>
      </c>
      <c r="FI252" s="263">
        <f t="shared" si="1142"/>
        <v>0</v>
      </c>
      <c r="FJ252" s="263">
        <f t="shared" si="1142"/>
        <v>0</v>
      </c>
      <c r="FK252" s="263">
        <f t="shared" si="1142"/>
        <v>0</v>
      </c>
      <c r="FL252" s="263">
        <f t="shared" si="1142"/>
        <v>0</v>
      </c>
      <c r="FM252" s="263">
        <f t="shared" si="1142"/>
        <v>0</v>
      </c>
      <c r="FN252" s="223">
        <f>+SUBTOTAL(9,FB252:FM252)</f>
        <v>0</v>
      </c>
      <c r="FO252" s="284"/>
      <c r="FP252" s="263">
        <f t="shared" si="1143"/>
        <v>0</v>
      </c>
      <c r="FQ252" s="263">
        <f t="shared" si="1143"/>
        <v>0</v>
      </c>
      <c r="FR252" s="263">
        <f t="shared" si="1143"/>
        <v>0</v>
      </c>
      <c r="FS252" s="263">
        <f t="shared" si="1143"/>
        <v>0</v>
      </c>
      <c r="FT252" s="263">
        <f t="shared" si="1143"/>
        <v>0</v>
      </c>
      <c r="FU252" s="263">
        <f t="shared" si="1143"/>
        <v>0</v>
      </c>
      <c r="FV252" s="263">
        <f t="shared" si="1143"/>
        <v>0</v>
      </c>
      <c r="FW252" s="263">
        <f t="shared" si="1143"/>
        <v>0</v>
      </c>
      <c r="FX252" s="263">
        <f t="shared" si="1143"/>
        <v>0</v>
      </c>
      <c r="FY252" s="263">
        <f t="shared" si="1143"/>
        <v>0</v>
      </c>
      <c r="FZ252" s="263">
        <f t="shared" si="1143"/>
        <v>0</v>
      </c>
      <c r="GA252" s="263">
        <f t="shared" si="1143"/>
        <v>0</v>
      </c>
      <c r="GB252" s="223">
        <f>+SUBTOTAL(9,FP252:GA252)</f>
        <v>0</v>
      </c>
      <c r="GC252" s="284"/>
      <c r="GD252" s="263">
        <f t="shared" si="1144"/>
        <v>0</v>
      </c>
      <c r="GE252" s="263">
        <f t="shared" si="1144"/>
        <v>0</v>
      </c>
      <c r="GF252" s="263">
        <f t="shared" si="1144"/>
        <v>0</v>
      </c>
      <c r="GG252" s="263">
        <f t="shared" si="1144"/>
        <v>0</v>
      </c>
      <c r="GH252" s="263">
        <f t="shared" si="1144"/>
        <v>0</v>
      </c>
      <c r="GI252" s="263">
        <f t="shared" si="1144"/>
        <v>0</v>
      </c>
      <c r="GJ252" s="263">
        <f t="shared" si="1144"/>
        <v>0</v>
      </c>
      <c r="GK252" s="263">
        <f t="shared" si="1144"/>
        <v>0</v>
      </c>
      <c r="GL252" s="263">
        <f t="shared" si="1144"/>
        <v>0</v>
      </c>
      <c r="GM252" s="263">
        <f t="shared" si="1144"/>
        <v>0</v>
      </c>
      <c r="GN252" s="263">
        <f t="shared" si="1144"/>
        <v>0</v>
      </c>
      <c r="GO252" s="263">
        <f t="shared" si="1144"/>
        <v>0</v>
      </c>
      <c r="GP252" s="223">
        <f>+SUBTOTAL(9,GD252:GO252)</f>
        <v>0</v>
      </c>
      <c r="GQ252" s="284"/>
      <c r="GR252" s="263">
        <f t="shared" si="1145"/>
        <v>0</v>
      </c>
      <c r="GS252" s="263">
        <f t="shared" si="1145"/>
        <v>0</v>
      </c>
      <c r="GT252" s="263">
        <f t="shared" si="1145"/>
        <v>0</v>
      </c>
      <c r="GU252" s="263">
        <f t="shared" si="1145"/>
        <v>0</v>
      </c>
      <c r="GV252" s="263">
        <f t="shared" si="1145"/>
        <v>0</v>
      </c>
      <c r="GW252" s="263">
        <f t="shared" si="1145"/>
        <v>0</v>
      </c>
      <c r="GX252" s="263">
        <f t="shared" si="1145"/>
        <v>0</v>
      </c>
      <c r="GY252" s="263">
        <f t="shared" si="1145"/>
        <v>0</v>
      </c>
      <c r="GZ252" s="263">
        <f t="shared" si="1145"/>
        <v>0</v>
      </c>
      <c r="HA252" s="263">
        <f t="shared" si="1145"/>
        <v>0</v>
      </c>
      <c r="HB252" s="263">
        <f t="shared" si="1145"/>
        <v>0</v>
      </c>
      <c r="HC252" s="263">
        <f t="shared" si="1145"/>
        <v>0</v>
      </c>
      <c r="HD252" s="223">
        <f t="shared" si="1048"/>
        <v>0</v>
      </c>
      <c r="HE252" s="284"/>
      <c r="HF252" s="263">
        <f t="shared" si="1146"/>
        <v>0</v>
      </c>
      <c r="HG252" s="263">
        <f t="shared" si="1146"/>
        <v>0</v>
      </c>
      <c r="HH252" s="263">
        <f t="shared" si="1146"/>
        <v>0</v>
      </c>
      <c r="HI252" s="263">
        <f t="shared" si="1146"/>
        <v>0</v>
      </c>
      <c r="HJ252" s="263">
        <f t="shared" si="1146"/>
        <v>0</v>
      </c>
      <c r="HK252" s="263">
        <f t="shared" si="1146"/>
        <v>0</v>
      </c>
      <c r="HL252" s="263">
        <f t="shared" si="1146"/>
        <v>0</v>
      </c>
      <c r="HM252" s="263">
        <f t="shared" si="1146"/>
        <v>0</v>
      </c>
      <c r="HN252" s="263">
        <f t="shared" si="1146"/>
        <v>0</v>
      </c>
      <c r="HO252" s="263">
        <f t="shared" si="1146"/>
        <v>0</v>
      </c>
      <c r="HP252" s="263">
        <f t="shared" si="1146"/>
        <v>0</v>
      </c>
      <c r="HQ252" s="263">
        <f t="shared" si="1146"/>
        <v>0</v>
      </c>
      <c r="HR252" s="223">
        <f>+SUBTOTAL(9,HF252:HQ252)</f>
        <v>0</v>
      </c>
      <c r="HS252" s="284"/>
      <c r="HT252" s="263">
        <f t="shared" si="1147"/>
        <v>0</v>
      </c>
      <c r="HU252" s="263">
        <f t="shared" si="1147"/>
        <v>0</v>
      </c>
      <c r="HV252" s="263">
        <f t="shared" si="1147"/>
        <v>0</v>
      </c>
      <c r="HW252" s="263">
        <f t="shared" si="1147"/>
        <v>0</v>
      </c>
      <c r="HX252" s="263">
        <f t="shared" si="1147"/>
        <v>0</v>
      </c>
      <c r="HY252" s="263">
        <f t="shared" si="1147"/>
        <v>0</v>
      </c>
      <c r="HZ252" s="263">
        <f t="shared" si="1147"/>
        <v>0</v>
      </c>
      <c r="IA252" s="263">
        <f t="shared" si="1147"/>
        <v>0</v>
      </c>
      <c r="IB252" s="263">
        <f t="shared" si="1147"/>
        <v>0</v>
      </c>
      <c r="IC252" s="263">
        <f t="shared" si="1147"/>
        <v>0</v>
      </c>
      <c r="ID252" s="263">
        <f t="shared" si="1147"/>
        <v>0</v>
      </c>
      <c r="IE252" s="263">
        <f t="shared" si="1147"/>
        <v>0</v>
      </c>
      <c r="IF252" s="223">
        <f>+SUBTOTAL(9,HT252:IE252)</f>
        <v>0</v>
      </c>
      <c r="IG252" s="284"/>
      <c r="IH252" s="263">
        <f t="shared" si="1148"/>
        <v>0</v>
      </c>
      <c r="II252" s="263">
        <f t="shared" si="1148"/>
        <v>0</v>
      </c>
      <c r="IJ252" s="263">
        <f t="shared" si="1148"/>
        <v>0</v>
      </c>
      <c r="IK252" s="263">
        <f t="shared" si="1148"/>
        <v>0</v>
      </c>
      <c r="IL252" s="263">
        <f t="shared" si="1148"/>
        <v>0</v>
      </c>
      <c r="IM252" s="263">
        <f t="shared" si="1148"/>
        <v>0</v>
      </c>
      <c r="IN252" s="263">
        <f t="shared" si="1148"/>
        <v>0</v>
      </c>
      <c r="IO252" s="263">
        <f t="shared" si="1148"/>
        <v>0</v>
      </c>
      <c r="IP252" s="263">
        <f t="shared" si="1148"/>
        <v>0</v>
      </c>
      <c r="IQ252" s="263">
        <f t="shared" si="1148"/>
        <v>0</v>
      </c>
      <c r="IR252" s="263">
        <f t="shared" si="1148"/>
        <v>0</v>
      </c>
      <c r="IS252" s="263">
        <f t="shared" si="1148"/>
        <v>0</v>
      </c>
      <c r="IT252" s="223">
        <f>+SUBTOTAL(9,IH252:IS252)</f>
        <v>0</v>
      </c>
      <c r="IU252" s="284"/>
      <c r="IV252" s="263">
        <f t="shared" si="1149"/>
        <v>0</v>
      </c>
      <c r="IW252" s="263">
        <f t="shared" si="1149"/>
        <v>0</v>
      </c>
      <c r="IX252" s="263">
        <f t="shared" si="1149"/>
        <v>0</v>
      </c>
      <c r="IY252" s="263">
        <f t="shared" si="1149"/>
        <v>0</v>
      </c>
      <c r="IZ252" s="263">
        <f t="shared" si="1149"/>
        <v>0</v>
      </c>
      <c r="JA252" s="263">
        <f t="shared" si="1149"/>
        <v>0</v>
      </c>
      <c r="JB252" s="263">
        <f t="shared" si="1149"/>
        <v>0</v>
      </c>
      <c r="JC252" s="263">
        <f t="shared" si="1149"/>
        <v>0</v>
      </c>
      <c r="JD252" s="263">
        <f t="shared" si="1149"/>
        <v>0</v>
      </c>
      <c r="JE252" s="263">
        <f t="shared" si="1149"/>
        <v>0</v>
      </c>
      <c r="JF252" s="263">
        <f t="shared" si="1149"/>
        <v>0</v>
      </c>
      <c r="JG252" s="263">
        <f t="shared" si="1149"/>
        <v>0</v>
      </c>
      <c r="JH252" s="223">
        <f>+SUBTOTAL(9,IV252:JG252)</f>
        <v>0</v>
      </c>
      <c r="JI252" s="284"/>
      <c r="JJ252" s="263">
        <f t="shared" si="1150"/>
        <v>0</v>
      </c>
      <c r="JK252" s="263">
        <f t="shared" si="1150"/>
        <v>0</v>
      </c>
      <c r="JL252" s="263">
        <f t="shared" si="1150"/>
        <v>0</v>
      </c>
      <c r="JM252" s="263">
        <f t="shared" si="1150"/>
        <v>0</v>
      </c>
      <c r="JN252" s="263">
        <f t="shared" si="1150"/>
        <v>0</v>
      </c>
      <c r="JO252" s="263">
        <f t="shared" si="1150"/>
        <v>0</v>
      </c>
      <c r="JP252" s="263">
        <f t="shared" si="1150"/>
        <v>0</v>
      </c>
      <c r="JQ252" s="263">
        <f t="shared" si="1150"/>
        <v>0</v>
      </c>
      <c r="JR252" s="263">
        <f t="shared" si="1150"/>
        <v>0</v>
      </c>
      <c r="JS252" s="263">
        <f t="shared" si="1150"/>
        <v>0</v>
      </c>
      <c r="JT252" s="263">
        <f t="shared" si="1150"/>
        <v>0</v>
      </c>
      <c r="JU252" s="263">
        <f t="shared" si="1150"/>
        <v>0</v>
      </c>
      <c r="JV252" s="223">
        <f>+SUBTOTAL(9,JJ252:JU252)</f>
        <v>0</v>
      </c>
      <c r="JW252" s="284"/>
      <c r="JX252" s="263">
        <f t="shared" si="1151"/>
        <v>0</v>
      </c>
      <c r="JY252" s="263">
        <f t="shared" si="1151"/>
        <v>0</v>
      </c>
      <c r="JZ252" s="263">
        <f t="shared" si="1151"/>
        <v>0</v>
      </c>
      <c r="KA252" s="263">
        <f t="shared" si="1151"/>
        <v>0</v>
      </c>
      <c r="KB252" s="263">
        <f t="shared" si="1151"/>
        <v>0</v>
      </c>
      <c r="KC252" s="263">
        <f t="shared" si="1151"/>
        <v>0</v>
      </c>
      <c r="KD252" s="263">
        <f t="shared" si="1151"/>
        <v>0</v>
      </c>
      <c r="KE252" s="263">
        <f t="shared" si="1151"/>
        <v>0</v>
      </c>
      <c r="KF252" s="263">
        <f t="shared" si="1151"/>
        <v>0</v>
      </c>
      <c r="KG252" s="263">
        <f t="shared" si="1151"/>
        <v>0</v>
      </c>
      <c r="KH252" s="263">
        <f t="shared" si="1151"/>
        <v>0</v>
      </c>
      <c r="KI252" s="263">
        <f t="shared" si="1151"/>
        <v>0</v>
      </c>
      <c r="KJ252" s="223">
        <f>+SUBTOTAL(9,JX252:KI252)</f>
        <v>0</v>
      </c>
      <c r="KK252" s="284"/>
      <c r="KL252" s="263">
        <f t="shared" si="1152"/>
        <v>0</v>
      </c>
      <c r="KM252" s="263">
        <f t="shared" si="1152"/>
        <v>0</v>
      </c>
      <c r="KN252" s="263">
        <f t="shared" si="1152"/>
        <v>0</v>
      </c>
      <c r="KO252" s="263">
        <f t="shared" si="1152"/>
        <v>0</v>
      </c>
      <c r="KP252" s="263">
        <f t="shared" si="1152"/>
        <v>0</v>
      </c>
      <c r="KQ252" s="263">
        <f t="shared" si="1152"/>
        <v>0</v>
      </c>
      <c r="KR252" s="263">
        <f t="shared" si="1152"/>
        <v>0</v>
      </c>
      <c r="KS252" s="263">
        <f t="shared" si="1152"/>
        <v>0</v>
      </c>
      <c r="KT252" s="263">
        <f t="shared" si="1152"/>
        <v>0</v>
      </c>
      <c r="KU252" s="263">
        <f t="shared" si="1152"/>
        <v>0</v>
      </c>
      <c r="KV252" s="263">
        <f t="shared" si="1152"/>
        <v>0</v>
      </c>
      <c r="KW252" s="263">
        <f t="shared" si="1152"/>
        <v>0</v>
      </c>
      <c r="KX252" s="223">
        <f>+SUBTOTAL(9,KL252:KW252)</f>
        <v>0</v>
      </c>
      <c r="KY252" s="284"/>
      <c r="KZ252" s="263">
        <f t="shared" si="1153"/>
        <v>0</v>
      </c>
      <c r="LA252" s="263">
        <f t="shared" si="1153"/>
        <v>0</v>
      </c>
      <c r="LB252" s="263">
        <f t="shared" si="1153"/>
        <v>0</v>
      </c>
      <c r="LC252" s="263">
        <f t="shared" si="1153"/>
        <v>0</v>
      </c>
      <c r="LD252" s="263">
        <f t="shared" si="1153"/>
        <v>0</v>
      </c>
      <c r="LE252" s="263">
        <f t="shared" si="1153"/>
        <v>0</v>
      </c>
      <c r="LF252" s="263">
        <f t="shared" si="1153"/>
        <v>0</v>
      </c>
      <c r="LG252" s="263">
        <f t="shared" si="1153"/>
        <v>0</v>
      </c>
      <c r="LH252" s="263">
        <f t="shared" si="1153"/>
        <v>0</v>
      </c>
      <c r="LI252" s="263">
        <f t="shared" si="1153"/>
        <v>0</v>
      </c>
      <c r="LJ252" s="263">
        <f t="shared" si="1153"/>
        <v>0</v>
      </c>
      <c r="LK252" s="263">
        <f t="shared" si="1153"/>
        <v>0</v>
      </c>
      <c r="LL252" s="223">
        <f>+SUBTOTAL(9,KZ252:LK252)</f>
        <v>0</v>
      </c>
      <c r="LM252" s="284"/>
      <c r="LN252" s="263">
        <v>0</v>
      </c>
      <c r="LO252" s="264">
        <v>0</v>
      </c>
      <c r="LP252" s="265">
        <v>0</v>
      </c>
      <c r="LQ252" s="265">
        <v>0</v>
      </c>
      <c r="LR252" s="265">
        <v>0</v>
      </c>
      <c r="LS252" s="265">
        <v>0</v>
      </c>
      <c r="LT252" s="265">
        <v>0</v>
      </c>
      <c r="LU252" s="265">
        <v>0</v>
      </c>
      <c r="LV252" s="265">
        <v>0</v>
      </c>
      <c r="LW252" s="265">
        <v>0</v>
      </c>
      <c r="LX252" s="265">
        <v>0</v>
      </c>
      <c r="LY252" s="265">
        <v>0</v>
      </c>
      <c r="LZ252" s="223">
        <f>+SUBTOTAL(9,LN252:LY252)</f>
        <v>0</v>
      </c>
      <c r="MA252" s="284"/>
      <c r="MB252" s="230">
        <f t="shared" si="1154"/>
        <v>0</v>
      </c>
      <c r="MC252" s="230">
        <f t="shared" si="1154"/>
        <v>0</v>
      </c>
      <c r="MD252" s="230">
        <f t="shared" si="1154"/>
        <v>0</v>
      </c>
      <c r="ME252" s="230">
        <f t="shared" si="1154"/>
        <v>0</v>
      </c>
      <c r="MF252" s="230">
        <f t="shared" si="1154"/>
        <v>0</v>
      </c>
      <c r="MG252" s="230">
        <f t="shared" si="1154"/>
        <v>0</v>
      </c>
      <c r="MH252" s="230">
        <f t="shared" si="1154"/>
        <v>0</v>
      </c>
      <c r="MI252" s="230">
        <f t="shared" si="1154"/>
        <v>0</v>
      </c>
      <c r="MJ252" s="230">
        <f t="shared" si="1154"/>
        <v>0</v>
      </c>
      <c r="MK252" s="230">
        <f t="shared" si="1154"/>
        <v>0</v>
      </c>
      <c r="ML252" s="230">
        <f t="shared" si="1154"/>
        <v>0</v>
      </c>
      <c r="MM252" s="230">
        <f t="shared" si="1154"/>
        <v>0</v>
      </c>
      <c r="MN252" s="230">
        <f t="shared" si="1155"/>
        <v>0</v>
      </c>
    </row>
    <row r="253" spans="1:352" x14ac:dyDescent="0.25">
      <c r="A253" s="262"/>
      <c r="B253" s="64" t="s">
        <v>103</v>
      </c>
      <c r="C253" s="202"/>
      <c r="D253" s="263">
        <f t="shared" si="1131"/>
        <v>0</v>
      </c>
      <c r="E253" s="263">
        <f t="shared" si="1131"/>
        <v>0</v>
      </c>
      <c r="F253" s="263">
        <f t="shared" si="1131"/>
        <v>0</v>
      </c>
      <c r="G253" s="263">
        <f t="shared" si="1131"/>
        <v>0</v>
      </c>
      <c r="H253" s="263">
        <f t="shared" si="1131"/>
        <v>0</v>
      </c>
      <c r="I253" s="263">
        <f t="shared" si="1131"/>
        <v>0</v>
      </c>
      <c r="J253" s="263">
        <f t="shared" si="1131"/>
        <v>0</v>
      </c>
      <c r="K253" s="263">
        <f t="shared" si="1131"/>
        <v>0</v>
      </c>
      <c r="L253" s="263">
        <f t="shared" si="1131"/>
        <v>0</v>
      </c>
      <c r="M253" s="263">
        <f t="shared" si="1131"/>
        <v>0</v>
      </c>
      <c r="N253" s="263">
        <f t="shared" si="1131"/>
        <v>0</v>
      </c>
      <c r="O253" s="263">
        <f t="shared" si="1131"/>
        <v>0</v>
      </c>
      <c r="P253" s="223">
        <f>+SUBTOTAL(9,D253:O253)</f>
        <v>0</v>
      </c>
      <c r="Q253" s="284"/>
      <c r="R253" s="263">
        <f t="shared" si="1132"/>
        <v>0</v>
      </c>
      <c r="S253" s="263">
        <f t="shared" si="1132"/>
        <v>0</v>
      </c>
      <c r="T253" s="263">
        <f t="shared" si="1132"/>
        <v>0</v>
      </c>
      <c r="U253" s="263">
        <f t="shared" si="1132"/>
        <v>0</v>
      </c>
      <c r="V253" s="263">
        <f t="shared" si="1132"/>
        <v>0</v>
      </c>
      <c r="W253" s="263">
        <f t="shared" si="1132"/>
        <v>0</v>
      </c>
      <c r="X253" s="263">
        <f t="shared" si="1132"/>
        <v>0</v>
      </c>
      <c r="Y253" s="263">
        <f t="shared" si="1132"/>
        <v>0</v>
      </c>
      <c r="Z253" s="263">
        <f t="shared" si="1132"/>
        <v>0</v>
      </c>
      <c r="AA253" s="263">
        <f t="shared" si="1132"/>
        <v>0</v>
      </c>
      <c r="AB253" s="263">
        <f t="shared" si="1132"/>
        <v>0</v>
      </c>
      <c r="AC253" s="263">
        <f t="shared" si="1132"/>
        <v>0</v>
      </c>
      <c r="AD253" s="223">
        <f>+SUBTOTAL(9,R253:AC253)</f>
        <v>0</v>
      </c>
      <c r="AE253" s="284"/>
      <c r="AF253" s="263">
        <f t="shared" si="1133"/>
        <v>0</v>
      </c>
      <c r="AG253" s="263">
        <f t="shared" si="1133"/>
        <v>0</v>
      </c>
      <c r="AH253" s="263">
        <f t="shared" si="1133"/>
        <v>0</v>
      </c>
      <c r="AI253" s="263">
        <f t="shared" si="1133"/>
        <v>0</v>
      </c>
      <c r="AJ253" s="263">
        <f t="shared" si="1133"/>
        <v>0</v>
      </c>
      <c r="AK253" s="263">
        <f t="shared" si="1133"/>
        <v>0</v>
      </c>
      <c r="AL253" s="263">
        <f t="shared" si="1133"/>
        <v>0</v>
      </c>
      <c r="AM253" s="263">
        <f t="shared" si="1133"/>
        <v>0</v>
      </c>
      <c r="AN253" s="263">
        <f t="shared" si="1133"/>
        <v>0</v>
      </c>
      <c r="AO253" s="263">
        <f t="shared" si="1133"/>
        <v>0</v>
      </c>
      <c r="AP253" s="263">
        <f t="shared" si="1133"/>
        <v>0</v>
      </c>
      <c r="AQ253" s="263">
        <f t="shared" si="1133"/>
        <v>0</v>
      </c>
      <c r="AR253" s="223">
        <f>+SUBTOTAL(9,AF253:AQ253)</f>
        <v>0</v>
      </c>
      <c r="AS253" s="266"/>
      <c r="AT253" s="263">
        <f t="shared" si="1134"/>
        <v>0</v>
      </c>
      <c r="AU253" s="263">
        <f t="shared" si="1134"/>
        <v>0</v>
      </c>
      <c r="AV253" s="263">
        <f t="shared" si="1134"/>
        <v>0</v>
      </c>
      <c r="AW253" s="263">
        <f t="shared" si="1134"/>
        <v>0</v>
      </c>
      <c r="AX253" s="263">
        <f t="shared" si="1134"/>
        <v>0</v>
      </c>
      <c r="AY253" s="263">
        <f t="shared" si="1134"/>
        <v>0</v>
      </c>
      <c r="AZ253" s="263">
        <f t="shared" si="1134"/>
        <v>0</v>
      </c>
      <c r="BA253" s="263">
        <f t="shared" si="1134"/>
        <v>0</v>
      </c>
      <c r="BB253" s="263">
        <f t="shared" si="1134"/>
        <v>0</v>
      </c>
      <c r="BC253" s="263">
        <f t="shared" si="1134"/>
        <v>0</v>
      </c>
      <c r="BD253" s="263">
        <f t="shared" si="1134"/>
        <v>0</v>
      </c>
      <c r="BE253" s="263">
        <f t="shared" si="1134"/>
        <v>0</v>
      </c>
      <c r="BF253" s="223">
        <f>+SUBTOTAL(9,AT253:BE253)</f>
        <v>0</v>
      </c>
      <c r="BG253" s="224"/>
      <c r="BH253" s="263">
        <f t="shared" si="1135"/>
        <v>0</v>
      </c>
      <c r="BI253" s="263">
        <f t="shared" si="1135"/>
        <v>0</v>
      </c>
      <c r="BJ253" s="263">
        <f t="shared" si="1135"/>
        <v>0</v>
      </c>
      <c r="BK253" s="263">
        <f t="shared" si="1135"/>
        <v>0</v>
      </c>
      <c r="BL253" s="263">
        <f t="shared" si="1135"/>
        <v>0</v>
      </c>
      <c r="BM253" s="263">
        <f t="shared" si="1135"/>
        <v>0</v>
      </c>
      <c r="BN253" s="263">
        <f t="shared" si="1135"/>
        <v>0</v>
      </c>
      <c r="BO253" s="263">
        <f t="shared" si="1135"/>
        <v>0</v>
      </c>
      <c r="BP253" s="263">
        <f t="shared" si="1135"/>
        <v>0</v>
      </c>
      <c r="BQ253" s="263">
        <f t="shared" si="1135"/>
        <v>0</v>
      </c>
      <c r="BR253" s="263">
        <f t="shared" si="1135"/>
        <v>0</v>
      </c>
      <c r="BS253" s="263">
        <f t="shared" si="1135"/>
        <v>0</v>
      </c>
      <c r="BT253" s="223">
        <f>+SUBTOTAL(9,BH253:BS253)</f>
        <v>0</v>
      </c>
      <c r="BU253" s="266"/>
      <c r="BV253" s="263">
        <f t="shared" si="1136"/>
        <v>0</v>
      </c>
      <c r="BW253" s="263">
        <f t="shared" si="1136"/>
        <v>0</v>
      </c>
      <c r="BX253" s="263">
        <f t="shared" si="1136"/>
        <v>0</v>
      </c>
      <c r="BY253" s="263">
        <f t="shared" si="1136"/>
        <v>0</v>
      </c>
      <c r="BZ253" s="263">
        <f t="shared" si="1136"/>
        <v>0</v>
      </c>
      <c r="CA253" s="263">
        <f t="shared" si="1136"/>
        <v>0</v>
      </c>
      <c r="CB253" s="263">
        <f t="shared" si="1136"/>
        <v>0</v>
      </c>
      <c r="CC253" s="263">
        <f t="shared" si="1136"/>
        <v>0</v>
      </c>
      <c r="CD253" s="263">
        <f t="shared" si="1136"/>
        <v>0</v>
      </c>
      <c r="CE253" s="263">
        <f t="shared" si="1136"/>
        <v>0</v>
      </c>
      <c r="CF253" s="263">
        <f t="shared" si="1136"/>
        <v>0</v>
      </c>
      <c r="CG253" s="263">
        <f t="shared" si="1136"/>
        <v>0</v>
      </c>
      <c r="CH253" s="223">
        <f>+SUBTOTAL(9,BV253:CG253)</f>
        <v>0</v>
      </c>
      <c r="CI253" s="284"/>
      <c r="CJ253" s="263">
        <f t="shared" si="1137"/>
        <v>0</v>
      </c>
      <c r="CK253" s="263">
        <f t="shared" si="1137"/>
        <v>0</v>
      </c>
      <c r="CL253" s="263">
        <f t="shared" si="1137"/>
        <v>0</v>
      </c>
      <c r="CM253" s="263">
        <f t="shared" si="1137"/>
        <v>0</v>
      </c>
      <c r="CN253" s="263">
        <f t="shared" si="1137"/>
        <v>0</v>
      </c>
      <c r="CO253" s="263">
        <f t="shared" si="1137"/>
        <v>0</v>
      </c>
      <c r="CP253" s="263">
        <f t="shared" si="1137"/>
        <v>0</v>
      </c>
      <c r="CQ253" s="263">
        <f t="shared" si="1137"/>
        <v>0</v>
      </c>
      <c r="CR253" s="263">
        <f t="shared" si="1137"/>
        <v>0</v>
      </c>
      <c r="CS253" s="263">
        <f t="shared" si="1137"/>
        <v>0</v>
      </c>
      <c r="CT253" s="263">
        <f t="shared" si="1137"/>
        <v>0</v>
      </c>
      <c r="CU253" s="263">
        <f t="shared" si="1137"/>
        <v>0</v>
      </c>
      <c r="CV253" s="223">
        <f>+SUBTOTAL(9,CJ253:CU253)</f>
        <v>0</v>
      </c>
      <c r="CW253" s="284"/>
      <c r="CX253" s="263">
        <f t="shared" si="1138"/>
        <v>0</v>
      </c>
      <c r="CY253" s="263">
        <f t="shared" si="1138"/>
        <v>0</v>
      </c>
      <c r="CZ253" s="263">
        <f t="shared" si="1138"/>
        <v>0</v>
      </c>
      <c r="DA253" s="263">
        <f t="shared" si="1138"/>
        <v>0</v>
      </c>
      <c r="DB253" s="263">
        <f t="shared" si="1138"/>
        <v>0</v>
      </c>
      <c r="DC253" s="263">
        <f t="shared" si="1138"/>
        <v>0</v>
      </c>
      <c r="DD253" s="263">
        <f t="shared" si="1138"/>
        <v>0</v>
      </c>
      <c r="DE253" s="263">
        <f t="shared" si="1138"/>
        <v>0</v>
      </c>
      <c r="DF253" s="263">
        <f t="shared" si="1138"/>
        <v>0</v>
      </c>
      <c r="DG253" s="263">
        <f t="shared" si="1138"/>
        <v>0</v>
      </c>
      <c r="DH253" s="263">
        <f t="shared" si="1138"/>
        <v>0</v>
      </c>
      <c r="DI253" s="263">
        <f t="shared" si="1138"/>
        <v>0</v>
      </c>
      <c r="DJ253" s="223">
        <f>+SUBTOTAL(9,CX253:DI253)</f>
        <v>0</v>
      </c>
      <c r="DK253" s="284"/>
      <c r="DL253" s="263">
        <f t="shared" si="1139"/>
        <v>0</v>
      </c>
      <c r="DM253" s="263">
        <f t="shared" si="1139"/>
        <v>0</v>
      </c>
      <c r="DN253" s="263">
        <f t="shared" si="1139"/>
        <v>0</v>
      </c>
      <c r="DO253" s="263">
        <f t="shared" si="1139"/>
        <v>0</v>
      </c>
      <c r="DP253" s="263">
        <f t="shared" si="1139"/>
        <v>0</v>
      </c>
      <c r="DQ253" s="263">
        <f t="shared" si="1139"/>
        <v>0</v>
      </c>
      <c r="DR253" s="263">
        <f t="shared" si="1139"/>
        <v>0</v>
      </c>
      <c r="DS253" s="263">
        <f t="shared" si="1139"/>
        <v>0</v>
      </c>
      <c r="DT253" s="263">
        <f t="shared" si="1139"/>
        <v>0</v>
      </c>
      <c r="DU253" s="263">
        <f t="shared" si="1139"/>
        <v>0</v>
      </c>
      <c r="DV253" s="263">
        <f t="shared" si="1139"/>
        <v>0</v>
      </c>
      <c r="DW253" s="263">
        <f t="shared" si="1139"/>
        <v>0</v>
      </c>
      <c r="DX253" s="223">
        <f>+SUBTOTAL(9,DL253:DW253)</f>
        <v>0</v>
      </c>
      <c r="DY253" s="284"/>
      <c r="DZ253" s="263">
        <f t="shared" si="1140"/>
        <v>0</v>
      </c>
      <c r="EA253" s="263">
        <f t="shared" si="1140"/>
        <v>0</v>
      </c>
      <c r="EB253" s="263">
        <f t="shared" si="1140"/>
        <v>0</v>
      </c>
      <c r="EC253" s="263">
        <f t="shared" si="1140"/>
        <v>0</v>
      </c>
      <c r="ED253" s="263">
        <f t="shared" si="1140"/>
        <v>0</v>
      </c>
      <c r="EE253" s="263">
        <f t="shared" si="1140"/>
        <v>0</v>
      </c>
      <c r="EF253" s="263">
        <f t="shared" si="1140"/>
        <v>0</v>
      </c>
      <c r="EG253" s="263">
        <f t="shared" si="1140"/>
        <v>0</v>
      </c>
      <c r="EH253" s="263">
        <f t="shared" si="1140"/>
        <v>0</v>
      </c>
      <c r="EI253" s="263">
        <f t="shared" si="1140"/>
        <v>0</v>
      </c>
      <c r="EJ253" s="263">
        <f t="shared" si="1140"/>
        <v>0</v>
      </c>
      <c r="EK253" s="263">
        <f t="shared" si="1140"/>
        <v>0</v>
      </c>
      <c r="EL253" s="223">
        <f>+SUBTOTAL(9,DZ253:EK253)</f>
        <v>0</v>
      </c>
      <c r="EM253" s="284"/>
      <c r="EN253" s="263">
        <f t="shared" si="1141"/>
        <v>0</v>
      </c>
      <c r="EO253" s="263">
        <f t="shared" si="1141"/>
        <v>0</v>
      </c>
      <c r="EP253" s="263">
        <f t="shared" si="1141"/>
        <v>0</v>
      </c>
      <c r="EQ253" s="263">
        <f t="shared" si="1141"/>
        <v>0</v>
      </c>
      <c r="ER253" s="263">
        <f t="shared" si="1141"/>
        <v>0</v>
      </c>
      <c r="ES253" s="263">
        <f t="shared" si="1141"/>
        <v>0</v>
      </c>
      <c r="ET253" s="263">
        <f t="shared" si="1141"/>
        <v>0</v>
      </c>
      <c r="EU253" s="263">
        <f t="shared" si="1141"/>
        <v>0</v>
      </c>
      <c r="EV253" s="263">
        <f t="shared" si="1141"/>
        <v>0</v>
      </c>
      <c r="EW253" s="263">
        <f t="shared" si="1141"/>
        <v>0</v>
      </c>
      <c r="EX253" s="263">
        <f t="shared" si="1141"/>
        <v>0</v>
      </c>
      <c r="EY253" s="263">
        <f t="shared" si="1141"/>
        <v>0</v>
      </c>
      <c r="EZ253" s="223">
        <f>+SUBTOTAL(9,EN253:EY253)</f>
        <v>0</v>
      </c>
      <c r="FA253" s="284"/>
      <c r="FB253" s="263">
        <f t="shared" si="1142"/>
        <v>0</v>
      </c>
      <c r="FC253" s="263">
        <f t="shared" si="1142"/>
        <v>0</v>
      </c>
      <c r="FD253" s="263">
        <f t="shared" si="1142"/>
        <v>0</v>
      </c>
      <c r="FE253" s="263">
        <f t="shared" si="1142"/>
        <v>0</v>
      </c>
      <c r="FF253" s="263">
        <f t="shared" si="1142"/>
        <v>0</v>
      </c>
      <c r="FG253" s="263">
        <f t="shared" si="1142"/>
        <v>0</v>
      </c>
      <c r="FH253" s="263">
        <f t="shared" si="1142"/>
        <v>0</v>
      </c>
      <c r="FI253" s="263">
        <f t="shared" si="1142"/>
        <v>0</v>
      </c>
      <c r="FJ253" s="263">
        <f t="shared" si="1142"/>
        <v>0</v>
      </c>
      <c r="FK253" s="263">
        <f t="shared" si="1142"/>
        <v>0</v>
      </c>
      <c r="FL253" s="263">
        <f t="shared" si="1142"/>
        <v>0</v>
      </c>
      <c r="FM253" s="263">
        <f t="shared" si="1142"/>
        <v>0</v>
      </c>
      <c r="FN253" s="223">
        <f>+SUBTOTAL(9,FB253:FM253)</f>
        <v>0</v>
      </c>
      <c r="FO253" s="284"/>
      <c r="FP253" s="263">
        <f t="shared" si="1143"/>
        <v>0</v>
      </c>
      <c r="FQ253" s="263">
        <f t="shared" si="1143"/>
        <v>0</v>
      </c>
      <c r="FR253" s="263">
        <f t="shared" si="1143"/>
        <v>0</v>
      </c>
      <c r="FS253" s="263">
        <f t="shared" si="1143"/>
        <v>0</v>
      </c>
      <c r="FT253" s="263">
        <f t="shared" si="1143"/>
        <v>0</v>
      </c>
      <c r="FU253" s="263">
        <f t="shared" si="1143"/>
        <v>0</v>
      </c>
      <c r="FV253" s="263">
        <f t="shared" si="1143"/>
        <v>0</v>
      </c>
      <c r="FW253" s="263">
        <f t="shared" si="1143"/>
        <v>0</v>
      </c>
      <c r="FX253" s="263">
        <f t="shared" si="1143"/>
        <v>0</v>
      </c>
      <c r="FY253" s="263">
        <f t="shared" si="1143"/>
        <v>0</v>
      </c>
      <c r="FZ253" s="263">
        <f t="shared" si="1143"/>
        <v>0</v>
      </c>
      <c r="GA253" s="263">
        <f t="shared" si="1143"/>
        <v>0</v>
      </c>
      <c r="GB253" s="223">
        <f>+SUBTOTAL(9,FP253:GA253)</f>
        <v>0</v>
      </c>
      <c r="GC253" s="284"/>
      <c r="GD253" s="263">
        <f t="shared" si="1144"/>
        <v>0</v>
      </c>
      <c r="GE253" s="263">
        <f t="shared" si="1144"/>
        <v>0</v>
      </c>
      <c r="GF253" s="263">
        <f t="shared" si="1144"/>
        <v>0</v>
      </c>
      <c r="GG253" s="263">
        <f t="shared" si="1144"/>
        <v>0</v>
      </c>
      <c r="GH253" s="263">
        <f t="shared" si="1144"/>
        <v>0</v>
      </c>
      <c r="GI253" s="263">
        <f t="shared" si="1144"/>
        <v>0</v>
      </c>
      <c r="GJ253" s="263">
        <f t="shared" si="1144"/>
        <v>0</v>
      </c>
      <c r="GK253" s="263">
        <f t="shared" si="1144"/>
        <v>0</v>
      </c>
      <c r="GL253" s="263">
        <f t="shared" si="1144"/>
        <v>0</v>
      </c>
      <c r="GM253" s="263">
        <f t="shared" si="1144"/>
        <v>0</v>
      </c>
      <c r="GN253" s="263">
        <f t="shared" si="1144"/>
        <v>0</v>
      </c>
      <c r="GO253" s="263">
        <f t="shared" si="1144"/>
        <v>0</v>
      </c>
      <c r="GP253" s="223">
        <f>+SUBTOTAL(9,GD253:GO253)</f>
        <v>0</v>
      </c>
      <c r="GQ253" s="284"/>
      <c r="GR253" s="263">
        <f t="shared" si="1145"/>
        <v>0</v>
      </c>
      <c r="GS253" s="263">
        <f t="shared" si="1145"/>
        <v>0</v>
      </c>
      <c r="GT253" s="263">
        <f t="shared" si="1145"/>
        <v>0</v>
      </c>
      <c r="GU253" s="263">
        <f t="shared" si="1145"/>
        <v>0</v>
      </c>
      <c r="GV253" s="263">
        <f t="shared" si="1145"/>
        <v>0</v>
      </c>
      <c r="GW253" s="263">
        <f t="shared" si="1145"/>
        <v>0</v>
      </c>
      <c r="GX253" s="263">
        <f t="shared" si="1145"/>
        <v>0</v>
      </c>
      <c r="GY253" s="263">
        <f t="shared" si="1145"/>
        <v>0</v>
      </c>
      <c r="GZ253" s="263">
        <f t="shared" si="1145"/>
        <v>0</v>
      </c>
      <c r="HA253" s="263">
        <f t="shared" si="1145"/>
        <v>0</v>
      </c>
      <c r="HB253" s="263">
        <f t="shared" si="1145"/>
        <v>0</v>
      </c>
      <c r="HC253" s="263">
        <f t="shared" si="1145"/>
        <v>0</v>
      </c>
      <c r="HD253" s="223">
        <f t="shared" si="1048"/>
        <v>0</v>
      </c>
      <c r="HE253" s="284"/>
      <c r="HF253" s="263">
        <f t="shared" si="1146"/>
        <v>0</v>
      </c>
      <c r="HG253" s="263">
        <f t="shared" si="1146"/>
        <v>0</v>
      </c>
      <c r="HH253" s="263">
        <f t="shared" si="1146"/>
        <v>0</v>
      </c>
      <c r="HI253" s="263">
        <f t="shared" si="1146"/>
        <v>0</v>
      </c>
      <c r="HJ253" s="263">
        <f t="shared" si="1146"/>
        <v>0</v>
      </c>
      <c r="HK253" s="263">
        <f t="shared" si="1146"/>
        <v>0</v>
      </c>
      <c r="HL253" s="263">
        <f t="shared" si="1146"/>
        <v>0</v>
      </c>
      <c r="HM253" s="263">
        <f t="shared" si="1146"/>
        <v>0</v>
      </c>
      <c r="HN253" s="263">
        <f t="shared" si="1146"/>
        <v>0</v>
      </c>
      <c r="HO253" s="263">
        <f t="shared" si="1146"/>
        <v>0</v>
      </c>
      <c r="HP253" s="263">
        <f t="shared" si="1146"/>
        <v>0</v>
      </c>
      <c r="HQ253" s="263">
        <f t="shared" si="1146"/>
        <v>0</v>
      </c>
      <c r="HR253" s="223">
        <f>+SUBTOTAL(9,HF253:HQ253)</f>
        <v>0</v>
      </c>
      <c r="HS253" s="284"/>
      <c r="HT253" s="263">
        <f t="shared" si="1147"/>
        <v>0</v>
      </c>
      <c r="HU253" s="263">
        <f t="shared" si="1147"/>
        <v>0</v>
      </c>
      <c r="HV253" s="263">
        <f t="shared" si="1147"/>
        <v>0</v>
      </c>
      <c r="HW253" s="263">
        <f t="shared" si="1147"/>
        <v>0</v>
      </c>
      <c r="HX253" s="263">
        <f t="shared" si="1147"/>
        <v>0</v>
      </c>
      <c r="HY253" s="263">
        <f t="shared" si="1147"/>
        <v>0</v>
      </c>
      <c r="HZ253" s="263">
        <f t="shared" si="1147"/>
        <v>0</v>
      </c>
      <c r="IA253" s="263">
        <f t="shared" si="1147"/>
        <v>0</v>
      </c>
      <c r="IB253" s="263">
        <f t="shared" si="1147"/>
        <v>0</v>
      </c>
      <c r="IC253" s="263">
        <f t="shared" si="1147"/>
        <v>0</v>
      </c>
      <c r="ID253" s="263">
        <f t="shared" si="1147"/>
        <v>0</v>
      </c>
      <c r="IE253" s="263">
        <f t="shared" si="1147"/>
        <v>0</v>
      </c>
      <c r="IF253" s="223">
        <f>+SUBTOTAL(9,HT253:IE253)</f>
        <v>0</v>
      </c>
      <c r="IG253" s="284"/>
      <c r="IH253" s="263">
        <f t="shared" si="1148"/>
        <v>0</v>
      </c>
      <c r="II253" s="263">
        <f t="shared" si="1148"/>
        <v>0</v>
      </c>
      <c r="IJ253" s="263">
        <f t="shared" si="1148"/>
        <v>0</v>
      </c>
      <c r="IK253" s="263">
        <f t="shared" si="1148"/>
        <v>0</v>
      </c>
      <c r="IL253" s="263">
        <f t="shared" si="1148"/>
        <v>0</v>
      </c>
      <c r="IM253" s="263">
        <f t="shared" si="1148"/>
        <v>0</v>
      </c>
      <c r="IN253" s="263">
        <f t="shared" si="1148"/>
        <v>0</v>
      </c>
      <c r="IO253" s="263">
        <f t="shared" si="1148"/>
        <v>0</v>
      </c>
      <c r="IP253" s="263">
        <f t="shared" si="1148"/>
        <v>0</v>
      </c>
      <c r="IQ253" s="263">
        <f t="shared" si="1148"/>
        <v>0</v>
      </c>
      <c r="IR253" s="263">
        <f t="shared" si="1148"/>
        <v>0</v>
      </c>
      <c r="IS253" s="263">
        <f t="shared" si="1148"/>
        <v>0</v>
      </c>
      <c r="IT253" s="223">
        <f>+SUBTOTAL(9,IH253:IS253)</f>
        <v>0</v>
      </c>
      <c r="IU253" s="284"/>
      <c r="IV253" s="263">
        <f t="shared" si="1149"/>
        <v>0</v>
      </c>
      <c r="IW253" s="263">
        <f t="shared" si="1149"/>
        <v>0</v>
      </c>
      <c r="IX253" s="263">
        <f t="shared" si="1149"/>
        <v>0</v>
      </c>
      <c r="IY253" s="263">
        <f t="shared" si="1149"/>
        <v>0</v>
      </c>
      <c r="IZ253" s="263">
        <f t="shared" si="1149"/>
        <v>0</v>
      </c>
      <c r="JA253" s="263">
        <f t="shared" si="1149"/>
        <v>0</v>
      </c>
      <c r="JB253" s="263">
        <f t="shared" si="1149"/>
        <v>0</v>
      </c>
      <c r="JC253" s="263">
        <f t="shared" si="1149"/>
        <v>0</v>
      </c>
      <c r="JD253" s="263">
        <f t="shared" si="1149"/>
        <v>0</v>
      </c>
      <c r="JE253" s="263">
        <f t="shared" si="1149"/>
        <v>0</v>
      </c>
      <c r="JF253" s="263">
        <f t="shared" si="1149"/>
        <v>0</v>
      </c>
      <c r="JG253" s="263">
        <f t="shared" si="1149"/>
        <v>0</v>
      </c>
      <c r="JH253" s="223">
        <f>+SUBTOTAL(9,IV253:JG253)</f>
        <v>0</v>
      </c>
      <c r="JI253" s="284"/>
      <c r="JJ253" s="263">
        <f t="shared" si="1150"/>
        <v>0</v>
      </c>
      <c r="JK253" s="263">
        <f t="shared" si="1150"/>
        <v>0</v>
      </c>
      <c r="JL253" s="263">
        <f t="shared" si="1150"/>
        <v>0</v>
      </c>
      <c r="JM253" s="263">
        <f t="shared" si="1150"/>
        <v>0</v>
      </c>
      <c r="JN253" s="263">
        <f t="shared" si="1150"/>
        <v>0</v>
      </c>
      <c r="JO253" s="263">
        <f t="shared" si="1150"/>
        <v>0</v>
      </c>
      <c r="JP253" s="263">
        <f t="shared" si="1150"/>
        <v>0</v>
      </c>
      <c r="JQ253" s="263">
        <f t="shared" si="1150"/>
        <v>0</v>
      </c>
      <c r="JR253" s="263">
        <f t="shared" si="1150"/>
        <v>0</v>
      </c>
      <c r="JS253" s="263">
        <f t="shared" si="1150"/>
        <v>0</v>
      </c>
      <c r="JT253" s="263">
        <f t="shared" si="1150"/>
        <v>0</v>
      </c>
      <c r="JU253" s="263">
        <f t="shared" si="1150"/>
        <v>0</v>
      </c>
      <c r="JV253" s="223">
        <f>+SUBTOTAL(9,JJ253:JU253)</f>
        <v>0</v>
      </c>
      <c r="JW253" s="284"/>
      <c r="JX253" s="263">
        <f t="shared" si="1151"/>
        <v>0</v>
      </c>
      <c r="JY253" s="263">
        <f t="shared" si="1151"/>
        <v>0</v>
      </c>
      <c r="JZ253" s="263">
        <f t="shared" si="1151"/>
        <v>0</v>
      </c>
      <c r="KA253" s="263">
        <f t="shared" si="1151"/>
        <v>0</v>
      </c>
      <c r="KB253" s="263">
        <f t="shared" si="1151"/>
        <v>0</v>
      </c>
      <c r="KC253" s="263">
        <f t="shared" si="1151"/>
        <v>0</v>
      </c>
      <c r="KD253" s="263">
        <f t="shared" si="1151"/>
        <v>0</v>
      </c>
      <c r="KE253" s="263">
        <f t="shared" si="1151"/>
        <v>0</v>
      </c>
      <c r="KF253" s="263">
        <f t="shared" si="1151"/>
        <v>0</v>
      </c>
      <c r="KG253" s="263">
        <f t="shared" si="1151"/>
        <v>0</v>
      </c>
      <c r="KH253" s="263">
        <f t="shared" si="1151"/>
        <v>0</v>
      </c>
      <c r="KI253" s="263">
        <f t="shared" si="1151"/>
        <v>0</v>
      </c>
      <c r="KJ253" s="223">
        <f>+SUBTOTAL(9,JX253:KI253)</f>
        <v>0</v>
      </c>
      <c r="KK253" s="284"/>
      <c r="KL253" s="263">
        <f t="shared" si="1152"/>
        <v>0</v>
      </c>
      <c r="KM253" s="263">
        <f t="shared" si="1152"/>
        <v>0</v>
      </c>
      <c r="KN253" s="263">
        <f t="shared" si="1152"/>
        <v>0</v>
      </c>
      <c r="KO253" s="263">
        <f t="shared" si="1152"/>
        <v>0</v>
      </c>
      <c r="KP253" s="263">
        <f t="shared" si="1152"/>
        <v>0</v>
      </c>
      <c r="KQ253" s="263">
        <f t="shared" si="1152"/>
        <v>0</v>
      </c>
      <c r="KR253" s="263">
        <f t="shared" si="1152"/>
        <v>0</v>
      </c>
      <c r="KS253" s="263">
        <f t="shared" si="1152"/>
        <v>0</v>
      </c>
      <c r="KT253" s="263">
        <f t="shared" si="1152"/>
        <v>0</v>
      </c>
      <c r="KU253" s="263">
        <f t="shared" si="1152"/>
        <v>0</v>
      </c>
      <c r="KV253" s="263">
        <f t="shared" si="1152"/>
        <v>0</v>
      </c>
      <c r="KW253" s="263">
        <f t="shared" si="1152"/>
        <v>0</v>
      </c>
      <c r="KX253" s="223">
        <f>+SUBTOTAL(9,KL253:KW253)</f>
        <v>0</v>
      </c>
      <c r="KY253" s="284"/>
      <c r="KZ253" s="263">
        <f t="shared" si="1153"/>
        <v>0</v>
      </c>
      <c r="LA253" s="263">
        <f t="shared" si="1153"/>
        <v>0</v>
      </c>
      <c r="LB253" s="263">
        <f t="shared" si="1153"/>
        <v>0</v>
      </c>
      <c r="LC253" s="263">
        <f t="shared" si="1153"/>
        <v>0</v>
      </c>
      <c r="LD253" s="263">
        <f t="shared" si="1153"/>
        <v>0</v>
      </c>
      <c r="LE253" s="263">
        <f t="shared" si="1153"/>
        <v>0</v>
      </c>
      <c r="LF253" s="263">
        <f t="shared" si="1153"/>
        <v>0</v>
      </c>
      <c r="LG253" s="263">
        <f t="shared" si="1153"/>
        <v>0</v>
      </c>
      <c r="LH253" s="263">
        <f t="shared" si="1153"/>
        <v>0</v>
      </c>
      <c r="LI253" s="263">
        <f t="shared" si="1153"/>
        <v>0</v>
      </c>
      <c r="LJ253" s="263">
        <f t="shared" si="1153"/>
        <v>0</v>
      </c>
      <c r="LK253" s="263">
        <f t="shared" si="1153"/>
        <v>0</v>
      </c>
      <c r="LL253" s="223">
        <f>+SUBTOTAL(9,KZ253:LK253)</f>
        <v>0</v>
      </c>
      <c r="LM253" s="284"/>
      <c r="LN253" s="263">
        <v>0</v>
      </c>
      <c r="LO253" s="264">
        <v>0</v>
      </c>
      <c r="LP253" s="265">
        <v>0</v>
      </c>
      <c r="LQ253" s="265">
        <v>0</v>
      </c>
      <c r="LR253" s="265">
        <v>0</v>
      </c>
      <c r="LS253" s="265">
        <v>0</v>
      </c>
      <c r="LT253" s="265">
        <v>0</v>
      </c>
      <c r="LU253" s="265">
        <v>0</v>
      </c>
      <c r="LV253" s="265">
        <v>0</v>
      </c>
      <c r="LW253" s="265">
        <v>0</v>
      </c>
      <c r="LX253" s="265">
        <v>0</v>
      </c>
      <c r="LY253" s="265">
        <v>0</v>
      </c>
      <c r="LZ253" s="223">
        <f>+SUBTOTAL(9,LN253:LY253)</f>
        <v>0</v>
      </c>
      <c r="MA253" s="284"/>
      <c r="MB253" s="230">
        <f t="shared" si="1154"/>
        <v>0</v>
      </c>
      <c r="MC253" s="230">
        <f t="shared" si="1154"/>
        <v>0</v>
      </c>
      <c r="MD253" s="230">
        <f t="shared" si="1154"/>
        <v>0</v>
      </c>
      <c r="ME253" s="230">
        <f t="shared" si="1154"/>
        <v>0</v>
      </c>
      <c r="MF253" s="230">
        <f t="shared" si="1154"/>
        <v>0</v>
      </c>
      <c r="MG253" s="230">
        <f t="shared" si="1154"/>
        <v>0</v>
      </c>
      <c r="MH253" s="230">
        <f t="shared" si="1154"/>
        <v>0</v>
      </c>
      <c r="MI253" s="230">
        <f t="shared" si="1154"/>
        <v>0</v>
      </c>
      <c r="MJ253" s="230">
        <f t="shared" si="1154"/>
        <v>0</v>
      </c>
      <c r="MK253" s="230">
        <f t="shared" si="1154"/>
        <v>0</v>
      </c>
      <c r="ML253" s="230">
        <f t="shared" si="1154"/>
        <v>0</v>
      </c>
      <c r="MM253" s="230">
        <f t="shared" si="1154"/>
        <v>0</v>
      </c>
      <c r="MN253" s="230">
        <f t="shared" si="1155"/>
        <v>0</v>
      </c>
    </row>
    <row r="254" spans="1:352" x14ac:dyDescent="0.25">
      <c r="A254" s="262"/>
      <c r="B254" s="183"/>
      <c r="C254" s="202"/>
      <c r="D254" s="283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23"/>
      <c r="Q254" s="284"/>
      <c r="R254" s="283"/>
      <c r="S254" s="273"/>
      <c r="T254" s="273"/>
      <c r="U254" s="273"/>
      <c r="V254" s="273"/>
      <c r="W254" s="273"/>
      <c r="X254" s="273"/>
      <c r="Y254" s="273"/>
      <c r="Z254" s="273"/>
      <c r="AA254" s="273"/>
      <c r="AB254" s="273"/>
      <c r="AC254" s="273"/>
      <c r="AD254" s="223"/>
      <c r="AE254" s="284"/>
      <c r="AF254" s="283"/>
      <c r="AG254" s="273"/>
      <c r="AH254" s="273"/>
      <c r="AI254" s="273"/>
      <c r="AJ254" s="273"/>
      <c r="AK254" s="273"/>
      <c r="AL254" s="273"/>
      <c r="AM254" s="273"/>
      <c r="AN254" s="273"/>
      <c r="AO254" s="273"/>
      <c r="AP254" s="273"/>
      <c r="AQ254" s="273"/>
      <c r="AR254" s="223"/>
      <c r="AS254" s="266"/>
      <c r="AT254" s="283"/>
      <c r="AU254" s="273"/>
      <c r="AV254" s="273"/>
      <c r="AW254" s="273"/>
      <c r="AX254" s="273"/>
      <c r="AY254" s="273"/>
      <c r="AZ254" s="273"/>
      <c r="BA254" s="273"/>
      <c r="BB254" s="273"/>
      <c r="BC254" s="273"/>
      <c r="BD254" s="273"/>
      <c r="BE254" s="273"/>
      <c r="BF254" s="223"/>
      <c r="BG254" s="224"/>
      <c r="BH254" s="283"/>
      <c r="BI254" s="273"/>
      <c r="BJ254" s="273"/>
      <c r="BK254" s="273"/>
      <c r="BL254" s="273"/>
      <c r="BM254" s="273"/>
      <c r="BN254" s="273"/>
      <c r="BO254" s="273"/>
      <c r="BP254" s="273"/>
      <c r="BQ254" s="273"/>
      <c r="BR254" s="273"/>
      <c r="BS254" s="273"/>
      <c r="BT254" s="223"/>
      <c r="BU254" s="266"/>
      <c r="BV254" s="283"/>
      <c r="BW254" s="273"/>
      <c r="BX254" s="273"/>
      <c r="BY254" s="273"/>
      <c r="BZ254" s="273"/>
      <c r="CA254" s="273"/>
      <c r="CB254" s="273"/>
      <c r="CC254" s="273"/>
      <c r="CD254" s="273"/>
      <c r="CE254" s="273"/>
      <c r="CF254" s="273"/>
      <c r="CG254" s="273"/>
      <c r="CH254" s="223"/>
      <c r="CI254" s="284"/>
      <c r="CJ254" s="283"/>
      <c r="CK254" s="273"/>
      <c r="CL254" s="273"/>
      <c r="CM254" s="273"/>
      <c r="CN254" s="273"/>
      <c r="CO254" s="273"/>
      <c r="CP254" s="273"/>
      <c r="CQ254" s="273"/>
      <c r="CR254" s="273"/>
      <c r="CS254" s="273"/>
      <c r="CT254" s="273"/>
      <c r="CU254" s="273"/>
      <c r="CV254" s="223"/>
      <c r="CW254" s="284"/>
      <c r="CX254" s="283"/>
      <c r="CY254" s="273"/>
      <c r="CZ254" s="273"/>
      <c r="DA254" s="273"/>
      <c r="DB254" s="273"/>
      <c r="DC254" s="273"/>
      <c r="DD254" s="273"/>
      <c r="DE254" s="273"/>
      <c r="DF254" s="273"/>
      <c r="DG254" s="273"/>
      <c r="DH254" s="273"/>
      <c r="DI254" s="273"/>
      <c r="DJ254" s="223"/>
      <c r="DK254" s="284"/>
      <c r="DL254" s="283"/>
      <c r="DM254" s="273"/>
      <c r="DN254" s="273"/>
      <c r="DO254" s="273"/>
      <c r="DP254" s="273"/>
      <c r="DQ254" s="273"/>
      <c r="DR254" s="273"/>
      <c r="DS254" s="273"/>
      <c r="DT254" s="273"/>
      <c r="DU254" s="273"/>
      <c r="DV254" s="273"/>
      <c r="DW254" s="273"/>
      <c r="DX254" s="223"/>
      <c r="DY254" s="284"/>
      <c r="DZ254" s="283"/>
      <c r="EA254" s="273"/>
      <c r="EB254" s="273"/>
      <c r="EC254" s="273"/>
      <c r="ED254" s="273"/>
      <c r="EE254" s="273"/>
      <c r="EF254" s="273"/>
      <c r="EG254" s="273"/>
      <c r="EH254" s="273"/>
      <c r="EI254" s="273"/>
      <c r="EJ254" s="273"/>
      <c r="EK254" s="273"/>
      <c r="EL254" s="223"/>
      <c r="EM254" s="284"/>
      <c r="EN254" s="283"/>
      <c r="EO254" s="273"/>
      <c r="EP254" s="273"/>
      <c r="EQ254" s="273"/>
      <c r="ER254" s="273"/>
      <c r="ES254" s="273"/>
      <c r="ET254" s="273"/>
      <c r="EU254" s="273"/>
      <c r="EV254" s="273"/>
      <c r="EW254" s="273"/>
      <c r="EX254" s="273"/>
      <c r="EY254" s="273"/>
      <c r="EZ254" s="223"/>
      <c r="FA254" s="284"/>
      <c r="FB254" s="283"/>
      <c r="FC254" s="273"/>
      <c r="FD254" s="273"/>
      <c r="FE254" s="273"/>
      <c r="FF254" s="273"/>
      <c r="FG254" s="273"/>
      <c r="FH254" s="273"/>
      <c r="FI254" s="273"/>
      <c r="FJ254" s="273"/>
      <c r="FK254" s="273"/>
      <c r="FL254" s="273"/>
      <c r="FM254" s="273"/>
      <c r="FN254" s="223"/>
      <c r="FO254" s="284"/>
      <c r="FP254" s="283"/>
      <c r="FQ254" s="273"/>
      <c r="FR254" s="273"/>
      <c r="FS254" s="273"/>
      <c r="FT254" s="273"/>
      <c r="FU254" s="273"/>
      <c r="FV254" s="273"/>
      <c r="FW254" s="273"/>
      <c r="FX254" s="273"/>
      <c r="FY254" s="273"/>
      <c r="FZ254" s="273"/>
      <c r="GA254" s="273"/>
      <c r="GB254" s="223"/>
      <c r="GC254" s="284"/>
      <c r="GD254" s="283"/>
      <c r="GE254" s="273"/>
      <c r="GF254" s="273"/>
      <c r="GG254" s="273"/>
      <c r="GH254" s="273"/>
      <c r="GI254" s="273"/>
      <c r="GJ254" s="273"/>
      <c r="GK254" s="273"/>
      <c r="GL254" s="273"/>
      <c r="GM254" s="273"/>
      <c r="GN254" s="273"/>
      <c r="GO254" s="273"/>
      <c r="GP254" s="223"/>
      <c r="GQ254" s="284"/>
      <c r="GR254" s="283"/>
      <c r="GS254" s="273"/>
      <c r="GT254" s="273"/>
      <c r="GU254" s="273"/>
      <c r="GV254" s="273"/>
      <c r="GW254" s="273"/>
      <c r="GX254" s="273"/>
      <c r="GY254" s="273"/>
      <c r="GZ254" s="273"/>
      <c r="HA254" s="273"/>
      <c r="HB254" s="273"/>
      <c r="HC254" s="273"/>
      <c r="HD254" s="223">
        <f t="shared" si="1048"/>
        <v>0</v>
      </c>
      <c r="HE254" s="284"/>
      <c r="HF254" s="283"/>
      <c r="HG254" s="273"/>
      <c r="HH254" s="273"/>
      <c r="HI254" s="273"/>
      <c r="HJ254" s="273"/>
      <c r="HK254" s="273"/>
      <c r="HL254" s="273"/>
      <c r="HM254" s="273"/>
      <c r="HN254" s="273"/>
      <c r="HO254" s="273"/>
      <c r="HP254" s="273"/>
      <c r="HQ254" s="273"/>
      <c r="HR254" s="223"/>
      <c r="HS254" s="284"/>
      <c r="HT254" s="283"/>
      <c r="HU254" s="273"/>
      <c r="HV254" s="273"/>
      <c r="HW254" s="273"/>
      <c r="HX254" s="273"/>
      <c r="HY254" s="273"/>
      <c r="HZ254" s="273"/>
      <c r="IA254" s="273"/>
      <c r="IB254" s="273"/>
      <c r="IC254" s="273"/>
      <c r="ID254" s="273"/>
      <c r="IE254" s="273"/>
      <c r="IF254" s="223"/>
      <c r="IG254" s="284"/>
      <c r="IH254" s="283"/>
      <c r="II254" s="273"/>
      <c r="IJ254" s="273"/>
      <c r="IK254" s="273"/>
      <c r="IL254" s="273"/>
      <c r="IM254" s="273"/>
      <c r="IN254" s="273"/>
      <c r="IO254" s="273"/>
      <c r="IP254" s="273"/>
      <c r="IQ254" s="273"/>
      <c r="IR254" s="273"/>
      <c r="IS254" s="273"/>
      <c r="IT254" s="223"/>
      <c r="IU254" s="284"/>
      <c r="IV254" s="283"/>
      <c r="IW254" s="273"/>
      <c r="IX254" s="273"/>
      <c r="IY254" s="273"/>
      <c r="IZ254" s="273"/>
      <c r="JA254" s="273"/>
      <c r="JB254" s="273"/>
      <c r="JC254" s="273"/>
      <c r="JD254" s="273"/>
      <c r="JE254" s="273"/>
      <c r="JF254" s="273"/>
      <c r="JG254" s="273"/>
      <c r="JH254" s="223"/>
      <c r="JI254" s="284"/>
      <c r="JJ254" s="283"/>
      <c r="JK254" s="273"/>
      <c r="JL254" s="273"/>
      <c r="JM254" s="273"/>
      <c r="JN254" s="273"/>
      <c r="JO254" s="273"/>
      <c r="JP254" s="273"/>
      <c r="JQ254" s="273"/>
      <c r="JR254" s="273"/>
      <c r="JS254" s="273"/>
      <c r="JT254" s="273"/>
      <c r="JU254" s="273"/>
      <c r="JV254" s="223"/>
      <c r="JW254" s="284"/>
      <c r="JX254" s="283"/>
      <c r="JY254" s="273"/>
      <c r="JZ254" s="273"/>
      <c r="KA254" s="273"/>
      <c r="KB254" s="273"/>
      <c r="KC254" s="273"/>
      <c r="KD254" s="273"/>
      <c r="KE254" s="273"/>
      <c r="KF254" s="273"/>
      <c r="KG254" s="273"/>
      <c r="KH254" s="273"/>
      <c r="KI254" s="273"/>
      <c r="KJ254" s="223"/>
      <c r="KK254" s="284"/>
      <c r="KL254" s="283"/>
      <c r="KM254" s="273"/>
      <c r="KN254" s="273"/>
      <c r="KO254" s="273"/>
      <c r="KP254" s="273"/>
      <c r="KQ254" s="273"/>
      <c r="KR254" s="273"/>
      <c r="KS254" s="273"/>
      <c r="KT254" s="273"/>
      <c r="KU254" s="273"/>
      <c r="KV254" s="273"/>
      <c r="KW254" s="273"/>
      <c r="KX254" s="223"/>
      <c r="KY254" s="284"/>
      <c r="KZ254" s="283"/>
      <c r="LA254" s="273"/>
      <c r="LB254" s="273"/>
      <c r="LC254" s="273"/>
      <c r="LD254" s="273"/>
      <c r="LE254" s="273"/>
      <c r="LF254" s="273"/>
      <c r="LG254" s="273"/>
      <c r="LH254" s="273"/>
      <c r="LI254" s="273"/>
      <c r="LJ254" s="273"/>
      <c r="LK254" s="273"/>
      <c r="LL254" s="223"/>
      <c r="LM254" s="284"/>
      <c r="LN254" s="283"/>
      <c r="LO254" s="273"/>
      <c r="LP254" s="273"/>
      <c r="LQ254" s="273"/>
      <c r="LR254" s="273"/>
      <c r="LS254" s="273"/>
      <c r="LT254" s="273"/>
      <c r="LU254" s="273"/>
      <c r="LV254" s="273"/>
      <c r="LW254" s="273"/>
      <c r="LX254" s="273"/>
      <c r="LY254" s="273"/>
      <c r="LZ254" s="223"/>
      <c r="MA254" s="284"/>
      <c r="MB254" s="223"/>
      <c r="MC254" s="223"/>
      <c r="MD254" s="223"/>
      <c r="ME254" s="223"/>
      <c r="MF254" s="223"/>
      <c r="MG254" s="223"/>
      <c r="MH254" s="223"/>
      <c r="MI254" s="223"/>
      <c r="MJ254" s="223"/>
      <c r="MK254" s="223"/>
      <c r="ML254" s="223"/>
      <c r="MM254" s="223"/>
      <c r="MN254" s="223"/>
    </row>
    <row r="255" spans="1:352" ht="13" x14ac:dyDescent="0.3">
      <c r="A255" s="262"/>
      <c r="B255" s="166" t="s">
        <v>221</v>
      </c>
      <c r="C255" s="172"/>
      <c r="D255" s="287">
        <f>SUM(D249:D254)</f>
        <v>1.371298439935237</v>
      </c>
      <c r="E255" s="288">
        <f t="shared" ref="E255:O255" si="1156">SUM(E249:E254)</f>
        <v>1.371298439935237</v>
      </c>
      <c r="F255" s="288">
        <f t="shared" si="1156"/>
        <v>1.371298439935237</v>
      </c>
      <c r="G255" s="288">
        <f t="shared" si="1156"/>
        <v>1.371298439935237</v>
      </c>
      <c r="H255" s="288">
        <f t="shared" si="1156"/>
        <v>1.371298439935237</v>
      </c>
      <c r="I255" s="288">
        <f t="shared" si="1156"/>
        <v>1.371298439935237</v>
      </c>
      <c r="J255" s="288">
        <f t="shared" si="1156"/>
        <v>1.371298439935237</v>
      </c>
      <c r="K255" s="288">
        <f t="shared" si="1156"/>
        <v>1.371298439935237</v>
      </c>
      <c r="L255" s="288">
        <f t="shared" si="1156"/>
        <v>1.371298439935237</v>
      </c>
      <c r="M255" s="288">
        <f t="shared" si="1156"/>
        <v>1.371298439935237</v>
      </c>
      <c r="N255" s="288">
        <f t="shared" si="1156"/>
        <v>1.371298439935237</v>
      </c>
      <c r="O255" s="288">
        <f t="shared" si="1156"/>
        <v>1.371298439935237</v>
      </c>
      <c r="P255" s="289">
        <f>+SUBTOTAL(9,D255:O255)</f>
        <v>16.455581279222848</v>
      </c>
      <c r="Q255" s="224"/>
      <c r="R255" s="287">
        <f>SUM(R249:R254)</f>
        <v>0.14185845930364518</v>
      </c>
      <c r="S255" s="288">
        <f t="shared" ref="S255:AC255" si="1157">SUM(S249:S254)</f>
        <v>0.14185845930364518</v>
      </c>
      <c r="T255" s="288">
        <f t="shared" si="1157"/>
        <v>0.14185845930364518</v>
      </c>
      <c r="U255" s="288">
        <f t="shared" si="1157"/>
        <v>0.14185845930364518</v>
      </c>
      <c r="V255" s="288">
        <f t="shared" si="1157"/>
        <v>0.14185845930364518</v>
      </c>
      <c r="W255" s="288">
        <f t="shared" si="1157"/>
        <v>0.14185845930364518</v>
      </c>
      <c r="X255" s="288">
        <f t="shared" si="1157"/>
        <v>0.14185845930364518</v>
      </c>
      <c r="Y255" s="288">
        <f t="shared" si="1157"/>
        <v>0.14185845930364518</v>
      </c>
      <c r="Z255" s="288">
        <f t="shared" si="1157"/>
        <v>0.14185845930364518</v>
      </c>
      <c r="AA255" s="288">
        <f t="shared" si="1157"/>
        <v>0.14185845930364518</v>
      </c>
      <c r="AB255" s="288">
        <f t="shared" si="1157"/>
        <v>0.14185845930364518</v>
      </c>
      <c r="AC255" s="288">
        <f t="shared" si="1157"/>
        <v>0.14185845930364518</v>
      </c>
      <c r="AD255" s="289">
        <f>+SUBTOTAL(9,R255:AC255)</f>
        <v>1.7023015116437421</v>
      </c>
      <c r="AE255" s="224"/>
      <c r="AF255" s="287">
        <f>SUM(AF249:AF254)</f>
        <v>0.14185845930364518</v>
      </c>
      <c r="AG255" s="288">
        <f t="shared" ref="AG255:AQ255" si="1158">SUM(AG249:AG254)</f>
        <v>0.14185845930364518</v>
      </c>
      <c r="AH255" s="288">
        <f t="shared" si="1158"/>
        <v>0.14185845930364518</v>
      </c>
      <c r="AI255" s="288">
        <f t="shared" si="1158"/>
        <v>0.14185845930364518</v>
      </c>
      <c r="AJ255" s="288">
        <f t="shared" si="1158"/>
        <v>0.14185845930364518</v>
      </c>
      <c r="AK255" s="288">
        <f t="shared" si="1158"/>
        <v>0.14185845930364518</v>
      </c>
      <c r="AL255" s="288">
        <f t="shared" si="1158"/>
        <v>0.14185845930364518</v>
      </c>
      <c r="AM255" s="288">
        <f t="shared" si="1158"/>
        <v>0.14185845930364518</v>
      </c>
      <c r="AN255" s="288">
        <f t="shared" si="1158"/>
        <v>0.14185845930364518</v>
      </c>
      <c r="AO255" s="288">
        <f t="shared" si="1158"/>
        <v>0.14185845930364518</v>
      </c>
      <c r="AP255" s="288">
        <f t="shared" si="1158"/>
        <v>0.14185845930364518</v>
      </c>
      <c r="AQ255" s="288">
        <f t="shared" si="1158"/>
        <v>0.14185845930364518</v>
      </c>
      <c r="AR255" s="289">
        <f>+SUBTOTAL(9,AF255:AQ255)</f>
        <v>1.7023015116437421</v>
      </c>
      <c r="AS255" s="225"/>
      <c r="AT255" s="287">
        <f>SUM(AT249:AT254)</f>
        <v>9.4572306202430137E-2</v>
      </c>
      <c r="AU255" s="288">
        <f t="shared" ref="AU255:BE255" si="1159">SUM(AU249:AU254)</f>
        <v>9.4572306202430137E-2</v>
      </c>
      <c r="AV255" s="288">
        <f t="shared" si="1159"/>
        <v>9.4572306202430137E-2</v>
      </c>
      <c r="AW255" s="288">
        <f t="shared" si="1159"/>
        <v>9.4572306202430137E-2</v>
      </c>
      <c r="AX255" s="288">
        <f t="shared" si="1159"/>
        <v>9.4572306202430137E-2</v>
      </c>
      <c r="AY255" s="288">
        <f t="shared" si="1159"/>
        <v>9.4572306202430137E-2</v>
      </c>
      <c r="AZ255" s="288">
        <f t="shared" si="1159"/>
        <v>9.4572306202430137E-2</v>
      </c>
      <c r="BA255" s="288">
        <f t="shared" si="1159"/>
        <v>9.4572306202430137E-2</v>
      </c>
      <c r="BB255" s="288">
        <f t="shared" si="1159"/>
        <v>9.4572306202430137E-2</v>
      </c>
      <c r="BC255" s="288">
        <f t="shared" si="1159"/>
        <v>9.4572306202430137E-2</v>
      </c>
      <c r="BD255" s="288">
        <f t="shared" si="1159"/>
        <v>9.4572306202430137E-2</v>
      </c>
      <c r="BE255" s="288">
        <f t="shared" si="1159"/>
        <v>9.4572306202430137E-2</v>
      </c>
      <c r="BF255" s="289">
        <f>+SUBTOTAL(9,AT255:BE255)</f>
        <v>1.1348676744291619</v>
      </c>
      <c r="BG255" s="224"/>
      <c r="BH255" s="287">
        <f>SUM(BH249:BH254)</f>
        <v>0.70929229651822601</v>
      </c>
      <c r="BI255" s="288">
        <f t="shared" ref="BI255:BS255" si="1160">SUM(BI249:BI254)</f>
        <v>0.70929229651822601</v>
      </c>
      <c r="BJ255" s="288">
        <f t="shared" si="1160"/>
        <v>0.70929229651822601</v>
      </c>
      <c r="BK255" s="288">
        <f t="shared" si="1160"/>
        <v>0.70929229651822601</v>
      </c>
      <c r="BL255" s="288">
        <f t="shared" si="1160"/>
        <v>0.70929229651822601</v>
      </c>
      <c r="BM255" s="288">
        <f t="shared" si="1160"/>
        <v>0.70929229651822601</v>
      </c>
      <c r="BN255" s="288">
        <f t="shared" si="1160"/>
        <v>0.70929229651822601</v>
      </c>
      <c r="BO255" s="288">
        <f t="shared" si="1160"/>
        <v>0.70929229651822601</v>
      </c>
      <c r="BP255" s="288">
        <f t="shared" si="1160"/>
        <v>0.70929229651822601</v>
      </c>
      <c r="BQ255" s="288">
        <f t="shared" si="1160"/>
        <v>0.70929229651822601</v>
      </c>
      <c r="BR255" s="288">
        <f t="shared" si="1160"/>
        <v>0.70929229651822601</v>
      </c>
      <c r="BS255" s="288">
        <f t="shared" si="1160"/>
        <v>0.70929229651822601</v>
      </c>
      <c r="BT255" s="289">
        <f>+SUBTOTAL(9,BH255:BS255)</f>
        <v>8.5115075582187139</v>
      </c>
      <c r="BU255" s="225"/>
      <c r="BV255" s="287">
        <f>SUM(BV249:BV254)</f>
        <v>4.7286153101215068E-2</v>
      </c>
      <c r="BW255" s="288">
        <f t="shared" ref="BW255:CG255" si="1161">SUM(BW249:BW254)</f>
        <v>4.7286153101215068E-2</v>
      </c>
      <c r="BX255" s="288">
        <f t="shared" si="1161"/>
        <v>4.7286153101215068E-2</v>
      </c>
      <c r="BY255" s="288">
        <f t="shared" si="1161"/>
        <v>4.7286153101215068E-2</v>
      </c>
      <c r="BZ255" s="288">
        <f t="shared" si="1161"/>
        <v>4.7286153101215068E-2</v>
      </c>
      <c r="CA255" s="288">
        <f t="shared" si="1161"/>
        <v>4.7286153101215068E-2</v>
      </c>
      <c r="CB255" s="288">
        <f t="shared" si="1161"/>
        <v>4.7286153101215068E-2</v>
      </c>
      <c r="CC255" s="288">
        <f t="shared" si="1161"/>
        <v>4.7286153101215068E-2</v>
      </c>
      <c r="CD255" s="288">
        <f t="shared" si="1161"/>
        <v>4.7286153101215068E-2</v>
      </c>
      <c r="CE255" s="288">
        <f t="shared" si="1161"/>
        <v>4.7286153101215068E-2</v>
      </c>
      <c r="CF255" s="288">
        <f t="shared" si="1161"/>
        <v>4.7286153101215068E-2</v>
      </c>
      <c r="CG255" s="288">
        <f t="shared" si="1161"/>
        <v>4.7286153101215068E-2</v>
      </c>
      <c r="CH255" s="289">
        <f>+SUBTOTAL(9,BV255:CG255)</f>
        <v>0.56743383721458096</v>
      </c>
      <c r="CI255" s="224"/>
      <c r="CJ255" s="287">
        <f>SUM(CJ249:CJ254)</f>
        <v>0.52014768411336576</v>
      </c>
      <c r="CK255" s="288">
        <f t="shared" ref="CK255:CU255" si="1162">SUM(CK249:CK254)</f>
        <v>0.52014768411336576</v>
      </c>
      <c r="CL255" s="288">
        <f t="shared" si="1162"/>
        <v>0.52014768411336576</v>
      </c>
      <c r="CM255" s="288">
        <f t="shared" si="1162"/>
        <v>0.52014768411336576</v>
      </c>
      <c r="CN255" s="288">
        <f t="shared" si="1162"/>
        <v>0.52014768411336576</v>
      </c>
      <c r="CO255" s="288">
        <f t="shared" si="1162"/>
        <v>0.52014768411336576</v>
      </c>
      <c r="CP255" s="288">
        <f t="shared" si="1162"/>
        <v>0.52014768411336576</v>
      </c>
      <c r="CQ255" s="288">
        <f t="shared" si="1162"/>
        <v>0.52014768411336576</v>
      </c>
      <c r="CR255" s="288">
        <f t="shared" si="1162"/>
        <v>0.52014768411336576</v>
      </c>
      <c r="CS255" s="288">
        <f t="shared" si="1162"/>
        <v>0.52014768411336576</v>
      </c>
      <c r="CT255" s="288">
        <f t="shared" si="1162"/>
        <v>0.52014768411336576</v>
      </c>
      <c r="CU255" s="288">
        <f t="shared" si="1162"/>
        <v>0.52014768411336576</v>
      </c>
      <c r="CV255" s="289">
        <f>+SUBTOTAL(9,CJ255:CU255)</f>
        <v>6.2417722093603887</v>
      </c>
      <c r="CW255" s="224"/>
      <c r="CX255" s="287">
        <f>SUM(CX249:CX254)</f>
        <v>1.3240122868340218</v>
      </c>
      <c r="CY255" s="288">
        <f t="shared" ref="CY255:DI255" si="1163">SUM(CY249:CY254)</f>
        <v>1.3240122868340218</v>
      </c>
      <c r="CZ255" s="288">
        <f t="shared" si="1163"/>
        <v>1.3240122868340218</v>
      </c>
      <c r="DA255" s="288">
        <f t="shared" si="1163"/>
        <v>1.3240122868340218</v>
      </c>
      <c r="DB255" s="288">
        <f t="shared" si="1163"/>
        <v>1.3240122868340218</v>
      </c>
      <c r="DC255" s="288">
        <f t="shared" si="1163"/>
        <v>1.3240122868340218</v>
      </c>
      <c r="DD255" s="288">
        <f t="shared" si="1163"/>
        <v>1.3240122868340218</v>
      </c>
      <c r="DE255" s="288">
        <f t="shared" si="1163"/>
        <v>1.3240122868340218</v>
      </c>
      <c r="DF255" s="288">
        <f t="shared" si="1163"/>
        <v>1.3240122868340218</v>
      </c>
      <c r="DG255" s="288">
        <f t="shared" si="1163"/>
        <v>1.3240122868340218</v>
      </c>
      <c r="DH255" s="288">
        <f t="shared" si="1163"/>
        <v>1.3240122868340218</v>
      </c>
      <c r="DI255" s="288">
        <f t="shared" si="1163"/>
        <v>1.3240122868340218</v>
      </c>
      <c r="DJ255" s="289">
        <f>+SUBTOTAL(9,CX255:DI255)</f>
        <v>15.888147442008259</v>
      </c>
      <c r="DK255" s="224"/>
      <c r="DL255" s="287">
        <f>SUM(DL249:DL254)</f>
        <v>1.3240122868340218</v>
      </c>
      <c r="DM255" s="288">
        <f t="shared" ref="DM255:DW255" si="1164">SUM(DM249:DM254)</f>
        <v>1.3240122868340218</v>
      </c>
      <c r="DN255" s="288">
        <f t="shared" si="1164"/>
        <v>1.3240122868340218</v>
      </c>
      <c r="DO255" s="288">
        <f t="shared" si="1164"/>
        <v>1.3240122868340218</v>
      </c>
      <c r="DP255" s="288">
        <f t="shared" si="1164"/>
        <v>1.3240122868340218</v>
      </c>
      <c r="DQ255" s="288">
        <f t="shared" si="1164"/>
        <v>1.3240122868340218</v>
      </c>
      <c r="DR255" s="288">
        <f t="shared" si="1164"/>
        <v>1.3240122868340218</v>
      </c>
      <c r="DS255" s="288">
        <f t="shared" si="1164"/>
        <v>1.3240122868340218</v>
      </c>
      <c r="DT255" s="288">
        <f t="shared" si="1164"/>
        <v>1.3240122868340218</v>
      </c>
      <c r="DU255" s="288">
        <f t="shared" si="1164"/>
        <v>1.3240122868340218</v>
      </c>
      <c r="DV255" s="288">
        <f t="shared" si="1164"/>
        <v>1.3240122868340218</v>
      </c>
      <c r="DW255" s="288">
        <f t="shared" si="1164"/>
        <v>1.3240122868340218</v>
      </c>
      <c r="DX255" s="289">
        <f>+SUBTOTAL(9,DL255:DW255)</f>
        <v>15.888147442008259</v>
      </c>
      <c r="DY255" s="224"/>
      <c r="DZ255" s="287">
        <f>SUM(DZ249:DZ254)</f>
        <v>4.7286153101215068E-2</v>
      </c>
      <c r="EA255" s="288">
        <f t="shared" ref="EA255:EK255" si="1165">SUM(EA249:EA254)</f>
        <v>4.7286153101215068E-2</v>
      </c>
      <c r="EB255" s="288">
        <f t="shared" si="1165"/>
        <v>4.7286153101215068E-2</v>
      </c>
      <c r="EC255" s="288">
        <f t="shared" si="1165"/>
        <v>4.7286153101215068E-2</v>
      </c>
      <c r="ED255" s="288">
        <f t="shared" si="1165"/>
        <v>4.7286153101215068E-2</v>
      </c>
      <c r="EE255" s="288">
        <f t="shared" si="1165"/>
        <v>4.7286153101215068E-2</v>
      </c>
      <c r="EF255" s="288">
        <f t="shared" si="1165"/>
        <v>4.7286153101215068E-2</v>
      </c>
      <c r="EG255" s="288">
        <f t="shared" si="1165"/>
        <v>4.7286153101215068E-2</v>
      </c>
      <c r="EH255" s="288">
        <f t="shared" si="1165"/>
        <v>4.7286153101215068E-2</v>
      </c>
      <c r="EI255" s="288">
        <f t="shared" si="1165"/>
        <v>4.7286153101215068E-2</v>
      </c>
      <c r="EJ255" s="288">
        <f t="shared" si="1165"/>
        <v>4.7286153101215068E-2</v>
      </c>
      <c r="EK255" s="288">
        <f t="shared" si="1165"/>
        <v>4.7286153101215068E-2</v>
      </c>
      <c r="EL255" s="289">
        <f>+SUBTOTAL(9,DZ255:EK255)</f>
        <v>0.56743383721458096</v>
      </c>
      <c r="EM255" s="224"/>
      <c r="EN255" s="287">
        <f>SUM(EN249:EN254)</f>
        <v>9.4572306202430137E-2</v>
      </c>
      <c r="EO255" s="288">
        <f t="shared" ref="EO255:EY255" si="1166">SUM(EO249:EO254)</f>
        <v>9.4572306202430137E-2</v>
      </c>
      <c r="EP255" s="288">
        <f t="shared" si="1166"/>
        <v>9.4572306202430137E-2</v>
      </c>
      <c r="EQ255" s="288">
        <f t="shared" si="1166"/>
        <v>9.4572306202430137E-2</v>
      </c>
      <c r="ER255" s="288">
        <f t="shared" si="1166"/>
        <v>9.4572306202430137E-2</v>
      </c>
      <c r="ES255" s="288">
        <f t="shared" si="1166"/>
        <v>9.4572306202430137E-2</v>
      </c>
      <c r="ET255" s="288">
        <f t="shared" si="1166"/>
        <v>9.4572306202430137E-2</v>
      </c>
      <c r="EU255" s="288">
        <f t="shared" si="1166"/>
        <v>9.4572306202430137E-2</v>
      </c>
      <c r="EV255" s="288">
        <f t="shared" si="1166"/>
        <v>9.4572306202430137E-2</v>
      </c>
      <c r="EW255" s="288">
        <f t="shared" si="1166"/>
        <v>9.4572306202430137E-2</v>
      </c>
      <c r="EX255" s="288">
        <f t="shared" si="1166"/>
        <v>9.4572306202430137E-2</v>
      </c>
      <c r="EY255" s="288">
        <f t="shared" si="1166"/>
        <v>9.4572306202430137E-2</v>
      </c>
      <c r="EZ255" s="289">
        <f>+SUBTOTAL(9,EN255:EY255)</f>
        <v>1.1348676744291619</v>
      </c>
      <c r="FA255" s="224"/>
      <c r="FB255" s="287">
        <f>SUM(FB249:FB254)</f>
        <v>4.7286153101215068E-2</v>
      </c>
      <c r="FC255" s="288">
        <f t="shared" ref="FC255:FM255" si="1167">SUM(FC249:FC254)</f>
        <v>4.7286153101215068E-2</v>
      </c>
      <c r="FD255" s="288">
        <f t="shared" si="1167"/>
        <v>4.7286153101215068E-2</v>
      </c>
      <c r="FE255" s="288">
        <f t="shared" si="1167"/>
        <v>4.7286153101215068E-2</v>
      </c>
      <c r="FF255" s="288">
        <f t="shared" si="1167"/>
        <v>4.7286153101215068E-2</v>
      </c>
      <c r="FG255" s="288">
        <f t="shared" si="1167"/>
        <v>4.7286153101215068E-2</v>
      </c>
      <c r="FH255" s="288">
        <f t="shared" si="1167"/>
        <v>4.7286153101215068E-2</v>
      </c>
      <c r="FI255" s="288">
        <f t="shared" si="1167"/>
        <v>4.7286153101215068E-2</v>
      </c>
      <c r="FJ255" s="288">
        <f t="shared" si="1167"/>
        <v>4.7286153101215068E-2</v>
      </c>
      <c r="FK255" s="288">
        <f t="shared" si="1167"/>
        <v>4.7286153101215068E-2</v>
      </c>
      <c r="FL255" s="288">
        <f t="shared" si="1167"/>
        <v>4.7286153101215068E-2</v>
      </c>
      <c r="FM255" s="288">
        <f t="shared" si="1167"/>
        <v>4.7286153101215068E-2</v>
      </c>
      <c r="FN255" s="289">
        <f>+SUBTOTAL(9,FB255:FM255)</f>
        <v>0.56743383721458096</v>
      </c>
      <c r="FO255" s="224"/>
      <c r="FP255" s="287">
        <f>SUM(FP249:FP254)</f>
        <v>0.33100307170850546</v>
      </c>
      <c r="FQ255" s="288">
        <f t="shared" ref="FQ255:GA255" si="1168">SUM(FQ249:FQ254)</f>
        <v>0.33100307170850546</v>
      </c>
      <c r="FR255" s="288">
        <f t="shared" si="1168"/>
        <v>0.33100307170850546</v>
      </c>
      <c r="FS255" s="288">
        <f t="shared" si="1168"/>
        <v>0.33100307170850546</v>
      </c>
      <c r="FT255" s="288">
        <f t="shared" si="1168"/>
        <v>0.33100307170850546</v>
      </c>
      <c r="FU255" s="288">
        <f t="shared" si="1168"/>
        <v>0.33100307170850546</v>
      </c>
      <c r="FV255" s="288">
        <f t="shared" si="1168"/>
        <v>0.33100307170850546</v>
      </c>
      <c r="FW255" s="288">
        <f t="shared" si="1168"/>
        <v>0.33100307170850546</v>
      </c>
      <c r="FX255" s="288">
        <f t="shared" si="1168"/>
        <v>0.33100307170850546</v>
      </c>
      <c r="FY255" s="288">
        <f t="shared" si="1168"/>
        <v>0.33100307170850546</v>
      </c>
      <c r="FZ255" s="288">
        <f t="shared" si="1168"/>
        <v>0.33100307170850546</v>
      </c>
      <c r="GA255" s="288">
        <f t="shared" si="1168"/>
        <v>0.33100307170850546</v>
      </c>
      <c r="GB255" s="289">
        <f>+SUBTOTAL(9,FP255:GA255)</f>
        <v>3.9720368605020648</v>
      </c>
      <c r="GC255" s="224"/>
      <c r="GD255" s="287">
        <f>SUM(GD249:GD254)</f>
        <v>4.7286153101215068E-2</v>
      </c>
      <c r="GE255" s="288">
        <f t="shared" ref="GE255:GO255" si="1169">SUM(GE249:GE254)</f>
        <v>4.7286153101215068E-2</v>
      </c>
      <c r="GF255" s="288">
        <f t="shared" si="1169"/>
        <v>4.7286153101215068E-2</v>
      </c>
      <c r="GG255" s="288">
        <f t="shared" si="1169"/>
        <v>4.7286153101215068E-2</v>
      </c>
      <c r="GH255" s="288">
        <f t="shared" si="1169"/>
        <v>4.7286153101215068E-2</v>
      </c>
      <c r="GI255" s="288">
        <f t="shared" si="1169"/>
        <v>4.7286153101215068E-2</v>
      </c>
      <c r="GJ255" s="288">
        <f t="shared" si="1169"/>
        <v>4.7286153101215068E-2</v>
      </c>
      <c r="GK255" s="288">
        <f t="shared" si="1169"/>
        <v>4.7286153101215068E-2</v>
      </c>
      <c r="GL255" s="288">
        <f t="shared" si="1169"/>
        <v>4.7286153101215068E-2</v>
      </c>
      <c r="GM255" s="288">
        <f t="shared" si="1169"/>
        <v>4.7286153101215068E-2</v>
      </c>
      <c r="GN255" s="288">
        <f t="shared" si="1169"/>
        <v>4.7286153101215068E-2</v>
      </c>
      <c r="GO255" s="288">
        <f t="shared" si="1169"/>
        <v>4.7286153101215068E-2</v>
      </c>
      <c r="GP255" s="289">
        <f>+SUBTOTAL(9,GD255:GO255)</f>
        <v>0.56743383721458096</v>
      </c>
      <c r="GQ255" s="224"/>
      <c r="GR255" s="287">
        <f>SUM(GR249:GR254)</f>
        <v>0</v>
      </c>
      <c r="GS255" s="288">
        <f t="shared" ref="GS255:HC255" si="1170">SUM(GS249:GS254)</f>
        <v>0</v>
      </c>
      <c r="GT255" s="288">
        <f t="shared" si="1170"/>
        <v>0</v>
      </c>
      <c r="GU255" s="288">
        <f t="shared" si="1170"/>
        <v>0</v>
      </c>
      <c r="GV255" s="288">
        <f t="shared" si="1170"/>
        <v>0</v>
      </c>
      <c r="GW255" s="288">
        <f t="shared" si="1170"/>
        <v>0</v>
      </c>
      <c r="GX255" s="288">
        <f t="shared" si="1170"/>
        <v>0</v>
      </c>
      <c r="GY255" s="288">
        <f t="shared" si="1170"/>
        <v>0</v>
      </c>
      <c r="GZ255" s="288">
        <f t="shared" si="1170"/>
        <v>0</v>
      </c>
      <c r="HA255" s="288">
        <f t="shared" si="1170"/>
        <v>0</v>
      </c>
      <c r="HB255" s="288">
        <f t="shared" si="1170"/>
        <v>0</v>
      </c>
      <c r="HC255" s="288">
        <f t="shared" si="1170"/>
        <v>0</v>
      </c>
      <c r="HD255" s="289">
        <f t="shared" si="1048"/>
        <v>0</v>
      </c>
      <c r="HE255" s="224"/>
      <c r="HF255" s="287">
        <f>SUM(HF249:HF254)</f>
        <v>0.18914461240486027</v>
      </c>
      <c r="HG255" s="288">
        <f t="shared" ref="HG255:HQ255" si="1171">SUM(HG249:HG254)</f>
        <v>0.18914461240486027</v>
      </c>
      <c r="HH255" s="288">
        <f t="shared" si="1171"/>
        <v>0.18914461240486027</v>
      </c>
      <c r="HI255" s="288">
        <f t="shared" si="1171"/>
        <v>0.18914461240486027</v>
      </c>
      <c r="HJ255" s="288">
        <f t="shared" si="1171"/>
        <v>0.18914461240486027</v>
      </c>
      <c r="HK255" s="288">
        <f t="shared" si="1171"/>
        <v>0.18914461240486027</v>
      </c>
      <c r="HL255" s="288">
        <f t="shared" si="1171"/>
        <v>0.18914461240486027</v>
      </c>
      <c r="HM255" s="288">
        <f t="shared" si="1171"/>
        <v>0.18914461240486027</v>
      </c>
      <c r="HN255" s="288">
        <f t="shared" si="1171"/>
        <v>0.18914461240486027</v>
      </c>
      <c r="HO255" s="288">
        <f t="shared" si="1171"/>
        <v>0.18914461240486027</v>
      </c>
      <c r="HP255" s="288">
        <f t="shared" si="1171"/>
        <v>0.18914461240486027</v>
      </c>
      <c r="HQ255" s="288">
        <f t="shared" si="1171"/>
        <v>0.18914461240486027</v>
      </c>
      <c r="HR255" s="289">
        <f>+SUBTOTAL(9,HF255:HQ255)</f>
        <v>2.2697353488583238</v>
      </c>
      <c r="HS255" s="224"/>
      <c r="HT255" s="287">
        <f>SUM(HT249:HT254)</f>
        <v>4.7286153101215068E-2</v>
      </c>
      <c r="HU255" s="288">
        <f t="shared" ref="HU255:IE255" si="1172">SUM(HU249:HU254)</f>
        <v>4.7286153101215068E-2</v>
      </c>
      <c r="HV255" s="288">
        <f t="shared" si="1172"/>
        <v>4.7286153101215068E-2</v>
      </c>
      <c r="HW255" s="288">
        <f t="shared" si="1172"/>
        <v>4.7286153101215068E-2</v>
      </c>
      <c r="HX255" s="288">
        <f t="shared" si="1172"/>
        <v>4.7286153101215068E-2</v>
      </c>
      <c r="HY255" s="288">
        <f t="shared" si="1172"/>
        <v>4.7286153101215068E-2</v>
      </c>
      <c r="HZ255" s="288">
        <f t="shared" si="1172"/>
        <v>4.7286153101215068E-2</v>
      </c>
      <c r="IA255" s="288">
        <f t="shared" si="1172"/>
        <v>4.7286153101215068E-2</v>
      </c>
      <c r="IB255" s="288">
        <f t="shared" si="1172"/>
        <v>4.7286153101215068E-2</v>
      </c>
      <c r="IC255" s="288">
        <f t="shared" si="1172"/>
        <v>4.7286153101215068E-2</v>
      </c>
      <c r="ID255" s="288">
        <f t="shared" si="1172"/>
        <v>4.7286153101215068E-2</v>
      </c>
      <c r="IE255" s="288">
        <f t="shared" si="1172"/>
        <v>4.7286153101215068E-2</v>
      </c>
      <c r="IF255" s="289">
        <f>+SUBTOTAL(9,HT255:IE255)</f>
        <v>0.56743383721458096</v>
      </c>
      <c r="IG255" s="224"/>
      <c r="IH255" s="287">
        <f>SUM(IH249:IH254)</f>
        <v>4.7286153101215068E-2</v>
      </c>
      <c r="II255" s="288">
        <f t="shared" ref="II255:IS255" si="1173">SUM(II249:II254)</f>
        <v>4.7286153101215068E-2</v>
      </c>
      <c r="IJ255" s="288">
        <f t="shared" si="1173"/>
        <v>4.7286153101215068E-2</v>
      </c>
      <c r="IK255" s="288">
        <f t="shared" si="1173"/>
        <v>4.7286153101215068E-2</v>
      </c>
      <c r="IL255" s="288">
        <f t="shared" si="1173"/>
        <v>4.7286153101215068E-2</v>
      </c>
      <c r="IM255" s="288">
        <f t="shared" si="1173"/>
        <v>4.7286153101215068E-2</v>
      </c>
      <c r="IN255" s="288">
        <f t="shared" si="1173"/>
        <v>4.7286153101215068E-2</v>
      </c>
      <c r="IO255" s="288">
        <f t="shared" si="1173"/>
        <v>4.7286153101215068E-2</v>
      </c>
      <c r="IP255" s="288">
        <f t="shared" si="1173"/>
        <v>4.7286153101215068E-2</v>
      </c>
      <c r="IQ255" s="288">
        <f t="shared" si="1173"/>
        <v>4.7286153101215068E-2</v>
      </c>
      <c r="IR255" s="288">
        <f t="shared" si="1173"/>
        <v>4.7286153101215068E-2</v>
      </c>
      <c r="IS255" s="288">
        <f t="shared" si="1173"/>
        <v>4.7286153101215068E-2</v>
      </c>
      <c r="IT255" s="289">
        <f>+SUBTOTAL(9,IH255:IS255)</f>
        <v>0.56743383721458096</v>
      </c>
      <c r="IU255" s="224"/>
      <c r="IV255" s="287">
        <f>SUM(IV249:IV254)</f>
        <v>0.33100307170850546</v>
      </c>
      <c r="IW255" s="288">
        <f t="shared" ref="IW255:JG255" si="1174">SUM(IW249:IW254)</f>
        <v>0.33100307170850546</v>
      </c>
      <c r="IX255" s="288">
        <f t="shared" si="1174"/>
        <v>0.33100307170850546</v>
      </c>
      <c r="IY255" s="288">
        <f t="shared" si="1174"/>
        <v>0.33100307170850546</v>
      </c>
      <c r="IZ255" s="288">
        <f t="shared" si="1174"/>
        <v>0.33100307170850546</v>
      </c>
      <c r="JA255" s="288">
        <f t="shared" si="1174"/>
        <v>0.33100307170850546</v>
      </c>
      <c r="JB255" s="288">
        <f t="shared" si="1174"/>
        <v>0.33100307170850546</v>
      </c>
      <c r="JC255" s="288">
        <f t="shared" si="1174"/>
        <v>0.33100307170850546</v>
      </c>
      <c r="JD255" s="288">
        <f t="shared" si="1174"/>
        <v>0.33100307170850546</v>
      </c>
      <c r="JE255" s="288">
        <f t="shared" si="1174"/>
        <v>0.33100307170850546</v>
      </c>
      <c r="JF255" s="288">
        <f t="shared" si="1174"/>
        <v>0.33100307170850546</v>
      </c>
      <c r="JG255" s="288">
        <f t="shared" si="1174"/>
        <v>0.33100307170850546</v>
      </c>
      <c r="JH255" s="289">
        <f>+SUBTOTAL(9,IV255:JG255)</f>
        <v>3.9720368605020648</v>
      </c>
      <c r="JI255" s="224"/>
      <c r="JJ255" s="287">
        <f>SUM(JJ249:JJ254)</f>
        <v>0.52014768411336576</v>
      </c>
      <c r="JK255" s="288">
        <f t="shared" ref="JK255:JU255" si="1175">SUM(JK249:JK254)</f>
        <v>0.52014768411336576</v>
      </c>
      <c r="JL255" s="288">
        <f t="shared" si="1175"/>
        <v>0.52014768411336576</v>
      </c>
      <c r="JM255" s="288">
        <f t="shared" si="1175"/>
        <v>0.52014768411336576</v>
      </c>
      <c r="JN255" s="288">
        <f t="shared" si="1175"/>
        <v>0.52014768411336576</v>
      </c>
      <c r="JO255" s="288">
        <f t="shared" si="1175"/>
        <v>0.52014768411336576</v>
      </c>
      <c r="JP255" s="288">
        <f t="shared" si="1175"/>
        <v>0.52014768411336576</v>
      </c>
      <c r="JQ255" s="288">
        <f t="shared" si="1175"/>
        <v>0.52014768411336576</v>
      </c>
      <c r="JR255" s="288">
        <f t="shared" si="1175"/>
        <v>0.52014768411336576</v>
      </c>
      <c r="JS255" s="288">
        <f t="shared" si="1175"/>
        <v>0.52014768411336576</v>
      </c>
      <c r="JT255" s="288">
        <f t="shared" si="1175"/>
        <v>0.52014768411336576</v>
      </c>
      <c r="JU255" s="288">
        <f t="shared" si="1175"/>
        <v>0.52014768411336576</v>
      </c>
      <c r="JV255" s="289">
        <f>+SUBTOTAL(9,JJ255:JU255)</f>
        <v>6.2417722093603887</v>
      </c>
      <c r="JW255" s="224"/>
      <c r="JX255" s="287">
        <f>SUM(JX249:JX254)</f>
        <v>0.23643076550607534</v>
      </c>
      <c r="JY255" s="288">
        <f t="shared" ref="JY255:KI255" si="1176">SUM(JY249:JY254)</f>
        <v>0.23643076550607534</v>
      </c>
      <c r="JZ255" s="288">
        <f t="shared" si="1176"/>
        <v>0.23643076550607534</v>
      </c>
      <c r="KA255" s="288">
        <f t="shared" si="1176"/>
        <v>0.23643076550607534</v>
      </c>
      <c r="KB255" s="288">
        <f t="shared" si="1176"/>
        <v>0.23643076550607534</v>
      </c>
      <c r="KC255" s="288">
        <f t="shared" si="1176"/>
        <v>0.23643076550607534</v>
      </c>
      <c r="KD255" s="288">
        <f t="shared" si="1176"/>
        <v>0.23643076550607534</v>
      </c>
      <c r="KE255" s="288">
        <f t="shared" si="1176"/>
        <v>0.23643076550607534</v>
      </c>
      <c r="KF255" s="288">
        <f t="shared" si="1176"/>
        <v>0.23643076550607534</v>
      </c>
      <c r="KG255" s="288">
        <f t="shared" si="1176"/>
        <v>0.23643076550607534</v>
      </c>
      <c r="KH255" s="288">
        <f t="shared" si="1176"/>
        <v>0.23643076550607534</v>
      </c>
      <c r="KI255" s="288">
        <f t="shared" si="1176"/>
        <v>0.23643076550607534</v>
      </c>
      <c r="KJ255" s="289">
        <f>+SUBTOTAL(9,JX255:KI255)</f>
        <v>2.837169186072904</v>
      </c>
      <c r="KK255" s="224"/>
      <c r="KL255" s="287">
        <f>SUM(KL249:KL254)</f>
        <v>9.4572306202430137E-2</v>
      </c>
      <c r="KM255" s="288">
        <f t="shared" ref="KM255:KW255" si="1177">SUM(KM249:KM254)</f>
        <v>9.4572306202430137E-2</v>
      </c>
      <c r="KN255" s="288">
        <f t="shared" si="1177"/>
        <v>9.4572306202430137E-2</v>
      </c>
      <c r="KO255" s="288">
        <f t="shared" si="1177"/>
        <v>9.4572306202430137E-2</v>
      </c>
      <c r="KP255" s="288">
        <f t="shared" si="1177"/>
        <v>9.4572306202430137E-2</v>
      </c>
      <c r="KQ255" s="288">
        <f t="shared" si="1177"/>
        <v>9.4572306202430137E-2</v>
      </c>
      <c r="KR255" s="288">
        <f t="shared" si="1177"/>
        <v>9.4572306202430137E-2</v>
      </c>
      <c r="KS255" s="288">
        <f t="shared" si="1177"/>
        <v>9.4572306202430137E-2</v>
      </c>
      <c r="KT255" s="288">
        <f t="shared" si="1177"/>
        <v>9.4572306202430137E-2</v>
      </c>
      <c r="KU255" s="288">
        <f t="shared" si="1177"/>
        <v>9.4572306202430137E-2</v>
      </c>
      <c r="KV255" s="288">
        <f t="shared" si="1177"/>
        <v>9.4572306202430137E-2</v>
      </c>
      <c r="KW255" s="288">
        <f t="shared" si="1177"/>
        <v>9.4572306202430137E-2</v>
      </c>
      <c r="KX255" s="289">
        <f>+SUBTOTAL(9,KL255:KW255)</f>
        <v>1.1348676744291619</v>
      </c>
      <c r="KY255" s="224"/>
      <c r="KZ255" s="287">
        <f>SUM(KZ249:KZ254)</f>
        <v>4.7286153101215068E-2</v>
      </c>
      <c r="LA255" s="288">
        <f t="shared" ref="LA255:LK255" si="1178">SUM(LA249:LA254)</f>
        <v>4.7286153101215068E-2</v>
      </c>
      <c r="LB255" s="288">
        <f t="shared" si="1178"/>
        <v>4.7286153101215068E-2</v>
      </c>
      <c r="LC255" s="288">
        <f t="shared" si="1178"/>
        <v>4.7286153101215068E-2</v>
      </c>
      <c r="LD255" s="288">
        <f t="shared" si="1178"/>
        <v>4.7286153101215068E-2</v>
      </c>
      <c r="LE255" s="288">
        <f t="shared" si="1178"/>
        <v>4.7286153101215068E-2</v>
      </c>
      <c r="LF255" s="288">
        <f t="shared" si="1178"/>
        <v>4.7286153101215068E-2</v>
      </c>
      <c r="LG255" s="288">
        <f t="shared" si="1178"/>
        <v>4.7286153101215068E-2</v>
      </c>
      <c r="LH255" s="288">
        <f t="shared" si="1178"/>
        <v>4.7286153101215068E-2</v>
      </c>
      <c r="LI255" s="288">
        <f t="shared" si="1178"/>
        <v>4.7286153101215068E-2</v>
      </c>
      <c r="LJ255" s="288">
        <f t="shared" si="1178"/>
        <v>4.7286153101215068E-2</v>
      </c>
      <c r="LK255" s="288">
        <f t="shared" si="1178"/>
        <v>4.7286153101215068E-2</v>
      </c>
      <c r="LL255" s="289">
        <f>+SUBTOTAL(9,KZ255:LK255)</f>
        <v>0.56743383721458096</v>
      </c>
      <c r="LM255" s="224"/>
      <c r="LN255" s="287">
        <f>SUM(LN249:LN254)</f>
        <v>0</v>
      </c>
      <c r="LO255" s="288">
        <f t="shared" ref="LO255:LY255" si="1179">SUM(LO249:LO254)</f>
        <v>0</v>
      </c>
      <c r="LP255" s="288">
        <f t="shared" si="1179"/>
        <v>0</v>
      </c>
      <c r="LQ255" s="288">
        <f t="shared" si="1179"/>
        <v>0</v>
      </c>
      <c r="LR255" s="288">
        <f t="shared" si="1179"/>
        <v>0</v>
      </c>
      <c r="LS255" s="288">
        <f t="shared" si="1179"/>
        <v>0</v>
      </c>
      <c r="LT255" s="288">
        <f t="shared" si="1179"/>
        <v>0</v>
      </c>
      <c r="LU255" s="288">
        <f t="shared" si="1179"/>
        <v>0</v>
      </c>
      <c r="LV255" s="288">
        <f t="shared" si="1179"/>
        <v>0</v>
      </c>
      <c r="LW255" s="288">
        <f t="shared" si="1179"/>
        <v>0</v>
      </c>
      <c r="LX255" s="288">
        <f t="shared" si="1179"/>
        <v>0</v>
      </c>
      <c r="LY255" s="288">
        <f t="shared" si="1179"/>
        <v>0</v>
      </c>
      <c r="LZ255" s="289">
        <f>+SUBTOTAL(9,LN255:LY255)</f>
        <v>0</v>
      </c>
      <c r="MA255" s="224"/>
      <c r="MB255" s="289">
        <f t="shared" ref="MB255:MC255" si="1180">SUM(MB249:MB254)</f>
        <v>7.7549291085992706</v>
      </c>
      <c r="MC255" s="289">
        <f t="shared" si="1180"/>
        <v>7.7549291085992706</v>
      </c>
      <c r="MD255" s="289">
        <f t="shared" ref="MD255:MN255" si="1181">SUM(MD249:MD254)</f>
        <v>7.7549291085992706</v>
      </c>
      <c r="ME255" s="289">
        <f t="shared" si="1181"/>
        <v>7.7549291085992706</v>
      </c>
      <c r="MF255" s="289">
        <f t="shared" si="1181"/>
        <v>7.7549291085992706</v>
      </c>
      <c r="MG255" s="289">
        <f t="shared" si="1181"/>
        <v>7.7549291085992706</v>
      </c>
      <c r="MH255" s="289">
        <f t="shared" si="1181"/>
        <v>7.7549291085992706</v>
      </c>
      <c r="MI255" s="289">
        <f t="shared" si="1181"/>
        <v>7.7549291085992706</v>
      </c>
      <c r="MJ255" s="289">
        <f t="shared" si="1181"/>
        <v>7.7549291085992706</v>
      </c>
      <c r="MK255" s="289">
        <f t="shared" si="1181"/>
        <v>7.7549291085992706</v>
      </c>
      <c r="ML255" s="289">
        <f t="shared" si="1181"/>
        <v>7.7549291085992706</v>
      </c>
      <c r="MM255" s="289">
        <f t="shared" si="1181"/>
        <v>7.7549291085992706</v>
      </c>
      <c r="MN255" s="289">
        <f t="shared" si="1181"/>
        <v>93.059149303191248</v>
      </c>
    </row>
    <row r="256" spans="1:352" ht="13" x14ac:dyDescent="0.3">
      <c r="A256" s="262"/>
      <c r="B256" s="166"/>
      <c r="C256" s="172"/>
      <c r="D256" s="226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72"/>
      <c r="Q256" s="224"/>
      <c r="R256" s="226"/>
      <c r="S256" s="227"/>
      <c r="T256" s="227"/>
      <c r="U256" s="227"/>
      <c r="V256" s="227"/>
      <c r="W256" s="227"/>
      <c r="X256" s="227"/>
      <c r="Y256" s="227"/>
      <c r="Z256" s="227"/>
      <c r="AA256" s="227"/>
      <c r="AB256" s="227"/>
      <c r="AC256" s="227"/>
      <c r="AD256" s="272"/>
      <c r="AE256" s="224"/>
      <c r="AF256" s="226"/>
      <c r="AG256" s="227"/>
      <c r="AH256" s="227"/>
      <c r="AI256" s="227"/>
      <c r="AJ256" s="227"/>
      <c r="AK256" s="227"/>
      <c r="AL256" s="227"/>
      <c r="AM256" s="227"/>
      <c r="AN256" s="227"/>
      <c r="AO256" s="227"/>
      <c r="AP256" s="227"/>
      <c r="AQ256" s="227"/>
      <c r="AR256" s="272"/>
      <c r="AS256" s="225"/>
      <c r="AT256" s="226"/>
      <c r="AU256" s="227"/>
      <c r="AV256" s="227"/>
      <c r="AW256" s="227"/>
      <c r="AX256" s="227"/>
      <c r="AY256" s="227"/>
      <c r="AZ256" s="227"/>
      <c r="BA256" s="227"/>
      <c r="BB256" s="227"/>
      <c r="BC256" s="227"/>
      <c r="BD256" s="227"/>
      <c r="BE256" s="227"/>
      <c r="BF256" s="272"/>
      <c r="BG256" s="224"/>
      <c r="BH256" s="226"/>
      <c r="BI256" s="227"/>
      <c r="BJ256" s="227"/>
      <c r="BK256" s="227"/>
      <c r="BL256" s="227"/>
      <c r="BM256" s="227"/>
      <c r="BN256" s="227"/>
      <c r="BO256" s="227"/>
      <c r="BP256" s="227"/>
      <c r="BQ256" s="227"/>
      <c r="BR256" s="227"/>
      <c r="BS256" s="227"/>
      <c r="BT256" s="272"/>
      <c r="BU256" s="225"/>
      <c r="BV256" s="226"/>
      <c r="BW256" s="227"/>
      <c r="BX256" s="227"/>
      <c r="BY256" s="227"/>
      <c r="BZ256" s="227"/>
      <c r="CA256" s="227"/>
      <c r="CB256" s="227"/>
      <c r="CC256" s="227"/>
      <c r="CD256" s="227"/>
      <c r="CE256" s="227"/>
      <c r="CF256" s="227"/>
      <c r="CG256" s="227"/>
      <c r="CH256" s="272"/>
      <c r="CI256" s="224"/>
      <c r="CJ256" s="226"/>
      <c r="CK256" s="227"/>
      <c r="CL256" s="227"/>
      <c r="CM256" s="227"/>
      <c r="CN256" s="227"/>
      <c r="CO256" s="227"/>
      <c r="CP256" s="227"/>
      <c r="CQ256" s="227"/>
      <c r="CR256" s="227"/>
      <c r="CS256" s="227"/>
      <c r="CT256" s="227"/>
      <c r="CU256" s="227"/>
      <c r="CV256" s="272"/>
      <c r="CW256" s="224"/>
      <c r="CX256" s="226"/>
      <c r="CY256" s="227"/>
      <c r="CZ256" s="227"/>
      <c r="DA256" s="227"/>
      <c r="DB256" s="227"/>
      <c r="DC256" s="227"/>
      <c r="DD256" s="227"/>
      <c r="DE256" s="227"/>
      <c r="DF256" s="227"/>
      <c r="DG256" s="227"/>
      <c r="DH256" s="227"/>
      <c r="DI256" s="227"/>
      <c r="DJ256" s="272"/>
      <c r="DK256" s="224"/>
      <c r="DL256" s="226"/>
      <c r="DM256" s="227"/>
      <c r="DN256" s="227"/>
      <c r="DO256" s="227"/>
      <c r="DP256" s="227"/>
      <c r="DQ256" s="227"/>
      <c r="DR256" s="227"/>
      <c r="DS256" s="227"/>
      <c r="DT256" s="227"/>
      <c r="DU256" s="227"/>
      <c r="DV256" s="227"/>
      <c r="DW256" s="227"/>
      <c r="DX256" s="272"/>
      <c r="DY256" s="224"/>
      <c r="DZ256" s="226"/>
      <c r="EA256" s="227"/>
      <c r="EB256" s="227"/>
      <c r="EC256" s="227"/>
      <c r="ED256" s="227"/>
      <c r="EE256" s="227"/>
      <c r="EF256" s="227"/>
      <c r="EG256" s="227"/>
      <c r="EH256" s="227"/>
      <c r="EI256" s="227"/>
      <c r="EJ256" s="227"/>
      <c r="EK256" s="227"/>
      <c r="EL256" s="272"/>
      <c r="EM256" s="224"/>
      <c r="EN256" s="226"/>
      <c r="EO256" s="227"/>
      <c r="EP256" s="227"/>
      <c r="EQ256" s="227"/>
      <c r="ER256" s="227"/>
      <c r="ES256" s="227"/>
      <c r="ET256" s="227"/>
      <c r="EU256" s="227"/>
      <c r="EV256" s="227"/>
      <c r="EW256" s="227"/>
      <c r="EX256" s="227"/>
      <c r="EY256" s="227"/>
      <c r="EZ256" s="272"/>
      <c r="FA256" s="224"/>
      <c r="FB256" s="226"/>
      <c r="FC256" s="227"/>
      <c r="FD256" s="227"/>
      <c r="FE256" s="227"/>
      <c r="FF256" s="227"/>
      <c r="FG256" s="227"/>
      <c r="FH256" s="227"/>
      <c r="FI256" s="227"/>
      <c r="FJ256" s="227"/>
      <c r="FK256" s="227"/>
      <c r="FL256" s="227"/>
      <c r="FM256" s="227"/>
      <c r="FN256" s="272"/>
      <c r="FO256" s="224"/>
      <c r="FP256" s="226"/>
      <c r="FQ256" s="227"/>
      <c r="FR256" s="227"/>
      <c r="FS256" s="227"/>
      <c r="FT256" s="227"/>
      <c r="FU256" s="227"/>
      <c r="FV256" s="227"/>
      <c r="FW256" s="227"/>
      <c r="FX256" s="227"/>
      <c r="FY256" s="227"/>
      <c r="FZ256" s="227"/>
      <c r="GA256" s="227"/>
      <c r="GB256" s="272"/>
      <c r="GC256" s="224"/>
      <c r="GD256" s="226"/>
      <c r="GE256" s="227"/>
      <c r="GF256" s="227"/>
      <c r="GG256" s="227"/>
      <c r="GH256" s="227"/>
      <c r="GI256" s="227"/>
      <c r="GJ256" s="227"/>
      <c r="GK256" s="227"/>
      <c r="GL256" s="227"/>
      <c r="GM256" s="227"/>
      <c r="GN256" s="227"/>
      <c r="GO256" s="227"/>
      <c r="GP256" s="272"/>
      <c r="GQ256" s="224"/>
      <c r="GR256" s="226"/>
      <c r="GS256" s="227"/>
      <c r="GT256" s="227"/>
      <c r="GU256" s="227"/>
      <c r="GV256" s="227"/>
      <c r="GW256" s="227"/>
      <c r="GX256" s="227"/>
      <c r="GY256" s="227"/>
      <c r="GZ256" s="227"/>
      <c r="HA256" s="227"/>
      <c r="HB256" s="227"/>
      <c r="HC256" s="227"/>
      <c r="HD256" s="272"/>
      <c r="HE256" s="224"/>
      <c r="HF256" s="226"/>
      <c r="HG256" s="227"/>
      <c r="HH256" s="227"/>
      <c r="HI256" s="227"/>
      <c r="HJ256" s="227"/>
      <c r="HK256" s="227"/>
      <c r="HL256" s="227"/>
      <c r="HM256" s="227"/>
      <c r="HN256" s="227"/>
      <c r="HO256" s="227"/>
      <c r="HP256" s="227"/>
      <c r="HQ256" s="227"/>
      <c r="HR256" s="272"/>
      <c r="HS256" s="224"/>
      <c r="HT256" s="226"/>
      <c r="HU256" s="227"/>
      <c r="HV256" s="227"/>
      <c r="HW256" s="227"/>
      <c r="HX256" s="227"/>
      <c r="HY256" s="227"/>
      <c r="HZ256" s="227"/>
      <c r="IA256" s="227"/>
      <c r="IB256" s="227"/>
      <c r="IC256" s="227"/>
      <c r="ID256" s="227"/>
      <c r="IE256" s="227"/>
      <c r="IF256" s="272"/>
      <c r="IG256" s="224"/>
      <c r="IH256" s="226"/>
      <c r="II256" s="227"/>
      <c r="IJ256" s="227"/>
      <c r="IK256" s="227"/>
      <c r="IL256" s="227"/>
      <c r="IM256" s="227"/>
      <c r="IN256" s="227"/>
      <c r="IO256" s="227"/>
      <c r="IP256" s="227"/>
      <c r="IQ256" s="227"/>
      <c r="IR256" s="227"/>
      <c r="IS256" s="227"/>
      <c r="IT256" s="272"/>
      <c r="IU256" s="224"/>
      <c r="IV256" s="226"/>
      <c r="IW256" s="227"/>
      <c r="IX256" s="227"/>
      <c r="IY256" s="227"/>
      <c r="IZ256" s="227"/>
      <c r="JA256" s="227"/>
      <c r="JB256" s="227"/>
      <c r="JC256" s="227"/>
      <c r="JD256" s="227"/>
      <c r="JE256" s="227"/>
      <c r="JF256" s="227"/>
      <c r="JG256" s="227"/>
      <c r="JH256" s="272"/>
      <c r="JI256" s="224"/>
      <c r="JJ256" s="226"/>
      <c r="JK256" s="227"/>
      <c r="JL256" s="227"/>
      <c r="JM256" s="227"/>
      <c r="JN256" s="227"/>
      <c r="JO256" s="227"/>
      <c r="JP256" s="227"/>
      <c r="JQ256" s="227"/>
      <c r="JR256" s="227"/>
      <c r="JS256" s="227"/>
      <c r="JT256" s="227"/>
      <c r="JU256" s="227"/>
      <c r="JV256" s="272"/>
      <c r="JW256" s="224"/>
      <c r="JX256" s="226"/>
      <c r="JY256" s="227"/>
      <c r="JZ256" s="227"/>
      <c r="KA256" s="227"/>
      <c r="KB256" s="227"/>
      <c r="KC256" s="227"/>
      <c r="KD256" s="227"/>
      <c r="KE256" s="227"/>
      <c r="KF256" s="227"/>
      <c r="KG256" s="227"/>
      <c r="KH256" s="227"/>
      <c r="KI256" s="227"/>
      <c r="KJ256" s="272"/>
      <c r="KK256" s="224"/>
      <c r="KL256" s="226"/>
      <c r="KM256" s="227"/>
      <c r="KN256" s="227"/>
      <c r="KO256" s="227"/>
      <c r="KP256" s="227"/>
      <c r="KQ256" s="227"/>
      <c r="KR256" s="227"/>
      <c r="KS256" s="227"/>
      <c r="KT256" s="227"/>
      <c r="KU256" s="227"/>
      <c r="KV256" s="227"/>
      <c r="KW256" s="227"/>
      <c r="KX256" s="272"/>
      <c r="KY256" s="224"/>
      <c r="KZ256" s="226"/>
      <c r="LA256" s="227"/>
      <c r="LB256" s="227"/>
      <c r="LC256" s="227"/>
      <c r="LD256" s="227"/>
      <c r="LE256" s="227"/>
      <c r="LF256" s="227"/>
      <c r="LG256" s="227"/>
      <c r="LH256" s="227"/>
      <c r="LI256" s="227"/>
      <c r="LJ256" s="227"/>
      <c r="LK256" s="227"/>
      <c r="LL256" s="272"/>
      <c r="LM256" s="224"/>
      <c r="LN256" s="226"/>
      <c r="LO256" s="227"/>
      <c r="LP256" s="227"/>
      <c r="LQ256" s="227"/>
      <c r="LR256" s="227"/>
      <c r="LS256" s="227"/>
      <c r="LT256" s="227"/>
      <c r="LU256" s="227"/>
      <c r="LV256" s="227"/>
      <c r="LW256" s="227"/>
      <c r="LX256" s="227"/>
      <c r="LY256" s="227"/>
      <c r="LZ256" s="272"/>
      <c r="MA256" s="224"/>
      <c r="MB256" s="272"/>
      <c r="MC256" s="272"/>
      <c r="MD256" s="272"/>
      <c r="ME256" s="272"/>
      <c r="MF256" s="272"/>
      <c r="MG256" s="272"/>
      <c r="MH256" s="272"/>
      <c r="MI256" s="272"/>
      <c r="MJ256" s="272"/>
      <c r="MK256" s="272"/>
      <c r="ML256" s="272"/>
      <c r="MM256" s="272"/>
      <c r="MN256" s="272"/>
    </row>
    <row r="257" spans="1:352" x14ac:dyDescent="0.3">
      <c r="A257" s="262"/>
      <c r="B257" s="220" t="s">
        <v>222</v>
      </c>
      <c r="C257" s="221"/>
      <c r="D257" s="226">
        <f>+D188+D200+D225+D237+D255</f>
        <v>52876.225415302237</v>
      </c>
      <c r="E257" s="226">
        <f t="shared" ref="E257:O257" si="1182">+E188+E200+E225+E237+E255</f>
        <v>50790.028061550955</v>
      </c>
      <c r="F257" s="226">
        <f t="shared" si="1182"/>
        <v>51048.479585993482</v>
      </c>
      <c r="G257" s="226">
        <f t="shared" si="1182"/>
        <v>50576.749244609528</v>
      </c>
      <c r="H257" s="226">
        <f t="shared" si="1182"/>
        <v>50641.289807870315</v>
      </c>
      <c r="I257" s="226">
        <f t="shared" si="1182"/>
        <v>50658.576907003968</v>
      </c>
      <c r="J257" s="226">
        <f t="shared" si="1182"/>
        <v>51307.373713675479</v>
      </c>
      <c r="K257" s="226">
        <f t="shared" si="1182"/>
        <v>51987.887133862787</v>
      </c>
      <c r="L257" s="226">
        <f t="shared" si="1182"/>
        <v>54068.825320457727</v>
      </c>
      <c r="M257" s="226">
        <f t="shared" si="1182"/>
        <v>51783.308649251594</v>
      </c>
      <c r="N257" s="226">
        <f t="shared" si="1182"/>
        <v>49540.185364080178</v>
      </c>
      <c r="O257" s="226">
        <f t="shared" si="1182"/>
        <v>48462.357190420691</v>
      </c>
      <c r="P257" s="223">
        <f>+SUBTOTAL(9,D257:O257)</f>
        <v>613741.28639407898</v>
      </c>
      <c r="Q257" s="224"/>
      <c r="R257" s="226">
        <f>+R188+R200+R225+R237+R255</f>
        <v>4618.5622228709162</v>
      </c>
      <c r="S257" s="226">
        <f t="shared" ref="S257:AC257" si="1183">+S188+S200+S225+S237+S255</f>
        <v>4409.4052894283841</v>
      </c>
      <c r="T257" s="226">
        <f t="shared" si="1183"/>
        <v>4435.0938580954435</v>
      </c>
      <c r="U257" s="226">
        <f t="shared" si="1183"/>
        <v>4387.3419635378914</v>
      </c>
      <c r="V257" s="226">
        <f t="shared" si="1183"/>
        <v>4394.0185735303867</v>
      </c>
      <c r="W257" s="226">
        <f t="shared" si="1183"/>
        <v>4395.8068941304209</v>
      </c>
      <c r="X257" s="226">
        <f t="shared" si="1183"/>
        <v>4460.5833166870498</v>
      </c>
      <c r="Y257" s="226">
        <f t="shared" si="1183"/>
        <v>4526.6668028751901</v>
      </c>
      <c r="Z257" s="226">
        <f t="shared" si="1183"/>
        <v>4742.5526210012977</v>
      </c>
      <c r="AA257" s="226">
        <f t="shared" si="1183"/>
        <v>4506.1198619110082</v>
      </c>
      <c r="AB257" s="226">
        <f t="shared" si="1183"/>
        <v>4276.7229328674375</v>
      </c>
      <c r="AC257" s="226">
        <f t="shared" si="1183"/>
        <v>4165.1618315720689</v>
      </c>
      <c r="AD257" s="223">
        <f>+SUBTOTAL(9,R257:AC257)</f>
        <v>53318.036168507489</v>
      </c>
      <c r="AE257" s="224"/>
      <c r="AF257" s="226">
        <f>+AF188+AF200+AF225+AF237+AF255</f>
        <v>4639.8086480377424</v>
      </c>
      <c r="AG257" s="226">
        <f t="shared" ref="AG257:AQ257" si="1184">+AG188+AG200+AG225+AG237+AG255</f>
        <v>4430.6517145952103</v>
      </c>
      <c r="AH257" s="226">
        <f t="shared" si="1184"/>
        <v>4456.3402832622696</v>
      </c>
      <c r="AI257" s="226">
        <f t="shared" si="1184"/>
        <v>4408.5883887047175</v>
      </c>
      <c r="AJ257" s="226">
        <f t="shared" si="1184"/>
        <v>4415.2649986972128</v>
      </c>
      <c r="AK257" s="226">
        <f t="shared" si="1184"/>
        <v>4417.0533192972471</v>
      </c>
      <c r="AL257" s="226">
        <f t="shared" si="1184"/>
        <v>4481.8297418538759</v>
      </c>
      <c r="AM257" s="226">
        <f t="shared" si="1184"/>
        <v>4547.9132280420163</v>
      </c>
      <c r="AN257" s="226">
        <f t="shared" si="1184"/>
        <v>4763.7990461681238</v>
      </c>
      <c r="AO257" s="226">
        <f t="shared" si="1184"/>
        <v>4527.3662870778344</v>
      </c>
      <c r="AP257" s="226">
        <f t="shared" si="1184"/>
        <v>4297.9693580342637</v>
      </c>
      <c r="AQ257" s="226">
        <f t="shared" si="1184"/>
        <v>4186.408256738895</v>
      </c>
      <c r="AR257" s="223">
        <f>+SUBTOTAL(9,AF257:AQ257)</f>
        <v>53572.993270509411</v>
      </c>
      <c r="AS257" s="225"/>
      <c r="AT257" s="226">
        <f>+AT188+AT200+AT225+AT237+AT255</f>
        <v>11078.898488586965</v>
      </c>
      <c r="AU257" s="226">
        <f t="shared" ref="AU257:BE257" si="1185">+AU188+AU200+AU225+AU237+AU255</f>
        <v>10939.46053295861</v>
      </c>
      <c r="AV257" s="226">
        <f t="shared" si="1185"/>
        <v>10956.586245403316</v>
      </c>
      <c r="AW257" s="226">
        <f t="shared" si="1185"/>
        <v>10924.751649031616</v>
      </c>
      <c r="AX257" s="226">
        <f t="shared" si="1185"/>
        <v>10929.202722359945</v>
      </c>
      <c r="AY257" s="226">
        <f t="shared" si="1185"/>
        <v>10930.394936093302</v>
      </c>
      <c r="AZ257" s="226">
        <f t="shared" si="1185"/>
        <v>10981.511375408147</v>
      </c>
      <c r="BA257" s="226">
        <f t="shared" si="1185"/>
        <v>11025.567032866908</v>
      </c>
      <c r="BB257" s="226">
        <f t="shared" si="1185"/>
        <v>11169.490911617644</v>
      </c>
      <c r="BC257" s="226">
        <f t="shared" si="1185"/>
        <v>11011.869072224115</v>
      </c>
      <c r="BD257" s="226">
        <f t="shared" si="1185"/>
        <v>10858.937786195071</v>
      </c>
      <c r="BE257" s="226">
        <f t="shared" si="1185"/>
        <v>10784.563718664822</v>
      </c>
      <c r="BF257" s="223">
        <f>+SUBTOTAL(9,AT257:BE257)</f>
        <v>131591.23447141045</v>
      </c>
      <c r="BG257" s="224"/>
      <c r="BH257" s="226">
        <f>+BH188+BH200+BH225+BH237+BH255</f>
        <v>61669.05038985506</v>
      </c>
      <c r="BI257" s="226">
        <f t="shared" ref="BI257:BS257" si="1186">+BI188+BI200+BI225+BI237+BI255</f>
        <v>60619.333406150494</v>
      </c>
      <c r="BJ257" s="226">
        <f t="shared" si="1186"/>
        <v>60747.776249485789</v>
      </c>
      <c r="BK257" s="226">
        <f t="shared" si="1186"/>
        <v>60509.01677669803</v>
      </c>
      <c r="BL257" s="226">
        <f t="shared" si="1186"/>
        <v>60542.399826660505</v>
      </c>
      <c r="BM257" s="226">
        <f t="shared" si="1186"/>
        <v>60551.341429660679</v>
      </c>
      <c r="BN257" s="226">
        <f t="shared" si="1186"/>
        <v>60894.182074379001</v>
      </c>
      <c r="BO257" s="226">
        <f t="shared" si="1186"/>
        <v>61224.599505319704</v>
      </c>
      <c r="BP257" s="226">
        <f t="shared" si="1186"/>
        <v>62304.028595950236</v>
      </c>
      <c r="BQ257" s="226">
        <f t="shared" si="1186"/>
        <v>61105.182245684671</v>
      </c>
      <c r="BR257" s="226">
        <f t="shared" si="1186"/>
        <v>59974.880155280938</v>
      </c>
      <c r="BS257" s="226">
        <f t="shared" si="1186"/>
        <v>59417.07464880409</v>
      </c>
      <c r="BT257" s="223">
        <f>+SUBTOTAL(9,BH257:BS257)</f>
        <v>729558.8653039292</v>
      </c>
      <c r="BU257" s="225"/>
      <c r="BV257" s="226">
        <f>+BV188+BV200+BV225+BV237+BV255</f>
        <v>10817.189949727232</v>
      </c>
      <c r="BW257" s="226">
        <f t="shared" ref="BW257:CG257" si="1187">+BW188+BW200+BW225+BW237+BW255</f>
        <v>10729.596806040796</v>
      </c>
      <c r="BX257" s="226">
        <f t="shared" si="1187"/>
        <v>10738.159662263148</v>
      </c>
      <c r="BY257" s="226">
        <f t="shared" si="1187"/>
        <v>10722.242364077298</v>
      </c>
      <c r="BZ257" s="226">
        <f t="shared" si="1187"/>
        <v>10724.467900741463</v>
      </c>
      <c r="CA257" s="226">
        <f t="shared" si="1187"/>
        <v>10725.064007608138</v>
      </c>
      <c r="CB257" s="226">
        <f t="shared" si="1187"/>
        <v>10754.155354052977</v>
      </c>
      <c r="CC257" s="226">
        <f t="shared" si="1187"/>
        <v>10794.057348654618</v>
      </c>
      <c r="CD257" s="226">
        <f t="shared" si="1187"/>
        <v>10848.145122157726</v>
      </c>
      <c r="CE257" s="226">
        <f t="shared" si="1187"/>
        <v>10769.334202460963</v>
      </c>
      <c r="CF257" s="226">
        <f t="shared" si="1187"/>
        <v>10692.868559446439</v>
      </c>
      <c r="CG257" s="226">
        <f t="shared" si="1187"/>
        <v>10655.681525681317</v>
      </c>
      <c r="CH257" s="223">
        <f>+SUBTOTAL(9,BV257:CG257)</f>
        <v>128970.96280291211</v>
      </c>
      <c r="CI257" s="224"/>
      <c r="CJ257" s="226">
        <f>+CJ188+CJ200+CJ225+CJ237+CJ255</f>
        <v>29396.322526122502</v>
      </c>
      <c r="CK257" s="226">
        <f t="shared" ref="CK257:CU257" si="1188">+CK188+CK200+CK225+CK237+CK255</f>
        <v>28629.41377016655</v>
      </c>
      <c r="CL257" s="226">
        <f t="shared" si="1188"/>
        <v>28723.605188612433</v>
      </c>
      <c r="CM257" s="226">
        <f t="shared" si="1188"/>
        <v>28548.514908568079</v>
      </c>
      <c r="CN257" s="226">
        <f t="shared" si="1188"/>
        <v>28572.995811873894</v>
      </c>
      <c r="CO257" s="226">
        <f t="shared" si="1188"/>
        <v>28579.552987407351</v>
      </c>
      <c r="CP257" s="226">
        <f t="shared" si="1188"/>
        <v>28825.832822132787</v>
      </c>
      <c r="CQ257" s="226">
        <f t="shared" si="1188"/>
        <v>29068.138938155971</v>
      </c>
      <c r="CR257" s="226">
        <f t="shared" si="1188"/>
        <v>29859.720271285023</v>
      </c>
      <c r="CS257" s="226">
        <f t="shared" si="1188"/>
        <v>28992.800154620632</v>
      </c>
      <c r="CT257" s="226">
        <f t="shared" si="1188"/>
        <v>28151.678081460876</v>
      </c>
      <c r="CU257" s="226">
        <f t="shared" si="1188"/>
        <v>27742.620710044521</v>
      </c>
      <c r="CV257" s="223">
        <f>+SUBTOTAL(9,CJ257:CU257)</f>
        <v>345091.1961704506</v>
      </c>
      <c r="CW257" s="224"/>
      <c r="CX257" s="226">
        <f>+CX188+CX200+CX225+CX237+CX255</f>
        <v>66294.879126204178</v>
      </c>
      <c r="CY257" s="226">
        <f t="shared" ref="CY257:DI257" si="1189">+CY188+CY200+CY225+CY237+CY255</f>
        <v>64251.589501458693</v>
      </c>
      <c r="CZ257" s="226">
        <f t="shared" si="1189"/>
        <v>64501.478169678863</v>
      </c>
      <c r="DA257" s="226">
        <f t="shared" si="1189"/>
        <v>64045.665126480759</v>
      </c>
      <c r="DB257" s="226">
        <f t="shared" si="1189"/>
        <v>64107.980153077377</v>
      </c>
      <c r="DC257" s="226">
        <f t="shared" si="1189"/>
        <v>64124.671145344364</v>
      </c>
      <c r="DD257" s="226">
        <f t="shared" si="1189"/>
        <v>64765.694527401349</v>
      </c>
      <c r="DE257" s="226">
        <f t="shared" si="1189"/>
        <v>65450.991367667652</v>
      </c>
      <c r="DF257" s="226">
        <f t="shared" si="1189"/>
        <v>67433.156366078823</v>
      </c>
      <c r="DG257" s="226">
        <f t="shared" si="1189"/>
        <v>65234.791891976522</v>
      </c>
      <c r="DH257" s="226">
        <f t="shared" si="1189"/>
        <v>63059.792972412572</v>
      </c>
      <c r="DI257" s="226">
        <f t="shared" si="1189"/>
        <v>62019.151832518211</v>
      </c>
      <c r="DJ257" s="223">
        <f>+SUBTOTAL(9,CX257:DI257)</f>
        <v>775289.84218029922</v>
      </c>
      <c r="DK257" s="224"/>
      <c r="DL257" s="226">
        <f>+DL188+DL200+DL225+DL237+DL255</f>
        <v>47053.547191027828</v>
      </c>
      <c r="DM257" s="226">
        <f t="shared" ref="DM257:DW257" si="1190">+DM188+DM200+DM225+DM237+DM255</f>
        <v>43288.846412802828</v>
      </c>
      <c r="DN257" s="226">
        <f t="shared" si="1190"/>
        <v>43276.606387028725</v>
      </c>
      <c r="DO257" s="226">
        <f t="shared" si="1190"/>
        <v>41327.922037824894</v>
      </c>
      <c r="DP257" s="226">
        <f t="shared" si="1190"/>
        <v>41390.237064421519</v>
      </c>
      <c r="DQ257" s="226">
        <f t="shared" si="1190"/>
        <v>41406.928056688499</v>
      </c>
      <c r="DR257" s="226">
        <f t="shared" si="1190"/>
        <v>45560.92121948905</v>
      </c>
      <c r="DS257" s="226">
        <f t="shared" si="1190"/>
        <v>42631.937506847833</v>
      </c>
      <c r="DT257" s="226">
        <f t="shared" si="1190"/>
        <v>44637.934726422034</v>
      </c>
      <c r="DU257" s="226">
        <f t="shared" si="1190"/>
        <v>42414.546420098544</v>
      </c>
      <c r="DV257" s="226">
        <f t="shared" si="1190"/>
        <v>40290.190970506002</v>
      </c>
      <c r="DW257" s="226">
        <f t="shared" si="1190"/>
        <v>39248.954025082559</v>
      </c>
      <c r="DX257" s="223">
        <f>+SUBTOTAL(9,DL257:DW257)</f>
        <v>512528.57201824035</v>
      </c>
      <c r="DY257" s="224"/>
      <c r="DZ257" s="226">
        <f>+DZ188+DZ200+DZ225+DZ237+DZ255</f>
        <v>5096.479749536571</v>
      </c>
      <c r="EA257" s="226">
        <f t="shared" ref="EA257:EK257" si="1191">+EA188+EA200+EA225+EA237+EA255</f>
        <v>5026.7607717223937</v>
      </c>
      <c r="EB257" s="226">
        <f t="shared" si="1191"/>
        <v>5035.3236279447465</v>
      </c>
      <c r="EC257" s="226">
        <f t="shared" si="1191"/>
        <v>8218.4063297588964</v>
      </c>
      <c r="ED257" s="226">
        <f t="shared" si="1191"/>
        <v>5021.6318664230612</v>
      </c>
      <c r="EE257" s="226">
        <f t="shared" si="1191"/>
        <v>5022.2279732897396</v>
      </c>
      <c r="EF257" s="226">
        <f t="shared" si="1191"/>
        <v>5047.8159832236151</v>
      </c>
      <c r="EG257" s="226">
        <f t="shared" si="1191"/>
        <v>5069.8438119529956</v>
      </c>
      <c r="EH257" s="226">
        <f t="shared" si="1191"/>
        <v>5141.8057513283629</v>
      </c>
      <c r="EI257" s="226">
        <f t="shared" si="1191"/>
        <v>5062.9948316315995</v>
      </c>
      <c r="EJ257" s="226">
        <f t="shared" si="1191"/>
        <v>4986.5291886170771</v>
      </c>
      <c r="EK257" s="226">
        <f t="shared" si="1191"/>
        <v>4949.3421548519536</v>
      </c>
      <c r="EL257" s="223">
        <f>+SUBTOTAL(9,DZ257:EK257)</f>
        <v>63679.162040281008</v>
      </c>
      <c r="EM257" s="224"/>
      <c r="EN257" s="226">
        <f>+EN188+EN200+EN225+EN237+EN255</f>
        <v>7549.7874304363468</v>
      </c>
      <c r="EO257" s="226">
        <f t="shared" ref="EO257:EY257" si="1192">+EO188+EO200+EO225+EO237+EO255</f>
        <v>7410.349474807992</v>
      </c>
      <c r="EP257" s="226">
        <f t="shared" si="1192"/>
        <v>7427.4751872526977</v>
      </c>
      <c r="EQ257" s="226">
        <f t="shared" si="1192"/>
        <v>7395.6405908809966</v>
      </c>
      <c r="ER257" s="226">
        <f t="shared" si="1192"/>
        <v>7400.0916642093271</v>
      </c>
      <c r="ES257" s="226">
        <f t="shared" si="1192"/>
        <v>7401.2838779426829</v>
      </c>
      <c r="ET257" s="226">
        <f t="shared" si="1192"/>
        <v>7452.400317257524</v>
      </c>
      <c r="EU257" s="226">
        <f t="shared" si="1192"/>
        <v>7496.4559747162848</v>
      </c>
      <c r="EV257" s="226">
        <f t="shared" si="1192"/>
        <v>7640.3798534670232</v>
      </c>
      <c r="EW257" s="226">
        <f t="shared" si="1192"/>
        <v>7482.7580140734972</v>
      </c>
      <c r="EX257" s="226">
        <f t="shared" si="1192"/>
        <v>7329.8267280444497</v>
      </c>
      <c r="EY257" s="226">
        <f t="shared" si="1192"/>
        <v>7255.4526605142037</v>
      </c>
      <c r="EZ257" s="223">
        <f>+SUBTOTAL(9,EN257:EY257)</f>
        <v>89241.901773603036</v>
      </c>
      <c r="FA257" s="224"/>
      <c r="FB257" s="226">
        <f>+FB188+FB200+FB225+FB237+FB255</f>
        <v>1657.3114940551609</v>
      </c>
      <c r="FC257" s="226">
        <f t="shared" ref="FC257:FM257" si="1193">+FC188+FC200+FC225+FC237+FC255</f>
        <v>1587.5925162409833</v>
      </c>
      <c r="FD257" s="226">
        <f t="shared" si="1193"/>
        <v>1596.1553724633363</v>
      </c>
      <c r="FE257" s="226">
        <f t="shared" si="1193"/>
        <v>1580.2380742774856</v>
      </c>
      <c r="FF257" s="226">
        <f t="shared" si="1193"/>
        <v>1582.4636109416508</v>
      </c>
      <c r="FG257" s="226">
        <f t="shared" si="1193"/>
        <v>1583.0597178083287</v>
      </c>
      <c r="FH257" s="226">
        <f t="shared" si="1193"/>
        <v>1605.0848106783333</v>
      </c>
      <c r="FI257" s="226">
        <f t="shared" si="1193"/>
        <v>1627.1126394077137</v>
      </c>
      <c r="FJ257" s="226">
        <f t="shared" si="1193"/>
        <v>1699.0745787830824</v>
      </c>
      <c r="FK257" s="226">
        <f t="shared" si="1193"/>
        <v>1620.2636590863194</v>
      </c>
      <c r="FL257" s="226">
        <f t="shared" si="1193"/>
        <v>1543.7980160717959</v>
      </c>
      <c r="FM257" s="226">
        <f t="shared" si="1193"/>
        <v>1506.6109823066731</v>
      </c>
      <c r="FN257" s="223">
        <f>+SUBTOTAL(9,FB257:FM257)</f>
        <v>19188.765472120864</v>
      </c>
      <c r="FO257" s="224"/>
      <c r="FP257" s="226">
        <f>+FP188+FP200+FP225+FP237+FP255</f>
        <v>22878.89733159871</v>
      </c>
      <c r="FQ257" s="226">
        <f t="shared" ref="FQ257:GA257" si="1194">+FQ188+FQ200+FQ225+FQ237+FQ255</f>
        <v>22328.48364800528</v>
      </c>
      <c r="FR257" s="226">
        <f t="shared" si="1194"/>
        <v>22398.552335556036</v>
      </c>
      <c r="FS257" s="226">
        <f t="shared" si="1194"/>
        <v>22277.002554260798</v>
      </c>
      <c r="FT257" s="226">
        <f t="shared" si="1194"/>
        <v>22292.581310909954</v>
      </c>
      <c r="FU257" s="226">
        <f t="shared" si="1194"/>
        <v>22296.754058976698</v>
      </c>
      <c r="FV257" s="226">
        <f t="shared" si="1194"/>
        <v>22471.25859371878</v>
      </c>
      <c r="FW257" s="226">
        <f t="shared" si="1194"/>
        <v>22667.159781859711</v>
      </c>
      <c r="FX257" s="226">
        <f t="shared" si="1194"/>
        <v>23164.93530219654</v>
      </c>
      <c r="FY257" s="226">
        <f t="shared" si="1194"/>
        <v>22621.600141726252</v>
      </c>
      <c r="FZ257" s="226">
        <f t="shared" si="1194"/>
        <v>22052.379725467301</v>
      </c>
      <c r="GA257" s="226">
        <f t="shared" si="1194"/>
        <v>21792.666294640519</v>
      </c>
      <c r="GB257" s="223">
        <f>+SUBTOTAL(9,FP257:GA257)</f>
        <v>269242.27107891662</v>
      </c>
      <c r="GC257" s="224"/>
      <c r="GD257" s="226">
        <f>+GD188+GD200+GD225+GD237+GD255</f>
        <v>10454.97593638119</v>
      </c>
      <c r="GE257" s="226">
        <f t="shared" ref="GE257:GO257" si="1195">+GE188+GE200+GE225+GE237+GE255</f>
        <v>10447.637797461197</v>
      </c>
      <c r="GF257" s="226">
        <f t="shared" si="1195"/>
        <v>10446.07195968927</v>
      </c>
      <c r="GG257" s="226">
        <f t="shared" si="1195"/>
        <v>10440.283355497697</v>
      </c>
      <c r="GH257" s="226">
        <f t="shared" si="1195"/>
        <v>10442.508892161863</v>
      </c>
      <c r="GI257" s="226">
        <f t="shared" si="1195"/>
        <v>10443.104999028541</v>
      </c>
      <c r="GJ257" s="226">
        <f t="shared" si="1195"/>
        <v>10461.316936512463</v>
      </c>
      <c r="GK257" s="226">
        <f t="shared" si="1195"/>
        <v>10441.638378206573</v>
      </c>
      <c r="GL257" s="226">
        <f t="shared" si="1195"/>
        <v>10519.558372872696</v>
      </c>
      <c r="GM257" s="226">
        <f t="shared" si="1195"/>
        <v>10432.406175768876</v>
      </c>
      <c r="GN257" s="226">
        <f t="shared" si="1195"/>
        <v>10389.901447911645</v>
      </c>
      <c r="GO257" s="226">
        <f t="shared" si="1195"/>
        <v>10352.118608617446</v>
      </c>
      <c r="GP257" s="223">
        <f>+SUBTOTAL(9,GD257:GO257)</f>
        <v>125271.52286010944</v>
      </c>
      <c r="GQ257" s="224"/>
      <c r="GR257" s="226">
        <f>+GR188+GR200+GR225+GR237+GR255</f>
        <v>-5959.7658686014556</v>
      </c>
      <c r="GS257" s="226">
        <f t="shared" ref="GS257:HC257" si="1196">+GS188+GS200+GS225+GS237+GS255</f>
        <v>-7113.6708972001206</v>
      </c>
      <c r="GT257" s="226">
        <f t="shared" si="1196"/>
        <v>21737.156430363517</v>
      </c>
      <c r="GU257" s="226">
        <f t="shared" si="1196"/>
        <v>21659.99901854273</v>
      </c>
      <c r="GV257" s="226">
        <f t="shared" si="1196"/>
        <v>21582.303594329198</v>
      </c>
      <c r="GW257" s="226">
        <f t="shared" si="1196"/>
        <v>21504.066463728625</v>
      </c>
      <c r="GX257" s="226">
        <f t="shared" si="1196"/>
        <v>21425.283932746737</v>
      </c>
      <c r="GY257" s="226">
        <f t="shared" si="1196"/>
        <v>21345.952188228148</v>
      </c>
      <c r="GZ257" s="226">
        <f t="shared" si="1196"/>
        <v>21266.067417017475</v>
      </c>
      <c r="HA257" s="226">
        <f t="shared" si="1196"/>
        <v>21185.625567637107</v>
      </c>
      <c r="HB257" s="226">
        <f t="shared" si="1196"/>
        <v>21104.623065253887</v>
      </c>
      <c r="HC257" s="226">
        <f t="shared" si="1196"/>
        <v>21023.055739229101</v>
      </c>
      <c r="HD257" s="223">
        <f>+SUBTOTAL(9,GR257:HC257)</f>
        <v>200760.69665127495</v>
      </c>
      <c r="HE257" s="224"/>
      <c r="HF257" s="226">
        <f>+HF188+HF200+HF225+HF237+HF255</f>
        <v>10459.024336563827</v>
      </c>
      <c r="HG257" s="226">
        <f t="shared" ref="HG257:HQ257" si="1197">+HG188+HG200+HG225+HG237+HG255</f>
        <v>10180.148425307118</v>
      </c>
      <c r="HH257" s="226">
        <f t="shared" si="1197"/>
        <v>10214.399850196529</v>
      </c>
      <c r="HI257" s="226">
        <f t="shared" si="1197"/>
        <v>10150.730657453127</v>
      </c>
      <c r="HJ257" s="226">
        <f t="shared" si="1197"/>
        <v>10159.632804109788</v>
      </c>
      <c r="HK257" s="226">
        <f t="shared" si="1197"/>
        <v>10162.017231576499</v>
      </c>
      <c r="HL257" s="226">
        <f t="shared" si="1197"/>
        <v>10255.885000577966</v>
      </c>
      <c r="HM257" s="226">
        <f t="shared" si="1197"/>
        <v>10343.996315495488</v>
      </c>
      <c r="HN257" s="226">
        <f t="shared" si="1197"/>
        <v>10631.844072996964</v>
      </c>
      <c r="HO257" s="226">
        <f t="shared" si="1197"/>
        <v>10316.600394209911</v>
      </c>
      <c r="HP257" s="226">
        <f t="shared" si="1197"/>
        <v>10010.737822151817</v>
      </c>
      <c r="HQ257" s="226">
        <f t="shared" si="1197"/>
        <v>9861.9896870913235</v>
      </c>
      <c r="HR257" s="229">
        <f>+SUBTOTAL(9,HF257:HQ257)</f>
        <v>122747.00659773035</v>
      </c>
      <c r="HS257" s="224"/>
      <c r="HT257" s="226">
        <f>+HT188+HT200+HT225+HT237+HT255</f>
        <v>2698.4697400036835</v>
      </c>
      <c r="HU257" s="226">
        <f t="shared" ref="HU257:IE257" si="1198">+HU188+HU200+HU225+HU237+HU255</f>
        <v>2628.7507621895061</v>
      </c>
      <c r="HV257" s="226">
        <f t="shared" si="1198"/>
        <v>2637.3136184118589</v>
      </c>
      <c r="HW257" s="226">
        <f t="shared" si="1198"/>
        <v>2621.3963202260084</v>
      </c>
      <c r="HX257" s="226">
        <f t="shared" si="1198"/>
        <v>2623.6218568901736</v>
      </c>
      <c r="HY257" s="226">
        <f t="shared" si="1198"/>
        <v>2624.2179637568511</v>
      </c>
      <c r="HZ257" s="226">
        <f t="shared" si="1198"/>
        <v>2646.6482043866267</v>
      </c>
      <c r="IA257" s="226">
        <f t="shared" si="1198"/>
        <v>2668.6760331160071</v>
      </c>
      <c r="IB257" s="226">
        <f t="shared" si="1198"/>
        <v>2740.6379724913763</v>
      </c>
      <c r="IC257" s="226">
        <f t="shared" si="1198"/>
        <v>2661.8270527946129</v>
      </c>
      <c r="ID257" s="226">
        <f t="shared" si="1198"/>
        <v>2585.3614097800896</v>
      </c>
      <c r="IE257" s="226">
        <f t="shared" si="1198"/>
        <v>2548.1743760149666</v>
      </c>
      <c r="IF257" s="223">
        <f>+SUBTOTAL(9,HT257:IE257)</f>
        <v>31685.095310061755</v>
      </c>
      <c r="IG257" s="224"/>
      <c r="IH257" s="226">
        <f>+IH188+IH200+IH225+IH237+IH255</f>
        <v>7746.003105113311</v>
      </c>
      <c r="II257" s="226">
        <f t="shared" ref="II257:IS257" si="1199">+II188+II200+II225+II237+II255</f>
        <v>7676.2841272991336</v>
      </c>
      <c r="IJ257" s="226">
        <f t="shared" si="1199"/>
        <v>7684.8469835214864</v>
      </c>
      <c r="IK257" s="226">
        <f t="shared" si="1199"/>
        <v>7668.9296853356363</v>
      </c>
      <c r="IL257" s="226">
        <f t="shared" si="1199"/>
        <v>7671.1552219998002</v>
      </c>
      <c r="IM257" s="226">
        <f t="shared" si="1199"/>
        <v>7671.7513288664786</v>
      </c>
      <c r="IN257" s="226">
        <f t="shared" si="1199"/>
        <v>7700.8426753113172</v>
      </c>
      <c r="IO257" s="226">
        <f t="shared" si="1199"/>
        <v>7722.8705040406985</v>
      </c>
      <c r="IP257" s="226">
        <f t="shared" si="1199"/>
        <v>7794.8324434160659</v>
      </c>
      <c r="IQ257" s="226">
        <f t="shared" si="1199"/>
        <v>7716.0215237193024</v>
      </c>
      <c r="IR257" s="226">
        <f t="shared" si="1199"/>
        <v>7639.5558807047801</v>
      </c>
      <c r="IS257" s="226">
        <f t="shared" si="1199"/>
        <v>7602.3688469396566</v>
      </c>
      <c r="IT257" s="223">
        <f>+SUBTOTAL(9,IH257:IS257)</f>
        <v>92295.462326267661</v>
      </c>
      <c r="IU257" s="224"/>
      <c r="IV257" s="226">
        <f>+IV188+IV200+IV225+IV237+IV255</f>
        <v>24692.493613772207</v>
      </c>
      <c r="IW257" s="226">
        <f t="shared" ref="IW257:JG257" si="1200">+IW188+IW200+IW225+IW237+IW255</f>
        <v>24204.460769072968</v>
      </c>
      <c r="IX257" s="226">
        <f t="shared" si="1200"/>
        <v>24264.400762629441</v>
      </c>
      <c r="IY257" s="226">
        <f t="shared" si="1200"/>
        <v>24152.979675328486</v>
      </c>
      <c r="IZ257" s="226">
        <f t="shared" si="1200"/>
        <v>24168.558431977643</v>
      </c>
      <c r="JA257" s="226">
        <f t="shared" si="1200"/>
        <v>24172.731180044386</v>
      </c>
      <c r="JB257" s="226">
        <f t="shared" si="1200"/>
        <v>24341.444485043852</v>
      </c>
      <c r="JC257" s="226">
        <f t="shared" si="1200"/>
        <v>24495.639286149511</v>
      </c>
      <c r="JD257" s="226">
        <f t="shared" si="1200"/>
        <v>24999.372861777094</v>
      </c>
      <c r="JE257" s="226">
        <f t="shared" si="1200"/>
        <v>24447.696423899753</v>
      </c>
      <c r="JF257" s="226">
        <f t="shared" si="1200"/>
        <v>23912.43692279809</v>
      </c>
      <c r="JG257" s="226">
        <f t="shared" si="1200"/>
        <v>23652.127686442233</v>
      </c>
      <c r="JH257" s="223">
        <f>+SUBTOTAL(9,IV257:JG257)</f>
        <v>291504.34209893562</v>
      </c>
      <c r="JI257" s="224"/>
      <c r="JJ257" s="226">
        <f>+JJ188+JJ200+JJ225+JJ237+JJ255</f>
        <v>34266.389256341754</v>
      </c>
      <c r="JK257" s="226">
        <f t="shared" ref="JK257:JU257" si="1201">+JK188+JK200+JK225+JK237+JK255</f>
        <v>33357.917106677509</v>
      </c>
      <c r="JL257" s="226">
        <f t="shared" si="1201"/>
        <v>33472.365913111957</v>
      </c>
      <c r="JM257" s="226">
        <f t="shared" si="1201"/>
        <v>33277.018245079038</v>
      </c>
      <c r="JN257" s="226">
        <f t="shared" si="1201"/>
        <v>33301.49914838485</v>
      </c>
      <c r="JO257" s="226">
        <f t="shared" si="1201"/>
        <v>33308.05632391831</v>
      </c>
      <c r="JP257" s="226">
        <f t="shared" si="1201"/>
        <v>33557.243689625633</v>
      </c>
      <c r="JQ257" s="226">
        <f t="shared" si="1201"/>
        <v>33891.899662655494</v>
      </c>
      <c r="JR257" s="226">
        <f t="shared" si="1201"/>
        <v>34662.627802266914</v>
      </c>
      <c r="JS257" s="226">
        <f t="shared" si="1201"/>
        <v>33779.025130788403</v>
      </c>
      <c r="JT257" s="226">
        <f t="shared" si="1201"/>
        <v>32903.346336942283</v>
      </c>
      <c r="JU257" s="226">
        <f t="shared" si="1201"/>
        <v>32495.480576584079</v>
      </c>
      <c r="JV257" s="223">
        <f>+SUBTOTAL(9,JJ257:JU257)</f>
        <v>402272.86919237621</v>
      </c>
      <c r="JW257" s="224"/>
      <c r="JX257" s="226">
        <f>+JX188+JX200+JX225+JX237+JX255</f>
        <v>17913.53554463233</v>
      </c>
      <c r="JY257" s="226">
        <f t="shared" ref="JY257:KI257" si="1202">+JY188+JY200+JY225+JY237+JY255</f>
        <v>17562.974497315492</v>
      </c>
      <c r="JZ257" s="226">
        <f t="shared" si="1202"/>
        <v>17605.788778427261</v>
      </c>
      <c r="KA257" s="226">
        <f t="shared" si="1202"/>
        <v>17526.202287498007</v>
      </c>
      <c r="KB257" s="226">
        <f t="shared" si="1202"/>
        <v>17537.329970818831</v>
      </c>
      <c r="KC257" s="226">
        <f t="shared" si="1202"/>
        <v>17540.310505152218</v>
      </c>
      <c r="KD257" s="226">
        <f t="shared" si="1202"/>
        <v>17656.489353677647</v>
      </c>
      <c r="KE257" s="226">
        <f t="shared" si="1202"/>
        <v>17766.628497324549</v>
      </c>
      <c r="KF257" s="226">
        <f t="shared" si="1202"/>
        <v>18126.438194201393</v>
      </c>
      <c r="KG257" s="226">
        <f t="shared" si="1202"/>
        <v>17724.042318310523</v>
      </c>
      <c r="KH257" s="226">
        <f t="shared" si="1202"/>
        <v>17350.055380644961</v>
      </c>
      <c r="KI257" s="226">
        <f t="shared" si="1202"/>
        <v>17164.120211819351</v>
      </c>
      <c r="KJ257" s="223">
        <f>+SUBTOTAL(9,JX257:KI257)</f>
        <v>211473.9155398226</v>
      </c>
      <c r="KK257" s="224"/>
      <c r="KL257" s="226">
        <f>+KL188+KL200+KL225+KL237+KL255</f>
        <v>3431.4723684725714</v>
      </c>
      <c r="KM257" s="226">
        <f t="shared" ref="KM257:KW257" si="1203">+KM188+KM200+KM225+KM237+KM255</f>
        <v>3292.0344128442166</v>
      </c>
      <c r="KN257" s="226">
        <f t="shared" si="1203"/>
        <v>3309.1601252889227</v>
      </c>
      <c r="KO257" s="226">
        <f t="shared" si="1203"/>
        <v>3277.3255289172212</v>
      </c>
      <c r="KP257" s="226">
        <f t="shared" si="1203"/>
        <v>3281.7766022455521</v>
      </c>
      <c r="KQ257" s="226">
        <f t="shared" si="1203"/>
        <v>3282.9688159789075</v>
      </c>
      <c r="KR257" s="226">
        <f t="shared" si="1203"/>
        <v>3326.1610417570482</v>
      </c>
      <c r="KS257" s="226">
        <f t="shared" si="1203"/>
        <v>3370.2166992158086</v>
      </c>
      <c r="KT257" s="226">
        <f t="shared" si="1203"/>
        <v>3514.1405779665461</v>
      </c>
      <c r="KU257" s="226">
        <f t="shared" si="1203"/>
        <v>3356.4710741306935</v>
      </c>
      <c r="KV257" s="226">
        <f t="shared" si="1203"/>
        <v>3203.5874525439731</v>
      </c>
      <c r="KW257" s="226">
        <f t="shared" si="1203"/>
        <v>3129.213385013727</v>
      </c>
      <c r="KX257" s="223">
        <f>+SUBTOTAL(9,KL257:KW257)</f>
        <v>39774.52808437519</v>
      </c>
      <c r="KY257" s="224"/>
      <c r="KZ257" s="226">
        <f>+KZ188+KZ200+KZ225+KZ237+KZ255</f>
        <v>2837.614163263931</v>
      </c>
      <c r="LA257" s="226">
        <f t="shared" ref="LA257:LK257" si="1204">+LA188+LA200+LA225+LA237+LA255</f>
        <v>2767.8951854497536</v>
      </c>
      <c r="LB257" s="226">
        <f t="shared" si="1204"/>
        <v>2776.4580416721064</v>
      </c>
      <c r="LC257" s="226">
        <f t="shared" si="1204"/>
        <v>2760.5407434862559</v>
      </c>
      <c r="LD257" s="226">
        <f t="shared" si="1204"/>
        <v>2762.7662801504207</v>
      </c>
      <c r="LE257" s="226">
        <f t="shared" si="1204"/>
        <v>2763.3623870170991</v>
      </c>
      <c r="LF257" s="226">
        <f t="shared" si="1204"/>
        <v>2784.9465837955872</v>
      </c>
      <c r="LG257" s="226">
        <f t="shared" si="1204"/>
        <v>2806.9744125249681</v>
      </c>
      <c r="LH257" s="226">
        <f t="shared" si="1204"/>
        <v>2878.9363519003368</v>
      </c>
      <c r="LI257" s="226">
        <f t="shared" si="1204"/>
        <v>2800.1730966458995</v>
      </c>
      <c r="LJ257" s="226">
        <f t="shared" si="1204"/>
        <v>2723.6597891890506</v>
      </c>
      <c r="LK257" s="226">
        <f t="shared" si="1204"/>
        <v>2686.4727554239271</v>
      </c>
      <c r="LL257" s="223">
        <f>+SUBTOTAL(9,KZ257:LK257)</f>
        <v>33349.799790519341</v>
      </c>
      <c r="LM257" s="224"/>
      <c r="LN257" s="226">
        <f>(+LN241+LN251)/83.92</f>
        <v>0</v>
      </c>
      <c r="LO257" s="226">
        <f t="shared" ref="LO257:LY257" si="1205">(+LO241+LO251)/83.92</f>
        <v>0</v>
      </c>
      <c r="LP257" s="226">
        <f t="shared" si="1205"/>
        <v>0</v>
      </c>
      <c r="LQ257" s="226">
        <f t="shared" si="1205"/>
        <v>0</v>
      </c>
      <c r="LR257" s="226">
        <f t="shared" si="1205"/>
        <v>0</v>
      </c>
      <c r="LS257" s="226">
        <f t="shared" si="1205"/>
        <v>0</v>
      </c>
      <c r="LT257" s="226">
        <f t="shared" si="1205"/>
        <v>0</v>
      </c>
      <c r="LU257" s="226">
        <f t="shared" si="1205"/>
        <v>0</v>
      </c>
      <c r="LV257" s="226">
        <f t="shared" si="1205"/>
        <v>0</v>
      </c>
      <c r="LW257" s="226">
        <f t="shared" si="1205"/>
        <v>0</v>
      </c>
      <c r="LX257" s="226">
        <f t="shared" si="1205"/>
        <v>0</v>
      </c>
      <c r="LY257" s="226">
        <f t="shared" si="1205"/>
        <v>0</v>
      </c>
      <c r="LZ257" s="223">
        <f>+SUBTOTAL(9,LN257:LY257)</f>
        <v>0</v>
      </c>
      <c r="MA257" s="224"/>
      <c r="MB257" s="230">
        <f t="shared" ref="MB257:MM258" si="1206">SUMIF($D$6:$LY$6,MB$3,$D257:$LY257)</f>
        <v>434167.17215930473</v>
      </c>
      <c r="MC257" s="230">
        <f t="shared" si="1206"/>
        <v>419445.94409234589</v>
      </c>
      <c r="MD257" s="230">
        <f t="shared" si="1206"/>
        <v>449489.59461635264</v>
      </c>
      <c r="ME257" s="230">
        <f t="shared" si="1206"/>
        <v>448457.48552607506</v>
      </c>
      <c r="MF257" s="230">
        <f t="shared" si="1206"/>
        <v>445545.77811478474</v>
      </c>
      <c r="MG257" s="230">
        <f t="shared" si="1206"/>
        <v>445565.30251031934</v>
      </c>
      <c r="MH257" s="230">
        <f t="shared" si="1206"/>
        <v>452764.9057533929</v>
      </c>
      <c r="MI257" s="230">
        <f t="shared" si="1206"/>
        <v>452972.8230491865</v>
      </c>
      <c r="MJ257" s="230">
        <f t="shared" si="1206"/>
        <v>464608.30453382048</v>
      </c>
      <c r="MK257" s="230">
        <f t="shared" si="1206"/>
        <v>451552.82418972859</v>
      </c>
      <c r="ML257" s="230">
        <f t="shared" si="1206"/>
        <v>438879.02534640499</v>
      </c>
      <c r="MM257" s="230">
        <f t="shared" si="1206"/>
        <v>432701.16770501633</v>
      </c>
      <c r="MN257" s="231">
        <f>+SUBTOTAL(9,MB257:MM257)</f>
        <v>5336150.3275967324</v>
      </c>
    </row>
    <row r="258" spans="1:352" x14ac:dyDescent="0.3">
      <c r="A258" s="262"/>
      <c r="B258" s="220" t="s">
        <v>223</v>
      </c>
      <c r="C258" s="221"/>
      <c r="D258" s="226">
        <f>+D115</f>
        <v>749.77645565693717</v>
      </c>
      <c r="E258" s="226">
        <f t="shared" ref="E258:O258" si="1207">+E115</f>
        <v>765.06094806845533</v>
      </c>
      <c r="F258" s="226">
        <f t="shared" si="1207"/>
        <v>772.15286478429971</v>
      </c>
      <c r="G258" s="226">
        <f t="shared" si="1207"/>
        <v>779.24478150014386</v>
      </c>
      <c r="H258" s="226">
        <f t="shared" si="1207"/>
        <v>779.24478150014386</v>
      </c>
      <c r="I258" s="226">
        <f t="shared" si="1207"/>
        <v>779.24478150014386</v>
      </c>
      <c r="J258" s="226">
        <f t="shared" si="1207"/>
        <v>838.89720983325026</v>
      </c>
      <c r="K258" s="226">
        <f t="shared" si="1207"/>
        <v>848.49688857112608</v>
      </c>
      <c r="L258" s="226">
        <f t="shared" si="1207"/>
        <v>848.49688857112608</v>
      </c>
      <c r="M258" s="226">
        <f t="shared" si="1207"/>
        <v>852.54359026737495</v>
      </c>
      <c r="N258" s="226">
        <f t="shared" si="1207"/>
        <v>1028.8324793454085</v>
      </c>
      <c r="O258" s="226">
        <f t="shared" si="1207"/>
        <v>1028.8324793454085</v>
      </c>
      <c r="P258" s="223">
        <f t="shared" ref="P258:P259" si="1208">+SUBTOTAL(9,D258:O258)</f>
        <v>10070.824148943819</v>
      </c>
      <c r="Q258" s="224"/>
      <c r="R258" s="226">
        <f>+R115</f>
        <v>77.56308161968316</v>
      </c>
      <c r="S258" s="226">
        <f t="shared" ref="S258:AC258" si="1209">+S115</f>
        <v>79.144236007081588</v>
      </c>
      <c r="T258" s="226">
        <f t="shared" si="1209"/>
        <v>79.877882563893081</v>
      </c>
      <c r="U258" s="226">
        <f t="shared" si="1209"/>
        <v>80.611529120704532</v>
      </c>
      <c r="V258" s="226">
        <f t="shared" si="1209"/>
        <v>80.611529120704532</v>
      </c>
      <c r="W258" s="226">
        <f t="shared" si="1209"/>
        <v>80.611529120704532</v>
      </c>
      <c r="X258" s="226">
        <f t="shared" si="1209"/>
        <v>86.78246998275003</v>
      </c>
      <c r="Y258" s="226">
        <f t="shared" si="1209"/>
        <v>87.775540197013044</v>
      </c>
      <c r="Z258" s="226">
        <f t="shared" si="1209"/>
        <v>87.775540197013044</v>
      </c>
      <c r="AA258" s="226">
        <f t="shared" si="1209"/>
        <v>88.194164510418091</v>
      </c>
      <c r="AB258" s="226">
        <f t="shared" si="1209"/>
        <v>106.43094613918018</v>
      </c>
      <c r="AC258" s="226">
        <f t="shared" si="1209"/>
        <v>106.43094613918018</v>
      </c>
      <c r="AD258" s="223">
        <f>+SUBTOTAL(9,R258:AC258)</f>
        <v>1041.8093947183258</v>
      </c>
      <c r="AE258" s="224"/>
      <c r="AF258" s="226">
        <f>+AF115</f>
        <v>77.56308161968316</v>
      </c>
      <c r="AG258" s="226">
        <f t="shared" ref="AG258:AQ258" si="1210">+AG115</f>
        <v>79.144236007081588</v>
      </c>
      <c r="AH258" s="226">
        <f t="shared" si="1210"/>
        <v>79.877882563893081</v>
      </c>
      <c r="AI258" s="226">
        <f t="shared" si="1210"/>
        <v>80.611529120704532</v>
      </c>
      <c r="AJ258" s="226">
        <f t="shared" si="1210"/>
        <v>80.611529120704532</v>
      </c>
      <c r="AK258" s="226">
        <f t="shared" si="1210"/>
        <v>80.611529120704532</v>
      </c>
      <c r="AL258" s="226">
        <f t="shared" si="1210"/>
        <v>86.78246998275003</v>
      </c>
      <c r="AM258" s="226">
        <f t="shared" si="1210"/>
        <v>87.775540197013044</v>
      </c>
      <c r="AN258" s="226">
        <f t="shared" si="1210"/>
        <v>87.775540197013044</v>
      </c>
      <c r="AO258" s="226">
        <f t="shared" si="1210"/>
        <v>88.194164510418091</v>
      </c>
      <c r="AP258" s="226">
        <f t="shared" si="1210"/>
        <v>106.43094613918018</v>
      </c>
      <c r="AQ258" s="226">
        <f t="shared" si="1210"/>
        <v>106.43094613918018</v>
      </c>
      <c r="AR258" s="223">
        <f>+SUBTOTAL(9,AF258:AQ258)</f>
        <v>1041.8093947183258</v>
      </c>
      <c r="AS258" s="225"/>
      <c r="AT258" s="226">
        <f>+AT115</f>
        <v>51.708721079788774</v>
      </c>
      <c r="AU258" s="226">
        <f t="shared" ref="AU258:BE258" si="1211">+AU115</f>
        <v>52.762824004721061</v>
      </c>
      <c r="AV258" s="226">
        <f t="shared" si="1211"/>
        <v>53.251921709262049</v>
      </c>
      <c r="AW258" s="226">
        <f t="shared" si="1211"/>
        <v>53.741019413803023</v>
      </c>
      <c r="AX258" s="226">
        <f t="shared" si="1211"/>
        <v>53.741019413803023</v>
      </c>
      <c r="AY258" s="226">
        <f t="shared" si="1211"/>
        <v>53.741019413803023</v>
      </c>
      <c r="AZ258" s="226">
        <f t="shared" si="1211"/>
        <v>57.85497998850002</v>
      </c>
      <c r="BA258" s="226">
        <f t="shared" si="1211"/>
        <v>58.517026798008693</v>
      </c>
      <c r="BB258" s="226">
        <f t="shared" si="1211"/>
        <v>58.517026798008693</v>
      </c>
      <c r="BC258" s="226">
        <f t="shared" si="1211"/>
        <v>58.796109673612065</v>
      </c>
      <c r="BD258" s="226">
        <f t="shared" si="1211"/>
        <v>70.953964092786791</v>
      </c>
      <c r="BE258" s="226">
        <f t="shared" si="1211"/>
        <v>70.953964092786791</v>
      </c>
      <c r="BF258" s="223">
        <f>+SUBTOTAL(9,AT258:BE258)</f>
        <v>694.53959647888405</v>
      </c>
      <c r="BG258" s="224"/>
      <c r="BH258" s="226">
        <f>+BH115</f>
        <v>387.81540809841579</v>
      </c>
      <c r="BI258" s="226">
        <f t="shared" ref="BI258:BS258" si="1212">+BI115</f>
        <v>395.72118003540794</v>
      </c>
      <c r="BJ258" s="226">
        <f t="shared" si="1212"/>
        <v>399.38941281946535</v>
      </c>
      <c r="BK258" s="226">
        <f t="shared" si="1212"/>
        <v>403.0576456035227</v>
      </c>
      <c r="BL258" s="226">
        <f t="shared" si="1212"/>
        <v>403.0576456035227</v>
      </c>
      <c r="BM258" s="226">
        <f t="shared" si="1212"/>
        <v>403.0576456035227</v>
      </c>
      <c r="BN258" s="226">
        <f t="shared" si="1212"/>
        <v>433.91234991375018</v>
      </c>
      <c r="BO258" s="226">
        <f t="shared" si="1212"/>
        <v>438.87770098506519</v>
      </c>
      <c r="BP258" s="226">
        <f t="shared" si="1212"/>
        <v>438.87770098506519</v>
      </c>
      <c r="BQ258" s="226">
        <f t="shared" si="1212"/>
        <v>440.97082255209051</v>
      </c>
      <c r="BR258" s="226">
        <f t="shared" si="1212"/>
        <v>532.15473069590098</v>
      </c>
      <c r="BS258" s="226">
        <f t="shared" si="1212"/>
        <v>532.15473069590098</v>
      </c>
      <c r="BT258" s="223">
        <f>+SUBTOTAL(9,BH258:BS258)</f>
        <v>5209.0469735916304</v>
      </c>
      <c r="BU258" s="225"/>
      <c r="BV258" s="226">
        <f>+BV115</f>
        <v>25.854360539894387</v>
      </c>
      <c r="BW258" s="226">
        <f t="shared" ref="BW258:CG258" si="1213">+BW115</f>
        <v>26.381412002360531</v>
      </c>
      <c r="BX258" s="226">
        <f t="shared" si="1213"/>
        <v>26.625960854631025</v>
      </c>
      <c r="BY258" s="226">
        <f t="shared" si="1213"/>
        <v>26.870509706901512</v>
      </c>
      <c r="BZ258" s="226">
        <f t="shared" si="1213"/>
        <v>26.870509706901512</v>
      </c>
      <c r="CA258" s="226">
        <f t="shared" si="1213"/>
        <v>26.870509706901512</v>
      </c>
      <c r="CB258" s="226">
        <f t="shared" si="1213"/>
        <v>28.92748999425001</v>
      </c>
      <c r="CC258" s="226">
        <f t="shared" si="1213"/>
        <v>29.258513399004347</v>
      </c>
      <c r="CD258" s="226">
        <f t="shared" si="1213"/>
        <v>29.258513399004347</v>
      </c>
      <c r="CE258" s="226">
        <f t="shared" si="1213"/>
        <v>29.398054836806033</v>
      </c>
      <c r="CF258" s="226">
        <f t="shared" si="1213"/>
        <v>35.476982046393395</v>
      </c>
      <c r="CG258" s="226">
        <f t="shared" si="1213"/>
        <v>35.476982046393395</v>
      </c>
      <c r="CH258" s="223">
        <f>+SUBTOTAL(9,BV258:CG258)</f>
        <v>347.26979823944203</v>
      </c>
      <c r="CI258" s="224"/>
      <c r="CJ258" s="226">
        <f>+CJ115</f>
        <v>284.39796593883824</v>
      </c>
      <c r="CK258" s="226">
        <f t="shared" ref="CK258:CU258" si="1214">+CK115</f>
        <v>290.19553202596586</v>
      </c>
      <c r="CL258" s="226">
        <f t="shared" si="1214"/>
        <v>292.88556940094128</v>
      </c>
      <c r="CM258" s="226">
        <f t="shared" si="1214"/>
        <v>295.57560677591664</v>
      </c>
      <c r="CN258" s="226">
        <f t="shared" si="1214"/>
        <v>295.57560677591664</v>
      </c>
      <c r="CO258" s="226">
        <f t="shared" si="1214"/>
        <v>295.57560677591664</v>
      </c>
      <c r="CP258" s="226">
        <f t="shared" si="1214"/>
        <v>318.20238993675014</v>
      </c>
      <c r="CQ258" s="226">
        <f t="shared" si="1214"/>
        <v>321.84364738904782</v>
      </c>
      <c r="CR258" s="226">
        <f t="shared" si="1214"/>
        <v>321.84364738904782</v>
      </c>
      <c r="CS258" s="226">
        <f t="shared" si="1214"/>
        <v>323.37860320486635</v>
      </c>
      <c r="CT258" s="226">
        <f t="shared" si="1214"/>
        <v>390.24680251032737</v>
      </c>
      <c r="CU258" s="226">
        <f t="shared" si="1214"/>
        <v>390.24680251032737</v>
      </c>
      <c r="CV258" s="223">
        <f>+SUBTOTAL(9,CJ258:CU258)</f>
        <v>3819.9677806338623</v>
      </c>
      <c r="CW258" s="224"/>
      <c r="CX258" s="226">
        <f>+CX115</f>
        <v>723.92209511704277</v>
      </c>
      <c r="CY258" s="226">
        <f t="shared" ref="CY258:DI258" si="1215">+CY115</f>
        <v>738.6795360660949</v>
      </c>
      <c r="CZ258" s="226">
        <f t="shared" si="1215"/>
        <v>745.52690392966872</v>
      </c>
      <c r="DA258" s="226">
        <f t="shared" si="1215"/>
        <v>752.37427179324231</v>
      </c>
      <c r="DB258" s="226">
        <f t="shared" si="1215"/>
        <v>752.37427179324231</v>
      </c>
      <c r="DC258" s="226">
        <f t="shared" si="1215"/>
        <v>752.37427179324231</v>
      </c>
      <c r="DD258" s="226">
        <f t="shared" si="1215"/>
        <v>809.96971983900028</v>
      </c>
      <c r="DE258" s="226">
        <f t="shared" si="1215"/>
        <v>819.23837517212166</v>
      </c>
      <c r="DF258" s="226">
        <f t="shared" si="1215"/>
        <v>819.23837517212166</v>
      </c>
      <c r="DG258" s="226">
        <f t="shared" si="1215"/>
        <v>823.14553543056888</v>
      </c>
      <c r="DH258" s="226">
        <f t="shared" si="1215"/>
        <v>993.35549729901504</v>
      </c>
      <c r="DI258" s="226">
        <f t="shared" si="1215"/>
        <v>993.35549729901504</v>
      </c>
      <c r="DJ258" s="223">
        <f>+SUBTOTAL(9,CX258:DI258)</f>
        <v>9723.5543507043767</v>
      </c>
      <c r="DK258" s="224"/>
      <c r="DL258" s="226">
        <f>+DL115</f>
        <v>698.06773457714849</v>
      </c>
      <c r="DM258" s="226">
        <f t="shared" ref="DM258:DW258" si="1216">+DM115</f>
        <v>712.29812406373435</v>
      </c>
      <c r="DN258" s="226">
        <f t="shared" si="1216"/>
        <v>718.90094307503762</v>
      </c>
      <c r="DO258" s="226">
        <f t="shared" si="1216"/>
        <v>725.50376208634077</v>
      </c>
      <c r="DP258" s="226">
        <f t="shared" si="1216"/>
        <v>725.50376208634077</v>
      </c>
      <c r="DQ258" s="226">
        <f t="shared" si="1216"/>
        <v>725.50376208634077</v>
      </c>
      <c r="DR258" s="226">
        <f t="shared" si="1216"/>
        <v>781.0422298447503</v>
      </c>
      <c r="DS258" s="226">
        <f t="shared" si="1216"/>
        <v>789.97986177311736</v>
      </c>
      <c r="DT258" s="226">
        <f t="shared" si="1216"/>
        <v>789.97986177311736</v>
      </c>
      <c r="DU258" s="226">
        <f t="shared" si="1216"/>
        <v>793.74748059376293</v>
      </c>
      <c r="DV258" s="226">
        <f t="shared" si="1216"/>
        <v>957.8785152526217</v>
      </c>
      <c r="DW258" s="226">
        <f t="shared" si="1216"/>
        <v>957.8785152526217</v>
      </c>
      <c r="DX258" s="223">
        <f>+SUBTOTAL(9,DL258:DW258)</f>
        <v>9376.2845524649347</v>
      </c>
      <c r="DY258" s="224"/>
      <c r="DZ258" s="226">
        <f>+DZ115</f>
        <v>51.708721079788774</v>
      </c>
      <c r="EA258" s="226">
        <f t="shared" ref="EA258:EK258" si="1217">+EA115</f>
        <v>52.762824004721061</v>
      </c>
      <c r="EB258" s="226">
        <f t="shared" si="1217"/>
        <v>53.251921709262049</v>
      </c>
      <c r="EC258" s="226">
        <f t="shared" si="1217"/>
        <v>53.741019413803023</v>
      </c>
      <c r="ED258" s="226">
        <f t="shared" si="1217"/>
        <v>53.741019413803023</v>
      </c>
      <c r="EE258" s="226">
        <f t="shared" si="1217"/>
        <v>53.741019413803023</v>
      </c>
      <c r="EF258" s="226">
        <f t="shared" si="1217"/>
        <v>57.85497998850002</v>
      </c>
      <c r="EG258" s="226">
        <f t="shared" si="1217"/>
        <v>58.517026798008693</v>
      </c>
      <c r="EH258" s="226">
        <f t="shared" si="1217"/>
        <v>58.517026798008693</v>
      </c>
      <c r="EI258" s="226">
        <f t="shared" si="1217"/>
        <v>58.796109673612065</v>
      </c>
      <c r="EJ258" s="226">
        <f t="shared" si="1217"/>
        <v>70.953964092786791</v>
      </c>
      <c r="EK258" s="226">
        <f t="shared" si="1217"/>
        <v>70.953964092786791</v>
      </c>
      <c r="EL258" s="223">
        <f>+SUBTOTAL(9,DZ258:EK258)</f>
        <v>694.53959647888405</v>
      </c>
      <c r="EM258" s="224"/>
      <c r="EN258" s="226">
        <f>+EN115</f>
        <v>51.708721079788774</v>
      </c>
      <c r="EO258" s="226">
        <f t="shared" ref="EO258:EY258" si="1218">+EO115</f>
        <v>52.762824004721061</v>
      </c>
      <c r="EP258" s="226">
        <f t="shared" si="1218"/>
        <v>53.251921709262049</v>
      </c>
      <c r="EQ258" s="226">
        <f t="shared" si="1218"/>
        <v>53.741019413803023</v>
      </c>
      <c r="ER258" s="226">
        <f t="shared" si="1218"/>
        <v>53.741019413803023</v>
      </c>
      <c r="ES258" s="226">
        <f t="shared" si="1218"/>
        <v>53.741019413803023</v>
      </c>
      <c r="ET258" s="226">
        <f t="shared" si="1218"/>
        <v>57.85497998850002</v>
      </c>
      <c r="EU258" s="226">
        <f t="shared" si="1218"/>
        <v>58.517026798008693</v>
      </c>
      <c r="EV258" s="226">
        <f t="shared" si="1218"/>
        <v>58.517026798008693</v>
      </c>
      <c r="EW258" s="226">
        <f t="shared" si="1218"/>
        <v>58.796109673612065</v>
      </c>
      <c r="EX258" s="226">
        <f t="shared" si="1218"/>
        <v>70.953964092786791</v>
      </c>
      <c r="EY258" s="226">
        <f t="shared" si="1218"/>
        <v>70.953964092786791</v>
      </c>
      <c r="EZ258" s="223">
        <f>+SUBTOTAL(9,EN258:EY258)</f>
        <v>694.53959647888405</v>
      </c>
      <c r="FA258" s="224"/>
      <c r="FB258" s="226">
        <f>+FB115</f>
        <v>25.854360539894387</v>
      </c>
      <c r="FC258" s="226">
        <f t="shared" ref="FC258:FM258" si="1219">+FC115</f>
        <v>26.381412002360531</v>
      </c>
      <c r="FD258" s="226">
        <f t="shared" si="1219"/>
        <v>26.625960854631025</v>
      </c>
      <c r="FE258" s="226">
        <f t="shared" si="1219"/>
        <v>26.870509706901512</v>
      </c>
      <c r="FF258" s="226">
        <f t="shared" si="1219"/>
        <v>26.870509706901512</v>
      </c>
      <c r="FG258" s="226">
        <f t="shared" si="1219"/>
        <v>26.870509706901512</v>
      </c>
      <c r="FH258" s="226">
        <f t="shared" si="1219"/>
        <v>28.92748999425001</v>
      </c>
      <c r="FI258" s="226">
        <f t="shared" si="1219"/>
        <v>29.258513399004347</v>
      </c>
      <c r="FJ258" s="226">
        <f t="shared" si="1219"/>
        <v>29.258513399004347</v>
      </c>
      <c r="FK258" s="226">
        <f t="shared" si="1219"/>
        <v>29.398054836806033</v>
      </c>
      <c r="FL258" s="226">
        <f t="shared" si="1219"/>
        <v>35.476982046393395</v>
      </c>
      <c r="FM258" s="226">
        <f t="shared" si="1219"/>
        <v>35.476982046393395</v>
      </c>
      <c r="FN258" s="223">
        <f>+SUBTOTAL(9,FB258:FM258)</f>
        <v>347.26979823944203</v>
      </c>
      <c r="FO258" s="224"/>
      <c r="FP258" s="226">
        <f>+FP115</f>
        <v>180.98052377926069</v>
      </c>
      <c r="FQ258" s="226">
        <f t="shared" ref="FQ258:GA258" si="1220">+FQ115</f>
        <v>184.66988401652372</v>
      </c>
      <c r="FR258" s="226">
        <f t="shared" si="1220"/>
        <v>186.38172598241718</v>
      </c>
      <c r="FS258" s="226">
        <f t="shared" si="1220"/>
        <v>188.09356794831058</v>
      </c>
      <c r="FT258" s="226">
        <f t="shared" si="1220"/>
        <v>188.09356794831058</v>
      </c>
      <c r="FU258" s="226">
        <f t="shared" si="1220"/>
        <v>188.09356794831058</v>
      </c>
      <c r="FV258" s="226">
        <f t="shared" si="1220"/>
        <v>202.49242995975007</v>
      </c>
      <c r="FW258" s="226">
        <f t="shared" si="1220"/>
        <v>204.80959379303042</v>
      </c>
      <c r="FX258" s="226">
        <f t="shared" si="1220"/>
        <v>204.80959379303042</v>
      </c>
      <c r="FY258" s="226">
        <f t="shared" si="1220"/>
        <v>205.78638385764222</v>
      </c>
      <c r="FZ258" s="226">
        <f t="shared" si="1220"/>
        <v>248.33887432475376</v>
      </c>
      <c r="GA258" s="226">
        <f t="shared" si="1220"/>
        <v>248.33887432475376</v>
      </c>
      <c r="GB258" s="223">
        <f>+SUBTOTAL(9,FP258:GA258)</f>
        <v>2430.8885876760942</v>
      </c>
      <c r="GC258" s="224"/>
      <c r="GD258" s="226">
        <f>+GD115</f>
        <v>25.854360539894387</v>
      </c>
      <c r="GE258" s="226">
        <f t="shared" ref="GE258:GO258" si="1221">+GE115</f>
        <v>26.381412002360531</v>
      </c>
      <c r="GF258" s="226">
        <f t="shared" si="1221"/>
        <v>26.625960854631025</v>
      </c>
      <c r="GG258" s="226">
        <f t="shared" si="1221"/>
        <v>26.870509706901512</v>
      </c>
      <c r="GH258" s="226">
        <f t="shared" si="1221"/>
        <v>26.870509706901512</v>
      </c>
      <c r="GI258" s="226">
        <f t="shared" si="1221"/>
        <v>26.870509706901512</v>
      </c>
      <c r="GJ258" s="226">
        <f t="shared" si="1221"/>
        <v>28.92748999425001</v>
      </c>
      <c r="GK258" s="226">
        <f t="shared" si="1221"/>
        <v>29.258513399004347</v>
      </c>
      <c r="GL258" s="226">
        <f t="shared" si="1221"/>
        <v>29.258513399004347</v>
      </c>
      <c r="GM258" s="226">
        <f t="shared" si="1221"/>
        <v>29.398054836806033</v>
      </c>
      <c r="GN258" s="226">
        <f t="shared" si="1221"/>
        <v>35.476982046393395</v>
      </c>
      <c r="GO258" s="226">
        <f t="shared" si="1221"/>
        <v>35.476982046393395</v>
      </c>
      <c r="GP258" s="223">
        <f>+SUBTOTAL(9,GD258:GO258)</f>
        <v>347.26979823944203</v>
      </c>
      <c r="GQ258" s="224"/>
      <c r="GR258" s="226">
        <f>+GR115</f>
        <v>0</v>
      </c>
      <c r="GS258" s="226">
        <f t="shared" ref="GS258:HC258" si="1222">+GS115</f>
        <v>0</v>
      </c>
      <c r="GT258" s="226">
        <f t="shared" si="1222"/>
        <v>0</v>
      </c>
      <c r="GU258" s="226">
        <f t="shared" si="1222"/>
        <v>0</v>
      </c>
      <c r="GV258" s="226">
        <f t="shared" si="1222"/>
        <v>0</v>
      </c>
      <c r="GW258" s="226">
        <f t="shared" si="1222"/>
        <v>0</v>
      </c>
      <c r="GX258" s="226">
        <f t="shared" si="1222"/>
        <v>0</v>
      </c>
      <c r="GY258" s="226">
        <f t="shared" si="1222"/>
        <v>0</v>
      </c>
      <c r="GZ258" s="226">
        <f t="shared" si="1222"/>
        <v>0</v>
      </c>
      <c r="HA258" s="226">
        <f t="shared" si="1222"/>
        <v>0</v>
      </c>
      <c r="HB258" s="226">
        <f t="shared" si="1222"/>
        <v>0</v>
      </c>
      <c r="HC258" s="226">
        <f t="shared" si="1222"/>
        <v>0</v>
      </c>
      <c r="HD258" s="223">
        <f>+SUBTOTAL(9,GR258:HC258)</f>
        <v>0</v>
      </c>
      <c r="HE258" s="224"/>
      <c r="HF258" s="226">
        <f>+HF115</f>
        <v>103.41744215957755</v>
      </c>
      <c r="HG258" s="226">
        <f t="shared" ref="HG258:HQ258" si="1223">+HG115</f>
        <v>105.52564800944212</v>
      </c>
      <c r="HH258" s="226">
        <f t="shared" si="1223"/>
        <v>106.5038434185241</v>
      </c>
      <c r="HI258" s="226">
        <f t="shared" si="1223"/>
        <v>107.48203882760605</v>
      </c>
      <c r="HJ258" s="226">
        <f t="shared" si="1223"/>
        <v>107.48203882760605</v>
      </c>
      <c r="HK258" s="226">
        <f t="shared" si="1223"/>
        <v>107.48203882760605</v>
      </c>
      <c r="HL258" s="226">
        <f t="shared" si="1223"/>
        <v>115.70995997700004</v>
      </c>
      <c r="HM258" s="226">
        <f t="shared" si="1223"/>
        <v>117.03405359601739</v>
      </c>
      <c r="HN258" s="226">
        <f t="shared" si="1223"/>
        <v>117.03405359601739</v>
      </c>
      <c r="HO258" s="226">
        <f t="shared" si="1223"/>
        <v>117.59221934722413</v>
      </c>
      <c r="HP258" s="226">
        <f t="shared" si="1223"/>
        <v>141.90792818557358</v>
      </c>
      <c r="HQ258" s="226">
        <f t="shared" si="1223"/>
        <v>141.90792818557358</v>
      </c>
      <c r="HR258" s="229">
        <f>+SUBTOTAL(9,HF258:HQ258)</f>
        <v>1389.0791929577681</v>
      </c>
      <c r="HS258" s="224"/>
      <c r="HT258" s="226">
        <f>+HT115</f>
        <v>25.854360539894387</v>
      </c>
      <c r="HU258" s="226">
        <f t="shared" ref="HU258:IE258" si="1224">+HU115</f>
        <v>26.381412002360531</v>
      </c>
      <c r="HV258" s="226">
        <f t="shared" si="1224"/>
        <v>26.625960854631025</v>
      </c>
      <c r="HW258" s="226">
        <f t="shared" si="1224"/>
        <v>26.870509706901512</v>
      </c>
      <c r="HX258" s="226">
        <f t="shared" si="1224"/>
        <v>26.870509706901512</v>
      </c>
      <c r="HY258" s="226">
        <f t="shared" si="1224"/>
        <v>26.870509706901512</v>
      </c>
      <c r="HZ258" s="226">
        <f t="shared" si="1224"/>
        <v>28.92748999425001</v>
      </c>
      <c r="IA258" s="226">
        <f t="shared" si="1224"/>
        <v>29.258513399004347</v>
      </c>
      <c r="IB258" s="226">
        <f t="shared" si="1224"/>
        <v>29.258513399004347</v>
      </c>
      <c r="IC258" s="226">
        <f t="shared" si="1224"/>
        <v>29.398054836806033</v>
      </c>
      <c r="ID258" s="226">
        <f t="shared" si="1224"/>
        <v>35.476982046393395</v>
      </c>
      <c r="IE258" s="226">
        <f t="shared" si="1224"/>
        <v>35.476982046393395</v>
      </c>
      <c r="IF258" s="223">
        <f>+SUBTOTAL(9,HT258:IE258)</f>
        <v>347.26979823944203</v>
      </c>
      <c r="IG258" s="224"/>
      <c r="IH258" s="226">
        <f>+IH115</f>
        <v>25.854360539894387</v>
      </c>
      <c r="II258" s="226">
        <f t="shared" ref="II258:IS258" si="1225">+II115</f>
        <v>26.381412002360531</v>
      </c>
      <c r="IJ258" s="226">
        <f t="shared" si="1225"/>
        <v>26.625960854631025</v>
      </c>
      <c r="IK258" s="226">
        <f t="shared" si="1225"/>
        <v>26.870509706901512</v>
      </c>
      <c r="IL258" s="226">
        <f t="shared" si="1225"/>
        <v>26.870509706901512</v>
      </c>
      <c r="IM258" s="226">
        <f t="shared" si="1225"/>
        <v>26.870509706901512</v>
      </c>
      <c r="IN258" s="226">
        <f t="shared" si="1225"/>
        <v>28.92748999425001</v>
      </c>
      <c r="IO258" s="226">
        <f t="shared" si="1225"/>
        <v>29.258513399004347</v>
      </c>
      <c r="IP258" s="226">
        <f t="shared" si="1225"/>
        <v>29.258513399004347</v>
      </c>
      <c r="IQ258" s="226">
        <f t="shared" si="1225"/>
        <v>29.398054836806033</v>
      </c>
      <c r="IR258" s="226">
        <f t="shared" si="1225"/>
        <v>35.476982046393395</v>
      </c>
      <c r="IS258" s="226">
        <f t="shared" si="1225"/>
        <v>35.476982046393395</v>
      </c>
      <c r="IT258" s="223">
        <f>+SUBTOTAL(9,IH258:IS258)</f>
        <v>347.26979823944203</v>
      </c>
      <c r="IU258" s="224"/>
      <c r="IV258" s="226">
        <f>+IV115</f>
        <v>180.98052377926069</v>
      </c>
      <c r="IW258" s="226">
        <f t="shared" ref="IW258:JG258" si="1226">+IW115</f>
        <v>184.66988401652372</v>
      </c>
      <c r="IX258" s="226">
        <f t="shared" si="1226"/>
        <v>186.38172598241718</v>
      </c>
      <c r="IY258" s="226">
        <f t="shared" si="1226"/>
        <v>188.09356794831058</v>
      </c>
      <c r="IZ258" s="226">
        <f t="shared" si="1226"/>
        <v>188.09356794831058</v>
      </c>
      <c r="JA258" s="226">
        <f t="shared" si="1226"/>
        <v>188.09356794831058</v>
      </c>
      <c r="JB258" s="226">
        <f t="shared" si="1226"/>
        <v>202.49242995975007</v>
      </c>
      <c r="JC258" s="226">
        <f t="shared" si="1226"/>
        <v>204.80959379303042</v>
      </c>
      <c r="JD258" s="226">
        <f t="shared" si="1226"/>
        <v>204.80959379303042</v>
      </c>
      <c r="JE258" s="226">
        <f t="shared" si="1226"/>
        <v>205.78638385764222</v>
      </c>
      <c r="JF258" s="226">
        <f t="shared" si="1226"/>
        <v>248.33887432475376</v>
      </c>
      <c r="JG258" s="226">
        <f t="shared" si="1226"/>
        <v>248.33887432475376</v>
      </c>
      <c r="JH258" s="223">
        <f>+SUBTOTAL(9,IV258:JG258)</f>
        <v>2430.8885876760942</v>
      </c>
      <c r="JI258" s="224"/>
      <c r="JJ258" s="226">
        <f>+JJ115</f>
        <v>284.39796593883824</v>
      </c>
      <c r="JK258" s="226">
        <f t="shared" ref="JK258:JU258" si="1227">+JK115</f>
        <v>290.19553202596586</v>
      </c>
      <c r="JL258" s="226">
        <f t="shared" si="1227"/>
        <v>292.88556940094128</v>
      </c>
      <c r="JM258" s="226">
        <f t="shared" si="1227"/>
        <v>295.57560677591664</v>
      </c>
      <c r="JN258" s="226">
        <f t="shared" si="1227"/>
        <v>295.57560677591664</v>
      </c>
      <c r="JO258" s="226">
        <f t="shared" si="1227"/>
        <v>295.57560677591664</v>
      </c>
      <c r="JP258" s="226">
        <f t="shared" si="1227"/>
        <v>318.20238993675014</v>
      </c>
      <c r="JQ258" s="226">
        <f t="shared" si="1227"/>
        <v>321.84364738904782</v>
      </c>
      <c r="JR258" s="226">
        <f t="shared" si="1227"/>
        <v>321.84364738904782</v>
      </c>
      <c r="JS258" s="226">
        <f t="shared" si="1227"/>
        <v>323.37860320486635</v>
      </c>
      <c r="JT258" s="226">
        <f t="shared" si="1227"/>
        <v>390.24680251032737</v>
      </c>
      <c r="JU258" s="226">
        <f t="shared" si="1227"/>
        <v>390.24680251032737</v>
      </c>
      <c r="JV258" s="223">
        <f>+SUBTOTAL(9,JJ258:JU258)</f>
        <v>3819.9677806338623</v>
      </c>
      <c r="JW258" s="224"/>
      <c r="JX258" s="226">
        <f>+JX115</f>
        <v>129.27180269947195</v>
      </c>
      <c r="JY258" s="226">
        <f t="shared" ref="JY258:KI258" si="1228">+JY115</f>
        <v>131.90706001180266</v>
      </c>
      <c r="JZ258" s="226">
        <f t="shared" si="1228"/>
        <v>133.12980427315512</v>
      </c>
      <c r="KA258" s="226">
        <f t="shared" si="1228"/>
        <v>134.35254853450755</v>
      </c>
      <c r="KB258" s="226">
        <f t="shared" si="1228"/>
        <v>134.35254853450755</v>
      </c>
      <c r="KC258" s="226">
        <f t="shared" si="1228"/>
        <v>134.35254853450755</v>
      </c>
      <c r="KD258" s="226">
        <f t="shared" si="1228"/>
        <v>144.63744997125005</v>
      </c>
      <c r="KE258" s="226">
        <f t="shared" si="1228"/>
        <v>146.29256699502173</v>
      </c>
      <c r="KF258" s="226">
        <f t="shared" si="1228"/>
        <v>146.29256699502173</v>
      </c>
      <c r="KG258" s="226">
        <f t="shared" si="1228"/>
        <v>146.99027418403017</v>
      </c>
      <c r="KH258" s="226">
        <f t="shared" si="1228"/>
        <v>177.38491023196698</v>
      </c>
      <c r="KI258" s="226">
        <f t="shared" si="1228"/>
        <v>177.38491023196698</v>
      </c>
      <c r="KJ258" s="223">
        <f>+SUBTOTAL(9,JX258:KI258)</f>
        <v>1736.3489911972101</v>
      </c>
      <c r="KK258" s="224"/>
      <c r="KL258" s="226">
        <f>+KL115</f>
        <v>0</v>
      </c>
      <c r="KM258" s="226">
        <f t="shared" ref="KM258:KW258" si="1229">+KM115</f>
        <v>0</v>
      </c>
      <c r="KN258" s="226">
        <f t="shared" si="1229"/>
        <v>0</v>
      </c>
      <c r="KO258" s="226">
        <f t="shared" si="1229"/>
        <v>0</v>
      </c>
      <c r="KP258" s="226">
        <f t="shared" si="1229"/>
        <v>0</v>
      </c>
      <c r="KQ258" s="226">
        <f t="shared" si="1229"/>
        <v>0</v>
      </c>
      <c r="KR258" s="226">
        <f t="shared" si="1229"/>
        <v>0</v>
      </c>
      <c r="KS258" s="226">
        <f t="shared" si="1229"/>
        <v>0</v>
      </c>
      <c r="KT258" s="226">
        <f t="shared" si="1229"/>
        <v>0</v>
      </c>
      <c r="KU258" s="226">
        <f t="shared" si="1229"/>
        <v>0</v>
      </c>
      <c r="KV258" s="226">
        <f t="shared" si="1229"/>
        <v>0</v>
      </c>
      <c r="KW258" s="226">
        <f t="shared" si="1229"/>
        <v>0</v>
      </c>
      <c r="KX258" s="223"/>
      <c r="KY258" s="224"/>
      <c r="KZ258" s="226">
        <f>+KZ115</f>
        <v>25.854360539894387</v>
      </c>
      <c r="LA258" s="226">
        <f t="shared" ref="LA258:LK258" si="1230">+LA115</f>
        <v>26.381412002360531</v>
      </c>
      <c r="LB258" s="226">
        <f t="shared" si="1230"/>
        <v>26.625960854631025</v>
      </c>
      <c r="LC258" s="226">
        <f t="shared" si="1230"/>
        <v>26.870509706901512</v>
      </c>
      <c r="LD258" s="226">
        <f t="shared" si="1230"/>
        <v>26.870509706901512</v>
      </c>
      <c r="LE258" s="226">
        <f t="shared" si="1230"/>
        <v>26.870509706901512</v>
      </c>
      <c r="LF258" s="226">
        <f t="shared" si="1230"/>
        <v>28.92748999425001</v>
      </c>
      <c r="LG258" s="226">
        <f t="shared" si="1230"/>
        <v>29.258513399004347</v>
      </c>
      <c r="LH258" s="226">
        <f t="shared" si="1230"/>
        <v>29.258513399004347</v>
      </c>
      <c r="LI258" s="226">
        <f t="shared" si="1230"/>
        <v>29.398054836806033</v>
      </c>
      <c r="LJ258" s="226">
        <f t="shared" si="1230"/>
        <v>35.476982046393395</v>
      </c>
      <c r="LK258" s="226">
        <f t="shared" si="1230"/>
        <v>35.476982046393395</v>
      </c>
      <c r="LL258" s="223">
        <f>+SUBTOTAL(9,KZ258:LK258)</f>
        <v>347.26979823944203</v>
      </c>
      <c r="LM258" s="224"/>
      <c r="LN258" s="226"/>
      <c r="LO258" s="227"/>
      <c r="LP258" s="227"/>
      <c r="LQ258" s="227"/>
      <c r="LR258" s="227"/>
      <c r="LS258" s="227"/>
      <c r="LT258" s="227"/>
      <c r="LU258" s="227"/>
      <c r="LV258" s="227"/>
      <c r="LW258" s="227"/>
      <c r="LX258" s="227"/>
      <c r="LY258" s="227"/>
      <c r="LZ258" s="223"/>
      <c r="MA258" s="224"/>
      <c r="MB258" s="230">
        <f t="shared" si="1206"/>
        <v>4188.4064074628905</v>
      </c>
      <c r="MC258" s="230">
        <f t="shared" si="1206"/>
        <v>4273.7887443824056</v>
      </c>
      <c r="MD258" s="230">
        <f t="shared" si="1206"/>
        <v>4313.4056584502259</v>
      </c>
      <c r="ME258" s="230">
        <f t="shared" si="1206"/>
        <v>4353.0225725180435</v>
      </c>
      <c r="MF258" s="230">
        <f t="shared" si="1206"/>
        <v>4353.0225725180435</v>
      </c>
      <c r="MG258" s="230">
        <f t="shared" si="1206"/>
        <v>4353.0225725180435</v>
      </c>
      <c r="MH258" s="230">
        <f t="shared" si="1206"/>
        <v>4686.2533790685029</v>
      </c>
      <c r="MI258" s="230">
        <f t="shared" si="1206"/>
        <v>4739.8791706387037</v>
      </c>
      <c r="MJ258" s="230">
        <f t="shared" si="1206"/>
        <v>4739.8791706387037</v>
      </c>
      <c r="MK258" s="230">
        <f t="shared" si="1206"/>
        <v>4762.484883562578</v>
      </c>
      <c r="ML258" s="230">
        <f t="shared" si="1206"/>
        <v>5747.2710915157322</v>
      </c>
      <c r="MM258" s="230">
        <f t="shared" si="1206"/>
        <v>5747.2710915157322</v>
      </c>
      <c r="MN258" s="231">
        <f t="shared" ref="MN258:MN259" si="1231">SUM(MB258:MM258)</f>
        <v>56257.707314789601</v>
      </c>
    </row>
    <row r="259" spans="1:352" ht="13.5" thickBot="1" x14ac:dyDescent="0.35">
      <c r="A259" s="262"/>
      <c r="B259" s="290" t="s">
        <v>224</v>
      </c>
      <c r="C259" s="291"/>
      <c r="D259" s="292">
        <f>SUM(D257:D258)</f>
        <v>53626.001870959175</v>
      </c>
      <c r="E259" s="292">
        <f t="shared" ref="E259:O259" si="1232">SUM(E257:E258)</f>
        <v>51555.089009619413</v>
      </c>
      <c r="F259" s="292">
        <f t="shared" si="1232"/>
        <v>51820.632450777783</v>
      </c>
      <c r="G259" s="292">
        <f t="shared" si="1232"/>
        <v>51355.994026109671</v>
      </c>
      <c r="H259" s="292">
        <f t="shared" si="1232"/>
        <v>51420.534589370458</v>
      </c>
      <c r="I259" s="292">
        <f t="shared" si="1232"/>
        <v>51437.821688504111</v>
      </c>
      <c r="J259" s="292">
        <f t="shared" si="1232"/>
        <v>52146.270923508731</v>
      </c>
      <c r="K259" s="292">
        <f t="shared" si="1232"/>
        <v>52836.384022433915</v>
      </c>
      <c r="L259" s="292">
        <f t="shared" si="1232"/>
        <v>54917.322209028855</v>
      </c>
      <c r="M259" s="292">
        <f t="shared" si="1232"/>
        <v>52635.852239518972</v>
      </c>
      <c r="N259" s="292">
        <f t="shared" si="1232"/>
        <v>50569.017843425587</v>
      </c>
      <c r="O259" s="292">
        <f t="shared" si="1232"/>
        <v>49491.1896697661</v>
      </c>
      <c r="P259" s="293">
        <f t="shared" si="1208"/>
        <v>623812.11054302275</v>
      </c>
      <c r="Q259" s="241"/>
      <c r="R259" s="292">
        <f>SUM(R257:R258)</f>
        <v>4696.1253044905998</v>
      </c>
      <c r="S259" s="292">
        <f t="shared" ref="S259:AC259" si="1233">SUM(S257:S258)</f>
        <v>4488.5495254354655</v>
      </c>
      <c r="T259" s="292">
        <f t="shared" si="1233"/>
        <v>4514.9717406593363</v>
      </c>
      <c r="U259" s="292">
        <f t="shared" si="1233"/>
        <v>4467.9534926585957</v>
      </c>
      <c r="V259" s="292">
        <f t="shared" si="1233"/>
        <v>4474.630102651091</v>
      </c>
      <c r="W259" s="292">
        <f t="shared" si="1233"/>
        <v>4476.4184232511252</v>
      </c>
      <c r="X259" s="292">
        <f t="shared" si="1233"/>
        <v>4547.3657866697995</v>
      </c>
      <c r="Y259" s="292">
        <f t="shared" si="1233"/>
        <v>4614.4423430722036</v>
      </c>
      <c r="Z259" s="292">
        <f t="shared" si="1233"/>
        <v>4830.3281611983111</v>
      </c>
      <c r="AA259" s="292">
        <f t="shared" si="1233"/>
        <v>4594.3140264214262</v>
      </c>
      <c r="AB259" s="292">
        <f t="shared" si="1233"/>
        <v>4383.1538790066179</v>
      </c>
      <c r="AC259" s="292">
        <f t="shared" si="1233"/>
        <v>4271.5927777112493</v>
      </c>
      <c r="AD259" s="293">
        <f>+SUBTOTAL(9,R259:AC259)</f>
        <v>54359.845563225819</v>
      </c>
      <c r="AE259" s="241"/>
      <c r="AF259" s="292">
        <f>SUM(AF257:AF258)</f>
        <v>4717.3717296574259</v>
      </c>
      <c r="AG259" s="292">
        <f t="shared" ref="AG259:AQ259" si="1234">SUM(AG257:AG258)</f>
        <v>4509.7959506022917</v>
      </c>
      <c r="AH259" s="292">
        <f t="shared" si="1234"/>
        <v>4536.2181658261625</v>
      </c>
      <c r="AI259" s="292">
        <f t="shared" si="1234"/>
        <v>4489.1999178254218</v>
      </c>
      <c r="AJ259" s="292">
        <f t="shared" si="1234"/>
        <v>4495.8765278179171</v>
      </c>
      <c r="AK259" s="292">
        <f t="shared" si="1234"/>
        <v>4497.6648484179514</v>
      </c>
      <c r="AL259" s="292">
        <f t="shared" si="1234"/>
        <v>4568.6122118366256</v>
      </c>
      <c r="AM259" s="292">
        <f t="shared" si="1234"/>
        <v>4635.6887682390297</v>
      </c>
      <c r="AN259" s="292">
        <f t="shared" si="1234"/>
        <v>4851.5745863651373</v>
      </c>
      <c r="AO259" s="292">
        <f t="shared" si="1234"/>
        <v>4615.5604515882524</v>
      </c>
      <c r="AP259" s="292">
        <f t="shared" si="1234"/>
        <v>4404.4003041734441</v>
      </c>
      <c r="AQ259" s="292">
        <f t="shared" si="1234"/>
        <v>4292.8392028780754</v>
      </c>
      <c r="AR259" s="293">
        <f>+SUBTOTAL(9,AF259:AQ259)</f>
        <v>54614.802665227733</v>
      </c>
      <c r="AS259" s="242"/>
      <c r="AT259" s="292">
        <f>SUM(AT257:AT258)</f>
        <v>11130.607209666754</v>
      </c>
      <c r="AU259" s="292">
        <f t="shared" ref="AU259:BE259" si="1235">SUM(AU257:AU258)</f>
        <v>10992.223356963332</v>
      </c>
      <c r="AV259" s="292">
        <f t="shared" si="1235"/>
        <v>11009.838167112577</v>
      </c>
      <c r="AW259" s="292">
        <f t="shared" si="1235"/>
        <v>10978.492668445419</v>
      </c>
      <c r="AX259" s="292">
        <f t="shared" si="1235"/>
        <v>10982.943741773748</v>
      </c>
      <c r="AY259" s="292">
        <f t="shared" si="1235"/>
        <v>10984.135955507105</v>
      </c>
      <c r="AZ259" s="292">
        <f t="shared" si="1235"/>
        <v>11039.366355396647</v>
      </c>
      <c r="BA259" s="292">
        <f t="shared" si="1235"/>
        <v>11084.084059664916</v>
      </c>
      <c r="BB259" s="292">
        <f t="shared" si="1235"/>
        <v>11228.007938415652</v>
      </c>
      <c r="BC259" s="292">
        <f t="shared" si="1235"/>
        <v>11070.665181897728</v>
      </c>
      <c r="BD259" s="292">
        <f t="shared" si="1235"/>
        <v>10929.891750287858</v>
      </c>
      <c r="BE259" s="292">
        <f t="shared" si="1235"/>
        <v>10855.517682757609</v>
      </c>
      <c r="BF259" s="293">
        <f>+SUBTOTAL(9,AT259:BE259)</f>
        <v>132285.77406788938</v>
      </c>
      <c r="BG259" s="241"/>
      <c r="BH259" s="292">
        <f>SUM(BH257:BH258)</f>
        <v>62056.865797953476</v>
      </c>
      <c r="BI259" s="292">
        <f t="shared" ref="BI259:BS259" si="1236">SUM(BI257:BI258)</f>
        <v>61015.054586185899</v>
      </c>
      <c r="BJ259" s="292">
        <f t="shared" si="1236"/>
        <v>61147.165662305255</v>
      </c>
      <c r="BK259" s="292">
        <f t="shared" si="1236"/>
        <v>60912.07442230155</v>
      </c>
      <c r="BL259" s="292">
        <f t="shared" si="1236"/>
        <v>60945.457472264025</v>
      </c>
      <c r="BM259" s="292">
        <f t="shared" si="1236"/>
        <v>60954.399075264198</v>
      </c>
      <c r="BN259" s="292">
        <f t="shared" si="1236"/>
        <v>61328.094424292751</v>
      </c>
      <c r="BO259" s="292">
        <f t="shared" si="1236"/>
        <v>61663.477206304771</v>
      </c>
      <c r="BP259" s="292">
        <f t="shared" si="1236"/>
        <v>62742.906296935304</v>
      </c>
      <c r="BQ259" s="292">
        <f t="shared" si="1236"/>
        <v>61546.153068236759</v>
      </c>
      <c r="BR259" s="292">
        <f t="shared" si="1236"/>
        <v>60507.034885976842</v>
      </c>
      <c r="BS259" s="292">
        <f t="shared" si="1236"/>
        <v>59949.229379499993</v>
      </c>
      <c r="BT259" s="293"/>
      <c r="BU259" s="242"/>
      <c r="BV259" s="292">
        <f>SUM(BV257:BV258)</f>
        <v>10843.044310267125</v>
      </c>
      <c r="BW259" s="292">
        <f t="shared" ref="BW259:CG259" si="1237">SUM(BW257:BW258)</f>
        <v>10755.978218043156</v>
      </c>
      <c r="BX259" s="292">
        <f t="shared" si="1237"/>
        <v>10764.785623117779</v>
      </c>
      <c r="BY259" s="292">
        <f t="shared" si="1237"/>
        <v>10749.112873784199</v>
      </c>
      <c r="BZ259" s="292">
        <f t="shared" si="1237"/>
        <v>10751.338410448365</v>
      </c>
      <c r="CA259" s="292">
        <f t="shared" si="1237"/>
        <v>10751.93451731504</v>
      </c>
      <c r="CB259" s="292">
        <f t="shared" si="1237"/>
        <v>10783.082844047227</v>
      </c>
      <c r="CC259" s="292">
        <f t="shared" si="1237"/>
        <v>10823.315862053623</v>
      </c>
      <c r="CD259" s="292">
        <f t="shared" si="1237"/>
        <v>10877.403635556731</v>
      </c>
      <c r="CE259" s="292">
        <f t="shared" si="1237"/>
        <v>10798.732257297768</v>
      </c>
      <c r="CF259" s="292">
        <f t="shared" si="1237"/>
        <v>10728.345541492832</v>
      </c>
      <c r="CG259" s="292">
        <f t="shared" si="1237"/>
        <v>10691.15850772771</v>
      </c>
      <c r="CH259" s="293">
        <f>+SUBTOTAL(9,BV259:CG259)</f>
        <v>129318.23260115157</v>
      </c>
      <c r="CI259" s="241"/>
      <c r="CJ259" s="292">
        <f>SUM(CJ257:CJ258)</f>
        <v>29680.72049206134</v>
      </c>
      <c r="CK259" s="292">
        <f t="shared" ref="CK259:CU259" si="1238">SUM(CK257:CK258)</f>
        <v>28919.609302192515</v>
      </c>
      <c r="CL259" s="292">
        <f t="shared" si="1238"/>
        <v>29016.490758013373</v>
      </c>
      <c r="CM259" s="292">
        <f t="shared" si="1238"/>
        <v>28844.090515343996</v>
      </c>
      <c r="CN259" s="292">
        <f t="shared" si="1238"/>
        <v>28868.571418649812</v>
      </c>
      <c r="CO259" s="292">
        <f t="shared" si="1238"/>
        <v>28875.128594183268</v>
      </c>
      <c r="CP259" s="292">
        <f t="shared" si="1238"/>
        <v>29144.035212069535</v>
      </c>
      <c r="CQ259" s="292">
        <f t="shared" si="1238"/>
        <v>29389.982585545018</v>
      </c>
      <c r="CR259" s="292">
        <f t="shared" si="1238"/>
        <v>30181.56391867407</v>
      </c>
      <c r="CS259" s="292">
        <f t="shared" si="1238"/>
        <v>29316.178757825499</v>
      </c>
      <c r="CT259" s="292">
        <f t="shared" si="1238"/>
        <v>28541.924883971202</v>
      </c>
      <c r="CU259" s="292">
        <f t="shared" si="1238"/>
        <v>28132.867512554847</v>
      </c>
      <c r="CV259" s="293">
        <f>+SUBTOTAL(9,CJ259:CU259)</f>
        <v>348911.16395108454</v>
      </c>
      <c r="CW259" s="241"/>
      <c r="CX259" s="292">
        <f>SUM(CX257:CX258)</f>
        <v>67018.801221321221</v>
      </c>
      <c r="CY259" s="292">
        <f t="shared" ref="CY259:DI259" si="1239">SUM(CY257:CY258)</f>
        <v>64990.269037524791</v>
      </c>
      <c r="CZ259" s="292">
        <f t="shared" si="1239"/>
        <v>65247.005073608532</v>
      </c>
      <c r="DA259" s="292">
        <f t="shared" si="1239"/>
        <v>64798.039398273999</v>
      </c>
      <c r="DB259" s="292">
        <f t="shared" si="1239"/>
        <v>64860.354424870617</v>
      </c>
      <c r="DC259" s="292">
        <f t="shared" si="1239"/>
        <v>64877.045417137604</v>
      </c>
      <c r="DD259" s="292">
        <f t="shared" si="1239"/>
        <v>65575.664247240347</v>
      </c>
      <c r="DE259" s="292">
        <f t="shared" si="1239"/>
        <v>66270.229742839772</v>
      </c>
      <c r="DF259" s="292">
        <f t="shared" si="1239"/>
        <v>68252.394741250944</v>
      </c>
      <c r="DG259" s="292">
        <f t="shared" si="1239"/>
        <v>66057.937427407087</v>
      </c>
      <c r="DH259" s="292">
        <f t="shared" si="1239"/>
        <v>64053.148469711588</v>
      </c>
      <c r="DI259" s="292">
        <f t="shared" si="1239"/>
        <v>63012.507329817228</v>
      </c>
      <c r="DJ259" s="293">
        <f>+SUBTOTAL(9,CX259:DI259)</f>
        <v>785013.39653100376</v>
      </c>
      <c r="DK259" s="241"/>
      <c r="DL259" s="292">
        <f>SUM(DL257:DL258)</f>
        <v>47751.614925604976</v>
      </c>
      <c r="DM259" s="292">
        <f t="shared" ref="DM259:DW259" si="1240">SUM(DM257:DM258)</f>
        <v>44001.144536866559</v>
      </c>
      <c r="DN259" s="292">
        <f t="shared" si="1240"/>
        <v>43995.507330103763</v>
      </c>
      <c r="DO259" s="292">
        <f t="shared" si="1240"/>
        <v>42053.425799911238</v>
      </c>
      <c r="DP259" s="292">
        <f t="shared" si="1240"/>
        <v>42115.740826507863</v>
      </c>
      <c r="DQ259" s="292">
        <f t="shared" si="1240"/>
        <v>42132.431818774843</v>
      </c>
      <c r="DR259" s="292">
        <f t="shared" si="1240"/>
        <v>46341.963449333802</v>
      </c>
      <c r="DS259" s="292">
        <f t="shared" si="1240"/>
        <v>43421.917368620947</v>
      </c>
      <c r="DT259" s="292">
        <f t="shared" si="1240"/>
        <v>45427.914588195148</v>
      </c>
      <c r="DU259" s="292">
        <f t="shared" si="1240"/>
        <v>43208.293900692304</v>
      </c>
      <c r="DV259" s="292">
        <f t="shared" si="1240"/>
        <v>41248.069485758628</v>
      </c>
      <c r="DW259" s="292">
        <f t="shared" si="1240"/>
        <v>40206.832540335185</v>
      </c>
      <c r="DX259" s="293">
        <f>+SUBTOTAL(9,DL259:DW259)</f>
        <v>521904.85657070525</v>
      </c>
      <c r="DY259" s="241"/>
      <c r="DZ259" s="292">
        <f>SUM(DZ257:DZ258)</f>
        <v>5148.1884706163601</v>
      </c>
      <c r="EA259" s="292">
        <f t="shared" ref="EA259:EK259" si="1241">SUM(EA257:EA258)</f>
        <v>5079.5235957271143</v>
      </c>
      <c r="EB259" s="292">
        <f t="shared" si="1241"/>
        <v>5088.5755496540087</v>
      </c>
      <c r="EC259" s="292">
        <f t="shared" si="1241"/>
        <v>8272.1473491726993</v>
      </c>
      <c r="ED259" s="292">
        <f t="shared" si="1241"/>
        <v>5075.372885836864</v>
      </c>
      <c r="EE259" s="292">
        <f t="shared" si="1241"/>
        <v>5075.9689927035424</v>
      </c>
      <c r="EF259" s="292">
        <f t="shared" si="1241"/>
        <v>5105.6709632121156</v>
      </c>
      <c r="EG259" s="292">
        <f t="shared" si="1241"/>
        <v>5128.3608387510039</v>
      </c>
      <c r="EH259" s="292">
        <f t="shared" si="1241"/>
        <v>5200.3227781263713</v>
      </c>
      <c r="EI259" s="292">
        <f t="shared" si="1241"/>
        <v>5121.7909413052112</v>
      </c>
      <c r="EJ259" s="292">
        <f t="shared" si="1241"/>
        <v>5057.483152709864</v>
      </c>
      <c r="EK259" s="292">
        <f t="shared" si="1241"/>
        <v>5020.2961189447406</v>
      </c>
      <c r="EL259" s="293">
        <f>+SUBTOTAL(9,DZ259:EK259)</f>
        <v>64373.701636759892</v>
      </c>
      <c r="EM259" s="241"/>
      <c r="EN259" s="292">
        <f>SUM(EN257:EN258)</f>
        <v>7601.4961515161358</v>
      </c>
      <c r="EO259" s="292">
        <f t="shared" ref="EO259:EY259" si="1242">SUM(EO257:EO258)</f>
        <v>7463.1122988127127</v>
      </c>
      <c r="EP259" s="292">
        <f t="shared" si="1242"/>
        <v>7480.7271089619599</v>
      </c>
      <c r="EQ259" s="292">
        <f t="shared" si="1242"/>
        <v>7449.3816102947994</v>
      </c>
      <c r="ER259" s="292">
        <f t="shared" si="1242"/>
        <v>7453.8326836231299</v>
      </c>
      <c r="ES259" s="292">
        <f t="shared" si="1242"/>
        <v>7455.0248973564858</v>
      </c>
      <c r="ET259" s="292">
        <f t="shared" si="1242"/>
        <v>7510.2552972460244</v>
      </c>
      <c r="EU259" s="292">
        <f t="shared" si="1242"/>
        <v>7554.9730015142932</v>
      </c>
      <c r="EV259" s="292">
        <f t="shared" si="1242"/>
        <v>7698.8968802650315</v>
      </c>
      <c r="EW259" s="292">
        <f t="shared" si="1242"/>
        <v>7541.5541237471089</v>
      </c>
      <c r="EX259" s="292">
        <f t="shared" si="1242"/>
        <v>7400.7806921372367</v>
      </c>
      <c r="EY259" s="292">
        <f t="shared" si="1242"/>
        <v>7326.4066246069906</v>
      </c>
      <c r="EZ259" s="293">
        <f>+SUBTOTAL(9,EN259:EY259)</f>
        <v>89936.441370081899</v>
      </c>
      <c r="FA259" s="241"/>
      <c r="FB259" s="292">
        <f>SUM(FB257:FB258)</f>
        <v>1683.1658545950552</v>
      </c>
      <c r="FC259" s="292">
        <f t="shared" ref="FC259:FM259" si="1243">SUM(FC257:FC258)</f>
        <v>1613.9739282433438</v>
      </c>
      <c r="FD259" s="292">
        <f t="shared" si="1243"/>
        <v>1622.7813333179674</v>
      </c>
      <c r="FE259" s="292">
        <f t="shared" si="1243"/>
        <v>1607.108583984387</v>
      </c>
      <c r="FF259" s="292">
        <f t="shared" si="1243"/>
        <v>1609.3341206485522</v>
      </c>
      <c r="FG259" s="292">
        <f t="shared" si="1243"/>
        <v>1609.9302275152302</v>
      </c>
      <c r="FH259" s="292">
        <f t="shared" si="1243"/>
        <v>1634.0123006725833</v>
      </c>
      <c r="FI259" s="292">
        <f t="shared" si="1243"/>
        <v>1656.3711528067181</v>
      </c>
      <c r="FJ259" s="292">
        <f t="shared" si="1243"/>
        <v>1728.3330921820868</v>
      </c>
      <c r="FK259" s="292">
        <f t="shared" si="1243"/>
        <v>1649.6617139231255</v>
      </c>
      <c r="FL259" s="292">
        <f t="shared" si="1243"/>
        <v>1579.2749981181894</v>
      </c>
      <c r="FM259" s="292">
        <f t="shared" si="1243"/>
        <v>1542.0879643530666</v>
      </c>
      <c r="FN259" s="293">
        <f>+SUBTOTAL(9,FB259:FM259)</f>
        <v>19536.035270360302</v>
      </c>
      <c r="FO259" s="241"/>
      <c r="FP259" s="292">
        <f>SUM(FP257:FP258)</f>
        <v>23059.87785537797</v>
      </c>
      <c r="FQ259" s="292">
        <f t="shared" ref="FQ259:GA259" si="1244">SUM(FQ257:FQ258)</f>
        <v>22513.153532021803</v>
      </c>
      <c r="FR259" s="292">
        <f t="shared" si="1244"/>
        <v>22584.934061538454</v>
      </c>
      <c r="FS259" s="292">
        <f t="shared" si="1244"/>
        <v>22465.09612220911</v>
      </c>
      <c r="FT259" s="292">
        <f t="shared" si="1244"/>
        <v>22480.674878858266</v>
      </c>
      <c r="FU259" s="292">
        <f t="shared" si="1244"/>
        <v>22484.84762692501</v>
      </c>
      <c r="FV259" s="292">
        <f t="shared" si="1244"/>
        <v>22673.751023678531</v>
      </c>
      <c r="FW259" s="292">
        <f t="shared" si="1244"/>
        <v>22871.969375652741</v>
      </c>
      <c r="FX259" s="292">
        <f t="shared" si="1244"/>
        <v>23369.74489598957</v>
      </c>
      <c r="FY259" s="292">
        <f t="shared" si="1244"/>
        <v>22827.386525583894</v>
      </c>
      <c r="FZ259" s="292">
        <f t="shared" si="1244"/>
        <v>22300.718599792053</v>
      </c>
      <c r="GA259" s="292">
        <f t="shared" si="1244"/>
        <v>22041.005168965272</v>
      </c>
      <c r="GB259" s="293">
        <f>+SUBTOTAL(9,FP259:GA259)</f>
        <v>271673.1596665926</v>
      </c>
      <c r="GC259" s="241"/>
      <c r="GD259" s="292">
        <f>SUM(GD257:GD258)</f>
        <v>10480.830296921084</v>
      </c>
      <c r="GE259" s="292">
        <f t="shared" ref="GE259:GO259" si="1245">SUM(GE257:GE258)</f>
        <v>10474.019209463557</v>
      </c>
      <c r="GF259" s="292">
        <f t="shared" si="1245"/>
        <v>10472.697920543902</v>
      </c>
      <c r="GG259" s="292">
        <f t="shared" si="1245"/>
        <v>10467.153865204598</v>
      </c>
      <c r="GH259" s="292">
        <f t="shared" si="1245"/>
        <v>10469.379401868764</v>
      </c>
      <c r="GI259" s="292">
        <f t="shared" si="1245"/>
        <v>10469.975508735442</v>
      </c>
      <c r="GJ259" s="292">
        <f t="shared" si="1245"/>
        <v>10490.244426506713</v>
      </c>
      <c r="GK259" s="292">
        <f t="shared" si="1245"/>
        <v>10470.896891605578</v>
      </c>
      <c r="GL259" s="292">
        <f t="shared" si="1245"/>
        <v>10548.816886271701</v>
      </c>
      <c r="GM259" s="292">
        <f t="shared" si="1245"/>
        <v>10461.804230605681</v>
      </c>
      <c r="GN259" s="292">
        <f t="shared" si="1245"/>
        <v>10425.378429958038</v>
      </c>
      <c r="GO259" s="292">
        <f t="shared" si="1245"/>
        <v>10387.595590663839</v>
      </c>
      <c r="GP259" s="293">
        <f>+SUBTOTAL(9,GD259:GO259)</f>
        <v>125618.79265834889</v>
      </c>
      <c r="GQ259" s="241"/>
      <c r="GR259" s="292">
        <f>SUM(GR257:GR258)</f>
        <v>-5959.7658686014556</v>
      </c>
      <c r="GS259" s="292">
        <f t="shared" ref="GS259:HC259" si="1246">SUM(GS257:GS258)</f>
        <v>-7113.6708972001206</v>
      </c>
      <c r="GT259" s="292">
        <f t="shared" si="1246"/>
        <v>21737.156430363517</v>
      </c>
      <c r="GU259" s="292">
        <f t="shared" si="1246"/>
        <v>21659.99901854273</v>
      </c>
      <c r="GV259" s="292">
        <f t="shared" si="1246"/>
        <v>21582.303594329198</v>
      </c>
      <c r="GW259" s="292">
        <f t="shared" si="1246"/>
        <v>21504.066463728625</v>
      </c>
      <c r="GX259" s="292">
        <f t="shared" si="1246"/>
        <v>21425.283932746737</v>
      </c>
      <c r="GY259" s="292">
        <f t="shared" si="1246"/>
        <v>21345.952188228148</v>
      </c>
      <c r="GZ259" s="292">
        <f t="shared" si="1246"/>
        <v>21266.067417017475</v>
      </c>
      <c r="HA259" s="292">
        <f t="shared" si="1246"/>
        <v>21185.625567637107</v>
      </c>
      <c r="HB259" s="292">
        <f t="shared" si="1246"/>
        <v>21104.623065253887</v>
      </c>
      <c r="HC259" s="292">
        <f t="shared" si="1246"/>
        <v>21023.055739229101</v>
      </c>
      <c r="HD259" s="293">
        <f>+SUBTOTAL(9,GR259:HC259)</f>
        <v>200760.69665127495</v>
      </c>
      <c r="HE259" s="241"/>
      <c r="HF259" s="292">
        <f>SUM(HF257:HF258)</f>
        <v>10562.441778723405</v>
      </c>
      <c r="HG259" s="292">
        <f t="shared" ref="HG259:HQ259" si="1247">SUM(HG257:HG258)</f>
        <v>10285.674073316559</v>
      </c>
      <c r="HH259" s="292">
        <f t="shared" si="1247"/>
        <v>10320.903693615053</v>
      </c>
      <c r="HI259" s="292">
        <f t="shared" si="1247"/>
        <v>10258.212696280732</v>
      </c>
      <c r="HJ259" s="292">
        <f t="shared" si="1247"/>
        <v>10267.114842937393</v>
      </c>
      <c r="HK259" s="292">
        <f t="shared" si="1247"/>
        <v>10269.499270404105</v>
      </c>
      <c r="HL259" s="292">
        <f t="shared" si="1247"/>
        <v>10371.594960554967</v>
      </c>
      <c r="HM259" s="292">
        <f t="shared" si="1247"/>
        <v>10461.030369091504</v>
      </c>
      <c r="HN259" s="292">
        <f t="shared" si="1247"/>
        <v>10748.878126592981</v>
      </c>
      <c r="HO259" s="292">
        <f t="shared" si="1247"/>
        <v>10434.192613557134</v>
      </c>
      <c r="HP259" s="292">
        <f t="shared" si="1247"/>
        <v>10152.645750337391</v>
      </c>
      <c r="HQ259" s="292">
        <f t="shared" si="1247"/>
        <v>10003.897615276897</v>
      </c>
      <c r="HR259" s="294">
        <f>+SUBTOTAL(9,HF259:HQ259)</f>
        <v>124136.08579068813</v>
      </c>
      <c r="HS259" s="241"/>
      <c r="HT259" s="292">
        <f>SUM(HT257:HT258)</f>
        <v>2724.324100543578</v>
      </c>
      <c r="HU259" s="292">
        <f t="shared" ref="HU259:IE259" si="1248">SUM(HU257:HU258)</f>
        <v>2655.1321741918664</v>
      </c>
      <c r="HV259" s="292">
        <f t="shared" si="1248"/>
        <v>2663.93957926649</v>
      </c>
      <c r="HW259" s="292">
        <f t="shared" si="1248"/>
        <v>2648.2668299329098</v>
      </c>
      <c r="HX259" s="292">
        <f t="shared" si="1248"/>
        <v>2650.492366597075</v>
      </c>
      <c r="HY259" s="292">
        <f t="shared" si="1248"/>
        <v>2651.0884734637525</v>
      </c>
      <c r="HZ259" s="292">
        <f t="shared" si="1248"/>
        <v>2675.5756943808769</v>
      </c>
      <c r="IA259" s="292">
        <f t="shared" si="1248"/>
        <v>2697.9345465150113</v>
      </c>
      <c r="IB259" s="292">
        <f t="shared" si="1248"/>
        <v>2769.8964858903805</v>
      </c>
      <c r="IC259" s="292">
        <f t="shared" si="1248"/>
        <v>2691.2251076314187</v>
      </c>
      <c r="ID259" s="292">
        <f t="shared" si="1248"/>
        <v>2620.8383918264831</v>
      </c>
      <c r="IE259" s="292">
        <f t="shared" si="1248"/>
        <v>2583.65135806136</v>
      </c>
      <c r="IF259" s="293">
        <f>+SUBTOTAL(9,HT259:IE259)</f>
        <v>32032.365108301205</v>
      </c>
      <c r="IG259" s="241"/>
      <c r="IH259" s="292">
        <f>SUM(IH257:IH258)</f>
        <v>7771.8574656532055</v>
      </c>
      <c r="II259" s="292">
        <f t="shared" ref="II259:IS259" si="1249">SUM(II257:II258)</f>
        <v>7702.6655393014944</v>
      </c>
      <c r="IJ259" s="292">
        <f t="shared" si="1249"/>
        <v>7711.4729443761171</v>
      </c>
      <c r="IK259" s="292">
        <f t="shared" si="1249"/>
        <v>7695.8001950425378</v>
      </c>
      <c r="IL259" s="292">
        <f t="shared" si="1249"/>
        <v>7698.0257317067017</v>
      </c>
      <c r="IM259" s="292">
        <f t="shared" si="1249"/>
        <v>7698.62183857338</v>
      </c>
      <c r="IN259" s="292">
        <f t="shared" si="1249"/>
        <v>7729.7701653055674</v>
      </c>
      <c r="IO259" s="292">
        <f t="shared" si="1249"/>
        <v>7752.1290174397027</v>
      </c>
      <c r="IP259" s="292">
        <f t="shared" si="1249"/>
        <v>7824.0909568150701</v>
      </c>
      <c r="IQ259" s="292">
        <f t="shared" si="1249"/>
        <v>7745.4195785561087</v>
      </c>
      <c r="IR259" s="292">
        <f t="shared" si="1249"/>
        <v>7675.0328627511735</v>
      </c>
      <c r="IS259" s="292">
        <f t="shared" si="1249"/>
        <v>7637.84582898605</v>
      </c>
      <c r="IT259" s="293">
        <f>+SUBTOTAL(9,IH259:IS259)</f>
        <v>92642.732124507107</v>
      </c>
      <c r="IU259" s="241"/>
      <c r="IV259" s="292">
        <f>SUM(IV257:IV258)</f>
        <v>24873.474137551468</v>
      </c>
      <c r="IW259" s="292">
        <f t="shared" ref="IW259:JG259" si="1250">SUM(IW257:IW258)</f>
        <v>24389.130653089491</v>
      </c>
      <c r="IX259" s="292">
        <f t="shared" si="1250"/>
        <v>24450.782488611858</v>
      </c>
      <c r="IY259" s="292">
        <f t="shared" si="1250"/>
        <v>24341.073243276798</v>
      </c>
      <c r="IZ259" s="292">
        <f t="shared" si="1250"/>
        <v>24356.651999925954</v>
      </c>
      <c r="JA259" s="292">
        <f t="shared" si="1250"/>
        <v>24360.824747992698</v>
      </c>
      <c r="JB259" s="292">
        <f t="shared" si="1250"/>
        <v>24543.936915003604</v>
      </c>
      <c r="JC259" s="292">
        <f t="shared" si="1250"/>
        <v>24700.448879942542</v>
      </c>
      <c r="JD259" s="292">
        <f t="shared" si="1250"/>
        <v>25204.182455570124</v>
      </c>
      <c r="JE259" s="292">
        <f t="shared" si="1250"/>
        <v>24653.482807757395</v>
      </c>
      <c r="JF259" s="292">
        <f t="shared" si="1250"/>
        <v>24160.775797122842</v>
      </c>
      <c r="JG259" s="292">
        <f t="shared" si="1250"/>
        <v>23900.466560766985</v>
      </c>
      <c r="JH259" s="293">
        <f>+SUBTOTAL(9,IV259:JG259)</f>
        <v>293935.23068661173</v>
      </c>
      <c r="JI259" s="241"/>
      <c r="JJ259" s="292">
        <f>SUM(JJ257:JJ258)</f>
        <v>34550.787222280589</v>
      </c>
      <c r="JK259" s="292">
        <f t="shared" ref="JK259:JU259" si="1251">SUM(JK257:JK258)</f>
        <v>33648.112638703475</v>
      </c>
      <c r="JL259" s="292">
        <f t="shared" si="1251"/>
        <v>33765.251482512896</v>
      </c>
      <c r="JM259" s="292">
        <f t="shared" si="1251"/>
        <v>33572.593851854952</v>
      </c>
      <c r="JN259" s="292">
        <f t="shared" si="1251"/>
        <v>33597.074755160764</v>
      </c>
      <c r="JO259" s="292">
        <f t="shared" si="1251"/>
        <v>33603.631930694224</v>
      </c>
      <c r="JP259" s="292">
        <f t="shared" si="1251"/>
        <v>33875.446079562382</v>
      </c>
      <c r="JQ259" s="292">
        <f t="shared" si="1251"/>
        <v>34213.743310044541</v>
      </c>
      <c r="JR259" s="292">
        <f t="shared" si="1251"/>
        <v>34984.471449655961</v>
      </c>
      <c r="JS259" s="292">
        <f t="shared" si="1251"/>
        <v>34102.403733993269</v>
      </c>
      <c r="JT259" s="292">
        <f t="shared" si="1251"/>
        <v>33293.593139452612</v>
      </c>
      <c r="JU259" s="292">
        <f t="shared" si="1251"/>
        <v>32885.727379094409</v>
      </c>
      <c r="JV259" s="293">
        <f>+SUBTOTAL(9,JJ259:JU259)</f>
        <v>406092.83697301004</v>
      </c>
      <c r="JW259" s="241"/>
      <c r="JX259" s="292">
        <f>SUM(JX257:JX258)</f>
        <v>18042.807347331804</v>
      </c>
      <c r="JY259" s="292">
        <f t="shared" ref="JY259:KI259" si="1252">SUM(JY257:JY258)</f>
        <v>17694.881557327295</v>
      </c>
      <c r="JZ259" s="292">
        <f t="shared" si="1252"/>
        <v>17738.918582700415</v>
      </c>
      <c r="KA259" s="292">
        <f t="shared" si="1252"/>
        <v>17660.554836032516</v>
      </c>
      <c r="KB259" s="292">
        <f t="shared" si="1252"/>
        <v>17671.68251935334</v>
      </c>
      <c r="KC259" s="292">
        <f t="shared" si="1252"/>
        <v>17674.663053686727</v>
      </c>
      <c r="KD259" s="292">
        <f t="shared" si="1252"/>
        <v>17801.126803648898</v>
      </c>
      <c r="KE259" s="292">
        <f t="shared" si="1252"/>
        <v>17912.921064319569</v>
      </c>
      <c r="KF259" s="292">
        <f t="shared" si="1252"/>
        <v>18272.730761196413</v>
      </c>
      <c r="KG259" s="292">
        <f t="shared" si="1252"/>
        <v>17871.032592494554</v>
      </c>
      <c r="KH259" s="292">
        <f t="shared" si="1252"/>
        <v>17527.440290876926</v>
      </c>
      <c r="KI259" s="292">
        <f t="shared" si="1252"/>
        <v>17341.505122051316</v>
      </c>
      <c r="KJ259" s="293">
        <f>+SUBTOTAL(9,JX259:KI259)</f>
        <v>213210.26453101978</v>
      </c>
      <c r="KK259" s="241"/>
      <c r="KL259" s="292">
        <f>SUM(KL257:KL258)</f>
        <v>3431.4723684725714</v>
      </c>
      <c r="KM259" s="292">
        <f t="shared" ref="KM259:KW259" si="1253">SUM(KM257:KM258)</f>
        <v>3292.0344128442166</v>
      </c>
      <c r="KN259" s="292">
        <f t="shared" si="1253"/>
        <v>3309.1601252889227</v>
      </c>
      <c r="KO259" s="292">
        <f t="shared" si="1253"/>
        <v>3277.3255289172212</v>
      </c>
      <c r="KP259" s="292">
        <f t="shared" si="1253"/>
        <v>3281.7766022455521</v>
      </c>
      <c r="KQ259" s="292">
        <f t="shared" si="1253"/>
        <v>3282.9688159789075</v>
      </c>
      <c r="KR259" s="292">
        <f t="shared" si="1253"/>
        <v>3326.1610417570482</v>
      </c>
      <c r="KS259" s="292">
        <f t="shared" si="1253"/>
        <v>3370.2166992158086</v>
      </c>
      <c r="KT259" s="292">
        <f t="shared" si="1253"/>
        <v>3514.1405779665461</v>
      </c>
      <c r="KU259" s="292">
        <f t="shared" si="1253"/>
        <v>3356.4710741306935</v>
      </c>
      <c r="KV259" s="292">
        <f t="shared" si="1253"/>
        <v>3203.5874525439731</v>
      </c>
      <c r="KW259" s="292">
        <f t="shared" si="1253"/>
        <v>3129.213385013727</v>
      </c>
      <c r="KX259" s="293"/>
      <c r="KY259" s="241"/>
      <c r="KZ259" s="292">
        <f>SUM(KZ257:KZ258)</f>
        <v>2863.4685238038255</v>
      </c>
      <c r="LA259" s="292">
        <f t="shared" ref="LA259:LK259" si="1254">SUM(LA257:LA258)</f>
        <v>2794.2765974521139</v>
      </c>
      <c r="LB259" s="292">
        <f t="shared" si="1254"/>
        <v>2803.0840025267375</v>
      </c>
      <c r="LC259" s="292">
        <f t="shared" si="1254"/>
        <v>2787.4112531931573</v>
      </c>
      <c r="LD259" s="292">
        <f t="shared" si="1254"/>
        <v>2789.6367898573221</v>
      </c>
      <c r="LE259" s="292">
        <f t="shared" si="1254"/>
        <v>2790.2328967240005</v>
      </c>
      <c r="LF259" s="292">
        <f t="shared" si="1254"/>
        <v>2813.8740737898374</v>
      </c>
      <c r="LG259" s="292">
        <f t="shared" si="1254"/>
        <v>2836.2329259239723</v>
      </c>
      <c r="LH259" s="292">
        <f t="shared" si="1254"/>
        <v>2908.194865299341</v>
      </c>
      <c r="LI259" s="292">
        <f t="shared" si="1254"/>
        <v>2829.5711514827053</v>
      </c>
      <c r="LJ259" s="292">
        <f t="shared" si="1254"/>
        <v>2759.136771235444</v>
      </c>
      <c r="LK259" s="292">
        <f t="shared" si="1254"/>
        <v>2721.9497374703205</v>
      </c>
      <c r="LL259" s="293">
        <f>+SUBTOTAL(9,KZ259:LK259)</f>
        <v>33697.069588758779</v>
      </c>
      <c r="LM259" s="241"/>
      <c r="LN259" s="238"/>
      <c r="LO259" s="239"/>
      <c r="LP259" s="239"/>
      <c r="LQ259" s="239"/>
      <c r="LR259" s="239"/>
      <c r="LS259" s="239"/>
      <c r="LT259" s="239"/>
      <c r="LU259" s="239"/>
      <c r="LV259" s="239"/>
      <c r="LW259" s="239"/>
      <c r="LX259" s="239"/>
      <c r="LY259" s="239"/>
      <c r="LZ259" s="293"/>
      <c r="MA259" s="241"/>
      <c r="MB259" s="295">
        <f>SUM(MB257:MB258)</f>
        <v>438355.57856676762</v>
      </c>
      <c r="MC259" s="295">
        <f t="shared" ref="MC259:MM259" si="1255">SUM(MC257:MC258)</f>
        <v>423719.73283672828</v>
      </c>
      <c r="MD259" s="295">
        <f t="shared" si="1255"/>
        <v>453803.00027480285</v>
      </c>
      <c r="ME259" s="295">
        <f t="shared" si="1255"/>
        <v>452810.5080985931</v>
      </c>
      <c r="MF259" s="295">
        <f t="shared" si="1255"/>
        <v>449898.80068730278</v>
      </c>
      <c r="MG259" s="295">
        <f t="shared" si="1255"/>
        <v>449918.32508283737</v>
      </c>
      <c r="MH259" s="295">
        <f t="shared" si="1255"/>
        <v>457451.15913246141</v>
      </c>
      <c r="MI259" s="295">
        <f t="shared" si="1255"/>
        <v>457712.70221982518</v>
      </c>
      <c r="MJ259" s="295">
        <f t="shared" si="1255"/>
        <v>469348.18370445917</v>
      </c>
      <c r="MK259" s="295">
        <f t="shared" si="1255"/>
        <v>456315.3090732912</v>
      </c>
      <c r="ML259" s="295">
        <f t="shared" si="1255"/>
        <v>444626.29643792071</v>
      </c>
      <c r="MM259" s="295">
        <f t="shared" si="1255"/>
        <v>438448.43879653205</v>
      </c>
      <c r="MN259" s="295">
        <f t="shared" si="1231"/>
        <v>5392408.0349115226</v>
      </c>
    </row>
    <row r="260" spans="1:352" x14ac:dyDescent="0.3">
      <c r="C260" s="98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6"/>
      <c r="P260" s="297"/>
      <c r="Q260" s="298"/>
      <c r="R260" s="296"/>
      <c r="S260" s="296"/>
      <c r="T260" s="296"/>
      <c r="U260" s="296"/>
      <c r="V260" s="296"/>
      <c r="W260" s="296"/>
      <c r="X260" s="296"/>
      <c r="Y260" s="296"/>
      <c r="Z260" s="296"/>
      <c r="AA260" s="296"/>
      <c r="AB260" s="296"/>
      <c r="AC260" s="296"/>
      <c r="AD260" s="297"/>
      <c r="AE260" s="298"/>
      <c r="AF260" s="296"/>
      <c r="AG260" s="296"/>
      <c r="AH260" s="296"/>
      <c r="AI260" s="296"/>
      <c r="AJ260" s="296"/>
      <c r="AK260" s="296"/>
      <c r="AL260" s="296"/>
      <c r="AM260" s="296"/>
      <c r="AN260" s="296"/>
      <c r="AO260" s="296"/>
      <c r="AP260" s="296"/>
      <c r="AQ260" s="296"/>
      <c r="AR260" s="297"/>
      <c r="AS260" s="266"/>
      <c r="AT260" s="296"/>
      <c r="AU260" s="296"/>
      <c r="AV260" s="296"/>
      <c r="AW260" s="296"/>
      <c r="AX260" s="296"/>
      <c r="AY260" s="296"/>
      <c r="AZ260" s="296"/>
      <c r="BA260" s="296"/>
      <c r="BB260" s="296"/>
      <c r="BC260" s="296"/>
      <c r="BD260" s="296"/>
      <c r="BE260" s="296"/>
      <c r="BF260" s="297"/>
      <c r="BG260" s="224"/>
      <c r="BH260" s="296"/>
      <c r="BI260" s="296"/>
      <c r="BJ260" s="296"/>
      <c r="BK260" s="296"/>
      <c r="BL260" s="296"/>
      <c r="BM260" s="296"/>
      <c r="BN260" s="296"/>
      <c r="BO260" s="296"/>
      <c r="BP260" s="296"/>
      <c r="BQ260" s="296"/>
      <c r="BR260" s="296"/>
      <c r="BS260" s="296"/>
      <c r="BT260" s="297"/>
      <c r="BU260" s="266"/>
      <c r="BV260" s="296"/>
      <c r="BW260" s="296"/>
      <c r="BX260" s="296"/>
      <c r="BY260" s="296"/>
      <c r="BZ260" s="296"/>
      <c r="CA260" s="296"/>
      <c r="CB260" s="296"/>
      <c r="CC260" s="296"/>
      <c r="CD260" s="296"/>
      <c r="CE260" s="296"/>
      <c r="CF260" s="296"/>
      <c r="CG260" s="296"/>
      <c r="CH260" s="297"/>
      <c r="CI260" s="298"/>
      <c r="CJ260" s="296"/>
      <c r="CK260" s="296"/>
      <c r="CL260" s="296"/>
      <c r="CM260" s="296"/>
      <c r="CN260" s="296"/>
      <c r="CO260" s="296"/>
      <c r="CP260" s="296"/>
      <c r="CQ260" s="296"/>
      <c r="CR260" s="296"/>
      <c r="CS260" s="296"/>
      <c r="CT260" s="296"/>
      <c r="CU260" s="296"/>
      <c r="CV260" s="297"/>
      <c r="CW260" s="298"/>
      <c r="CX260" s="296"/>
      <c r="CY260" s="296"/>
      <c r="CZ260" s="296"/>
      <c r="DA260" s="296"/>
      <c r="DB260" s="296"/>
      <c r="DC260" s="296"/>
      <c r="DD260" s="296"/>
      <c r="DE260" s="296"/>
      <c r="DF260" s="296"/>
      <c r="DG260" s="296"/>
      <c r="DH260" s="296"/>
      <c r="DI260" s="296"/>
      <c r="DJ260" s="297"/>
      <c r="DK260" s="298"/>
      <c r="DL260" s="296"/>
      <c r="DM260" s="296"/>
      <c r="DN260" s="296"/>
      <c r="DO260" s="296"/>
      <c r="DP260" s="296"/>
      <c r="DQ260" s="296"/>
      <c r="DR260" s="296"/>
      <c r="DS260" s="296"/>
      <c r="DT260" s="296"/>
      <c r="DU260" s="296"/>
      <c r="DV260" s="296"/>
      <c r="DW260" s="296"/>
      <c r="DX260" s="297"/>
      <c r="DY260" s="298"/>
      <c r="DZ260" s="296"/>
      <c r="EA260" s="296"/>
      <c r="EB260" s="296"/>
      <c r="EC260" s="296"/>
      <c r="ED260" s="296"/>
      <c r="EE260" s="296"/>
      <c r="EF260" s="296"/>
      <c r="EG260" s="296"/>
      <c r="EH260" s="296"/>
      <c r="EI260" s="296"/>
      <c r="EJ260" s="296"/>
      <c r="EK260" s="296"/>
      <c r="EL260" s="297"/>
      <c r="EM260" s="298"/>
      <c r="EN260" s="296"/>
      <c r="EO260" s="296"/>
      <c r="EP260" s="296"/>
      <c r="EQ260" s="296"/>
      <c r="ER260" s="296"/>
      <c r="ES260" s="296"/>
      <c r="ET260" s="296"/>
      <c r="EU260" s="296"/>
      <c r="EV260" s="296"/>
      <c r="EW260" s="296"/>
      <c r="EX260" s="296"/>
      <c r="EY260" s="296"/>
      <c r="EZ260" s="297"/>
      <c r="FA260" s="298"/>
      <c r="FB260" s="296"/>
      <c r="FC260" s="296"/>
      <c r="FD260" s="296"/>
      <c r="FE260" s="296"/>
      <c r="FF260" s="296"/>
      <c r="FG260" s="296"/>
      <c r="FH260" s="296"/>
      <c r="FI260" s="296"/>
      <c r="FJ260" s="296"/>
      <c r="FK260" s="296"/>
      <c r="FL260" s="296"/>
      <c r="FM260" s="296"/>
      <c r="FN260" s="297"/>
      <c r="FO260" s="298"/>
      <c r="FP260" s="296"/>
      <c r="FQ260" s="296"/>
      <c r="FR260" s="296"/>
      <c r="FS260" s="296"/>
      <c r="FT260" s="296"/>
      <c r="FU260" s="296"/>
      <c r="FV260" s="296"/>
      <c r="FW260" s="296"/>
      <c r="FX260" s="296"/>
      <c r="FY260" s="296"/>
      <c r="FZ260" s="296"/>
      <c r="GA260" s="296"/>
      <c r="GB260" s="297"/>
      <c r="GC260" s="298"/>
      <c r="GD260" s="296"/>
      <c r="GE260" s="296"/>
      <c r="GF260" s="296"/>
      <c r="GG260" s="296"/>
      <c r="GH260" s="296"/>
      <c r="GI260" s="296"/>
      <c r="GJ260" s="296"/>
      <c r="GK260" s="296"/>
      <c r="GL260" s="296"/>
      <c r="GM260" s="296"/>
      <c r="GN260" s="296"/>
      <c r="GO260" s="296"/>
      <c r="GP260" s="297"/>
      <c r="GQ260" s="298"/>
      <c r="GR260" s="296"/>
      <c r="GS260" s="296"/>
      <c r="GT260" s="296"/>
      <c r="GU260" s="296"/>
      <c r="GV260" s="296"/>
      <c r="GW260" s="296"/>
      <c r="GX260" s="296"/>
      <c r="GY260" s="296"/>
      <c r="GZ260" s="296"/>
      <c r="HA260" s="296"/>
      <c r="HB260" s="296"/>
      <c r="HC260" s="296"/>
      <c r="HD260" s="297"/>
      <c r="HE260" s="298"/>
      <c r="HF260" s="296"/>
      <c r="HG260" s="296"/>
      <c r="HH260" s="296"/>
      <c r="HI260" s="296"/>
      <c r="HJ260" s="296"/>
      <c r="HK260" s="296"/>
      <c r="HL260" s="296"/>
      <c r="HM260" s="296"/>
      <c r="HN260" s="296"/>
      <c r="HO260" s="296"/>
      <c r="HP260" s="296"/>
      <c r="HQ260" s="296"/>
      <c r="HR260" s="297"/>
      <c r="HS260" s="298"/>
      <c r="HT260" s="296"/>
      <c r="HU260" s="296"/>
      <c r="HV260" s="296"/>
      <c r="HW260" s="296"/>
      <c r="HX260" s="296"/>
      <c r="HY260" s="296"/>
      <c r="HZ260" s="296"/>
      <c r="IA260" s="296"/>
      <c r="IB260" s="296"/>
      <c r="IC260" s="296"/>
      <c r="ID260" s="296"/>
      <c r="IE260" s="296"/>
      <c r="IF260" s="297"/>
      <c r="IG260" s="298"/>
      <c r="IH260" s="296"/>
      <c r="II260" s="296"/>
      <c r="IJ260" s="296"/>
      <c r="IK260" s="296"/>
      <c r="IL260" s="296"/>
      <c r="IM260" s="296"/>
      <c r="IN260" s="296"/>
      <c r="IO260" s="296"/>
      <c r="IP260" s="296"/>
      <c r="IQ260" s="296"/>
      <c r="IR260" s="296"/>
      <c r="IS260" s="296"/>
      <c r="IT260" s="297"/>
      <c r="IU260" s="298"/>
      <c r="IV260" s="296"/>
      <c r="IW260" s="296"/>
      <c r="IX260" s="296"/>
      <c r="IY260" s="296"/>
      <c r="IZ260" s="296"/>
      <c r="JA260" s="296"/>
      <c r="JB260" s="296"/>
      <c r="JC260" s="296"/>
      <c r="JD260" s="296"/>
      <c r="JE260" s="296"/>
      <c r="JF260" s="296"/>
      <c r="JG260" s="296"/>
      <c r="JH260" s="297"/>
      <c r="JI260" s="298"/>
      <c r="JJ260" s="296"/>
      <c r="JK260" s="296"/>
      <c r="JL260" s="296"/>
      <c r="JM260" s="296"/>
      <c r="JN260" s="296"/>
      <c r="JO260" s="296"/>
      <c r="JP260" s="296"/>
      <c r="JQ260" s="296"/>
      <c r="JR260" s="296"/>
      <c r="JS260" s="296"/>
      <c r="JT260" s="296"/>
      <c r="JU260" s="296"/>
      <c r="JV260" s="297"/>
      <c r="JW260" s="298"/>
      <c r="JX260" s="296"/>
      <c r="JY260" s="296"/>
      <c r="JZ260" s="296"/>
      <c r="KA260" s="296"/>
      <c r="KB260" s="296"/>
      <c r="KC260" s="296"/>
      <c r="KD260" s="296"/>
      <c r="KE260" s="296"/>
      <c r="KF260" s="296"/>
      <c r="KG260" s="296"/>
      <c r="KH260" s="296"/>
      <c r="KI260" s="296"/>
      <c r="KJ260" s="297"/>
      <c r="KK260" s="298"/>
      <c r="KL260" s="296"/>
      <c r="KM260" s="296"/>
      <c r="KN260" s="296"/>
      <c r="KO260" s="296"/>
      <c r="KP260" s="296"/>
      <c r="KQ260" s="296"/>
      <c r="KR260" s="296"/>
      <c r="KS260" s="296"/>
      <c r="KT260" s="296"/>
      <c r="KU260" s="296"/>
      <c r="KV260" s="296"/>
      <c r="KW260" s="296"/>
      <c r="KX260" s="297"/>
      <c r="KY260" s="298"/>
      <c r="KZ260" s="296"/>
      <c r="LA260" s="296"/>
      <c r="LB260" s="296"/>
      <c r="LC260" s="296"/>
      <c r="LD260" s="296"/>
      <c r="LE260" s="296"/>
      <c r="LF260" s="296"/>
      <c r="LG260" s="296"/>
      <c r="LH260" s="296"/>
      <c r="LI260" s="296"/>
      <c r="LJ260" s="296"/>
      <c r="LK260" s="296"/>
      <c r="LL260" s="297"/>
      <c r="LM260" s="298"/>
      <c r="LN260" s="296"/>
      <c r="LO260" s="296"/>
      <c r="LP260" s="296"/>
      <c r="LQ260" s="296"/>
      <c r="LR260" s="296"/>
      <c r="LS260" s="296"/>
      <c r="LT260" s="296"/>
      <c r="LU260" s="296"/>
      <c r="LV260" s="296"/>
      <c r="LW260" s="296"/>
      <c r="LX260" s="296"/>
      <c r="LY260" s="296"/>
      <c r="LZ260" s="297"/>
      <c r="MA260" s="298"/>
      <c r="MB260" s="297"/>
      <c r="MC260" s="297"/>
      <c r="MD260" s="297"/>
      <c r="ME260" s="297"/>
      <c r="MF260" s="297"/>
      <c r="MG260" s="297"/>
      <c r="MH260" s="297"/>
      <c r="MI260" s="297"/>
      <c r="MJ260" s="297"/>
      <c r="MK260" s="297"/>
      <c r="ML260" s="297"/>
      <c r="MM260" s="297"/>
      <c r="MN260" s="297"/>
    </row>
    <row r="261" spans="1:352" x14ac:dyDescent="0.3">
      <c r="C261" s="98"/>
    </row>
    <row r="262" spans="1:352" x14ac:dyDescent="0.3">
      <c r="C262" s="98"/>
    </row>
    <row r="263" spans="1:352" x14ac:dyDescent="0.3">
      <c r="C263" s="98"/>
    </row>
    <row r="264" spans="1:352" x14ac:dyDescent="0.3">
      <c r="C264" s="98"/>
    </row>
    <row r="265" spans="1:352" x14ac:dyDescent="0.3">
      <c r="C265" s="98"/>
    </row>
    <row r="266" spans="1:352" x14ac:dyDescent="0.3">
      <c r="C266" s="98"/>
    </row>
    <row r="267" spans="1:352" x14ac:dyDescent="0.3">
      <c r="C267" s="98"/>
    </row>
    <row r="268" spans="1:352" x14ac:dyDescent="0.3">
      <c r="C268" s="98"/>
    </row>
    <row r="269" spans="1:352" x14ac:dyDescent="0.3">
      <c r="C269" s="98"/>
    </row>
  </sheetData>
  <mergeCells count="96">
    <mergeCell ref="LN147:LY147"/>
    <mergeCell ref="FP147:GA147"/>
    <mergeCell ref="GD147:GO147"/>
    <mergeCell ref="GR147:HC147"/>
    <mergeCell ref="HF147:HQ147"/>
    <mergeCell ref="HT147:IE147"/>
    <mergeCell ref="IH147:IS147"/>
    <mergeCell ref="IV147:JG147"/>
    <mergeCell ref="JJ147:JU147"/>
    <mergeCell ref="JX147:KI147"/>
    <mergeCell ref="KL147:KW147"/>
    <mergeCell ref="KZ147:LK147"/>
    <mergeCell ref="FB147:FM147"/>
    <mergeCell ref="D147:O147"/>
    <mergeCell ref="R147:AC147"/>
    <mergeCell ref="AF147:AQ147"/>
    <mergeCell ref="AT147:BE147"/>
    <mergeCell ref="BH147:BS147"/>
    <mergeCell ref="BV147:CG147"/>
    <mergeCell ref="CJ147:CU147"/>
    <mergeCell ref="CX147:DI147"/>
    <mergeCell ref="DL147:DW147"/>
    <mergeCell ref="DZ147:EK147"/>
    <mergeCell ref="EN147:EY147"/>
    <mergeCell ref="LN146:LY146"/>
    <mergeCell ref="FP146:GA146"/>
    <mergeCell ref="GD146:GO146"/>
    <mergeCell ref="GR146:HC146"/>
    <mergeCell ref="HF146:HQ146"/>
    <mergeCell ref="HT146:IE146"/>
    <mergeCell ref="IH146:IS146"/>
    <mergeCell ref="IV146:JG146"/>
    <mergeCell ref="JJ146:JU146"/>
    <mergeCell ref="JX146:KI146"/>
    <mergeCell ref="KL146:KW146"/>
    <mergeCell ref="KZ146:LK146"/>
    <mergeCell ref="FB146:FM146"/>
    <mergeCell ref="D146:O146"/>
    <mergeCell ref="R146:AC146"/>
    <mergeCell ref="AF146:AQ146"/>
    <mergeCell ref="AT146:BE146"/>
    <mergeCell ref="BH146:BS146"/>
    <mergeCell ref="BV146:CG146"/>
    <mergeCell ref="CJ146:CU146"/>
    <mergeCell ref="CX146:DI146"/>
    <mergeCell ref="DL146:DW146"/>
    <mergeCell ref="DZ146:EK146"/>
    <mergeCell ref="EN146:EY146"/>
    <mergeCell ref="LN4:LY4"/>
    <mergeCell ref="FP4:GA4"/>
    <mergeCell ref="GD4:GO4"/>
    <mergeCell ref="GR4:HC4"/>
    <mergeCell ref="HF4:HQ4"/>
    <mergeCell ref="HT4:IE4"/>
    <mergeCell ref="IH4:IS4"/>
    <mergeCell ref="IV4:JG4"/>
    <mergeCell ref="JJ4:JU4"/>
    <mergeCell ref="JX4:KI4"/>
    <mergeCell ref="KL4:KW4"/>
    <mergeCell ref="KZ4:LK4"/>
    <mergeCell ref="FB4:FM4"/>
    <mergeCell ref="D4:O4"/>
    <mergeCell ref="R4:AC4"/>
    <mergeCell ref="AF4:AQ4"/>
    <mergeCell ref="AT4:BE4"/>
    <mergeCell ref="BH4:BS4"/>
    <mergeCell ref="BV4:CG4"/>
    <mergeCell ref="CJ4:CU4"/>
    <mergeCell ref="CX4:DI4"/>
    <mergeCell ref="DL4:DW4"/>
    <mergeCell ref="DZ4:EK4"/>
    <mergeCell ref="EN4:EY4"/>
    <mergeCell ref="LN3:LY3"/>
    <mergeCell ref="FP3:GA3"/>
    <mergeCell ref="GD3:GO3"/>
    <mergeCell ref="GR3:HC3"/>
    <mergeCell ref="HF3:HQ3"/>
    <mergeCell ref="HT3:IE3"/>
    <mergeCell ref="IH3:IS3"/>
    <mergeCell ref="IV3:JG3"/>
    <mergeCell ref="JJ3:JU3"/>
    <mergeCell ref="JX3:KI3"/>
    <mergeCell ref="KL3:KW3"/>
    <mergeCell ref="KZ3:LK3"/>
    <mergeCell ref="FB3:FM3"/>
    <mergeCell ref="D3:O3"/>
    <mergeCell ref="R3:AC3"/>
    <mergeCell ref="AF3:AQ3"/>
    <mergeCell ref="AT3:BE3"/>
    <mergeCell ref="BH3:BS3"/>
    <mergeCell ref="BV3:CG3"/>
    <mergeCell ref="CJ3:CU3"/>
    <mergeCell ref="CX3:DI3"/>
    <mergeCell ref="DL3:DW3"/>
    <mergeCell ref="DZ3:EK3"/>
    <mergeCell ref="EN3:EY3"/>
  </mergeCells>
  <hyperlinks>
    <hyperlink ref="B103" location="'Sch-PL22 Interest Income'!Print_Area" display="Interest Income" xr:uid="{EB54EAA6-AA64-4A6F-B50D-3DE4EF59D19F}"/>
    <hyperlink ref="B246" location="'Sch-PL22 Interest Income'!Print_Area" display="Interest Income" xr:uid="{34E7A1ED-1E8D-4E5D-8A18-68A40B2B55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SSC Recharge Summary</vt:lpstr>
      <vt:lpstr>ISSC spend kpi</vt:lpstr>
      <vt:lpstr>P&amp; L budget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 Ahire</dc:creator>
  <cp:lastModifiedBy>Mrunal</cp:lastModifiedBy>
  <dcterms:created xsi:type="dcterms:W3CDTF">2025-04-15T04:39:49Z</dcterms:created>
  <dcterms:modified xsi:type="dcterms:W3CDTF">2025-05-17T08:05:56Z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efa48-3542-40a0-935f-e5728a0bb1e7_Enabled">
    <vt:lpwstr>true</vt:lpwstr>
  </property>
  <property fmtid="{D5CDD505-2E9C-101B-9397-08002B2CF9AE}" pid="3" name="MSIP_Label_895efa48-3542-40a0-935f-e5728a0bb1e7_SetDate">
    <vt:lpwstr>2025-04-15T05:37:06Z</vt:lpwstr>
  </property>
  <property fmtid="{D5CDD505-2E9C-101B-9397-08002B2CF9AE}" pid="4" name="MSIP_Label_895efa48-3542-40a0-935f-e5728a0bb1e7_Method">
    <vt:lpwstr>Standard</vt:lpwstr>
  </property>
  <property fmtid="{D5CDD505-2E9C-101B-9397-08002B2CF9AE}" pid="5" name="MSIP_Label_895efa48-3542-40a0-935f-e5728a0bb1e7_Name">
    <vt:lpwstr>General</vt:lpwstr>
  </property>
  <property fmtid="{D5CDD505-2E9C-101B-9397-08002B2CF9AE}" pid="6" name="MSIP_Label_895efa48-3542-40a0-935f-e5728a0bb1e7_SiteId">
    <vt:lpwstr>fb052de5-3344-415c-a8e0-3b26eed71f5a</vt:lpwstr>
  </property>
  <property fmtid="{D5CDD505-2E9C-101B-9397-08002B2CF9AE}" pid="7" name="MSIP_Label_895efa48-3542-40a0-935f-e5728a0bb1e7_ActionId">
    <vt:lpwstr>d0c058c4-cd0f-43da-a477-6fab19c563b6</vt:lpwstr>
  </property>
  <property fmtid="{D5CDD505-2E9C-101B-9397-08002B2CF9AE}" pid="8" name="MSIP_Label_895efa48-3542-40a0-935f-e5728a0bb1e7_ContentBits">
    <vt:lpwstr>0</vt:lpwstr>
  </property>
</Properties>
</file>